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_MATERIALES" sheetId="1" r:id="rId5"/>
  </sheets>
  <definedNames/>
  <calcPr/>
</workbook>
</file>

<file path=xl/sharedStrings.xml><?xml version="1.0" encoding="utf-8"?>
<sst xmlns="http://schemas.openxmlformats.org/spreadsheetml/2006/main" count="251" uniqueCount="194">
  <si>
    <t>FORMATO</t>
  </si>
  <si>
    <t>F-OPE-AP-112</t>
  </si>
  <si>
    <t>CARACTERIZACIÓN DE MATERIALES</t>
  </si>
  <si>
    <t>Versión:</t>
  </si>
  <si>
    <t>Fecha:</t>
  </si>
  <si>
    <t>4/20/0206</t>
  </si>
  <si>
    <t>1. INFORMACIÓN GENERAL</t>
  </si>
  <si>
    <t>Cliente</t>
  </si>
  <si>
    <t xml:space="preserve">Contrato        </t>
  </si>
  <si>
    <t>N° Reporte</t>
  </si>
  <si>
    <t>OT</t>
  </si>
  <si>
    <t>Fecha</t>
  </si>
  <si>
    <t>Departamento</t>
  </si>
  <si>
    <t>Ciudad</t>
  </si>
  <si>
    <t>Troncal</t>
  </si>
  <si>
    <t>Estación</t>
  </si>
  <si>
    <t>Sistema</t>
  </si>
  <si>
    <t>Línea</t>
  </si>
  <si>
    <t>PK</t>
  </si>
  <si>
    <t>2. INFORMACIÓN EQUIPO O LÍNEA INSPECCIONADA</t>
  </si>
  <si>
    <t xml:space="preserve">Equipo inspeccionado </t>
  </si>
  <si>
    <t>Tag</t>
  </si>
  <si>
    <t xml:space="preserve">Tipo de componente </t>
  </si>
  <si>
    <t>Estado del componente</t>
  </si>
  <si>
    <t>Observación</t>
  </si>
  <si>
    <t>Ubicación del componente</t>
  </si>
  <si>
    <t>Longitud o ancho (m)</t>
  </si>
  <si>
    <t>NPS (Nominal Pipe Size)</t>
  </si>
  <si>
    <t>Espesor mínimo actual</t>
  </si>
  <si>
    <t>Plano de referencia</t>
  </si>
  <si>
    <t>Observaciones generales</t>
  </si>
  <si>
    <t>Imagen 1</t>
  </si>
  <si>
    <t>3. MATERIAL IDENTIFICADO</t>
  </si>
  <si>
    <t>3.1. Análisis metalográfico</t>
  </si>
  <si>
    <t>Micrografía</t>
  </si>
  <si>
    <t>Tamaño de grano</t>
  </si>
  <si>
    <t>3.2. Análisis de dureza</t>
  </si>
  <si>
    <t>Dureza promedio</t>
  </si>
  <si>
    <t>Esfuerzo de tensión Promedio</t>
  </si>
  <si>
    <t>3.4.  Material Identificado</t>
  </si>
  <si>
    <t>4. ANÁLISIS METALÓGRAFICO</t>
  </si>
  <si>
    <t>4.1. PROCEDIMIENTO, TÉCNICA Y NORMAS</t>
  </si>
  <si>
    <t>Procedimiento</t>
  </si>
  <si>
    <t>Técnica</t>
  </si>
  <si>
    <t xml:space="preserve">Normas o códigos de referencia </t>
  </si>
  <si>
    <t>4.2. EQUIPOS, MATERIALES Y REACTIVOS USADOS PARA EL ANÁLISIS METALÓGRAFICO</t>
  </si>
  <si>
    <t>4.2.1. Equipos para la preparación de la superficie</t>
  </si>
  <si>
    <t>4.2.2. Equipos para la toma de micrografías</t>
  </si>
  <si>
    <t>Equipo de desbaste</t>
  </si>
  <si>
    <t>Marca</t>
  </si>
  <si>
    <t>Marca microscopio</t>
  </si>
  <si>
    <t>Modelo</t>
  </si>
  <si>
    <t>Serie</t>
  </si>
  <si>
    <t>Lentes</t>
  </si>
  <si>
    <t>Abrasivos utilizados</t>
  </si>
  <si>
    <t>4.2.3. Reactivos para el análisis químico</t>
  </si>
  <si>
    <t>Material a analizar</t>
  </si>
  <si>
    <t>Reactivo 
(De acuerdo al Estándar E407 – 07 Standard Practice for Microetching Metals and Alloys)</t>
  </si>
  <si>
    <t>Tiempo de  ataque (seg)</t>
  </si>
  <si>
    <t>4.2.4. Cálculos para la preparación del reactivo de ataque</t>
  </si>
  <si>
    <t>Para calcular el volumen necesario de ácido y diluyente con el propósito de preparar el reactivo para el ataque químico, proporcionar la siguiente información:</t>
  </si>
  <si>
    <t>Volumen de la solución necesaria para el ataque químico  (ácido + diluyente)</t>
  </si>
  <si>
    <r>
      <rPr>
        <rFont val="Calibri"/>
        <color theme="1"/>
        <sz val="11.0"/>
      </rPr>
      <t>Concentración del ácido a diluir (</t>
    </r>
    <r>
      <rPr>
        <rFont val="Calibri"/>
        <color theme="1"/>
        <sz val="10.0"/>
      </rPr>
      <t>Esta concentración corresponde a la del ácido distribuido comercialmente</t>
    </r>
    <r>
      <rPr>
        <rFont val="Calibri"/>
        <color theme="1"/>
        <sz val="11.0"/>
      </rPr>
      <t>)</t>
    </r>
  </si>
  <si>
    <t>Concentración deseada del ácido en la solución final</t>
  </si>
  <si>
    <t>Para la preparación de la solución deseada, se debe utilizar:</t>
  </si>
  <si>
    <t>de ácido</t>
  </si>
  <si>
    <t>de dilusor.</t>
  </si>
  <si>
    <t>Aumentos utilizados para la toma de las metalografías</t>
  </si>
  <si>
    <t>4.3. ANÁLISIS DE INCLUSIONES</t>
  </si>
  <si>
    <t>Imagen 2</t>
  </si>
  <si>
    <r>
      <rPr>
        <rFont val="Calibri"/>
        <color theme="1"/>
        <sz val="11.0"/>
      </rPr>
      <t xml:space="preserve">Carta comparativa para la determinación de inclusiones modelo </t>
    </r>
    <r>
      <rPr>
        <rFont val="Calibri"/>
        <b/>
        <color theme="1"/>
        <sz val="11.0"/>
      </rPr>
      <t>ASTM E 45</t>
    </r>
    <r>
      <rPr>
        <rFont val="Calibri"/>
        <color theme="1"/>
        <sz val="11.0"/>
      </rPr>
      <t xml:space="preserve"> a 100X </t>
    </r>
  </si>
  <si>
    <t>Imagen 3</t>
  </si>
  <si>
    <t>Imagen 4</t>
  </si>
  <si>
    <t>Análisis de inclusiones</t>
  </si>
  <si>
    <t>NO PRESENTA INCLUSIONES RELEVANTES.</t>
  </si>
  <si>
    <t>4.4. DETERMINACIÓN TAMAÑO DE GRANO</t>
  </si>
  <si>
    <t>Imagen 5</t>
  </si>
  <si>
    <r>
      <rPr>
        <rFont val="Calibri"/>
        <color theme="1"/>
        <sz val="11.0"/>
      </rPr>
      <t xml:space="preserve"> Carta comparativa para determinación tamaño de grano </t>
    </r>
    <r>
      <rPr>
        <rFont val="Calibri"/>
        <b/>
        <color theme="1"/>
        <sz val="11.0"/>
      </rPr>
      <t xml:space="preserve">(ASTM E112) </t>
    </r>
  </si>
  <si>
    <t>Imagen 6</t>
  </si>
  <si>
    <t>Imagen 7</t>
  </si>
  <si>
    <t>Análisis tamaño de grano (ASTM E 112)</t>
  </si>
  <si>
    <t>4.5. DETERMINACIÓN % DE FASES</t>
  </si>
  <si>
    <t>Imagen 8</t>
  </si>
  <si>
    <t>Diagrama Hierro Carbono. Guía para análisis metalográfico, propiedades mecánicas y composición química</t>
  </si>
  <si>
    <t>Imagen 9</t>
  </si>
  <si>
    <t>% Fases</t>
  </si>
  <si>
    <t>Proceso de fabricación</t>
  </si>
  <si>
    <t>Defectos</t>
  </si>
  <si>
    <t>Análisis metalográfico</t>
  </si>
  <si>
    <t>5. IDENTIFICACIÓN POSITIVA DE MATERIALES</t>
  </si>
  <si>
    <t>5.1. PROCEDIMIENTO, TÉCNICA Y NORMAS</t>
  </si>
  <si>
    <t>5.2. EQUIPOS Y MATERIALES USADOS PARA LA IDENTIFICACIÓN DE MATERIALES</t>
  </si>
  <si>
    <t>Equipo</t>
  </si>
  <si>
    <t>Fecha de calibración</t>
  </si>
  <si>
    <t>5.3. IDENTIFICACIÓN POSITIVA DE MATERIALES</t>
  </si>
  <si>
    <t>5.4.1. MATERIALES DE REFERENCIA</t>
  </si>
  <si>
    <t>Material de Referencia 1</t>
  </si>
  <si>
    <t>Max</t>
  </si>
  <si>
    <t>ASTM A 694</t>
  </si>
  <si>
    <t>Material de Referencia 2</t>
  </si>
  <si>
    <t>5.4.2. DATOS DE CAMPO</t>
  </si>
  <si>
    <t>#</t>
  </si>
  <si>
    <t>Elemento</t>
  </si>
  <si>
    <t>(%)</t>
  </si>
  <si>
    <t>Evaluación</t>
  </si>
  <si>
    <t>NE</t>
  </si>
  <si>
    <t>5.6. REGISTRO FOTOGRÁFICO</t>
  </si>
  <si>
    <t>Imagen 10</t>
  </si>
  <si>
    <t>ZONA DE INSPECCION</t>
  </si>
  <si>
    <t>Imagen 11</t>
  </si>
  <si>
    <t xml:space="preserve">INDENTIFICACION POSITIVA DE MATERIALES </t>
  </si>
  <si>
    <t>6. ENSAYO DE DUREZA</t>
  </si>
  <si>
    <t>6.1. PROCEDIMIENTO, TÉCNICA Y NORMAS</t>
  </si>
  <si>
    <t>6.2. EQUIPOS Y MATERIALES USADOS PARA EL ENSAYO DE DUREZA</t>
  </si>
  <si>
    <t xml:space="preserve">Marca Durómetro </t>
  </si>
  <si>
    <t>6.3. MEDICIÓN DE DUREZAS</t>
  </si>
  <si>
    <t>Ubicación horaria</t>
  </si>
  <si>
    <t>Escala de dureza</t>
  </si>
  <si>
    <t>Tolerancia</t>
  </si>
  <si>
    <t>Material de referencia</t>
  </si>
  <si>
    <t>6.4. ANÁLISIS DE RESULTADOS</t>
  </si>
  <si>
    <t>Dureza</t>
  </si>
  <si>
    <t>Tensión ksi</t>
  </si>
  <si>
    <t>L1</t>
  </si>
  <si>
    <t>L16</t>
  </si>
  <si>
    <t>L31</t>
  </si>
  <si>
    <t>L45</t>
  </si>
  <si>
    <t>L2</t>
  </si>
  <si>
    <t>L17</t>
  </si>
  <si>
    <t>L32</t>
  </si>
  <si>
    <t>L46</t>
  </si>
  <si>
    <t>L3</t>
  </si>
  <si>
    <t>L18</t>
  </si>
  <si>
    <t>L33</t>
  </si>
  <si>
    <t>L47</t>
  </si>
  <si>
    <t>L4</t>
  </si>
  <si>
    <t>L19</t>
  </si>
  <si>
    <t>L34</t>
  </si>
  <si>
    <t>L48</t>
  </si>
  <si>
    <t>L5</t>
  </si>
  <si>
    <t>L20</t>
  </si>
  <si>
    <t>L35</t>
  </si>
  <si>
    <t>L49</t>
  </si>
  <si>
    <t>L6</t>
  </si>
  <si>
    <t>L21</t>
  </si>
  <si>
    <t>L36</t>
  </si>
  <si>
    <t>L50</t>
  </si>
  <si>
    <t>L7</t>
  </si>
  <si>
    <t>L22</t>
  </si>
  <si>
    <t>L37</t>
  </si>
  <si>
    <t>L51</t>
  </si>
  <si>
    <t>L8</t>
  </si>
  <si>
    <t>L23</t>
  </si>
  <si>
    <t>L38</t>
  </si>
  <si>
    <t>L52</t>
  </si>
  <si>
    <t>L9</t>
  </si>
  <si>
    <t>L24</t>
  </si>
  <si>
    <t>L39</t>
  </si>
  <si>
    <t>L53</t>
  </si>
  <si>
    <t>L10</t>
  </si>
  <si>
    <t>L25</t>
  </si>
  <si>
    <t>L40</t>
  </si>
  <si>
    <t>L54</t>
  </si>
  <si>
    <t>L11</t>
  </si>
  <si>
    <t>L26</t>
  </si>
  <si>
    <t>L41</t>
  </si>
  <si>
    <t>L55</t>
  </si>
  <si>
    <t>L12</t>
  </si>
  <si>
    <t>L27</t>
  </si>
  <si>
    <t>L42</t>
  </si>
  <si>
    <t>L56</t>
  </si>
  <si>
    <t>L13</t>
  </si>
  <si>
    <t>L28</t>
  </si>
  <si>
    <t>L43</t>
  </si>
  <si>
    <t>L57</t>
  </si>
  <si>
    <t>L14</t>
  </si>
  <si>
    <t>L29</t>
  </si>
  <si>
    <t>L44</t>
  </si>
  <si>
    <t>L58</t>
  </si>
  <si>
    <t>L15</t>
  </si>
  <si>
    <t>L30</t>
  </si>
  <si>
    <t>Promedio</t>
  </si>
  <si>
    <t>Imagen 12</t>
  </si>
  <si>
    <t>MEDICION DE DUREZA</t>
  </si>
  <si>
    <t>Imagen 13</t>
  </si>
  <si>
    <t>GRAFICA DE RESISTENCIA A LA TENSION</t>
  </si>
  <si>
    <t>6.6. ANÁLISIS PROPIEDADES MECÁNICAS</t>
  </si>
  <si>
    <t>REALIZADO POR</t>
  </si>
  <si>
    <t>REVISADO POR</t>
  </si>
  <si>
    <t>APROBADO POR</t>
  </si>
  <si>
    <t>FIRMA:</t>
  </si>
  <si>
    <t>NOMBRE:</t>
  </si>
  <si>
    <t>CARGO:</t>
  </si>
  <si>
    <t>FECHA: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</si>
</sst>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#.00&quot;pulg&quot;"/>
    <numFmt numFmtId="165" formatCode="###,###.00&quot;mm&quot;"/>
    <numFmt numFmtId="166" formatCode="###,###\ &quot;seg&quot;"/>
    <numFmt numFmtId="167" formatCode="##\ &quot;ml&quot;"/>
    <numFmt numFmtId="168" formatCode="##.###\ &quot;ml&quot;"/>
    <numFmt numFmtId="169" formatCode="0.000%"/>
  </numFmts>
  <fonts count="10">
    <font>
      <sz val="10.0"/>
      <color rgb="FF000000"/>
      <name val="Arial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u/>
      <sz val="26.0"/>
      <color theme="1"/>
      <name val="Calibri"/>
    </font>
    <font>
      <b/>
      <u/>
      <sz val="26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sz val="18.0"/>
      <color theme="1"/>
      <name val="Pacific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E7E6E6"/>
        <bgColor rgb="FFE7E6E6"/>
      </patternFill>
    </fill>
    <fill>
      <patternFill patternType="solid">
        <fgColor rgb="FFA1A1A1"/>
        <bgColor rgb="FFA1A1A1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/>
      <top/>
      <bottom/>
    </border>
    <border>
      <right style="medium">
        <color rgb="FF000000"/>
      </right>
    </border>
    <border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</border>
    <border>
      <left/>
      <right/>
      <top/>
    </border>
    <border>
      <left/>
      <top/>
    </border>
    <border>
      <left/>
      <right/>
      <bottom/>
    </border>
    <border>
      <left/>
      <bottom/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right/>
      <top/>
    </border>
    <border>
      <right/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left style="medium">
        <color rgb="FF000000"/>
      </left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medium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0" fillId="2" fontId="3" numFmtId="0" xfId="0" applyAlignment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3" numFmtId="0" xfId="0" applyAlignment="1" applyBorder="1" applyFont="1">
      <alignment horizontal="center" shrinkToFit="0" wrapText="1"/>
    </xf>
    <xf borderId="16" fillId="0" fontId="2" numFmtId="0" xfId="0" applyBorder="1" applyFont="1"/>
    <xf borderId="17" fillId="0" fontId="1" numFmtId="0" xfId="0" applyAlignment="1" applyBorder="1" applyFont="1">
      <alignment horizontal="center" readingOrder="0" shrinkToFit="0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3" fontId="3" numFmtId="0" xfId="0" applyAlignment="1" applyBorder="1" applyFont="1">
      <alignment horizontal="center" shrinkToFit="0" wrapText="1"/>
    </xf>
    <xf borderId="25" fillId="0" fontId="2" numFmtId="0" xfId="0" applyBorder="1" applyFont="1"/>
    <xf borderId="26" fillId="0" fontId="1" numFmtId="14" xfId="0" applyAlignment="1" applyBorder="1" applyFont="1" applyNumberFormat="1">
      <alignment horizontal="center" readingOrder="0" shrinkToFit="0" wrapText="1"/>
    </xf>
    <xf borderId="27" fillId="0" fontId="2" numFmtId="0" xfId="0" applyBorder="1" applyFont="1"/>
    <xf borderId="0" fillId="2" fontId="1" numFmtId="14" xfId="0" applyAlignment="1" applyFont="1" applyNumberFormat="1">
      <alignment horizontal="center" shrinkToFit="0" wrapText="1"/>
    </xf>
    <xf borderId="28" fillId="4" fontId="1" numFmtId="0" xfId="0" applyAlignment="1" applyBorder="1" applyFill="1" applyFont="1">
      <alignment horizontal="center" shrinkToFit="0" wrapText="1"/>
    </xf>
    <xf borderId="29" fillId="0" fontId="2" numFmtId="0" xfId="0" applyBorder="1" applyFont="1"/>
    <xf borderId="30" fillId="0" fontId="2" numFmtId="0" xfId="0" applyBorder="1" applyFont="1"/>
    <xf borderId="31" fillId="3" fontId="3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0" fillId="2" fontId="3" numFmtId="0" xfId="0" applyAlignment="1" applyFont="1">
      <alignment horizontal="center" shrinkToFit="0" vertical="center" wrapText="1"/>
    </xf>
    <xf borderId="34" fillId="4" fontId="1" numFmtId="0" xfId="0" applyAlignment="1" applyBorder="1" applyFont="1">
      <alignment horizontal="center" shrinkToFit="0" wrapText="1"/>
    </xf>
    <xf borderId="35" fillId="0" fontId="2" numFmtId="0" xfId="0" applyBorder="1" applyFont="1"/>
    <xf borderId="36" fillId="0" fontId="2" numFmtId="0" xfId="0" applyBorder="1" applyFont="1"/>
    <xf borderId="34" fillId="5" fontId="3" numFmtId="0" xfId="0" applyAlignment="1" applyBorder="1" applyFill="1" applyFont="1">
      <alignment horizontal="center" shrinkToFit="0" vertical="center" wrapText="1"/>
    </xf>
    <xf borderId="37" fillId="0" fontId="2" numFmtId="0" xfId="0" applyBorder="1" applyFont="1"/>
    <xf borderId="38" fillId="6" fontId="1" numFmtId="0" xfId="0" applyAlignment="1" applyBorder="1" applyFill="1" applyFont="1">
      <alignment horizontal="center" vertical="center"/>
    </xf>
    <xf borderId="38" fillId="5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38" fillId="7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4" xfId="0" applyAlignment="1" applyFont="1" applyNumberFormat="1">
      <alignment horizontal="center" shrinkToFit="0" vertical="center" wrapText="1"/>
    </xf>
    <xf borderId="39" fillId="0" fontId="2" numFmtId="0" xfId="0" applyBorder="1" applyFont="1"/>
    <xf borderId="0" fillId="2" fontId="4" numFmtId="14" xfId="0" applyAlignment="1" applyFont="1" applyNumberFormat="1">
      <alignment horizontal="center" shrinkToFit="0" vertical="center" wrapText="1"/>
    </xf>
    <xf borderId="34" fillId="7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35" fillId="7" fontId="3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40" fillId="0" fontId="4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38" fillId="2" fontId="3" numFmtId="0" xfId="0" applyAlignment="1" applyBorder="1" applyFont="1">
      <alignment horizontal="center" shrinkToFit="0" vertical="center" wrapText="1"/>
    </xf>
    <xf borderId="41" fillId="4" fontId="1" numFmtId="0" xfId="0" applyAlignment="1" applyBorder="1" applyFont="1">
      <alignment horizontal="center" shrinkToFit="0" wrapText="1"/>
    </xf>
    <xf borderId="42" fillId="0" fontId="2" numFmtId="0" xfId="0" applyBorder="1" applyFont="1"/>
    <xf borderId="43" fillId="0" fontId="2" numFmtId="0" xfId="0" applyBorder="1" applyFont="1"/>
    <xf borderId="10" fillId="4" fontId="1" numFmtId="0" xfId="0" applyAlignment="1" applyBorder="1" applyFont="1">
      <alignment horizontal="center" shrinkToFit="0" wrapText="1"/>
    </xf>
    <xf borderId="44" fillId="0" fontId="2" numFmtId="0" xfId="0" applyBorder="1" applyFont="1"/>
    <xf borderId="38" fillId="4" fontId="3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wrapText="1"/>
    </xf>
    <xf borderId="46" fillId="0" fontId="2" numFmtId="0" xfId="0" applyBorder="1" applyFont="1"/>
    <xf borderId="47" fillId="0" fontId="2" numFmtId="0" xfId="0" applyBorder="1" applyFont="1"/>
    <xf borderId="36" fillId="4" fontId="3" numFmtId="0" xfId="0" applyAlignment="1" applyBorder="1" applyFont="1">
      <alignment horizontal="center" shrinkToFit="0" vertical="center" wrapText="1"/>
    </xf>
    <xf borderId="48" fillId="4" fontId="3" numFmtId="0" xfId="0" applyAlignment="1" applyBorder="1" applyFont="1">
      <alignment horizontal="center" shrinkToFit="0" vertical="center" wrapText="1"/>
    </xf>
    <xf borderId="49" fillId="4" fontId="3" numFmtId="0" xfId="0" applyAlignment="1" applyBorder="1" applyFont="1">
      <alignment horizontal="center" shrinkToFit="0" vertical="center" wrapText="1"/>
    </xf>
    <xf borderId="49" fillId="4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34" fillId="7" fontId="3" numFmtId="0" xfId="0" applyAlignment="1" applyBorder="1" applyFont="1">
      <alignment horizontal="center" readingOrder="0" shrinkToFit="0" vertical="center" wrapText="1"/>
    </xf>
    <xf borderId="51" fillId="4" fontId="1" numFmtId="0" xfId="0" applyAlignment="1" applyBorder="1" applyFont="1">
      <alignment horizontal="center" shrinkToFit="0" vertical="center" wrapText="1"/>
    </xf>
    <xf borderId="51" fillId="4" fontId="3" numFmtId="0" xfId="0" applyAlignment="1" applyBorder="1" applyFont="1">
      <alignment horizontal="center" shrinkToFit="0" vertical="center" wrapText="1"/>
    </xf>
    <xf borderId="52" fillId="4" fontId="1" numFmtId="0" xfId="0" applyAlignment="1" applyBorder="1" applyFont="1">
      <alignment horizontal="center" shrinkToFit="0" vertical="center" wrapText="1"/>
    </xf>
    <xf borderId="35" fillId="4" fontId="3" numFmtId="0" xfId="0" applyAlignment="1" applyBorder="1" applyFont="1">
      <alignment horizontal="center" shrinkToFit="0" vertical="center" wrapText="1"/>
    </xf>
    <xf borderId="53" fillId="4" fontId="1" numFmtId="0" xfId="0" applyAlignment="1" applyBorder="1" applyFont="1">
      <alignment horizontal="center" shrinkToFit="0" vertical="center" wrapText="1"/>
    </xf>
    <xf borderId="53" fillId="4" fontId="3" numFmtId="0" xfId="0" applyAlignment="1" applyBorder="1" applyFont="1">
      <alignment horizontal="center" shrinkToFit="0" vertical="center" wrapText="1"/>
    </xf>
    <xf borderId="54" fillId="4" fontId="1" numFmtId="0" xfId="0" applyAlignment="1" applyBorder="1" applyFont="1">
      <alignment horizontal="center" shrinkToFit="0" vertical="center" wrapText="1"/>
    </xf>
    <xf borderId="38" fillId="6" fontId="3" numFmtId="0" xfId="0" applyAlignment="1" applyBorder="1" applyFont="1">
      <alignment horizontal="center" shrinkToFit="0" vertical="center" wrapText="1"/>
    </xf>
    <xf borderId="38" fillId="6" fontId="1" numFmtId="164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55" fillId="0" fontId="1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55" fillId="0" fontId="2" numFmtId="0" xfId="0" applyBorder="1" applyFont="1"/>
    <xf borderId="17" fillId="7" fontId="3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shrinkToFit="0" wrapText="1"/>
    </xf>
    <xf borderId="60" fillId="4" fontId="1" numFmtId="0" xfId="0" applyAlignment="1" applyBorder="1" applyFont="1">
      <alignment shrinkToFit="0" wrapText="1"/>
    </xf>
    <xf borderId="61" fillId="4" fontId="1" numFmtId="0" xfId="0" applyAlignment="1" applyBorder="1" applyFont="1">
      <alignment shrinkToFit="0" wrapText="1"/>
    </xf>
    <xf borderId="62" fillId="4" fontId="1" numFmtId="0" xfId="0" applyAlignment="1" applyBorder="1" applyFont="1">
      <alignment shrinkToFit="0" wrapText="1"/>
    </xf>
    <xf borderId="63" fillId="4" fontId="1" numFmtId="0" xfId="0" applyAlignment="1" applyBorder="1" applyFont="1">
      <alignment shrinkToFit="0" wrapText="1"/>
    </xf>
    <xf borderId="10" fillId="4" fontId="1" numFmtId="0" xfId="0" applyAlignment="1" applyBorder="1" applyFont="1">
      <alignment shrinkToFit="0" wrapText="1"/>
    </xf>
    <xf borderId="0" fillId="4" fontId="1" numFmtId="0" xfId="0" applyAlignment="1" applyFont="1">
      <alignment shrinkToFit="0" wrapText="1"/>
    </xf>
    <xf borderId="44" fillId="4" fontId="1" numFmtId="0" xfId="0" applyAlignment="1" applyBorder="1" applyFont="1">
      <alignment shrinkToFit="0" wrapText="1"/>
    </xf>
    <xf borderId="48" fillId="4" fontId="1" numFmtId="0" xfId="0" applyAlignment="1" applyBorder="1" applyFont="1">
      <alignment shrinkToFit="0" wrapText="1"/>
    </xf>
    <xf borderId="49" fillId="4" fontId="1" numFmtId="0" xfId="0" applyAlignment="1" applyBorder="1" applyFont="1">
      <alignment shrinkToFit="0" wrapText="1"/>
    </xf>
    <xf borderId="64" fillId="4" fontId="1" numFmtId="0" xfId="0" applyAlignment="1" applyBorder="1" applyFont="1">
      <alignment shrinkToFit="0" wrapText="1"/>
    </xf>
    <xf borderId="34" fillId="7" fontId="3" numFmtId="0" xfId="0" applyAlignment="1" applyBorder="1" applyFont="1">
      <alignment horizontal="center" shrinkToFit="0" wrapText="1"/>
    </xf>
    <xf borderId="34" fillId="7" fontId="3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1" numFmtId="1" xfId="0" applyAlignment="1" applyFont="1" applyNumberFormat="1">
      <alignment horizontal="center" shrinkToFit="0" vertical="center" wrapText="1"/>
    </xf>
    <xf borderId="38" fillId="7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55" fillId="4" fontId="1" numFmtId="0" xfId="0" applyAlignment="1" applyBorder="1" applyFont="1">
      <alignment shrinkToFit="0" wrapText="1"/>
    </xf>
    <xf borderId="39" fillId="4" fontId="1" numFmtId="0" xfId="0" applyAlignment="1" applyBorder="1" applyFont="1">
      <alignment shrinkToFit="0" wrapText="1"/>
    </xf>
    <xf borderId="0" fillId="2" fontId="5" numFmtId="0" xfId="0" applyAlignment="1" applyFont="1">
      <alignment horizontal="center" shrinkToFit="0" vertical="center" wrapText="1"/>
    </xf>
    <xf borderId="55" fillId="0" fontId="6" numFmtId="0" xfId="0" applyAlignment="1" applyBorder="1" applyFont="1">
      <alignment horizontal="center" shrinkToFit="0" vertical="center" wrapText="1"/>
    </xf>
    <xf borderId="31" fillId="5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38" fillId="6" fontId="1" numFmtId="0" xfId="0" applyAlignment="1" applyBorder="1" applyFont="1">
      <alignment shrinkToFit="0" vertical="center" wrapText="1"/>
    </xf>
    <xf borderId="52" fillId="7" fontId="3" numFmtId="0" xfId="0" applyAlignment="1" applyBorder="1" applyFont="1">
      <alignment horizontal="left" shrinkToFit="0" vertical="center" wrapText="1"/>
    </xf>
    <xf borderId="65" fillId="0" fontId="2" numFmtId="0" xfId="0" applyBorder="1" applyFont="1"/>
    <xf borderId="0" fillId="0" fontId="1" numFmtId="166" xfId="0" applyAlignment="1" applyFont="1" applyNumberFormat="1">
      <alignment horizontal="center" shrinkToFit="0" vertical="center" wrapText="1"/>
    </xf>
    <xf borderId="54" fillId="0" fontId="2" numFmtId="0" xfId="0" applyBorder="1" applyFont="1"/>
    <xf borderId="66" fillId="0" fontId="2" numFmtId="0" xfId="0" applyBorder="1" applyFont="1"/>
    <xf borderId="67" fillId="7" fontId="3" numFmtId="0" xfId="0" applyAlignment="1" applyBorder="1" applyFont="1">
      <alignment horizontal="center" shrinkToFit="0" vertical="center" wrapText="1"/>
    </xf>
    <xf borderId="17" fillId="7" fontId="1" numFmtId="0" xfId="0" applyAlignment="1" applyBorder="1" applyFont="1">
      <alignment horizontal="center" shrinkToFit="0" vertical="center" wrapText="1"/>
    </xf>
    <xf borderId="17" fillId="6" fontId="1" numFmtId="167" xfId="0" applyAlignment="1" applyBorder="1" applyFont="1" applyNumberFormat="1">
      <alignment horizontal="center" readingOrder="0" shrinkToFit="0" vertical="center" wrapText="1"/>
    </xf>
    <xf borderId="68" fillId="0" fontId="2" numFmtId="0" xfId="0" applyBorder="1" applyFont="1"/>
    <xf borderId="0" fillId="2" fontId="1" numFmtId="167" xfId="0" applyAlignment="1" applyFont="1" applyNumberFormat="1">
      <alignment horizontal="center" shrinkToFit="0" vertical="center" wrapText="1"/>
    </xf>
    <xf borderId="17" fillId="7" fontId="1" numFmtId="0" xfId="0" applyAlignment="1" applyBorder="1" applyFont="1">
      <alignment horizontal="center" readingOrder="0" shrinkToFit="0" vertical="center" wrapText="1"/>
    </xf>
    <xf borderId="17" fillId="6" fontId="1" numFmtId="0" xfId="0" applyAlignment="1" applyBorder="1" applyFont="1">
      <alignment horizontal="center" readingOrder="0" shrinkToFit="0" vertical="center" wrapText="1"/>
    </xf>
    <xf borderId="0" fillId="2" fontId="1" numFmtId="10" xfId="0" applyAlignment="1" applyFont="1" applyNumberFormat="1">
      <alignment horizontal="center" shrinkToFit="0" vertical="center" wrapText="1"/>
    </xf>
    <xf borderId="69" fillId="0" fontId="2" numFmtId="0" xfId="0" applyBorder="1" applyFont="1"/>
    <xf borderId="17" fillId="6" fontId="1" numFmtId="10" xfId="0" applyAlignment="1" applyBorder="1" applyFont="1" applyNumberFormat="1">
      <alignment horizontal="center" readingOrder="0" shrinkToFit="0" vertical="center" wrapText="1"/>
    </xf>
    <xf borderId="38" fillId="6" fontId="1" numFmtId="168" xfId="0" applyAlignment="1" applyBorder="1" applyFont="1" applyNumberFormat="1">
      <alignment horizontal="center" shrinkToFit="0" vertical="center" wrapText="1"/>
    </xf>
    <xf borderId="35" fillId="6" fontId="1" numFmtId="168" xfId="0" applyAlignment="1" applyBorder="1" applyFont="1" applyNumberFormat="1">
      <alignment horizontal="center" readingOrder="0" shrinkToFit="0" vertical="center" wrapText="1"/>
    </xf>
    <xf borderId="35" fillId="6" fontId="1" numFmtId="168" xfId="0" applyAlignment="1" applyBorder="1" applyFont="1" applyNumberFormat="1">
      <alignment horizontal="center" shrinkToFit="0" vertical="center" wrapText="1"/>
    </xf>
    <xf borderId="0" fillId="2" fontId="1" numFmtId="168" xfId="0" applyAlignment="1" applyFont="1" applyNumberFormat="1">
      <alignment horizontal="center" shrinkToFit="0" vertical="center" wrapText="1"/>
    </xf>
    <xf borderId="55" fillId="7" fontId="3" numFmtId="0" xfId="0" applyAlignment="1" applyBorder="1" applyFont="1">
      <alignment horizontal="center" shrinkToFit="0" vertical="center" wrapText="1"/>
    </xf>
    <xf borderId="70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shrinkToFit="0" wrapText="1"/>
    </xf>
    <xf borderId="70" fillId="7" fontId="3" numFmtId="0" xfId="0" applyAlignment="1" applyBorder="1" applyFont="1">
      <alignment horizontal="center" shrinkToFit="0" vertical="center" wrapText="1"/>
    </xf>
    <xf borderId="71" fillId="0" fontId="2" numFmtId="0" xfId="0" applyBorder="1" applyFont="1"/>
    <xf borderId="15" fillId="6" fontId="1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15" fillId="6" fontId="1" numFmtId="0" xfId="0" applyAlignment="1" applyBorder="1" applyFont="1">
      <alignment horizontal="center" readingOrder="0" shrinkToFit="0" vertical="center" wrapText="1"/>
    </xf>
    <xf borderId="72" fillId="7" fontId="3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74" fillId="7" fontId="3" numFmtId="0" xfId="0" applyAlignment="1" applyBorder="1" applyFont="1">
      <alignment horizontal="center" shrinkToFit="0" wrapText="1"/>
    </xf>
    <xf borderId="75" fillId="0" fontId="2" numFmtId="0" xfId="0" applyBorder="1" applyFont="1"/>
    <xf borderId="76" fillId="0" fontId="2" numFmtId="0" xfId="0" applyBorder="1" applyFont="1"/>
    <xf borderId="55" fillId="0" fontId="1" numFmtId="0" xfId="0" applyAlignment="1" applyBorder="1" applyFont="1">
      <alignment horizontal="center" shrinkToFit="0" wrapText="1"/>
    </xf>
    <xf borderId="50" fillId="0" fontId="1" numFmtId="0" xfId="0" applyAlignment="1" applyBorder="1" applyFont="1">
      <alignment horizontal="center" shrinkToFit="0" wrapText="1"/>
    </xf>
    <xf borderId="72" fillId="4" fontId="1" numFmtId="0" xfId="0" applyAlignment="1" applyBorder="1" applyFont="1">
      <alignment horizontal="center" shrinkToFit="0" wrapText="1"/>
    </xf>
    <xf borderId="77" fillId="0" fontId="2" numFmtId="0" xfId="0" applyBorder="1" applyFont="1"/>
    <xf borderId="31" fillId="3" fontId="3" numFmtId="0" xfId="0" applyAlignment="1" applyBorder="1" applyFont="1">
      <alignment horizontal="center" shrinkToFit="0" wrapText="1"/>
    </xf>
    <xf borderId="38" fillId="6" fontId="1" numFmtId="0" xfId="0" applyAlignment="1" applyBorder="1" applyFont="1">
      <alignment horizontal="center" shrinkToFit="0" vertical="center" wrapText="1"/>
    </xf>
    <xf borderId="38" fillId="2" fontId="7" numFmtId="0" xfId="0" applyAlignment="1" applyBorder="1" applyFont="1">
      <alignment horizontal="center"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0" fillId="2" fontId="1" numFmtId="14" xfId="0" applyAlignment="1" applyFont="1" applyNumberFormat="1">
      <alignment horizontal="center" shrinkToFit="0" vertical="center" wrapText="1"/>
    </xf>
    <xf borderId="15" fillId="7" fontId="3" numFmtId="0" xfId="0" applyAlignment="1" applyBorder="1" applyFont="1">
      <alignment horizontal="center" shrinkToFit="0" vertical="center" wrapText="1"/>
    </xf>
    <xf borderId="17" fillId="0" fontId="1" numFmtId="169" xfId="0" applyAlignment="1" applyBorder="1" applyFont="1" applyNumberFormat="1">
      <alignment horizontal="center" shrinkToFit="0" vertical="center" wrapText="1"/>
    </xf>
    <xf borderId="0" fillId="2" fontId="1" numFmtId="169" xfId="0" applyAlignment="1" applyFont="1" applyNumberFormat="1">
      <alignment horizontal="center" shrinkToFit="0" vertical="center" wrapText="1"/>
    </xf>
    <xf borderId="55" fillId="6" fontId="3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center" shrinkToFit="0" vertical="center" wrapText="1"/>
    </xf>
    <xf borderId="59" fillId="0" fontId="1" numFmtId="169" xfId="0" applyAlignment="1" applyBorder="1" applyFont="1" applyNumberFormat="1">
      <alignment horizontal="center" shrinkToFit="0" vertical="center" wrapText="1"/>
    </xf>
    <xf borderId="70" fillId="4" fontId="1" numFmtId="0" xfId="0" applyAlignment="1" applyBorder="1" applyFont="1">
      <alignment horizontal="center" shrinkToFit="0" wrapText="1"/>
    </xf>
    <xf borderId="78" fillId="4" fontId="3" numFmtId="0" xfId="0" applyAlignment="1" applyBorder="1" applyFont="1">
      <alignment horizontal="center" shrinkToFit="0" vertical="center" wrapText="1"/>
    </xf>
    <xf borderId="79" fillId="0" fontId="2" numFmtId="0" xfId="0" applyBorder="1" applyFont="1"/>
    <xf borderId="55" fillId="0" fontId="3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shrinkToFit="0" wrapText="1"/>
    </xf>
    <xf borderId="34" fillId="4" fontId="1" numFmtId="0" xfId="0" applyAlignment="1" applyBorder="1" applyFont="1">
      <alignment shrinkToFit="0" wrapText="1"/>
    </xf>
    <xf borderId="0" fillId="4" fontId="1" numFmtId="0" xfId="0" applyAlignment="1" applyFont="1">
      <alignment readingOrder="0" shrinkToFit="0" wrapText="1"/>
    </xf>
    <xf borderId="35" fillId="4" fontId="1" numFmtId="0" xfId="0" applyAlignment="1" applyBorder="1" applyFont="1">
      <alignment shrinkToFit="0" wrapText="1"/>
    </xf>
    <xf borderId="36" fillId="4" fontId="1" numFmtId="0" xfId="0" applyAlignment="1" applyBorder="1" applyFont="1">
      <alignment shrinkToFit="0" wrapText="1"/>
    </xf>
    <xf borderId="80" fillId="8" fontId="3" numFmtId="0" xfId="0" applyAlignment="1" applyBorder="1" applyFill="1" applyFont="1">
      <alignment horizontal="center" readingOrder="0" shrinkToFit="0" vertical="center" wrapText="1"/>
    </xf>
    <xf borderId="17" fillId="8" fontId="3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10" xfId="0" applyAlignment="1" applyBorder="1" applyFont="1" applyNumberForma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40" fillId="4" fontId="1" numFmtId="0" xfId="0" applyAlignment="1" applyBorder="1" applyFont="1">
      <alignment shrinkToFit="0" wrapText="1"/>
    </xf>
    <xf borderId="67" fillId="0" fontId="1" numFmtId="0" xfId="0" applyAlignment="1" applyBorder="1" applyFont="1">
      <alignment horizontal="center" shrinkToFit="0" wrapText="1"/>
    </xf>
    <xf borderId="81" fillId="0" fontId="2" numFmtId="0" xfId="0" applyBorder="1" applyFont="1"/>
    <xf borderId="82" fillId="7" fontId="3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84" fillId="0" fontId="2" numFmtId="0" xfId="0" applyBorder="1" applyFont="1"/>
    <xf borderId="24" fillId="6" fontId="1" numFmtId="0" xfId="0" applyAlignment="1" applyBorder="1" applyFont="1">
      <alignment horizontal="center" readingOrder="0" shrinkToFit="0" vertical="center" wrapText="1"/>
    </xf>
    <xf borderId="26" fillId="7" fontId="3" numFmtId="0" xfId="0" applyAlignment="1" applyBorder="1" applyFont="1">
      <alignment horizontal="center" shrinkToFit="0" vertical="center" wrapText="1"/>
    </xf>
    <xf borderId="85" fillId="0" fontId="2" numFmtId="0" xfId="0" applyBorder="1" applyFont="1"/>
    <xf borderId="31" fillId="7" fontId="3" numFmtId="0" xfId="0" applyAlignment="1" applyBorder="1" applyFont="1">
      <alignment horizontal="center" shrinkToFit="0" wrapText="1"/>
    </xf>
    <xf borderId="38" fillId="2" fontId="4" numFmtId="0" xfId="0" applyAlignment="1" applyBorder="1" applyFont="1">
      <alignment horizontal="center" shrinkToFit="0" vertical="center" wrapText="1"/>
    </xf>
    <xf borderId="38" fillId="6" fontId="1" numFmtId="14" xfId="0" applyAlignment="1" applyBorder="1" applyFont="1" applyNumberFormat="1">
      <alignment horizontal="center" shrinkToFit="0" vertical="center" wrapText="1"/>
    </xf>
    <xf borderId="0" fillId="0" fontId="1" numFmtId="20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86" fillId="8" fontId="8" numFmtId="0" xfId="0" applyAlignment="1" applyBorder="1" applyFont="1">
      <alignment horizontal="center" shrinkToFit="0" vertical="center" wrapText="1"/>
    </xf>
    <xf borderId="87" fillId="0" fontId="2" numFmtId="0" xfId="0" applyBorder="1" applyFont="1"/>
    <xf borderId="88" fillId="8" fontId="8" numFmtId="0" xfId="0" applyAlignment="1" applyBorder="1" applyFont="1">
      <alignment horizontal="center" shrinkToFit="0" vertical="center" wrapText="1"/>
    </xf>
    <xf borderId="89" fillId="0" fontId="2" numFmtId="0" xfId="0" applyBorder="1" applyFont="1"/>
    <xf borderId="38" fillId="4" fontId="1" numFmtId="0" xfId="0" applyAlignment="1" applyBorder="1" applyFont="1">
      <alignment shrinkToFit="0" wrapText="1"/>
    </xf>
    <xf borderId="37" fillId="4" fontId="1" numFmtId="0" xfId="0" applyAlignment="1" applyBorder="1" applyFont="1">
      <alignment shrinkToFit="0" wrapText="1"/>
    </xf>
    <xf borderId="70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70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82" fillId="0" fontId="8" numFmtId="0" xfId="0" applyAlignment="1" applyBorder="1" applyFont="1">
      <alignment horizontal="center" readingOrder="0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69" fillId="8" fontId="8" numFmtId="0" xfId="0" applyAlignment="1" applyBorder="1" applyFont="1">
      <alignment horizontal="center" shrinkToFit="0" vertical="center" wrapText="1"/>
    </xf>
    <xf borderId="57" fillId="0" fontId="8" numFmtId="1" xfId="0" applyAlignment="1" applyBorder="1" applyFont="1" applyNumberFormat="1">
      <alignment horizontal="center" readingOrder="0" shrinkToFit="0" vertical="center" wrapText="1"/>
    </xf>
    <xf borderId="56" fillId="0" fontId="8" numFmtId="0" xfId="0" applyAlignment="1" applyBorder="1" applyFont="1">
      <alignment horizontal="center" shrinkToFit="0" vertical="center" wrapText="1"/>
    </xf>
    <xf borderId="90" fillId="0" fontId="2" numFmtId="0" xfId="0" applyBorder="1" applyFont="1"/>
    <xf borderId="70" fillId="7" fontId="3" numFmtId="0" xfId="0" applyAlignment="1" applyBorder="1" applyFont="1">
      <alignment horizontal="center" readingOrder="0" shrinkToFit="0" vertical="center" wrapText="1"/>
    </xf>
    <xf borderId="17" fillId="7" fontId="3" numFmtId="0" xfId="0" applyAlignment="1" applyBorder="1" applyFont="1">
      <alignment horizontal="center" readingOrder="0" shrinkToFit="0" vertical="center" wrapText="1"/>
    </xf>
    <xf borderId="55" fillId="7" fontId="7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 readingOrder="0" vertical="bottom"/>
    </xf>
    <xf borderId="22" fillId="0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91" fillId="0" fontId="1" numFmtId="0" xfId="0" applyAlignment="1" applyBorder="1" applyFont="1">
      <alignment horizontal="center" shrinkToFit="0" wrapText="1"/>
    </xf>
    <xf borderId="92" fillId="0" fontId="2" numFmtId="0" xfId="0" applyBorder="1" applyFont="1"/>
    <xf borderId="93" fillId="0" fontId="2" numFmtId="0" xfId="0" applyBorder="1" applyFont="1"/>
    <xf borderId="12" fillId="3" fontId="3" numFmtId="0" xfId="0" applyAlignment="1" applyBorder="1" applyFont="1">
      <alignment horizontal="center" shrinkToFit="0" wrapText="1"/>
    </xf>
    <xf borderId="94" fillId="3" fontId="3" numFmtId="0" xfId="0" applyAlignment="1" applyBorder="1" applyFont="1">
      <alignment horizontal="center" shrinkToFit="0" wrapText="1"/>
    </xf>
    <xf borderId="95" fillId="0" fontId="2" numFmtId="0" xfId="0" applyBorder="1" applyFont="1"/>
    <xf borderId="96" fillId="3" fontId="3" numFmtId="0" xfId="0" applyAlignment="1" applyBorder="1" applyFont="1">
      <alignment horizontal="center" shrinkToFit="0" vertical="center" wrapText="1"/>
    </xf>
    <xf borderId="17" fillId="6" fontId="1" numFmtId="0" xfId="0" applyAlignment="1" applyBorder="1" applyFont="1">
      <alignment horizontal="center" shrinkToFit="0" wrapText="1"/>
    </xf>
    <xf borderId="17" fillId="0" fontId="9" numFmtId="0" xfId="0" applyAlignment="1" applyBorder="1" applyFon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97" fillId="3" fontId="3" numFmtId="0" xfId="0" applyAlignment="1" applyBorder="1" applyFont="1">
      <alignment horizontal="center" shrinkToFit="0" vertical="center" wrapText="1"/>
    </xf>
    <xf borderId="98" fillId="0" fontId="2" numFmtId="0" xfId="0" applyBorder="1" applyFont="1"/>
    <xf borderId="99" fillId="0" fontId="2" numFmtId="0" xfId="0" applyBorder="1" applyFont="1"/>
    <xf borderId="17" fillId="0" fontId="1" numFmtId="14" xfId="0" applyAlignment="1" applyBorder="1" applyFont="1" applyNumberFormat="1">
      <alignment horizontal="center" shrinkToFit="0" wrapText="1"/>
    </xf>
    <xf borderId="17" fillId="6" fontId="1" numFmtId="14" xfId="0" applyAlignment="1" applyBorder="1" applyFont="1" applyNumberForma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19050</xdr:rowOff>
    </xdr:from>
    <xdr:ext cx="1847850" cy="514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82</xdr:row>
      <xdr:rowOff>0</xdr:rowOff>
    </xdr:from>
    <xdr:ext cx="3200400" cy="26574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88</xdr:row>
      <xdr:rowOff>219075</xdr:rowOff>
    </xdr:from>
    <xdr:ext cx="2847975" cy="26574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97</xdr:row>
      <xdr:rowOff>38100</xdr:rowOff>
    </xdr:from>
    <xdr:ext cx="4876800" cy="36480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2" max="33" width="4.63"/>
    <col customWidth="1" min="34" max="34" width="1.63"/>
  </cols>
  <sheetData>
    <row r="1">
      <c r="A1" s="1"/>
      <c r="B1" s="2"/>
      <c r="C1" s="3"/>
      <c r="D1" s="3"/>
      <c r="E1" s="3"/>
      <c r="F1" s="3"/>
      <c r="G1" s="4"/>
      <c r="H1" s="5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8" t="s">
        <v>1</v>
      </c>
      <c r="AE1" s="9"/>
      <c r="AF1" s="9"/>
      <c r="AG1" s="10"/>
      <c r="AH1" s="11"/>
    </row>
    <row r="2">
      <c r="A2" s="1"/>
      <c r="B2" s="12"/>
      <c r="G2" s="13"/>
      <c r="H2" s="14" t="s">
        <v>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6"/>
      <c r="AD2" s="17" t="s">
        <v>3</v>
      </c>
      <c r="AE2" s="18"/>
      <c r="AF2" s="19">
        <v>6.0</v>
      </c>
      <c r="AG2" s="20"/>
      <c r="AH2" s="1"/>
    </row>
    <row r="3">
      <c r="A3" s="1"/>
      <c r="B3" s="21"/>
      <c r="C3" s="22"/>
      <c r="D3" s="22"/>
      <c r="E3" s="22"/>
      <c r="F3" s="22"/>
      <c r="G3" s="23"/>
      <c r="H3" s="24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5"/>
      <c r="AD3" s="26" t="s">
        <v>4</v>
      </c>
      <c r="AE3" s="27"/>
      <c r="AF3" s="28" t="s">
        <v>5</v>
      </c>
      <c r="AG3" s="29"/>
      <c r="AH3" s="30"/>
    </row>
    <row r="4" ht="6.0" customHeight="1">
      <c r="A4" s="1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  <c r="AH4" s="1"/>
    </row>
    <row r="5" ht="23.25" customHeight="1">
      <c r="A5" s="11"/>
      <c r="B5" s="34" t="s">
        <v>6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  <c r="AH5" s="37"/>
    </row>
    <row r="6" ht="6.0" customHeight="1">
      <c r="A6" s="1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  <c r="AH6" s="1"/>
    </row>
    <row r="7" ht="24.0" customHeight="1">
      <c r="A7" s="37"/>
      <c r="B7" s="41" t="s">
        <v>7</v>
      </c>
      <c r="C7" s="39"/>
      <c r="D7" s="42"/>
      <c r="E7" s="43"/>
      <c r="F7" s="39"/>
      <c r="G7" s="39"/>
      <c r="H7" s="39"/>
      <c r="I7" s="42"/>
      <c r="J7" s="44" t="s">
        <v>8</v>
      </c>
      <c r="K7" s="39"/>
      <c r="L7" s="42"/>
      <c r="M7" s="45"/>
      <c r="P7" s="46" t="s">
        <v>9</v>
      </c>
      <c r="Q7" s="42"/>
      <c r="R7" s="47"/>
      <c r="X7" s="46" t="s">
        <v>10</v>
      </c>
      <c r="Y7" s="42"/>
      <c r="Z7" s="47"/>
      <c r="AC7" s="46" t="s">
        <v>11</v>
      </c>
      <c r="AD7" s="42"/>
      <c r="AE7" s="48"/>
      <c r="AG7" s="49"/>
      <c r="AH7" s="50"/>
    </row>
    <row r="8" ht="6.0" customHeight="1">
      <c r="A8" s="1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40"/>
      <c r="AH8" s="1"/>
    </row>
    <row r="9" ht="24.0" customHeight="1">
      <c r="A9" s="37"/>
      <c r="B9" s="51" t="s">
        <v>12</v>
      </c>
      <c r="C9" s="39"/>
      <c r="D9" s="42"/>
      <c r="E9" s="52"/>
      <c r="J9" s="46" t="s">
        <v>13</v>
      </c>
      <c r="K9" s="39"/>
      <c r="L9" s="42"/>
      <c r="M9" s="53"/>
      <c r="R9" s="54" t="s">
        <v>14</v>
      </c>
      <c r="S9" s="39"/>
      <c r="T9" s="42"/>
      <c r="U9" s="52"/>
      <c r="Z9" s="46" t="s">
        <v>15</v>
      </c>
      <c r="AA9" s="39"/>
      <c r="AB9" s="42"/>
      <c r="AC9" s="47"/>
      <c r="AG9" s="49"/>
      <c r="AH9" s="55"/>
    </row>
    <row r="10" ht="6.0" customHeight="1">
      <c r="A10" s="1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40"/>
      <c r="AH10" s="1"/>
    </row>
    <row r="11" ht="24.0" customHeight="1">
      <c r="A11" s="37"/>
      <c r="B11" s="51" t="s">
        <v>16</v>
      </c>
      <c r="C11" s="39"/>
      <c r="D11" s="42"/>
      <c r="E11" s="56"/>
      <c r="F11" s="57"/>
      <c r="G11" s="57"/>
      <c r="H11" s="57"/>
      <c r="I11" s="57"/>
      <c r="J11" s="57"/>
      <c r="K11" s="57"/>
      <c r="L11" s="57"/>
      <c r="M11" s="57"/>
      <c r="N11" s="57"/>
      <c r="O11" s="46" t="s">
        <v>17</v>
      </c>
      <c r="P11" s="39"/>
      <c r="Q11" s="42"/>
      <c r="R11" s="58"/>
      <c r="S11" s="39"/>
      <c r="T11" s="39"/>
      <c r="U11" s="39"/>
      <c r="V11" s="39"/>
      <c r="W11" s="39"/>
      <c r="X11" s="39"/>
      <c r="Y11" s="39"/>
      <c r="Z11" s="46" t="s">
        <v>18</v>
      </c>
      <c r="AA11" s="39"/>
      <c r="AB11" s="39"/>
      <c r="AC11" s="47"/>
      <c r="AG11" s="49"/>
      <c r="AH11" s="55"/>
    </row>
    <row r="12" ht="6.0" customHeight="1">
      <c r="A12" s="1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1"/>
      <c r="AH12" s="1"/>
    </row>
    <row r="13" ht="6.0" customHeight="1">
      <c r="A13" s="1"/>
      <c r="B13" s="62"/>
      <c r="AG13" s="63"/>
      <c r="AH13" s="1"/>
    </row>
    <row r="14" ht="21.0" customHeight="1">
      <c r="A14" s="11"/>
      <c r="B14" s="34" t="s">
        <v>19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6"/>
      <c r="AH14" s="37"/>
    </row>
    <row r="15" ht="6.0" customHeight="1">
      <c r="A15" s="1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40"/>
      <c r="AH15" s="1"/>
    </row>
    <row r="16" ht="24.0" customHeight="1">
      <c r="A16" s="37"/>
      <c r="B16" s="51" t="s">
        <v>20</v>
      </c>
      <c r="C16" s="39"/>
      <c r="D16" s="39"/>
      <c r="E16" s="39"/>
      <c r="F16" s="42"/>
      <c r="G16" s="52"/>
      <c r="L16" s="64" t="s">
        <v>21</v>
      </c>
      <c r="M16" s="42"/>
      <c r="N16" s="52"/>
      <c r="Q16" s="64"/>
      <c r="R16" s="65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7"/>
      <c r="AG16" s="68"/>
      <c r="AH16" s="37"/>
    </row>
    <row r="17" ht="6.0" customHeight="1">
      <c r="A17" s="37"/>
      <c r="B17" s="69"/>
      <c r="C17" s="70"/>
      <c r="D17" s="70"/>
      <c r="E17" s="70"/>
      <c r="F17" s="70"/>
      <c r="G17" s="71"/>
      <c r="H17" s="71"/>
      <c r="I17" s="71"/>
      <c r="J17" s="71"/>
      <c r="K17" s="71"/>
      <c r="L17" s="70"/>
      <c r="M17" s="70"/>
      <c r="N17" s="71"/>
      <c r="O17" s="71"/>
      <c r="P17" s="72"/>
      <c r="Q17" s="64"/>
      <c r="R17" s="73"/>
      <c r="AF17" s="13"/>
      <c r="AG17" s="68"/>
      <c r="AH17" s="37"/>
    </row>
    <row r="18" ht="24.0" customHeight="1">
      <c r="A18" s="37"/>
      <c r="B18" s="74" t="s">
        <v>22</v>
      </c>
      <c r="C18" s="39"/>
      <c r="D18" s="39"/>
      <c r="E18" s="39"/>
      <c r="F18" s="42"/>
      <c r="G18" s="52"/>
      <c r="Q18" s="64"/>
      <c r="R18" s="73"/>
      <c r="AF18" s="13"/>
      <c r="AG18" s="68"/>
      <c r="AH18" s="37"/>
    </row>
    <row r="19" ht="6.0" customHeight="1">
      <c r="A19" s="37"/>
      <c r="B19" s="69"/>
      <c r="C19" s="70"/>
      <c r="D19" s="70"/>
      <c r="E19" s="70"/>
      <c r="F19" s="70"/>
      <c r="G19" s="71"/>
      <c r="H19" s="71"/>
      <c r="I19" s="71"/>
      <c r="J19" s="71"/>
      <c r="K19" s="71"/>
      <c r="L19" s="70"/>
      <c r="M19" s="70"/>
      <c r="N19" s="71"/>
      <c r="O19" s="71"/>
      <c r="P19" s="72"/>
      <c r="Q19" s="64"/>
      <c r="R19" s="73"/>
      <c r="AF19" s="13"/>
      <c r="AG19" s="68"/>
      <c r="AH19" s="37"/>
    </row>
    <row r="20" ht="24.0" customHeight="1">
      <c r="A20" s="37"/>
      <c r="B20" s="51" t="s">
        <v>23</v>
      </c>
      <c r="C20" s="39"/>
      <c r="D20" s="39"/>
      <c r="E20" s="39"/>
      <c r="F20" s="42"/>
      <c r="G20" s="52"/>
      <c r="J20" s="64" t="s">
        <v>24</v>
      </c>
      <c r="K20" s="39"/>
      <c r="L20" s="42"/>
      <c r="M20" s="52"/>
      <c r="Q20" s="64"/>
      <c r="R20" s="73"/>
      <c r="AF20" s="13"/>
      <c r="AG20" s="68"/>
      <c r="AH20" s="37"/>
    </row>
    <row r="21" ht="6.0" customHeight="1">
      <c r="A21" s="37"/>
      <c r="B21" s="69"/>
      <c r="C21" s="70"/>
      <c r="D21" s="70"/>
      <c r="E21" s="70"/>
      <c r="F21" s="70"/>
      <c r="G21" s="75"/>
      <c r="H21" s="75"/>
      <c r="I21" s="75"/>
      <c r="J21" s="75"/>
      <c r="K21" s="75"/>
      <c r="L21" s="76"/>
      <c r="M21" s="76"/>
      <c r="N21" s="75"/>
      <c r="O21" s="75"/>
      <c r="P21" s="77"/>
      <c r="Q21" s="64"/>
      <c r="R21" s="73"/>
      <c r="AF21" s="13"/>
      <c r="AG21" s="68"/>
      <c r="AH21" s="37"/>
    </row>
    <row r="22" ht="24.0" customHeight="1">
      <c r="A22" s="37"/>
      <c r="B22" s="51" t="s">
        <v>25</v>
      </c>
      <c r="C22" s="39"/>
      <c r="D22" s="39"/>
      <c r="E22" s="39"/>
      <c r="F22" s="42"/>
      <c r="G22" s="47"/>
      <c r="Q22" s="78"/>
      <c r="R22" s="73"/>
      <c r="AF22" s="13"/>
      <c r="AG22" s="68"/>
      <c r="AH22" s="37"/>
    </row>
    <row r="23" ht="6.0" customHeight="1">
      <c r="A23" s="37"/>
      <c r="B23" s="69"/>
      <c r="C23" s="70"/>
      <c r="D23" s="70"/>
      <c r="E23" s="70"/>
      <c r="F23" s="70"/>
      <c r="G23" s="79"/>
      <c r="H23" s="79"/>
      <c r="I23" s="79"/>
      <c r="J23" s="79"/>
      <c r="K23" s="79"/>
      <c r="L23" s="80"/>
      <c r="M23" s="80"/>
      <c r="N23" s="79"/>
      <c r="O23" s="79"/>
      <c r="P23" s="81"/>
      <c r="Q23" s="64"/>
      <c r="R23" s="73"/>
      <c r="AF23" s="13"/>
      <c r="AG23" s="68"/>
      <c r="AH23" s="37"/>
    </row>
    <row r="24" ht="31.5" customHeight="1">
      <c r="A24" s="37"/>
      <c r="B24" s="74" t="s">
        <v>26</v>
      </c>
      <c r="C24" s="39"/>
      <c r="D24" s="39"/>
      <c r="E24" s="39"/>
      <c r="F24" s="42"/>
      <c r="G24" s="82"/>
      <c r="H24" s="39"/>
      <c r="I24" s="39"/>
      <c r="J24" s="39"/>
      <c r="K24" s="39"/>
      <c r="L24" s="39"/>
      <c r="M24" s="39"/>
      <c r="N24" s="39"/>
      <c r="O24" s="39"/>
      <c r="P24" s="42"/>
      <c r="Q24" s="64"/>
      <c r="R24" s="73"/>
      <c r="AF24" s="13"/>
      <c r="AG24" s="68"/>
      <c r="AH24" s="37"/>
    </row>
    <row r="25" ht="6.0" customHeight="1">
      <c r="A25" s="37"/>
      <c r="B25" s="69"/>
      <c r="C25" s="70"/>
      <c r="D25" s="70"/>
      <c r="E25" s="70"/>
      <c r="F25" s="70"/>
      <c r="G25" s="71"/>
      <c r="H25" s="71"/>
      <c r="I25" s="71"/>
      <c r="J25" s="71"/>
      <c r="K25" s="71"/>
      <c r="L25" s="70"/>
      <c r="M25" s="70"/>
      <c r="N25" s="71"/>
      <c r="O25" s="71"/>
      <c r="P25" s="72"/>
      <c r="Q25" s="64"/>
      <c r="R25" s="73"/>
      <c r="AF25" s="13"/>
      <c r="AG25" s="68"/>
      <c r="AH25" s="37"/>
    </row>
    <row r="26" ht="24.0" customHeight="1">
      <c r="A26" s="37"/>
      <c r="B26" s="51" t="s">
        <v>27</v>
      </c>
      <c r="C26" s="39"/>
      <c r="D26" s="39"/>
      <c r="E26" s="39"/>
      <c r="F26" s="42"/>
      <c r="G26" s="52"/>
      <c r="I26" s="64" t="s">
        <v>28</v>
      </c>
      <c r="J26" s="39"/>
      <c r="K26" s="39"/>
      <c r="L26" s="42"/>
      <c r="M26" s="83"/>
      <c r="N26" s="42"/>
      <c r="O26" s="84" t="str">
        <f>IF(M26="","",(M26*25.4))</f>
        <v/>
      </c>
      <c r="Q26" s="64"/>
      <c r="R26" s="73"/>
      <c r="AF26" s="13"/>
      <c r="AG26" s="68"/>
      <c r="AH26" s="37"/>
    </row>
    <row r="27" ht="6.0" customHeight="1">
      <c r="A27" s="37"/>
      <c r="B27" s="69"/>
      <c r="C27" s="70"/>
      <c r="D27" s="70"/>
      <c r="E27" s="70"/>
      <c r="F27" s="70"/>
      <c r="G27" s="71"/>
      <c r="H27" s="71"/>
      <c r="I27" s="71"/>
      <c r="J27" s="71"/>
      <c r="K27" s="71"/>
      <c r="L27" s="70"/>
      <c r="M27" s="70"/>
      <c r="N27" s="71"/>
      <c r="O27" s="71"/>
      <c r="P27" s="72"/>
      <c r="Q27" s="64"/>
      <c r="R27" s="73"/>
      <c r="AF27" s="13"/>
      <c r="AG27" s="68"/>
      <c r="AH27" s="37"/>
    </row>
    <row r="28" ht="24.0" customHeight="1">
      <c r="A28" s="37"/>
      <c r="B28" s="51" t="s">
        <v>29</v>
      </c>
      <c r="C28" s="39"/>
      <c r="D28" s="39"/>
      <c r="E28" s="39"/>
      <c r="F28" s="42"/>
      <c r="G28" s="85"/>
      <c r="Q28" s="64"/>
      <c r="R28" s="73"/>
      <c r="AF28" s="13"/>
      <c r="AG28" s="68"/>
      <c r="AH28" s="37"/>
    </row>
    <row r="29" ht="6.0" customHeight="1">
      <c r="A29" s="37"/>
      <c r="B29" s="69"/>
      <c r="C29" s="70"/>
      <c r="D29" s="70"/>
      <c r="E29" s="70"/>
      <c r="F29" s="70"/>
      <c r="G29" s="71"/>
      <c r="H29" s="71"/>
      <c r="I29" s="71"/>
      <c r="J29" s="71"/>
      <c r="K29" s="71"/>
      <c r="L29" s="71"/>
      <c r="M29" s="71"/>
      <c r="N29" s="71"/>
      <c r="O29" s="71"/>
      <c r="P29" s="72"/>
      <c r="Q29" s="64"/>
      <c r="R29" s="73"/>
      <c r="AF29" s="13"/>
      <c r="AG29" s="68"/>
      <c r="AH29" s="37"/>
    </row>
    <row r="30" ht="24.0" customHeight="1">
      <c r="A30" s="37"/>
      <c r="B30" s="51" t="s">
        <v>30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2"/>
      <c r="Q30" s="64"/>
      <c r="R30" s="73"/>
      <c r="AF30" s="13"/>
      <c r="AG30" s="68"/>
      <c r="AH30" s="37"/>
    </row>
    <row r="31" ht="24.0" customHeight="1">
      <c r="A31" s="86"/>
      <c r="B31" s="87"/>
      <c r="Q31" s="64"/>
      <c r="R31" s="88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90"/>
      <c r="AG31" s="68"/>
      <c r="AH31" s="37"/>
    </row>
    <row r="32" ht="24.0" customHeight="1">
      <c r="A32" s="86"/>
      <c r="B32" s="91"/>
      <c r="Q32" s="64"/>
      <c r="R32" s="92" t="s">
        <v>31</v>
      </c>
      <c r="S32" s="93"/>
      <c r="T32" s="18"/>
      <c r="U32" s="94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18"/>
      <c r="AG32" s="68"/>
      <c r="AH32" s="37"/>
    </row>
    <row r="33" ht="8.25" customHeight="1">
      <c r="A33" s="95"/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9"/>
      <c r="AH33" s="95"/>
    </row>
    <row r="34" ht="8.25" customHeight="1">
      <c r="A34" s="95"/>
      <c r="B34" s="100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2"/>
      <c r="AH34" s="95"/>
    </row>
    <row r="35" ht="21.75" customHeight="1">
      <c r="A35" s="37"/>
      <c r="B35" s="34" t="s">
        <v>32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6"/>
      <c r="AH35" s="37"/>
    </row>
    <row r="36" ht="6.0" customHeight="1">
      <c r="A36" s="95"/>
      <c r="B36" s="103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5"/>
      <c r="AH36" s="95"/>
    </row>
    <row r="37">
      <c r="A37" s="11"/>
      <c r="B37" s="106" t="s">
        <v>33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40"/>
      <c r="AH37" s="11"/>
    </row>
    <row r="38" ht="6.0" customHeight="1">
      <c r="A38" s="95"/>
      <c r="B38" s="103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5"/>
      <c r="AH38" s="95"/>
    </row>
    <row r="39" ht="24.0" customHeight="1">
      <c r="A39" s="37"/>
      <c r="B39" s="51" t="s">
        <v>34</v>
      </c>
      <c r="C39" s="39"/>
      <c r="D39" s="39"/>
      <c r="E39" s="39"/>
      <c r="F39" s="42"/>
      <c r="G39" s="52" t="str">
        <f>L103</f>
        <v/>
      </c>
      <c r="R39" s="46" t="s">
        <v>35</v>
      </c>
      <c r="S39" s="39"/>
      <c r="T39" s="39"/>
      <c r="U39" s="39"/>
      <c r="V39" s="42"/>
      <c r="W39" s="52" t="str">
        <f>F101</f>
        <v/>
      </c>
      <c r="AG39" s="49"/>
      <c r="AH39" s="86"/>
    </row>
    <row r="40" ht="6.0" customHeight="1">
      <c r="A40" s="95"/>
      <c r="B40" s="103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5"/>
      <c r="AH40" s="95"/>
    </row>
    <row r="41">
      <c r="A41" s="11"/>
      <c r="B41" s="107" t="s">
        <v>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40"/>
      <c r="AH41" s="108"/>
    </row>
    <row r="42" ht="6.0" customHeight="1">
      <c r="A42" s="95"/>
      <c r="B42" s="103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5"/>
      <c r="AH42" s="95"/>
    </row>
    <row r="43" ht="36.0" customHeight="1">
      <c r="A43" s="37"/>
      <c r="B43" s="74" t="s">
        <v>37</v>
      </c>
      <c r="C43" s="39"/>
      <c r="D43" s="39"/>
      <c r="E43" s="39"/>
      <c r="F43" s="42"/>
      <c r="G43" s="109" t="str">
        <f>AB198</f>
        <v/>
      </c>
      <c r="R43" s="110" t="s">
        <v>38</v>
      </c>
      <c r="S43" s="39"/>
      <c r="T43" s="39"/>
      <c r="U43" s="39"/>
      <c r="V43" s="42"/>
      <c r="W43" s="52" t="str">
        <f>AD198</f>
        <v/>
      </c>
      <c r="AG43" s="49"/>
      <c r="AH43" s="86"/>
    </row>
    <row r="44" ht="9.0" customHeight="1">
      <c r="A44" s="95"/>
      <c r="B44" s="103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5"/>
      <c r="AH44" s="95"/>
    </row>
    <row r="45" ht="15.75" customHeight="1">
      <c r="A45" s="95"/>
      <c r="B45" s="74" t="s">
        <v>39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40"/>
      <c r="AH45" s="111"/>
    </row>
    <row r="46" ht="9.0" customHeight="1">
      <c r="A46" s="95"/>
      <c r="B46" s="112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13"/>
      <c r="AH46" s="95"/>
    </row>
    <row r="47" ht="29.25" customHeight="1">
      <c r="A47" s="114"/>
      <c r="B47" s="115"/>
      <c r="AG47" s="49"/>
      <c r="AH47" s="114"/>
    </row>
    <row r="48" ht="6.0" customHeight="1">
      <c r="A48" s="95"/>
      <c r="B48" s="96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9"/>
      <c r="AH48" s="95"/>
    </row>
    <row r="49" ht="6.0" customHeight="1">
      <c r="A49" s="95"/>
      <c r="B49" s="100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2"/>
      <c r="AH49" s="95"/>
    </row>
    <row r="50">
      <c r="A50" s="95"/>
      <c r="B50" s="116" t="s">
        <v>40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6"/>
      <c r="AH50" s="11"/>
    </row>
    <row r="51">
      <c r="A51" s="95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40"/>
      <c r="AH51" s="1"/>
    </row>
    <row r="52">
      <c r="A52" s="95"/>
      <c r="B52" s="106" t="s">
        <v>41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40"/>
      <c r="AH52" s="11"/>
    </row>
    <row r="53">
      <c r="A53" s="95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40"/>
      <c r="AH53" s="1"/>
    </row>
    <row r="54">
      <c r="A54" s="95"/>
      <c r="B54" s="51" t="s">
        <v>42</v>
      </c>
      <c r="C54" s="39"/>
      <c r="D54" s="39"/>
      <c r="E54" s="39"/>
      <c r="F54" s="42"/>
      <c r="G54" s="43"/>
      <c r="H54" s="39"/>
      <c r="I54" s="39"/>
      <c r="J54" s="39"/>
      <c r="K54" s="42"/>
      <c r="L54" s="46" t="s">
        <v>43</v>
      </c>
      <c r="M54" s="39"/>
      <c r="N54" s="39"/>
      <c r="O54" s="39"/>
      <c r="P54" s="42"/>
      <c r="Q54" s="43"/>
      <c r="R54" s="39"/>
      <c r="S54" s="39"/>
      <c r="T54" s="39"/>
      <c r="U54" s="39"/>
      <c r="V54" s="42"/>
      <c r="W54" s="46" t="s">
        <v>44</v>
      </c>
      <c r="X54" s="39"/>
      <c r="Y54" s="39"/>
      <c r="Z54" s="39"/>
      <c r="AA54" s="39"/>
      <c r="AB54" s="42"/>
      <c r="AC54" s="52"/>
      <c r="AG54" s="49"/>
      <c r="AH54" s="86"/>
    </row>
    <row r="55">
      <c r="A55" s="95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40"/>
      <c r="AH55" s="1"/>
    </row>
    <row r="56">
      <c r="A56" s="95"/>
      <c r="B56" s="106" t="s">
        <v>45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40"/>
      <c r="AH56" s="11"/>
    </row>
    <row r="57">
      <c r="A57" s="95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40"/>
      <c r="AH57" s="1"/>
    </row>
    <row r="58">
      <c r="A58" s="95"/>
      <c r="B58" s="51" t="s">
        <v>46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42"/>
      <c r="R58" s="46" t="s">
        <v>47</v>
      </c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40"/>
      <c r="AH58" s="37"/>
    </row>
    <row r="59">
      <c r="A59" s="95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40"/>
      <c r="AH59" s="1"/>
    </row>
    <row r="60">
      <c r="A60" s="95"/>
      <c r="B60" s="51" t="s">
        <v>48</v>
      </c>
      <c r="C60" s="39"/>
      <c r="D60" s="39"/>
      <c r="E60" s="42"/>
      <c r="F60" s="117"/>
      <c r="I60" s="13"/>
      <c r="J60" s="46" t="s">
        <v>49</v>
      </c>
      <c r="K60" s="39"/>
      <c r="L60" s="42"/>
      <c r="M60" s="117"/>
      <c r="Q60" s="13"/>
      <c r="R60" s="46" t="s">
        <v>50</v>
      </c>
      <c r="S60" s="39"/>
      <c r="T60" s="39"/>
      <c r="U60" s="42"/>
      <c r="V60" s="52"/>
      <c r="Y60" s="13"/>
      <c r="Z60" s="46" t="s">
        <v>51</v>
      </c>
      <c r="AA60" s="39"/>
      <c r="AB60" s="42"/>
      <c r="AC60" s="117"/>
      <c r="AG60" s="49"/>
      <c r="AH60" s="118"/>
    </row>
    <row r="61">
      <c r="A61" s="95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40"/>
      <c r="AH61" s="1"/>
    </row>
    <row r="62">
      <c r="A62" s="95"/>
      <c r="B62" s="51" t="s">
        <v>51</v>
      </c>
      <c r="C62" s="39"/>
      <c r="D62" s="39"/>
      <c r="E62" s="42"/>
      <c r="F62" s="117"/>
      <c r="I62" s="13"/>
      <c r="J62" s="46" t="s">
        <v>52</v>
      </c>
      <c r="K62" s="39"/>
      <c r="L62" s="42"/>
      <c r="M62" s="117"/>
      <c r="Q62" s="13"/>
      <c r="R62" s="46" t="s">
        <v>52</v>
      </c>
      <c r="S62" s="39"/>
      <c r="T62" s="39"/>
      <c r="U62" s="42"/>
      <c r="V62" s="52"/>
      <c r="Y62" s="13"/>
      <c r="Z62" s="46" t="s">
        <v>53</v>
      </c>
      <c r="AA62" s="39"/>
      <c r="AB62" s="42"/>
      <c r="AC62" s="117"/>
      <c r="AG62" s="49"/>
      <c r="AH62" s="118"/>
    </row>
    <row r="63">
      <c r="A63" s="95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40"/>
      <c r="AH63" s="1"/>
    </row>
    <row r="64">
      <c r="A64" s="95"/>
      <c r="B64" s="51" t="s">
        <v>54</v>
      </c>
      <c r="C64" s="39"/>
      <c r="D64" s="39"/>
      <c r="E64" s="42"/>
      <c r="F64" s="11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42"/>
      <c r="AH64" s="86"/>
    </row>
    <row r="65">
      <c r="A65" s="95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40"/>
      <c r="AH65" s="1"/>
    </row>
    <row r="66">
      <c r="A66" s="95"/>
      <c r="B66" s="106" t="s">
        <v>55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40"/>
      <c r="AH66" s="11"/>
    </row>
    <row r="67">
      <c r="A67" s="95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40"/>
      <c r="AH67" s="1"/>
    </row>
    <row r="68">
      <c r="A68" s="95"/>
      <c r="B68" s="51" t="s">
        <v>56</v>
      </c>
      <c r="C68" s="39"/>
      <c r="D68" s="39"/>
      <c r="E68" s="39"/>
      <c r="F68" s="39"/>
      <c r="G68" s="39"/>
      <c r="H68" s="39"/>
      <c r="I68" s="42"/>
      <c r="J68" s="117"/>
      <c r="S68" s="13"/>
      <c r="T68" s="120" t="s">
        <v>57</v>
      </c>
      <c r="U68" s="32"/>
      <c r="V68" s="32"/>
      <c r="W68" s="32"/>
      <c r="X68" s="32"/>
      <c r="Y68" s="32"/>
      <c r="Z68" s="32"/>
      <c r="AA68" s="121"/>
      <c r="AB68" s="52"/>
      <c r="AG68" s="49"/>
      <c r="AH68" s="86"/>
    </row>
    <row r="69" ht="28.5" customHeight="1">
      <c r="A69" s="95"/>
      <c r="B69" s="51" t="s">
        <v>58</v>
      </c>
      <c r="C69" s="39"/>
      <c r="D69" s="39"/>
      <c r="E69" s="39"/>
      <c r="F69" s="39"/>
      <c r="G69" s="39"/>
      <c r="H69" s="39"/>
      <c r="I69" s="42"/>
      <c r="J69" s="122"/>
      <c r="T69" s="123"/>
      <c r="U69" s="57"/>
      <c r="V69" s="57"/>
      <c r="W69" s="57"/>
      <c r="X69" s="57"/>
      <c r="Y69" s="57"/>
      <c r="Z69" s="57"/>
      <c r="AA69" s="124"/>
      <c r="AG69" s="49"/>
      <c r="AH69" s="86"/>
    </row>
    <row r="70">
      <c r="A70" s="95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40"/>
      <c r="AH70" s="1"/>
    </row>
    <row r="71">
      <c r="A71" s="95"/>
      <c r="B71" s="51" t="s">
        <v>59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40"/>
      <c r="AH71" s="37"/>
    </row>
    <row r="72">
      <c r="A72" s="95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40"/>
      <c r="AH72" s="1"/>
    </row>
    <row r="73">
      <c r="A73" s="95"/>
      <c r="B73" s="125" t="s">
        <v>60</v>
      </c>
      <c r="C73" s="66"/>
      <c r="D73" s="66"/>
      <c r="E73" s="66"/>
      <c r="F73" s="66"/>
      <c r="G73" s="66"/>
      <c r="H73" s="66"/>
      <c r="I73" s="66"/>
      <c r="J73" s="67"/>
      <c r="K73" s="126" t="s">
        <v>61</v>
      </c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18"/>
      <c r="AB73" s="127">
        <v>50.0</v>
      </c>
      <c r="AC73" s="93"/>
      <c r="AD73" s="93"/>
      <c r="AE73" s="93"/>
      <c r="AF73" s="93"/>
      <c r="AG73" s="128"/>
      <c r="AH73" s="129"/>
    </row>
    <row r="74">
      <c r="A74" s="95"/>
      <c r="B74" s="91"/>
      <c r="J74" s="13"/>
      <c r="K74" s="130" t="s">
        <v>62</v>
      </c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18"/>
      <c r="AB74" s="131">
        <v>0.65</v>
      </c>
      <c r="AC74" s="93"/>
      <c r="AD74" s="93"/>
      <c r="AE74" s="93"/>
      <c r="AF74" s="93"/>
      <c r="AG74" s="128"/>
      <c r="AH74" s="132"/>
    </row>
    <row r="75" ht="27.0" customHeight="1">
      <c r="A75" s="95"/>
      <c r="B75" s="133"/>
      <c r="C75" s="89"/>
      <c r="D75" s="89"/>
      <c r="E75" s="89"/>
      <c r="F75" s="89"/>
      <c r="G75" s="89"/>
      <c r="H75" s="89"/>
      <c r="I75" s="89"/>
      <c r="J75" s="90"/>
      <c r="K75" s="126" t="s">
        <v>63</v>
      </c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18"/>
      <c r="AB75" s="134">
        <v>0.05</v>
      </c>
      <c r="AC75" s="93"/>
      <c r="AD75" s="93"/>
      <c r="AE75" s="93"/>
      <c r="AF75" s="93"/>
      <c r="AG75" s="128"/>
      <c r="AH75" s="132"/>
    </row>
    <row r="76">
      <c r="A76" s="95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40"/>
      <c r="AH76" s="1"/>
    </row>
    <row r="77">
      <c r="A77" s="95"/>
      <c r="B77" s="51" t="s">
        <v>64</v>
      </c>
      <c r="C77" s="39"/>
      <c r="D77" s="39"/>
      <c r="E77" s="39"/>
      <c r="F77" s="39"/>
      <c r="G77" s="39"/>
      <c r="H77" s="39"/>
      <c r="I77" s="39"/>
      <c r="J77" s="39"/>
      <c r="K77" s="42"/>
      <c r="L77" s="135">
        <f>IF(AB73="","",(AB73*AB75)/AB74)</f>
        <v>3.846153846</v>
      </c>
      <c r="M77" s="39"/>
      <c r="N77" s="39"/>
      <c r="O77" s="39"/>
      <c r="P77" s="39"/>
      <c r="Q77" s="136" t="s">
        <v>65</v>
      </c>
      <c r="R77" s="39"/>
      <c r="S77" s="39"/>
      <c r="T77" s="39"/>
      <c r="U77" s="39"/>
      <c r="V77" s="137">
        <f>IF(AB73="","",(AB73-L77))</f>
        <v>46.15384615</v>
      </c>
      <c r="W77" s="39"/>
      <c r="X77" s="39"/>
      <c r="Y77" s="39"/>
      <c r="Z77" s="39"/>
      <c r="AA77" s="39"/>
      <c r="AB77" s="136" t="s">
        <v>66</v>
      </c>
      <c r="AC77" s="39"/>
      <c r="AD77" s="39"/>
      <c r="AE77" s="39"/>
      <c r="AF77" s="39"/>
      <c r="AG77" s="40"/>
      <c r="AH77" s="138"/>
    </row>
    <row r="78">
      <c r="A78" s="95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40"/>
      <c r="AH78" s="1"/>
    </row>
    <row r="79">
      <c r="A79" s="95"/>
      <c r="B79" s="139" t="s">
        <v>67</v>
      </c>
      <c r="L79" s="37"/>
      <c r="AG79" s="49"/>
      <c r="AH79" s="37"/>
    </row>
    <row r="80">
      <c r="A80" s="95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40"/>
      <c r="AH80" s="1"/>
    </row>
    <row r="81">
      <c r="A81" s="95"/>
      <c r="B81" s="106" t="s">
        <v>68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40"/>
      <c r="AH81" s="11"/>
    </row>
    <row r="82">
      <c r="A82" s="95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40"/>
      <c r="AH82" s="1"/>
    </row>
    <row r="83" ht="215.25" customHeight="1">
      <c r="A83" s="95"/>
      <c r="B83" s="140"/>
      <c r="C83" s="93"/>
      <c r="D83" s="93"/>
      <c r="E83" s="93"/>
      <c r="F83" s="93"/>
      <c r="G83" s="93"/>
      <c r="H83" s="93"/>
      <c r="I83" s="93"/>
      <c r="J83" s="93"/>
      <c r="K83" s="93"/>
      <c r="L83" s="18"/>
      <c r="M83" s="141"/>
      <c r="N83" s="93"/>
      <c r="O83" s="93"/>
      <c r="P83" s="93"/>
      <c r="Q83" s="93"/>
      <c r="R83" s="93"/>
      <c r="S83" s="93"/>
      <c r="T83" s="93"/>
      <c r="U83" s="93"/>
      <c r="V83" s="18"/>
      <c r="W83" s="141"/>
      <c r="X83" s="93"/>
      <c r="Y83" s="93"/>
      <c r="Z83" s="93"/>
      <c r="AA83" s="93"/>
      <c r="AB83" s="93"/>
      <c r="AC83" s="93"/>
      <c r="AD83" s="93"/>
      <c r="AE83" s="93"/>
      <c r="AF83" s="93"/>
      <c r="AG83" s="128"/>
      <c r="AH83" s="1"/>
    </row>
    <row r="84">
      <c r="A84" s="95"/>
      <c r="B84" s="142" t="s">
        <v>69</v>
      </c>
      <c r="C84" s="93"/>
      <c r="D84" s="143"/>
      <c r="E84" s="144" t="s">
        <v>70</v>
      </c>
      <c r="F84" s="93"/>
      <c r="G84" s="93"/>
      <c r="H84" s="93"/>
      <c r="I84" s="93"/>
      <c r="J84" s="93"/>
      <c r="K84" s="93"/>
      <c r="L84" s="143"/>
      <c r="M84" s="145" t="s">
        <v>71</v>
      </c>
      <c r="N84" s="93"/>
      <c r="O84" s="143"/>
      <c r="P84" s="146"/>
      <c r="Q84" s="93"/>
      <c r="R84" s="93"/>
      <c r="S84" s="93"/>
      <c r="T84" s="93"/>
      <c r="U84" s="93"/>
      <c r="V84" s="143"/>
      <c r="W84" s="145" t="s">
        <v>72</v>
      </c>
      <c r="X84" s="93"/>
      <c r="Y84" s="143"/>
      <c r="Z84" s="144"/>
      <c r="AA84" s="93"/>
      <c r="AB84" s="93"/>
      <c r="AC84" s="93"/>
      <c r="AD84" s="93"/>
      <c r="AE84" s="93"/>
      <c r="AF84" s="93"/>
      <c r="AG84" s="128"/>
      <c r="AH84" s="86"/>
    </row>
    <row r="85">
      <c r="A85" s="95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40"/>
      <c r="AH85" s="1"/>
    </row>
    <row r="86">
      <c r="A86" s="95"/>
      <c r="B86" s="147" t="s">
        <v>73</v>
      </c>
      <c r="C86" s="32"/>
      <c r="D86" s="32"/>
      <c r="E86" s="32"/>
      <c r="F86" s="32"/>
      <c r="G86" s="32"/>
      <c r="H86" s="32"/>
      <c r="I86" s="32"/>
      <c r="J86" s="32"/>
      <c r="K86" s="121"/>
      <c r="L86" s="52" t="s">
        <v>74</v>
      </c>
      <c r="AG86" s="49"/>
      <c r="AH86" s="86"/>
    </row>
    <row r="87">
      <c r="A87" s="95"/>
      <c r="B87" s="148"/>
      <c r="C87" s="57"/>
      <c r="D87" s="57"/>
      <c r="E87" s="57"/>
      <c r="F87" s="57"/>
      <c r="G87" s="57"/>
      <c r="H87" s="57"/>
      <c r="I87" s="57"/>
      <c r="J87" s="57"/>
      <c r="K87" s="124"/>
      <c r="AG87" s="49"/>
      <c r="AH87" s="86"/>
    </row>
    <row r="88">
      <c r="A88" s="95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40"/>
      <c r="AH88" s="1"/>
    </row>
    <row r="89">
      <c r="A89" s="95"/>
      <c r="B89" s="149" t="s">
        <v>75</v>
      </c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1"/>
      <c r="AH89" s="11"/>
    </row>
    <row r="90" ht="216.75" customHeight="1">
      <c r="A90" s="95"/>
      <c r="B90" s="140"/>
      <c r="C90" s="93"/>
      <c r="D90" s="93"/>
      <c r="E90" s="93"/>
      <c r="F90" s="93"/>
      <c r="G90" s="93"/>
      <c r="H90" s="93"/>
      <c r="I90" s="93"/>
      <c r="J90" s="93"/>
      <c r="K90" s="93"/>
      <c r="L90" s="18"/>
      <c r="M90" s="141"/>
      <c r="N90" s="93"/>
      <c r="O90" s="93"/>
      <c r="P90" s="93"/>
      <c r="Q90" s="93"/>
      <c r="R90" s="93"/>
      <c r="S90" s="93"/>
      <c r="T90" s="93"/>
      <c r="U90" s="93"/>
      <c r="V90" s="18"/>
      <c r="W90" s="141"/>
      <c r="X90" s="93"/>
      <c r="Y90" s="93"/>
      <c r="Z90" s="93"/>
      <c r="AA90" s="93"/>
      <c r="AB90" s="93"/>
      <c r="AC90" s="93"/>
      <c r="AD90" s="93"/>
      <c r="AE90" s="93"/>
      <c r="AF90" s="93"/>
      <c r="AG90" s="128"/>
      <c r="AH90" s="1"/>
    </row>
    <row r="91">
      <c r="A91" s="95"/>
      <c r="B91" s="142" t="s">
        <v>76</v>
      </c>
      <c r="C91" s="93"/>
      <c r="D91" s="143"/>
      <c r="E91" s="146" t="s">
        <v>77</v>
      </c>
      <c r="F91" s="93"/>
      <c r="G91" s="93"/>
      <c r="H91" s="93"/>
      <c r="I91" s="93"/>
      <c r="J91" s="93"/>
      <c r="K91" s="93"/>
      <c r="L91" s="143"/>
      <c r="M91" s="92" t="s">
        <v>78</v>
      </c>
      <c r="N91" s="93"/>
      <c r="O91" s="143"/>
      <c r="P91" s="144"/>
      <c r="Q91" s="93"/>
      <c r="R91" s="93"/>
      <c r="S91" s="93"/>
      <c r="T91" s="93"/>
      <c r="U91" s="93"/>
      <c r="V91" s="143"/>
      <c r="W91" s="92" t="s">
        <v>79</v>
      </c>
      <c r="X91" s="93"/>
      <c r="Y91" s="143"/>
      <c r="Z91" s="144"/>
      <c r="AA91" s="93"/>
      <c r="AB91" s="93"/>
      <c r="AC91" s="93"/>
      <c r="AD91" s="93"/>
      <c r="AE91" s="93"/>
      <c r="AF91" s="93"/>
      <c r="AG91" s="128"/>
      <c r="AH91" s="86"/>
    </row>
    <row r="92">
      <c r="A92" s="95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40"/>
      <c r="AH92" s="1"/>
    </row>
    <row r="93">
      <c r="A93" s="95"/>
      <c r="B93" s="147" t="s">
        <v>80</v>
      </c>
      <c r="C93" s="32"/>
      <c r="D93" s="32"/>
      <c r="E93" s="32"/>
      <c r="F93" s="32"/>
      <c r="G93" s="32"/>
      <c r="H93" s="32"/>
      <c r="I93" s="32"/>
      <c r="J93" s="32"/>
      <c r="K93" s="121"/>
      <c r="L93" s="52" t="str">
        <f>"Tamaño de grano"&amp;" "&amp;F101</f>
        <v>Tamaño de grano </v>
      </c>
      <c r="AG93" s="49"/>
      <c r="AH93" s="86"/>
    </row>
    <row r="94">
      <c r="A94" s="95"/>
      <c r="B94" s="148"/>
      <c r="C94" s="57"/>
      <c r="D94" s="57"/>
      <c r="E94" s="57"/>
      <c r="F94" s="57"/>
      <c r="G94" s="57"/>
      <c r="H94" s="57"/>
      <c r="I94" s="57"/>
      <c r="J94" s="57"/>
      <c r="K94" s="124"/>
      <c r="AG94" s="49"/>
      <c r="AH94" s="86"/>
    </row>
    <row r="95">
      <c r="A95" s="95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40"/>
      <c r="AH95" s="1"/>
    </row>
    <row r="96">
      <c r="A96" s="95"/>
      <c r="B96" s="106" t="s">
        <v>81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40"/>
      <c r="AH96" s="11"/>
    </row>
    <row r="97">
      <c r="A97" s="95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40"/>
      <c r="AH97" s="1"/>
    </row>
    <row r="98" ht="297.75" customHeight="1">
      <c r="A98" s="95"/>
      <c r="B98" s="152"/>
      <c r="Q98" s="13"/>
      <c r="R98" s="153"/>
      <c r="AG98" s="49"/>
      <c r="AH98" s="1"/>
    </row>
    <row r="99">
      <c r="A99" s="95"/>
      <c r="B99" s="142" t="s">
        <v>82</v>
      </c>
      <c r="C99" s="93"/>
      <c r="D99" s="143"/>
      <c r="E99" s="144" t="s">
        <v>83</v>
      </c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143"/>
      <c r="R99" s="92" t="s">
        <v>84</v>
      </c>
      <c r="S99" s="93"/>
      <c r="T99" s="143"/>
      <c r="U99" s="144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128"/>
      <c r="AH99" s="86"/>
    </row>
    <row r="100">
      <c r="A100" s="95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40"/>
      <c r="AH100" s="1"/>
    </row>
    <row r="101">
      <c r="A101" s="95"/>
      <c r="B101" s="51" t="s">
        <v>35</v>
      </c>
      <c r="C101" s="39"/>
      <c r="D101" s="39"/>
      <c r="E101" s="42"/>
      <c r="F101" s="85"/>
      <c r="J101" s="46" t="s">
        <v>85</v>
      </c>
      <c r="K101" s="39"/>
      <c r="L101" s="39"/>
      <c r="M101" s="42"/>
      <c r="N101" s="52"/>
      <c r="R101" s="46" t="s">
        <v>86</v>
      </c>
      <c r="S101" s="39"/>
      <c r="T101" s="39"/>
      <c r="U101" s="42"/>
      <c r="V101" s="52"/>
      <c r="Z101" s="46" t="s">
        <v>87</v>
      </c>
      <c r="AA101" s="39"/>
      <c r="AB101" s="39"/>
      <c r="AC101" s="42"/>
      <c r="AD101" s="52"/>
      <c r="AG101" s="49"/>
      <c r="AH101" s="86"/>
    </row>
    <row r="102">
      <c r="A102" s="95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40"/>
      <c r="AH102" s="1"/>
    </row>
    <row r="103">
      <c r="A103" s="95"/>
      <c r="B103" s="147" t="s">
        <v>88</v>
      </c>
      <c r="C103" s="32"/>
      <c r="D103" s="32"/>
      <c r="E103" s="32"/>
      <c r="F103" s="32"/>
      <c r="G103" s="32"/>
      <c r="H103" s="32"/>
      <c r="I103" s="32"/>
      <c r="J103" s="32"/>
      <c r="K103" s="121"/>
      <c r="L103" s="52"/>
      <c r="AG103" s="49"/>
      <c r="AH103" s="86"/>
    </row>
    <row r="104">
      <c r="A104" s="95"/>
      <c r="B104" s="148"/>
      <c r="C104" s="57"/>
      <c r="D104" s="57"/>
      <c r="E104" s="57"/>
      <c r="F104" s="57"/>
      <c r="G104" s="57"/>
      <c r="H104" s="57"/>
      <c r="I104" s="57"/>
      <c r="J104" s="57"/>
      <c r="K104" s="124"/>
      <c r="AG104" s="49"/>
      <c r="AH104" s="86"/>
    </row>
    <row r="105">
      <c r="A105" s="95"/>
      <c r="B105" s="154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155"/>
      <c r="AH105" s="1"/>
    </row>
    <row r="106">
      <c r="A106" s="95"/>
      <c r="B106" s="156" t="s">
        <v>89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6"/>
      <c r="AH106" s="11"/>
    </row>
    <row r="107">
      <c r="A107" s="95"/>
      <c r="B107" s="103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5"/>
      <c r="AH107" s="95"/>
    </row>
    <row r="108">
      <c r="A108" s="95"/>
      <c r="B108" s="106" t="s">
        <v>90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40"/>
      <c r="AH108" s="11"/>
    </row>
    <row r="109">
      <c r="A109" s="95"/>
      <c r="B109" s="103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5"/>
      <c r="AH109" s="95"/>
    </row>
    <row r="110">
      <c r="A110" s="95"/>
      <c r="B110" s="51" t="s">
        <v>42</v>
      </c>
      <c r="C110" s="39"/>
      <c r="D110" s="39"/>
      <c r="E110" s="39"/>
      <c r="F110" s="42"/>
      <c r="G110" s="157"/>
      <c r="H110" s="39"/>
      <c r="I110" s="39"/>
      <c r="J110" s="39"/>
      <c r="K110" s="42"/>
      <c r="L110" s="46" t="s">
        <v>43</v>
      </c>
      <c r="M110" s="39"/>
      <c r="N110" s="39"/>
      <c r="O110" s="39"/>
      <c r="P110" s="42"/>
      <c r="Q110" s="52"/>
      <c r="V110" s="13"/>
      <c r="W110" s="46" t="s">
        <v>44</v>
      </c>
      <c r="X110" s="39"/>
      <c r="Y110" s="39"/>
      <c r="Z110" s="39"/>
      <c r="AA110" s="39"/>
      <c r="AB110" s="42"/>
      <c r="AC110" s="52"/>
      <c r="AG110" s="49"/>
      <c r="AH110" s="86"/>
    </row>
    <row r="111">
      <c r="A111" s="95"/>
      <c r="B111" s="103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5"/>
      <c r="AH111" s="95"/>
    </row>
    <row r="112">
      <c r="A112" s="95"/>
      <c r="B112" s="106" t="s">
        <v>91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40"/>
      <c r="AH112" s="11"/>
    </row>
    <row r="113">
      <c r="A113" s="95"/>
      <c r="B113" s="103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5"/>
      <c r="AH113" s="95"/>
    </row>
    <row r="114">
      <c r="A114" s="95"/>
      <c r="B114" s="51" t="s">
        <v>92</v>
      </c>
      <c r="C114" s="39"/>
      <c r="D114" s="39"/>
      <c r="E114" s="42"/>
      <c r="F114" s="52"/>
      <c r="R114" s="46" t="s">
        <v>49</v>
      </c>
      <c r="S114" s="39"/>
      <c r="T114" s="39"/>
      <c r="U114" s="42"/>
      <c r="V114" s="47"/>
      <c r="AG114" s="49"/>
      <c r="AH114" s="55"/>
    </row>
    <row r="115">
      <c r="A115" s="95"/>
      <c r="B115" s="103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5"/>
      <c r="AH115" s="95"/>
    </row>
    <row r="116">
      <c r="A116" s="95"/>
      <c r="B116" s="51" t="s">
        <v>51</v>
      </c>
      <c r="C116" s="39"/>
      <c r="D116" s="39"/>
      <c r="E116" s="42"/>
      <c r="F116" s="47"/>
      <c r="L116" s="46" t="s">
        <v>52</v>
      </c>
      <c r="M116" s="39"/>
      <c r="N116" s="39"/>
      <c r="O116" s="39"/>
      <c r="P116" s="42"/>
      <c r="Q116" s="158"/>
      <c r="R116" s="39"/>
      <c r="S116" s="39"/>
      <c r="T116" s="39"/>
      <c r="U116" s="39"/>
      <c r="V116" s="42"/>
      <c r="W116" s="46" t="s">
        <v>93</v>
      </c>
      <c r="X116" s="39"/>
      <c r="Y116" s="39"/>
      <c r="Z116" s="39"/>
      <c r="AA116" s="42"/>
      <c r="AB116" s="159"/>
      <c r="AG116" s="49"/>
      <c r="AH116" s="160"/>
    </row>
    <row r="117">
      <c r="A117" s="95"/>
      <c r="B117" s="103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5"/>
      <c r="AH117" s="95"/>
    </row>
    <row r="118">
      <c r="A118" s="95"/>
      <c r="B118" s="103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5"/>
      <c r="AH118" s="95"/>
    </row>
    <row r="119">
      <c r="A119" s="95"/>
      <c r="B119" s="107" t="s">
        <v>94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40"/>
      <c r="AH119" s="11"/>
    </row>
    <row r="120">
      <c r="A120" s="95"/>
      <c r="B120" s="103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5"/>
      <c r="AH120" s="95"/>
    </row>
    <row r="121">
      <c r="A121" s="95"/>
      <c r="B121" s="107" t="s">
        <v>95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40"/>
      <c r="AH121" s="11"/>
    </row>
    <row r="122">
      <c r="A122" s="95"/>
      <c r="B122" s="103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5"/>
      <c r="AH122" s="95"/>
    </row>
    <row r="123">
      <c r="A123" s="95"/>
      <c r="B123" s="125" t="s">
        <v>96</v>
      </c>
      <c r="C123" s="66"/>
      <c r="D123" s="66"/>
      <c r="E123" s="67"/>
      <c r="F123" s="92"/>
      <c r="G123" s="93"/>
      <c r="H123" s="93"/>
      <c r="I123" s="18"/>
      <c r="J123" s="161"/>
      <c r="K123" s="93"/>
      <c r="L123" s="93"/>
      <c r="M123" s="18"/>
      <c r="N123" s="92"/>
      <c r="O123" s="93"/>
      <c r="P123" s="93"/>
      <c r="Q123" s="18"/>
      <c r="R123" s="92"/>
      <c r="S123" s="93"/>
      <c r="T123" s="93"/>
      <c r="U123" s="18"/>
      <c r="V123" s="92"/>
      <c r="W123" s="93"/>
      <c r="X123" s="93"/>
      <c r="Y123" s="18"/>
      <c r="Z123" s="92"/>
      <c r="AA123" s="93"/>
      <c r="AB123" s="93"/>
      <c r="AC123" s="18"/>
      <c r="AD123" s="92"/>
      <c r="AE123" s="93"/>
      <c r="AF123" s="93"/>
      <c r="AG123" s="128"/>
      <c r="AH123" s="37"/>
    </row>
    <row r="124">
      <c r="A124" s="95"/>
      <c r="B124" s="133"/>
      <c r="C124" s="89"/>
      <c r="D124" s="89"/>
      <c r="E124" s="90"/>
      <c r="F124" s="162"/>
      <c r="G124" s="18"/>
      <c r="H124" s="162" t="s">
        <v>97</v>
      </c>
      <c r="I124" s="18"/>
      <c r="J124" s="162"/>
      <c r="K124" s="18"/>
      <c r="L124" s="162" t="s">
        <v>97</v>
      </c>
      <c r="M124" s="18"/>
      <c r="N124" s="162"/>
      <c r="O124" s="18"/>
      <c r="P124" s="162" t="s">
        <v>97</v>
      </c>
      <c r="Q124" s="18"/>
      <c r="R124" s="162"/>
      <c r="S124" s="18"/>
      <c r="T124" s="162" t="s">
        <v>97</v>
      </c>
      <c r="U124" s="18"/>
      <c r="V124" s="162"/>
      <c r="W124" s="18"/>
      <c r="X124" s="162"/>
      <c r="Y124" s="18"/>
      <c r="Z124" s="162"/>
      <c r="AA124" s="18"/>
      <c r="AB124" s="162"/>
      <c r="AC124" s="18"/>
      <c r="AD124" s="162"/>
      <c r="AE124" s="18"/>
      <c r="AF124" s="162"/>
      <c r="AG124" s="18"/>
      <c r="AH124" s="163"/>
    </row>
    <row r="125">
      <c r="A125" s="95"/>
      <c r="B125" s="164" t="s">
        <v>98</v>
      </c>
      <c r="E125" s="13"/>
      <c r="F125" s="145"/>
      <c r="G125" s="93"/>
      <c r="H125" s="93"/>
      <c r="I125" s="18"/>
      <c r="J125" s="165"/>
      <c r="K125" s="93"/>
      <c r="L125" s="93"/>
      <c r="M125" s="18"/>
      <c r="N125" s="145"/>
      <c r="O125" s="93"/>
      <c r="P125" s="93"/>
      <c r="Q125" s="18"/>
      <c r="R125" s="145"/>
      <c r="S125" s="93"/>
      <c r="T125" s="93"/>
      <c r="U125" s="18"/>
      <c r="V125" s="145"/>
      <c r="W125" s="93"/>
      <c r="X125" s="93"/>
      <c r="Y125" s="18"/>
      <c r="Z125" s="145"/>
      <c r="AA125" s="93"/>
      <c r="AB125" s="93"/>
      <c r="AC125" s="18"/>
      <c r="AD125" s="145"/>
      <c r="AE125" s="93"/>
      <c r="AF125" s="93"/>
      <c r="AG125" s="128"/>
      <c r="AH125" s="37"/>
    </row>
    <row r="126">
      <c r="A126" s="95"/>
      <c r="B126" s="133"/>
      <c r="C126" s="89"/>
      <c r="D126" s="89"/>
      <c r="E126" s="90"/>
      <c r="F126" s="162"/>
      <c r="G126" s="93"/>
      <c r="H126" s="166"/>
      <c r="I126" s="18"/>
      <c r="J126" s="162"/>
      <c r="K126" s="93"/>
      <c r="L126" s="166"/>
      <c r="M126" s="18"/>
      <c r="N126" s="162"/>
      <c r="O126" s="93"/>
      <c r="P126" s="166"/>
      <c r="Q126" s="18"/>
      <c r="R126" s="162"/>
      <c r="S126" s="93"/>
      <c r="T126" s="166"/>
      <c r="U126" s="18"/>
      <c r="V126" s="162"/>
      <c r="W126" s="93"/>
      <c r="X126" s="166"/>
      <c r="Y126" s="18"/>
      <c r="Z126" s="162"/>
      <c r="AA126" s="93"/>
      <c r="AB126" s="93"/>
      <c r="AC126" s="18"/>
      <c r="AD126" s="162"/>
      <c r="AE126" s="93"/>
      <c r="AF126" s="93"/>
      <c r="AG126" s="128"/>
      <c r="AH126" s="163"/>
    </row>
    <row r="127">
      <c r="A127" s="95"/>
      <c r="B127" s="167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128"/>
      <c r="AH127" s="1"/>
    </row>
    <row r="128">
      <c r="A128" s="95"/>
      <c r="B128" s="125" t="s">
        <v>99</v>
      </c>
      <c r="C128" s="66"/>
      <c r="D128" s="66"/>
      <c r="E128" s="67"/>
      <c r="F128" s="168"/>
      <c r="G128" s="150"/>
      <c r="H128" s="150"/>
      <c r="I128" s="169"/>
      <c r="J128" s="168"/>
      <c r="K128" s="150"/>
      <c r="L128" s="150"/>
      <c r="M128" s="169"/>
      <c r="N128" s="168"/>
      <c r="O128" s="150"/>
      <c r="P128" s="150"/>
      <c r="Q128" s="169"/>
      <c r="R128" s="168"/>
      <c r="S128" s="150"/>
      <c r="T128" s="150"/>
      <c r="U128" s="169"/>
      <c r="V128" s="168"/>
      <c r="W128" s="150"/>
      <c r="X128" s="150"/>
      <c r="Y128" s="169"/>
      <c r="Z128" s="168"/>
      <c r="AA128" s="150"/>
      <c r="AB128" s="150"/>
      <c r="AC128" s="169"/>
      <c r="AD128" s="168"/>
      <c r="AE128" s="150"/>
      <c r="AF128" s="150"/>
      <c r="AG128" s="151"/>
      <c r="AH128" s="37"/>
    </row>
    <row r="129">
      <c r="A129" s="95"/>
      <c r="B129" s="133"/>
      <c r="C129" s="89"/>
      <c r="D129" s="89"/>
      <c r="E129" s="90"/>
      <c r="F129" s="162"/>
      <c r="G129" s="93"/>
      <c r="H129" s="93"/>
      <c r="I129" s="18"/>
      <c r="J129" s="162"/>
      <c r="K129" s="93"/>
      <c r="L129" s="93"/>
      <c r="M129" s="18"/>
      <c r="N129" s="162"/>
      <c r="O129" s="93"/>
      <c r="P129" s="93"/>
      <c r="Q129" s="18"/>
      <c r="R129" s="162"/>
      <c r="S129" s="93"/>
      <c r="T129" s="93"/>
      <c r="U129" s="18"/>
      <c r="V129" s="162"/>
      <c r="W129" s="93"/>
      <c r="X129" s="93"/>
      <c r="Y129" s="18"/>
      <c r="Z129" s="162"/>
      <c r="AA129" s="93"/>
      <c r="AB129" s="93"/>
      <c r="AC129" s="18"/>
      <c r="AD129" s="162"/>
      <c r="AE129" s="93"/>
      <c r="AF129" s="93"/>
      <c r="AG129" s="128"/>
      <c r="AH129" s="163"/>
    </row>
    <row r="130">
      <c r="A130" s="95"/>
      <c r="B130" s="170"/>
      <c r="E130" s="13"/>
      <c r="F130" s="145"/>
      <c r="G130" s="93"/>
      <c r="H130" s="93"/>
      <c r="I130" s="18"/>
      <c r="J130" s="145"/>
      <c r="K130" s="93"/>
      <c r="L130" s="93"/>
      <c r="M130" s="18"/>
      <c r="N130" s="145"/>
      <c r="O130" s="93"/>
      <c r="P130" s="93"/>
      <c r="Q130" s="18"/>
      <c r="R130" s="145"/>
      <c r="S130" s="93"/>
      <c r="T130" s="93"/>
      <c r="U130" s="18"/>
      <c r="V130" s="145"/>
      <c r="W130" s="93"/>
      <c r="X130" s="93"/>
      <c r="Y130" s="18"/>
      <c r="Z130" s="145"/>
      <c r="AA130" s="93"/>
      <c r="AB130" s="93"/>
      <c r="AC130" s="18"/>
      <c r="AD130" s="145"/>
      <c r="AE130" s="93"/>
      <c r="AF130" s="93"/>
      <c r="AG130" s="128"/>
      <c r="AH130" s="37"/>
    </row>
    <row r="131">
      <c r="A131" s="95"/>
      <c r="B131" s="133"/>
      <c r="C131" s="89"/>
      <c r="D131" s="89"/>
      <c r="E131" s="90"/>
      <c r="F131" s="162"/>
      <c r="G131" s="93"/>
      <c r="H131" s="93"/>
      <c r="I131" s="18"/>
      <c r="J131" s="162"/>
      <c r="K131" s="93"/>
      <c r="L131" s="93"/>
      <c r="M131" s="18"/>
      <c r="N131" s="162"/>
      <c r="O131" s="93"/>
      <c r="P131" s="93"/>
      <c r="Q131" s="18"/>
      <c r="R131" s="162"/>
      <c r="S131" s="93"/>
      <c r="T131" s="93"/>
      <c r="U131" s="18"/>
      <c r="V131" s="162"/>
      <c r="W131" s="93"/>
      <c r="X131" s="93"/>
      <c r="Y131" s="18"/>
      <c r="Z131" s="162"/>
      <c r="AA131" s="93"/>
      <c r="AB131" s="93"/>
      <c r="AC131" s="18"/>
      <c r="AD131" s="162"/>
      <c r="AE131" s="93"/>
      <c r="AF131" s="93"/>
      <c r="AG131" s="128"/>
      <c r="AH131" s="163"/>
    </row>
    <row r="132">
      <c r="A132" s="95"/>
      <c r="B132" s="103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71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5"/>
      <c r="AH132" s="95"/>
    </row>
    <row r="133">
      <c r="A133" s="95"/>
      <c r="B133" s="107" t="s">
        <v>100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40"/>
      <c r="AH133" s="95"/>
    </row>
    <row r="134">
      <c r="A134" s="95"/>
      <c r="B134" s="172"/>
      <c r="C134" s="173"/>
      <c r="D134" s="173"/>
      <c r="E134" s="101"/>
      <c r="F134" s="101"/>
      <c r="G134" s="101"/>
      <c r="H134" s="101"/>
      <c r="I134" s="101"/>
      <c r="J134" s="101"/>
      <c r="K134" s="101"/>
      <c r="L134" s="171"/>
      <c r="M134" s="101"/>
      <c r="N134" s="101"/>
      <c r="O134" s="101"/>
      <c r="P134" s="101"/>
      <c r="Q134" s="101"/>
      <c r="R134" s="101"/>
      <c r="S134" s="101"/>
      <c r="T134" s="101"/>
      <c r="U134" s="101"/>
      <c r="V134" s="17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74"/>
      <c r="AG134" s="175"/>
      <c r="AH134" s="95"/>
    </row>
    <row r="135" ht="18.0" customHeight="1">
      <c r="A135" s="95"/>
      <c r="B135" s="172"/>
      <c r="C135" s="176" t="s">
        <v>101</v>
      </c>
      <c r="D135" s="177" t="s">
        <v>102</v>
      </c>
      <c r="E135" s="93"/>
      <c r="F135" s="18"/>
      <c r="G135" s="177" t="s">
        <v>103</v>
      </c>
      <c r="H135" s="18"/>
      <c r="I135" s="177" t="s">
        <v>104</v>
      </c>
      <c r="J135" s="93"/>
      <c r="K135" s="18"/>
      <c r="L135" s="171"/>
      <c r="M135" s="176" t="s">
        <v>101</v>
      </c>
      <c r="N135" s="177" t="s">
        <v>102</v>
      </c>
      <c r="O135" s="93"/>
      <c r="P135" s="18"/>
      <c r="Q135" s="177" t="s">
        <v>103</v>
      </c>
      <c r="R135" s="18"/>
      <c r="S135" s="177" t="s">
        <v>104</v>
      </c>
      <c r="T135" s="93"/>
      <c r="U135" s="18"/>
      <c r="V135" s="171"/>
      <c r="W135" s="176" t="s">
        <v>101</v>
      </c>
      <c r="X135" s="177" t="s">
        <v>102</v>
      </c>
      <c r="Y135" s="93"/>
      <c r="Z135" s="18"/>
      <c r="AA135" s="177" t="s">
        <v>103</v>
      </c>
      <c r="AB135" s="18"/>
      <c r="AC135" s="177" t="s">
        <v>104</v>
      </c>
      <c r="AD135" s="93"/>
      <c r="AE135" s="18"/>
      <c r="AF135" s="174"/>
      <c r="AG135" s="175"/>
      <c r="AH135" s="95"/>
    </row>
    <row r="136">
      <c r="A136" s="95"/>
      <c r="B136" s="172"/>
      <c r="C136" s="176">
        <v>1.0</v>
      </c>
      <c r="D136" s="178"/>
      <c r="E136" s="93"/>
      <c r="F136" s="18"/>
      <c r="G136" s="179"/>
      <c r="H136" s="18"/>
      <c r="I136" s="180" t="s">
        <v>105</v>
      </c>
      <c r="J136" s="93"/>
      <c r="K136" s="18"/>
      <c r="L136" s="171"/>
      <c r="M136" s="176">
        <v>8.0</v>
      </c>
      <c r="N136" s="178"/>
      <c r="O136" s="93"/>
      <c r="P136" s="18"/>
      <c r="Q136" s="179"/>
      <c r="R136" s="18"/>
      <c r="S136" s="180" t="s">
        <v>105</v>
      </c>
      <c r="T136" s="93"/>
      <c r="U136" s="18"/>
      <c r="V136" s="171"/>
      <c r="W136" s="176">
        <v>15.0</v>
      </c>
      <c r="X136" s="178"/>
      <c r="Y136" s="93"/>
      <c r="Z136" s="18"/>
      <c r="AA136" s="179"/>
      <c r="AB136" s="18"/>
      <c r="AC136" s="180" t="s">
        <v>105</v>
      </c>
      <c r="AD136" s="93"/>
      <c r="AE136" s="18"/>
      <c r="AF136" s="174"/>
      <c r="AG136" s="175"/>
      <c r="AH136" s="95"/>
    </row>
    <row r="137">
      <c r="A137" s="95"/>
      <c r="B137" s="172"/>
      <c r="C137" s="176">
        <v>2.0</v>
      </c>
      <c r="D137" s="178"/>
      <c r="E137" s="93"/>
      <c r="F137" s="18"/>
      <c r="G137" s="179"/>
      <c r="H137" s="18"/>
      <c r="I137" s="180" t="s">
        <v>105</v>
      </c>
      <c r="J137" s="93"/>
      <c r="K137" s="18"/>
      <c r="L137" s="171"/>
      <c r="M137" s="176">
        <v>9.0</v>
      </c>
      <c r="N137" s="178"/>
      <c r="O137" s="93"/>
      <c r="P137" s="18"/>
      <c r="Q137" s="179"/>
      <c r="R137" s="18"/>
      <c r="S137" s="180" t="s">
        <v>105</v>
      </c>
      <c r="T137" s="93"/>
      <c r="U137" s="18"/>
      <c r="V137" s="171"/>
      <c r="W137" s="176">
        <v>16.0</v>
      </c>
      <c r="X137" s="178"/>
      <c r="Y137" s="93"/>
      <c r="Z137" s="18"/>
      <c r="AA137" s="179"/>
      <c r="AB137" s="18"/>
      <c r="AC137" s="180" t="s">
        <v>105</v>
      </c>
      <c r="AD137" s="93"/>
      <c r="AE137" s="18"/>
      <c r="AF137" s="174"/>
      <c r="AG137" s="175"/>
      <c r="AH137" s="95"/>
    </row>
    <row r="138">
      <c r="A138" s="95"/>
      <c r="B138" s="172"/>
      <c r="C138" s="176">
        <v>3.0</v>
      </c>
      <c r="D138" s="178"/>
      <c r="E138" s="93"/>
      <c r="F138" s="18"/>
      <c r="G138" s="179"/>
      <c r="H138" s="18"/>
      <c r="I138" s="180" t="s">
        <v>105</v>
      </c>
      <c r="J138" s="93"/>
      <c r="K138" s="18"/>
      <c r="L138" s="171"/>
      <c r="M138" s="176">
        <v>10.0</v>
      </c>
      <c r="N138" s="178"/>
      <c r="O138" s="93"/>
      <c r="P138" s="18"/>
      <c r="Q138" s="179"/>
      <c r="R138" s="18"/>
      <c r="S138" s="180" t="s">
        <v>105</v>
      </c>
      <c r="T138" s="93"/>
      <c r="U138" s="18"/>
      <c r="V138" s="171"/>
      <c r="W138" s="176">
        <v>17.0</v>
      </c>
      <c r="X138" s="178"/>
      <c r="Y138" s="93"/>
      <c r="Z138" s="18"/>
      <c r="AA138" s="179"/>
      <c r="AB138" s="18"/>
      <c r="AC138" s="180" t="s">
        <v>105</v>
      </c>
      <c r="AD138" s="93"/>
      <c r="AE138" s="18"/>
      <c r="AF138" s="174"/>
      <c r="AG138" s="175"/>
      <c r="AH138" s="95"/>
    </row>
    <row r="139">
      <c r="A139" s="95"/>
      <c r="B139" s="172"/>
      <c r="C139" s="176">
        <v>4.0</v>
      </c>
      <c r="D139" s="178"/>
      <c r="E139" s="93"/>
      <c r="F139" s="18"/>
      <c r="G139" s="179"/>
      <c r="H139" s="18"/>
      <c r="I139" s="180" t="s">
        <v>105</v>
      </c>
      <c r="J139" s="93"/>
      <c r="K139" s="18"/>
      <c r="L139" s="171"/>
      <c r="M139" s="176">
        <v>11.0</v>
      </c>
      <c r="N139" s="178"/>
      <c r="O139" s="93"/>
      <c r="P139" s="18"/>
      <c r="Q139" s="179"/>
      <c r="R139" s="18"/>
      <c r="S139" s="180" t="s">
        <v>105</v>
      </c>
      <c r="T139" s="93"/>
      <c r="U139" s="18"/>
      <c r="V139" s="171"/>
      <c r="W139" s="176">
        <v>18.0</v>
      </c>
      <c r="X139" s="178"/>
      <c r="Y139" s="93"/>
      <c r="Z139" s="18"/>
      <c r="AA139" s="179"/>
      <c r="AB139" s="18"/>
      <c r="AC139" s="180" t="s">
        <v>105</v>
      </c>
      <c r="AD139" s="93"/>
      <c r="AE139" s="18"/>
      <c r="AF139" s="174"/>
      <c r="AG139" s="175"/>
      <c r="AH139" s="95"/>
    </row>
    <row r="140">
      <c r="A140" s="95"/>
      <c r="B140" s="172"/>
      <c r="C140" s="176">
        <v>5.0</v>
      </c>
      <c r="D140" s="178"/>
      <c r="E140" s="93"/>
      <c r="F140" s="18"/>
      <c r="G140" s="179"/>
      <c r="H140" s="18"/>
      <c r="I140" s="180" t="s">
        <v>105</v>
      </c>
      <c r="J140" s="93"/>
      <c r="K140" s="18"/>
      <c r="L140" s="171"/>
      <c r="M140" s="176">
        <v>12.0</v>
      </c>
      <c r="N140" s="178"/>
      <c r="O140" s="93"/>
      <c r="P140" s="18"/>
      <c r="Q140" s="179"/>
      <c r="R140" s="18"/>
      <c r="S140" s="180" t="s">
        <v>105</v>
      </c>
      <c r="T140" s="93"/>
      <c r="U140" s="18"/>
      <c r="V140" s="171"/>
      <c r="W140" s="176">
        <v>19.0</v>
      </c>
      <c r="X140" s="178"/>
      <c r="Y140" s="93"/>
      <c r="Z140" s="18"/>
      <c r="AA140" s="179"/>
      <c r="AB140" s="18"/>
      <c r="AC140" s="180" t="s">
        <v>105</v>
      </c>
      <c r="AD140" s="93"/>
      <c r="AE140" s="18"/>
      <c r="AF140" s="174"/>
      <c r="AG140" s="175"/>
      <c r="AH140" s="95"/>
    </row>
    <row r="141">
      <c r="A141" s="95"/>
      <c r="B141" s="172"/>
      <c r="C141" s="176">
        <v>6.0</v>
      </c>
      <c r="D141" s="178"/>
      <c r="E141" s="93"/>
      <c r="F141" s="18"/>
      <c r="G141" s="179"/>
      <c r="H141" s="18"/>
      <c r="I141" s="180" t="s">
        <v>105</v>
      </c>
      <c r="J141" s="93"/>
      <c r="K141" s="18"/>
      <c r="L141" s="171"/>
      <c r="M141" s="176">
        <v>13.0</v>
      </c>
      <c r="N141" s="178"/>
      <c r="O141" s="93"/>
      <c r="P141" s="18"/>
      <c r="Q141" s="179"/>
      <c r="R141" s="18"/>
      <c r="S141" s="180" t="s">
        <v>105</v>
      </c>
      <c r="T141" s="93"/>
      <c r="U141" s="18"/>
      <c r="V141" s="171"/>
      <c r="W141" s="176">
        <v>20.0</v>
      </c>
      <c r="X141" s="178"/>
      <c r="Y141" s="93"/>
      <c r="Z141" s="18"/>
      <c r="AA141" s="179"/>
      <c r="AB141" s="18"/>
      <c r="AC141" s="180" t="s">
        <v>105</v>
      </c>
      <c r="AD141" s="93"/>
      <c r="AE141" s="18"/>
      <c r="AF141" s="174"/>
      <c r="AG141" s="175"/>
      <c r="AH141" s="95"/>
    </row>
    <row r="142">
      <c r="A142" s="95"/>
      <c r="B142" s="172"/>
      <c r="C142" s="176">
        <v>7.0</v>
      </c>
      <c r="D142" s="178"/>
      <c r="E142" s="93"/>
      <c r="F142" s="18"/>
      <c r="G142" s="179"/>
      <c r="H142" s="18"/>
      <c r="I142" s="180" t="s">
        <v>105</v>
      </c>
      <c r="J142" s="93"/>
      <c r="K142" s="18"/>
      <c r="L142" s="171"/>
      <c r="M142" s="176">
        <v>14.0</v>
      </c>
      <c r="N142" s="178"/>
      <c r="O142" s="93"/>
      <c r="P142" s="18"/>
      <c r="Q142" s="179"/>
      <c r="R142" s="18"/>
      <c r="S142" s="180" t="s">
        <v>105</v>
      </c>
      <c r="T142" s="93"/>
      <c r="U142" s="18"/>
      <c r="V142" s="171"/>
      <c r="W142" s="176">
        <v>21.0</v>
      </c>
      <c r="X142" s="178"/>
      <c r="Y142" s="93"/>
      <c r="Z142" s="18"/>
      <c r="AA142" s="179"/>
      <c r="AB142" s="18"/>
      <c r="AC142" s="180" t="s">
        <v>105</v>
      </c>
      <c r="AD142" s="93"/>
      <c r="AE142" s="18"/>
      <c r="AF142" s="174"/>
      <c r="AG142" s="175"/>
      <c r="AH142" s="95"/>
    </row>
    <row r="143">
      <c r="A143" s="95"/>
      <c r="B143" s="172"/>
      <c r="C143" s="181"/>
      <c r="D143" s="181"/>
      <c r="E143" s="181"/>
      <c r="F143" s="181"/>
      <c r="G143" s="181"/>
      <c r="H143" s="181"/>
      <c r="I143" s="181"/>
      <c r="J143" s="181"/>
      <c r="K143" s="181"/>
      <c r="L143" s="171"/>
      <c r="M143" s="174"/>
      <c r="N143" s="174"/>
      <c r="O143" s="174"/>
      <c r="P143" s="174"/>
      <c r="Q143" s="174"/>
      <c r="R143" s="174"/>
      <c r="S143" s="181"/>
      <c r="T143" s="181"/>
      <c r="U143" s="181"/>
      <c r="V143" s="171"/>
      <c r="W143" s="174"/>
      <c r="X143" s="174"/>
      <c r="Y143" s="174"/>
      <c r="Z143" s="174"/>
      <c r="AA143" s="174"/>
      <c r="AB143" s="174"/>
      <c r="AC143" s="181"/>
      <c r="AD143" s="181"/>
      <c r="AE143" s="181"/>
      <c r="AF143" s="174"/>
      <c r="AG143" s="175"/>
      <c r="AH143" s="95"/>
    </row>
    <row r="144">
      <c r="A144" s="95"/>
      <c r="B144" s="106" t="s">
        <v>106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40"/>
      <c r="AH144" s="11"/>
    </row>
    <row r="145">
      <c r="A145" s="95"/>
      <c r="B145" s="103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5"/>
      <c r="AH145" s="95"/>
    </row>
    <row r="146">
      <c r="A146" s="95"/>
      <c r="B146" s="182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7"/>
      <c r="R146" s="65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183"/>
      <c r="AH146" s="1"/>
    </row>
    <row r="147">
      <c r="A147" s="95"/>
      <c r="B147" s="91"/>
      <c r="Q147" s="13"/>
      <c r="R147" s="73"/>
      <c r="AG147" s="49"/>
      <c r="AH147" s="1"/>
    </row>
    <row r="148">
      <c r="A148" s="95"/>
      <c r="B148" s="91"/>
      <c r="Q148" s="13"/>
      <c r="R148" s="73"/>
      <c r="AG148" s="49"/>
      <c r="AH148" s="1"/>
    </row>
    <row r="149">
      <c r="A149" s="95"/>
      <c r="B149" s="91"/>
      <c r="Q149" s="13"/>
      <c r="R149" s="73"/>
      <c r="AG149" s="49"/>
      <c r="AH149" s="1"/>
    </row>
    <row r="150">
      <c r="A150" s="95"/>
      <c r="B150" s="91"/>
      <c r="Q150" s="13"/>
      <c r="R150" s="73"/>
      <c r="AG150" s="49"/>
      <c r="AH150" s="1"/>
    </row>
    <row r="151">
      <c r="A151" s="95"/>
      <c r="B151" s="91"/>
      <c r="Q151" s="13"/>
      <c r="R151" s="73"/>
      <c r="AG151" s="49"/>
      <c r="AH151" s="1"/>
    </row>
    <row r="152">
      <c r="A152" s="95"/>
      <c r="B152" s="91"/>
      <c r="Q152" s="13"/>
      <c r="R152" s="73"/>
      <c r="AG152" s="49"/>
      <c r="AH152" s="1"/>
    </row>
    <row r="153">
      <c r="A153" s="95"/>
      <c r="B153" s="91"/>
      <c r="Q153" s="13"/>
      <c r="R153" s="73"/>
      <c r="AG153" s="49"/>
      <c r="AH153" s="1"/>
    </row>
    <row r="154">
      <c r="A154" s="95"/>
      <c r="B154" s="91"/>
      <c r="Q154" s="13"/>
      <c r="R154" s="73"/>
      <c r="AG154" s="49"/>
      <c r="AH154" s="1"/>
    </row>
    <row r="155">
      <c r="A155" s="95"/>
      <c r="B155" s="91"/>
      <c r="Q155" s="13"/>
      <c r="R155" s="73"/>
      <c r="AG155" s="49"/>
      <c r="AH155" s="1"/>
    </row>
    <row r="156">
      <c r="A156" s="95"/>
      <c r="B156" s="91"/>
      <c r="Q156" s="13"/>
      <c r="R156" s="73"/>
      <c r="AG156" s="49"/>
      <c r="AH156" s="1"/>
    </row>
    <row r="157">
      <c r="A157" s="95"/>
      <c r="B157" s="91"/>
      <c r="Q157" s="13"/>
      <c r="R157" s="73"/>
      <c r="AG157" s="49"/>
      <c r="AH157" s="1"/>
    </row>
    <row r="158">
      <c r="A158" s="95"/>
      <c r="B158" s="91"/>
      <c r="Q158" s="13"/>
      <c r="R158" s="73"/>
      <c r="AG158" s="49"/>
      <c r="AH158" s="1"/>
    </row>
    <row r="159">
      <c r="A159" s="95"/>
      <c r="B159" s="91"/>
      <c r="Q159" s="13"/>
      <c r="R159" s="73"/>
      <c r="AG159" s="49"/>
      <c r="AH159" s="1"/>
    </row>
    <row r="160">
      <c r="A160" s="95"/>
      <c r="B160" s="91"/>
      <c r="Q160" s="13"/>
      <c r="R160" s="73"/>
      <c r="AG160" s="49"/>
      <c r="AH160" s="1"/>
    </row>
    <row r="161">
      <c r="A161" s="95"/>
      <c r="B161" s="91"/>
      <c r="Q161" s="13"/>
      <c r="R161" s="73"/>
      <c r="AG161" s="49"/>
      <c r="AH161" s="1"/>
    </row>
    <row r="162">
      <c r="A162" s="95"/>
      <c r="B162" s="91"/>
      <c r="Q162" s="13"/>
      <c r="R162" s="73"/>
      <c r="AG162" s="49"/>
      <c r="AH162" s="1"/>
    </row>
    <row r="163">
      <c r="A163" s="95"/>
      <c r="B163" s="184" t="s">
        <v>107</v>
      </c>
      <c r="C163" s="185"/>
      <c r="D163" s="186"/>
      <c r="E163" s="187" t="s">
        <v>108</v>
      </c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6"/>
      <c r="R163" s="188" t="s">
        <v>109</v>
      </c>
      <c r="S163" s="185"/>
      <c r="T163" s="186"/>
      <c r="U163" s="187" t="s">
        <v>110</v>
      </c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9"/>
      <c r="AH163" s="86"/>
    </row>
    <row r="164">
      <c r="A164" s="95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3"/>
      <c r="AH164" s="1"/>
    </row>
    <row r="165">
      <c r="A165" s="95"/>
      <c r="B165" s="190" t="s">
        <v>111</v>
      </c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6"/>
      <c r="AH165" s="11"/>
    </row>
    <row r="166">
      <c r="A166" s="95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40"/>
      <c r="AH166" s="1"/>
    </row>
    <row r="167">
      <c r="A167" s="95"/>
      <c r="B167" s="106" t="s">
        <v>112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40"/>
      <c r="AH167" s="11"/>
    </row>
    <row r="168">
      <c r="A168" s="95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40"/>
      <c r="AH168" s="1"/>
    </row>
    <row r="169">
      <c r="A169" s="95"/>
      <c r="B169" s="51" t="s">
        <v>42</v>
      </c>
      <c r="C169" s="39"/>
      <c r="D169" s="39"/>
      <c r="E169" s="39"/>
      <c r="F169" s="42"/>
      <c r="G169" s="191"/>
      <c r="H169" s="39"/>
      <c r="I169" s="39"/>
      <c r="J169" s="39"/>
      <c r="K169" s="42"/>
      <c r="L169" s="46" t="s">
        <v>43</v>
      </c>
      <c r="M169" s="39"/>
      <c r="N169" s="39"/>
      <c r="O169" s="39"/>
      <c r="P169" s="42"/>
      <c r="Q169" s="191"/>
      <c r="R169" s="39"/>
      <c r="S169" s="39"/>
      <c r="T169" s="39"/>
      <c r="U169" s="39"/>
      <c r="V169" s="42"/>
      <c r="W169" s="46" t="s">
        <v>44</v>
      </c>
      <c r="X169" s="39"/>
      <c r="Y169" s="39"/>
      <c r="Z169" s="39"/>
      <c r="AA169" s="39"/>
      <c r="AB169" s="42"/>
      <c r="AC169" s="47"/>
      <c r="AG169" s="49"/>
      <c r="AH169" s="55"/>
    </row>
    <row r="170">
      <c r="A170" s="95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40"/>
      <c r="AH170" s="1"/>
    </row>
    <row r="171">
      <c r="A171" s="95"/>
      <c r="B171" s="106" t="s">
        <v>113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40"/>
      <c r="AH171" s="11"/>
    </row>
    <row r="172">
      <c r="A172" s="95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40"/>
      <c r="AH172" s="1"/>
    </row>
    <row r="173">
      <c r="A173" s="95"/>
      <c r="B173" s="51" t="s">
        <v>114</v>
      </c>
      <c r="C173" s="39"/>
      <c r="D173" s="39"/>
      <c r="E173" s="42"/>
      <c r="F173" s="53"/>
      <c r="Q173" s="46" t="s">
        <v>52</v>
      </c>
      <c r="R173" s="39"/>
      <c r="S173" s="39"/>
      <c r="T173" s="39"/>
      <c r="U173" s="39"/>
      <c r="V173" s="42"/>
      <c r="W173" s="191"/>
      <c r="X173" s="39"/>
      <c r="Y173" s="39"/>
      <c r="Z173" s="39"/>
      <c r="AA173" s="39"/>
      <c r="AB173" s="39"/>
      <c r="AC173" s="39"/>
      <c r="AD173" s="39"/>
      <c r="AE173" s="39"/>
      <c r="AF173" s="39"/>
      <c r="AG173" s="40"/>
      <c r="AH173" s="55"/>
    </row>
    <row r="174">
      <c r="A174" s="95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40"/>
      <c r="AH174" s="1"/>
    </row>
    <row r="175">
      <c r="A175" s="95"/>
      <c r="B175" s="51" t="s">
        <v>51</v>
      </c>
      <c r="C175" s="39"/>
      <c r="D175" s="39"/>
      <c r="E175" s="42"/>
      <c r="F175" s="191"/>
      <c r="G175" s="39"/>
      <c r="H175" s="39"/>
      <c r="I175" s="39"/>
      <c r="J175" s="39"/>
      <c r="K175" s="39"/>
      <c r="L175" s="39"/>
      <c r="M175" s="39"/>
      <c r="N175" s="39"/>
      <c r="O175" s="39"/>
      <c r="P175" s="42"/>
      <c r="Q175" s="46" t="s">
        <v>93</v>
      </c>
      <c r="R175" s="39"/>
      <c r="S175" s="39"/>
      <c r="T175" s="39"/>
      <c r="U175" s="39"/>
      <c r="V175" s="42"/>
      <c r="W175" s="192"/>
      <c r="X175" s="39"/>
      <c r="Y175" s="39"/>
      <c r="Z175" s="39"/>
      <c r="AA175" s="39"/>
      <c r="AB175" s="39"/>
      <c r="AC175" s="39"/>
      <c r="AD175" s="39"/>
      <c r="AE175" s="39"/>
      <c r="AF175" s="39"/>
      <c r="AG175" s="40"/>
      <c r="AH175" s="160"/>
    </row>
    <row r="176">
      <c r="A176" s="95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40"/>
      <c r="AH176" s="1"/>
    </row>
    <row r="177">
      <c r="A177" s="95"/>
      <c r="B177" s="106" t="s">
        <v>115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40"/>
      <c r="AH177" s="11"/>
    </row>
    <row r="178">
      <c r="A178" s="95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40"/>
      <c r="AH178" s="1"/>
    </row>
    <row r="179">
      <c r="A179" s="95"/>
      <c r="B179" s="51" t="s">
        <v>116</v>
      </c>
      <c r="C179" s="39"/>
      <c r="D179" s="42"/>
      <c r="E179" s="193"/>
      <c r="J179" s="46" t="s">
        <v>117</v>
      </c>
      <c r="K179" s="39"/>
      <c r="L179" s="42"/>
      <c r="M179" s="52"/>
      <c r="R179" s="46" t="s">
        <v>118</v>
      </c>
      <c r="S179" s="39"/>
      <c r="T179" s="42"/>
      <c r="U179" s="194"/>
      <c r="Y179" s="46" t="s">
        <v>119</v>
      </c>
      <c r="Z179" s="39"/>
      <c r="AA179" s="39"/>
      <c r="AB179" s="42"/>
      <c r="AC179" s="52"/>
      <c r="AG179" s="49"/>
      <c r="AH179" s="86"/>
    </row>
    <row r="180">
      <c r="A180" s="95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40"/>
      <c r="AH180" s="1"/>
    </row>
    <row r="181">
      <c r="A181" s="95"/>
      <c r="B181" s="106" t="s">
        <v>120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40"/>
      <c r="AH181" s="11"/>
    </row>
    <row r="182">
      <c r="A182" s="95"/>
      <c r="B182" s="154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155"/>
      <c r="AH182" s="1"/>
    </row>
    <row r="183">
      <c r="A183" s="95"/>
      <c r="B183" s="103"/>
      <c r="C183" s="104"/>
      <c r="D183" s="195" t="s">
        <v>102</v>
      </c>
      <c r="E183" s="196"/>
      <c r="F183" s="197" t="s">
        <v>121</v>
      </c>
      <c r="G183" s="196"/>
      <c r="H183" s="197" t="s">
        <v>122</v>
      </c>
      <c r="I183" s="198"/>
      <c r="J183" s="104"/>
      <c r="K183" s="195" t="s">
        <v>102</v>
      </c>
      <c r="L183" s="196"/>
      <c r="M183" s="197" t="s">
        <v>121</v>
      </c>
      <c r="N183" s="196"/>
      <c r="O183" s="197" t="s">
        <v>122</v>
      </c>
      <c r="P183" s="198"/>
      <c r="Q183" s="104"/>
      <c r="R183" s="104"/>
      <c r="S183" s="195" t="s">
        <v>102</v>
      </c>
      <c r="T183" s="196"/>
      <c r="U183" s="197" t="s">
        <v>121</v>
      </c>
      <c r="V183" s="196"/>
      <c r="W183" s="197" t="s">
        <v>122</v>
      </c>
      <c r="X183" s="198"/>
      <c r="Y183" s="199"/>
      <c r="Z183" s="195" t="s">
        <v>102</v>
      </c>
      <c r="AA183" s="196"/>
      <c r="AB183" s="197" t="s">
        <v>121</v>
      </c>
      <c r="AC183" s="196"/>
      <c r="AD183" s="197" t="s">
        <v>122</v>
      </c>
      <c r="AE183" s="198"/>
      <c r="AF183" s="200"/>
      <c r="AG183" s="105"/>
      <c r="AH183" s="95"/>
    </row>
    <row r="184">
      <c r="A184" s="95"/>
      <c r="B184" s="103"/>
      <c r="C184" s="104"/>
      <c r="D184" s="201" t="s">
        <v>123</v>
      </c>
      <c r="E184" s="18"/>
      <c r="F184" s="202"/>
      <c r="G184" s="18"/>
      <c r="H184" s="202"/>
      <c r="I184" s="128"/>
      <c r="J184" s="104"/>
      <c r="K184" s="203" t="s">
        <v>124</v>
      </c>
      <c r="L184" s="18"/>
      <c r="M184" s="202"/>
      <c r="N184" s="18"/>
      <c r="O184" s="202"/>
      <c r="P184" s="128"/>
      <c r="Q184" s="104"/>
      <c r="R184" s="104"/>
      <c r="S184" s="203" t="s">
        <v>125</v>
      </c>
      <c r="T184" s="18"/>
      <c r="U184" s="202"/>
      <c r="V184" s="18"/>
      <c r="W184" s="202"/>
      <c r="X184" s="128"/>
      <c r="Y184" s="199"/>
      <c r="Z184" s="203" t="s">
        <v>126</v>
      </c>
      <c r="AA184" s="18"/>
      <c r="AB184" s="202"/>
      <c r="AC184" s="18"/>
      <c r="AD184" s="202"/>
      <c r="AE184" s="128"/>
      <c r="AF184" s="200"/>
      <c r="AG184" s="105"/>
      <c r="AH184" s="95"/>
    </row>
    <row r="185">
      <c r="A185" s="95"/>
      <c r="B185" s="103"/>
      <c r="C185" s="199"/>
      <c r="D185" s="201" t="s">
        <v>127</v>
      </c>
      <c r="E185" s="18"/>
      <c r="F185" s="202"/>
      <c r="G185" s="18"/>
      <c r="H185" s="202"/>
      <c r="I185" s="128"/>
      <c r="J185" s="199"/>
      <c r="K185" s="203" t="s">
        <v>128</v>
      </c>
      <c r="L185" s="18"/>
      <c r="M185" s="202"/>
      <c r="N185" s="18"/>
      <c r="O185" s="202"/>
      <c r="P185" s="128"/>
      <c r="Q185" s="104"/>
      <c r="R185" s="199"/>
      <c r="S185" s="203" t="s">
        <v>129</v>
      </c>
      <c r="T185" s="18"/>
      <c r="U185" s="202"/>
      <c r="V185" s="18"/>
      <c r="W185" s="202"/>
      <c r="X185" s="128"/>
      <c r="Y185" s="199"/>
      <c r="Z185" s="203" t="s">
        <v>130</v>
      </c>
      <c r="AA185" s="18"/>
      <c r="AB185" s="202"/>
      <c r="AC185" s="18"/>
      <c r="AD185" s="202"/>
      <c r="AE185" s="128"/>
      <c r="AF185" s="200"/>
      <c r="AG185" s="105"/>
      <c r="AH185" s="95"/>
    </row>
    <row r="186">
      <c r="A186" s="95"/>
      <c r="B186" s="103"/>
      <c r="C186" s="199"/>
      <c r="D186" s="201" t="s">
        <v>131</v>
      </c>
      <c r="E186" s="18"/>
      <c r="F186" s="202"/>
      <c r="G186" s="18"/>
      <c r="H186" s="202"/>
      <c r="I186" s="128"/>
      <c r="J186" s="199"/>
      <c r="K186" s="203" t="s">
        <v>132</v>
      </c>
      <c r="L186" s="18"/>
      <c r="M186" s="202"/>
      <c r="N186" s="18"/>
      <c r="O186" s="202"/>
      <c r="P186" s="128"/>
      <c r="Q186" s="104"/>
      <c r="R186" s="199"/>
      <c r="S186" s="203" t="s">
        <v>133</v>
      </c>
      <c r="T186" s="18"/>
      <c r="U186" s="202"/>
      <c r="V186" s="18"/>
      <c r="W186" s="202"/>
      <c r="X186" s="128"/>
      <c r="Y186" s="199"/>
      <c r="Z186" s="203" t="s">
        <v>134</v>
      </c>
      <c r="AA186" s="18"/>
      <c r="AB186" s="202"/>
      <c r="AC186" s="18"/>
      <c r="AD186" s="202"/>
      <c r="AE186" s="128"/>
      <c r="AF186" s="200"/>
      <c r="AG186" s="105"/>
      <c r="AH186" s="95"/>
    </row>
    <row r="187">
      <c r="A187" s="95"/>
      <c r="B187" s="103"/>
      <c r="C187" s="199"/>
      <c r="D187" s="201" t="s">
        <v>135</v>
      </c>
      <c r="E187" s="18"/>
      <c r="F187" s="202"/>
      <c r="G187" s="18"/>
      <c r="H187" s="202"/>
      <c r="I187" s="128"/>
      <c r="J187" s="199"/>
      <c r="K187" s="203" t="s">
        <v>136</v>
      </c>
      <c r="L187" s="18"/>
      <c r="M187" s="202"/>
      <c r="N187" s="18"/>
      <c r="O187" s="202"/>
      <c r="P187" s="128"/>
      <c r="Q187" s="104"/>
      <c r="R187" s="199"/>
      <c r="S187" s="203" t="s">
        <v>137</v>
      </c>
      <c r="T187" s="18"/>
      <c r="U187" s="202"/>
      <c r="V187" s="18"/>
      <c r="W187" s="202"/>
      <c r="X187" s="128"/>
      <c r="Y187" s="199"/>
      <c r="Z187" s="203" t="s">
        <v>138</v>
      </c>
      <c r="AA187" s="18"/>
      <c r="AB187" s="202"/>
      <c r="AC187" s="18"/>
      <c r="AD187" s="202"/>
      <c r="AE187" s="128"/>
      <c r="AF187" s="200"/>
      <c r="AG187" s="105"/>
      <c r="AH187" s="95"/>
    </row>
    <row r="188">
      <c r="A188" s="95"/>
      <c r="B188" s="103"/>
      <c r="C188" s="199"/>
      <c r="D188" s="201" t="s">
        <v>139</v>
      </c>
      <c r="E188" s="18"/>
      <c r="F188" s="202"/>
      <c r="G188" s="18"/>
      <c r="H188" s="202"/>
      <c r="I188" s="128"/>
      <c r="J188" s="199"/>
      <c r="K188" s="203" t="s">
        <v>140</v>
      </c>
      <c r="L188" s="18"/>
      <c r="M188" s="202"/>
      <c r="N188" s="18"/>
      <c r="O188" s="202"/>
      <c r="P188" s="128"/>
      <c r="Q188" s="104"/>
      <c r="R188" s="199"/>
      <c r="S188" s="203" t="s">
        <v>141</v>
      </c>
      <c r="T188" s="18"/>
      <c r="U188" s="202"/>
      <c r="V188" s="18"/>
      <c r="W188" s="202"/>
      <c r="X188" s="128"/>
      <c r="Y188" s="199"/>
      <c r="Z188" s="203" t="s">
        <v>142</v>
      </c>
      <c r="AA188" s="18"/>
      <c r="AB188" s="202"/>
      <c r="AC188" s="18"/>
      <c r="AD188" s="202"/>
      <c r="AE188" s="128"/>
      <c r="AF188" s="200"/>
      <c r="AG188" s="105"/>
      <c r="AH188" s="95"/>
    </row>
    <row r="189">
      <c r="A189" s="95"/>
      <c r="B189" s="103"/>
      <c r="C189" s="199"/>
      <c r="D189" s="201" t="s">
        <v>143</v>
      </c>
      <c r="E189" s="18"/>
      <c r="F189" s="202"/>
      <c r="G189" s="18"/>
      <c r="H189" s="202"/>
      <c r="I189" s="128"/>
      <c r="J189" s="199"/>
      <c r="K189" s="203" t="s">
        <v>144</v>
      </c>
      <c r="L189" s="18"/>
      <c r="M189" s="202"/>
      <c r="N189" s="18"/>
      <c r="O189" s="202"/>
      <c r="P189" s="128"/>
      <c r="Q189" s="104"/>
      <c r="R189" s="199"/>
      <c r="S189" s="203" t="s">
        <v>145</v>
      </c>
      <c r="T189" s="18"/>
      <c r="U189" s="202"/>
      <c r="V189" s="18"/>
      <c r="W189" s="202"/>
      <c r="X189" s="128"/>
      <c r="Y189" s="199"/>
      <c r="Z189" s="203" t="s">
        <v>146</v>
      </c>
      <c r="AA189" s="18"/>
      <c r="AB189" s="202"/>
      <c r="AC189" s="18"/>
      <c r="AD189" s="202"/>
      <c r="AE189" s="128"/>
      <c r="AF189" s="200"/>
      <c r="AG189" s="105"/>
      <c r="AH189" s="95"/>
    </row>
    <row r="190">
      <c r="A190" s="95"/>
      <c r="B190" s="103"/>
      <c r="C190" s="199"/>
      <c r="D190" s="201" t="s">
        <v>147</v>
      </c>
      <c r="E190" s="18"/>
      <c r="F190" s="202"/>
      <c r="G190" s="18"/>
      <c r="H190" s="202"/>
      <c r="I190" s="128"/>
      <c r="J190" s="199"/>
      <c r="K190" s="203" t="s">
        <v>148</v>
      </c>
      <c r="L190" s="18"/>
      <c r="M190" s="202"/>
      <c r="N190" s="18"/>
      <c r="O190" s="202"/>
      <c r="P190" s="128"/>
      <c r="Q190" s="104"/>
      <c r="R190" s="199"/>
      <c r="S190" s="203" t="s">
        <v>149</v>
      </c>
      <c r="T190" s="18"/>
      <c r="U190" s="202"/>
      <c r="V190" s="18"/>
      <c r="W190" s="202"/>
      <c r="X190" s="128"/>
      <c r="Y190" s="199"/>
      <c r="Z190" s="203" t="s">
        <v>150</v>
      </c>
      <c r="AA190" s="18"/>
      <c r="AB190" s="202"/>
      <c r="AC190" s="18"/>
      <c r="AD190" s="202"/>
      <c r="AE190" s="128"/>
      <c r="AF190" s="200"/>
      <c r="AG190" s="105"/>
      <c r="AH190" s="95"/>
    </row>
    <row r="191">
      <c r="A191" s="95"/>
      <c r="B191" s="103"/>
      <c r="C191" s="199"/>
      <c r="D191" s="201" t="s">
        <v>151</v>
      </c>
      <c r="E191" s="18"/>
      <c r="F191" s="202"/>
      <c r="G191" s="18"/>
      <c r="H191" s="202"/>
      <c r="I191" s="128"/>
      <c r="J191" s="199"/>
      <c r="K191" s="203" t="s">
        <v>152</v>
      </c>
      <c r="L191" s="18"/>
      <c r="M191" s="202"/>
      <c r="N191" s="18"/>
      <c r="O191" s="202"/>
      <c r="P191" s="128"/>
      <c r="Q191" s="104"/>
      <c r="R191" s="199"/>
      <c r="S191" s="203" t="s">
        <v>153</v>
      </c>
      <c r="T191" s="18"/>
      <c r="U191" s="202"/>
      <c r="V191" s="18"/>
      <c r="W191" s="202"/>
      <c r="X191" s="128"/>
      <c r="Y191" s="199"/>
      <c r="Z191" s="203" t="s">
        <v>154</v>
      </c>
      <c r="AA191" s="18"/>
      <c r="AB191" s="202"/>
      <c r="AC191" s="18"/>
      <c r="AD191" s="202"/>
      <c r="AE191" s="128"/>
      <c r="AF191" s="200"/>
      <c r="AG191" s="105"/>
      <c r="AH191" s="95"/>
    </row>
    <row r="192">
      <c r="A192" s="95"/>
      <c r="B192" s="103"/>
      <c r="C192" s="199"/>
      <c r="D192" s="201" t="s">
        <v>155</v>
      </c>
      <c r="E192" s="18"/>
      <c r="F192" s="202"/>
      <c r="G192" s="18"/>
      <c r="H192" s="202"/>
      <c r="I192" s="128"/>
      <c r="J192" s="199"/>
      <c r="K192" s="203" t="s">
        <v>156</v>
      </c>
      <c r="L192" s="18"/>
      <c r="M192" s="202"/>
      <c r="N192" s="18"/>
      <c r="O192" s="202"/>
      <c r="P192" s="128"/>
      <c r="Q192" s="104"/>
      <c r="R192" s="199"/>
      <c r="S192" s="203" t="s">
        <v>157</v>
      </c>
      <c r="T192" s="18"/>
      <c r="U192" s="202"/>
      <c r="V192" s="18"/>
      <c r="W192" s="202"/>
      <c r="X192" s="128"/>
      <c r="Y192" s="199"/>
      <c r="Z192" s="203" t="s">
        <v>158</v>
      </c>
      <c r="AA192" s="18"/>
      <c r="AB192" s="202"/>
      <c r="AC192" s="18"/>
      <c r="AD192" s="202"/>
      <c r="AE192" s="128"/>
      <c r="AF192" s="200"/>
      <c r="AG192" s="105"/>
      <c r="AH192" s="95"/>
    </row>
    <row r="193">
      <c r="A193" s="95"/>
      <c r="B193" s="103"/>
      <c r="C193" s="199"/>
      <c r="D193" s="201" t="s">
        <v>159</v>
      </c>
      <c r="E193" s="18"/>
      <c r="F193" s="202"/>
      <c r="G193" s="18"/>
      <c r="H193" s="202"/>
      <c r="I193" s="128"/>
      <c r="J193" s="199"/>
      <c r="K193" s="203" t="s">
        <v>160</v>
      </c>
      <c r="L193" s="18"/>
      <c r="M193" s="202"/>
      <c r="N193" s="18"/>
      <c r="O193" s="202"/>
      <c r="P193" s="128"/>
      <c r="Q193" s="104"/>
      <c r="R193" s="199"/>
      <c r="S193" s="203" t="s">
        <v>161</v>
      </c>
      <c r="T193" s="18"/>
      <c r="U193" s="202"/>
      <c r="V193" s="18"/>
      <c r="W193" s="202"/>
      <c r="X193" s="128"/>
      <c r="Y193" s="199"/>
      <c r="Z193" s="203" t="s">
        <v>162</v>
      </c>
      <c r="AA193" s="18"/>
      <c r="AB193" s="202"/>
      <c r="AC193" s="18"/>
      <c r="AD193" s="202"/>
      <c r="AE193" s="128"/>
      <c r="AF193" s="200"/>
      <c r="AG193" s="105"/>
      <c r="AH193" s="95"/>
    </row>
    <row r="194">
      <c r="A194" s="95"/>
      <c r="B194" s="103"/>
      <c r="C194" s="199"/>
      <c r="D194" s="201" t="s">
        <v>163</v>
      </c>
      <c r="E194" s="18"/>
      <c r="F194" s="202"/>
      <c r="G194" s="18"/>
      <c r="H194" s="202"/>
      <c r="I194" s="128"/>
      <c r="J194" s="199"/>
      <c r="K194" s="203" t="s">
        <v>164</v>
      </c>
      <c r="L194" s="18"/>
      <c r="M194" s="202"/>
      <c r="N194" s="18"/>
      <c r="O194" s="202"/>
      <c r="P194" s="128"/>
      <c r="Q194" s="104"/>
      <c r="R194" s="199"/>
      <c r="S194" s="203" t="s">
        <v>165</v>
      </c>
      <c r="T194" s="18"/>
      <c r="U194" s="202"/>
      <c r="V194" s="18"/>
      <c r="W194" s="202"/>
      <c r="X194" s="128"/>
      <c r="Y194" s="199"/>
      <c r="Z194" s="203" t="s">
        <v>166</v>
      </c>
      <c r="AA194" s="18"/>
      <c r="AD194" s="202"/>
      <c r="AE194" s="128"/>
      <c r="AF194" s="200"/>
      <c r="AG194" s="105"/>
      <c r="AH194" s="95"/>
    </row>
    <row r="195">
      <c r="A195" s="95"/>
      <c r="B195" s="103"/>
      <c r="C195" s="199"/>
      <c r="D195" s="201" t="s">
        <v>167</v>
      </c>
      <c r="E195" s="18"/>
      <c r="F195" s="202"/>
      <c r="G195" s="18"/>
      <c r="H195" s="202"/>
      <c r="I195" s="128"/>
      <c r="J195" s="199"/>
      <c r="K195" s="203" t="s">
        <v>168</v>
      </c>
      <c r="L195" s="18"/>
      <c r="M195" s="202"/>
      <c r="N195" s="18"/>
      <c r="O195" s="202"/>
      <c r="P195" s="128"/>
      <c r="Q195" s="104"/>
      <c r="R195" s="199"/>
      <c r="S195" s="203" t="s">
        <v>169</v>
      </c>
      <c r="T195" s="18"/>
      <c r="U195" s="202"/>
      <c r="V195" s="18"/>
      <c r="W195" s="202"/>
      <c r="X195" s="128"/>
      <c r="Y195" s="199"/>
      <c r="Z195" s="203" t="s">
        <v>170</v>
      </c>
      <c r="AA195" s="18"/>
      <c r="AB195" s="204"/>
      <c r="AC195" s="18"/>
      <c r="AD195" s="202"/>
      <c r="AE195" s="128"/>
      <c r="AF195" s="200"/>
      <c r="AG195" s="105"/>
      <c r="AH195" s="95"/>
    </row>
    <row r="196">
      <c r="A196" s="95"/>
      <c r="B196" s="103"/>
      <c r="C196" s="199"/>
      <c r="D196" s="201" t="s">
        <v>171</v>
      </c>
      <c r="E196" s="18"/>
      <c r="F196" s="202"/>
      <c r="G196" s="18"/>
      <c r="H196" s="202"/>
      <c r="I196" s="128"/>
      <c r="J196" s="199"/>
      <c r="K196" s="203" t="s">
        <v>172</v>
      </c>
      <c r="L196" s="18"/>
      <c r="M196" s="202"/>
      <c r="N196" s="18"/>
      <c r="O196" s="202"/>
      <c r="P196" s="128"/>
      <c r="Q196" s="104"/>
      <c r="R196" s="199"/>
      <c r="S196" s="203" t="s">
        <v>173</v>
      </c>
      <c r="T196" s="18"/>
      <c r="U196" s="202"/>
      <c r="V196" s="18"/>
      <c r="W196" s="202"/>
      <c r="X196" s="128"/>
      <c r="Y196" s="199"/>
      <c r="Z196" s="203" t="s">
        <v>174</v>
      </c>
      <c r="AA196" s="18"/>
      <c r="AB196" s="204"/>
      <c r="AC196" s="18"/>
      <c r="AD196" s="202"/>
      <c r="AE196" s="128"/>
      <c r="AF196" s="200"/>
      <c r="AG196" s="105"/>
      <c r="AH196" s="95"/>
    </row>
    <row r="197">
      <c r="A197" s="95"/>
      <c r="B197" s="103"/>
      <c r="C197" s="199"/>
      <c r="D197" s="201" t="s">
        <v>175</v>
      </c>
      <c r="E197" s="18"/>
      <c r="F197" s="202"/>
      <c r="G197" s="18"/>
      <c r="H197" s="202"/>
      <c r="I197" s="128"/>
      <c r="J197" s="199"/>
      <c r="K197" s="203" t="s">
        <v>176</v>
      </c>
      <c r="L197" s="18"/>
      <c r="M197" s="202"/>
      <c r="N197" s="18"/>
      <c r="O197" s="202"/>
      <c r="P197" s="128"/>
      <c r="Q197" s="104"/>
      <c r="R197" s="199"/>
      <c r="S197" s="203" t="s">
        <v>177</v>
      </c>
      <c r="T197" s="18"/>
      <c r="U197" s="202"/>
      <c r="V197" s="18"/>
      <c r="W197" s="202"/>
      <c r="X197" s="128"/>
      <c r="Y197" s="199"/>
      <c r="Z197" s="205" t="s">
        <v>178</v>
      </c>
      <c r="AA197" s="27"/>
      <c r="AB197" s="206"/>
      <c r="AC197" s="27"/>
      <c r="AD197" s="206"/>
      <c r="AE197" s="189"/>
      <c r="AF197" s="200"/>
      <c r="AG197" s="105"/>
      <c r="AH197" s="95"/>
    </row>
    <row r="198">
      <c r="A198" s="95"/>
      <c r="B198" s="103"/>
      <c r="C198" s="199"/>
      <c r="D198" s="201" t="s">
        <v>179</v>
      </c>
      <c r="E198" s="18"/>
      <c r="F198" s="202"/>
      <c r="G198" s="18"/>
      <c r="H198" s="202"/>
      <c r="I198" s="128"/>
      <c r="J198" s="199"/>
      <c r="K198" s="203" t="s">
        <v>180</v>
      </c>
      <c r="L198" s="18"/>
      <c r="M198" s="202"/>
      <c r="N198" s="18"/>
      <c r="O198" s="202"/>
      <c r="P198" s="128"/>
      <c r="Q198" s="104"/>
      <c r="R198" s="199"/>
      <c r="S198" s="203" t="s">
        <v>126</v>
      </c>
      <c r="T198" s="18"/>
      <c r="U198" s="202"/>
      <c r="V198" s="18"/>
      <c r="W198" s="202"/>
      <c r="X198" s="128"/>
      <c r="Y198" s="199"/>
      <c r="Z198" s="207" t="s">
        <v>181</v>
      </c>
      <c r="AA198" s="90"/>
      <c r="AB198" s="208" t="str">
        <f>IFERROR(AVERAGE(AB184:AC197,U184:V198,M184:N198,F184:G198),"")</f>
        <v/>
      </c>
      <c r="AC198" s="90"/>
      <c r="AD198" s="209" t="str">
        <f>IFERROR(AVERAGE(AD184:AE197,W184:X198,O184:P198,H184:I198),"")</f>
        <v/>
      </c>
      <c r="AE198" s="210"/>
      <c r="AF198" s="104"/>
      <c r="AG198" s="105"/>
      <c r="AH198" s="95"/>
    </row>
    <row r="199">
      <c r="A199" s="95"/>
      <c r="B199" s="103"/>
      <c r="C199" s="104"/>
      <c r="D199" s="101"/>
      <c r="E199" s="101"/>
      <c r="F199" s="101"/>
      <c r="G199" s="101"/>
      <c r="H199" s="101"/>
      <c r="I199" s="101"/>
      <c r="J199" s="104"/>
      <c r="K199" s="101"/>
      <c r="L199" s="101"/>
      <c r="M199" s="101"/>
      <c r="N199" s="101"/>
      <c r="O199" s="101"/>
      <c r="P199" s="101"/>
      <c r="Q199" s="104"/>
      <c r="R199" s="104"/>
      <c r="S199" s="101"/>
      <c r="T199" s="101"/>
      <c r="U199" s="101"/>
      <c r="V199" s="101"/>
      <c r="W199" s="101"/>
      <c r="X199" s="101"/>
      <c r="Y199" s="104"/>
      <c r="Z199" s="101"/>
      <c r="AA199" s="101"/>
      <c r="AB199" s="101"/>
      <c r="AC199" s="101"/>
      <c r="AD199" s="101"/>
      <c r="AE199" s="101"/>
      <c r="AF199" s="104"/>
      <c r="AG199" s="105"/>
      <c r="AH199" s="95"/>
    </row>
    <row r="200">
      <c r="A200" s="95"/>
      <c r="B200" s="103"/>
      <c r="C200" s="104"/>
      <c r="D200" s="101"/>
      <c r="E200" s="101"/>
      <c r="F200" s="101"/>
      <c r="G200" s="101"/>
      <c r="H200" s="101"/>
      <c r="I200" s="101"/>
      <c r="J200" s="104"/>
      <c r="K200" s="101"/>
      <c r="L200" s="101"/>
      <c r="M200" s="101"/>
      <c r="N200" s="101"/>
      <c r="O200" s="101"/>
      <c r="P200" s="101"/>
      <c r="Q200" s="104"/>
      <c r="R200" s="104"/>
      <c r="S200" s="101"/>
      <c r="T200" s="101"/>
      <c r="U200" s="101"/>
      <c r="V200" s="101"/>
      <c r="W200" s="101"/>
      <c r="X200" s="101"/>
      <c r="Y200" s="104"/>
      <c r="Z200" s="101"/>
      <c r="AA200" s="101"/>
      <c r="AB200" s="101"/>
      <c r="AC200" s="101"/>
      <c r="AD200" s="101"/>
      <c r="AE200" s="101"/>
      <c r="AF200" s="104"/>
      <c r="AG200" s="105"/>
      <c r="AH200" s="95"/>
    </row>
    <row r="201">
      <c r="A201" s="95"/>
      <c r="B201" s="107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40"/>
      <c r="AH201" s="108"/>
    </row>
    <row r="202">
      <c r="A202" s="95"/>
      <c r="B202" s="182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7"/>
      <c r="R202" s="65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183"/>
      <c r="AH202" s="1"/>
    </row>
    <row r="203">
      <c r="A203" s="95"/>
      <c r="B203" s="91"/>
      <c r="Q203" s="13"/>
      <c r="R203" s="73"/>
      <c r="AG203" s="49"/>
      <c r="AH203" s="1"/>
    </row>
    <row r="204">
      <c r="A204" s="95"/>
      <c r="B204" s="91"/>
      <c r="Q204" s="13"/>
      <c r="R204" s="73"/>
      <c r="AG204" s="49"/>
      <c r="AH204" s="1"/>
    </row>
    <row r="205">
      <c r="A205" s="95"/>
      <c r="B205" s="91"/>
      <c r="Q205" s="13"/>
      <c r="R205" s="73"/>
      <c r="AG205" s="49"/>
      <c r="AH205" s="1"/>
    </row>
    <row r="206">
      <c r="A206" s="95"/>
      <c r="B206" s="91"/>
      <c r="Q206" s="13"/>
      <c r="R206" s="73"/>
      <c r="AG206" s="49"/>
      <c r="AH206" s="1"/>
    </row>
    <row r="207">
      <c r="A207" s="95"/>
      <c r="B207" s="91"/>
      <c r="Q207" s="13"/>
      <c r="R207" s="73"/>
      <c r="AG207" s="49"/>
      <c r="AH207" s="1"/>
    </row>
    <row r="208">
      <c r="A208" s="95"/>
      <c r="B208" s="91"/>
      <c r="Q208" s="13"/>
      <c r="R208" s="73"/>
      <c r="AG208" s="49"/>
      <c r="AH208" s="1"/>
    </row>
    <row r="209">
      <c r="A209" s="95"/>
      <c r="B209" s="91"/>
      <c r="Q209" s="13"/>
      <c r="R209" s="73"/>
      <c r="AG209" s="49"/>
      <c r="AH209" s="1"/>
    </row>
    <row r="210">
      <c r="A210" s="95"/>
      <c r="B210" s="91"/>
      <c r="Q210" s="13"/>
      <c r="R210" s="73"/>
      <c r="AG210" s="49"/>
      <c r="AH210" s="1"/>
    </row>
    <row r="211">
      <c r="A211" s="95"/>
      <c r="B211" s="91"/>
      <c r="Q211" s="13"/>
      <c r="R211" s="73"/>
      <c r="AG211" s="49"/>
      <c r="AH211" s="1"/>
    </row>
    <row r="212">
      <c r="A212" s="95"/>
      <c r="B212" s="91"/>
      <c r="Q212" s="13"/>
      <c r="R212" s="73"/>
      <c r="AG212" s="49"/>
      <c r="AH212" s="1"/>
    </row>
    <row r="213">
      <c r="A213" s="95"/>
      <c r="B213" s="91"/>
      <c r="Q213" s="13"/>
      <c r="R213" s="73"/>
      <c r="AG213" s="49"/>
      <c r="AH213" s="1"/>
    </row>
    <row r="214">
      <c r="A214" s="95"/>
      <c r="B214" s="91"/>
      <c r="Q214" s="13"/>
      <c r="R214" s="73"/>
      <c r="AG214" s="49"/>
      <c r="AH214" s="1"/>
    </row>
    <row r="215">
      <c r="A215" s="95"/>
      <c r="B215" s="91"/>
      <c r="Q215" s="13"/>
      <c r="R215" s="73"/>
      <c r="AG215" s="49"/>
      <c r="AH215" s="1"/>
    </row>
    <row r="216">
      <c r="A216" s="95"/>
      <c r="B216" s="91"/>
      <c r="Q216" s="13"/>
      <c r="R216" s="73"/>
      <c r="AG216" s="49"/>
      <c r="AH216" s="1"/>
    </row>
    <row r="217">
      <c r="A217" s="95"/>
      <c r="B217" s="91"/>
      <c r="Q217" s="13"/>
      <c r="R217" s="73"/>
      <c r="AG217" s="49"/>
      <c r="AH217" s="1"/>
    </row>
    <row r="218">
      <c r="A218" s="95"/>
      <c r="B218" s="91"/>
      <c r="Q218" s="13"/>
      <c r="R218" s="73"/>
      <c r="AG218" s="49"/>
      <c r="AH218" s="1"/>
    </row>
    <row r="219">
      <c r="A219" s="95"/>
      <c r="B219" s="211" t="s">
        <v>182</v>
      </c>
      <c r="C219" s="93"/>
      <c r="D219" s="143"/>
      <c r="E219" s="146" t="s">
        <v>183</v>
      </c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143"/>
      <c r="R219" s="212" t="s">
        <v>184</v>
      </c>
      <c r="S219" s="93"/>
      <c r="T219" s="143"/>
      <c r="U219" s="146" t="s">
        <v>185</v>
      </c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128"/>
      <c r="AH219" s="86"/>
    </row>
    <row r="220">
      <c r="A220" s="95"/>
      <c r="B220" s="213" t="s">
        <v>186</v>
      </c>
      <c r="AG220" s="49"/>
      <c r="AH220" s="214"/>
    </row>
    <row r="221" ht="97.5" customHeight="1">
      <c r="A221" s="95"/>
      <c r="B221" s="215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5"/>
      <c r="AH221" s="216"/>
    </row>
    <row r="222">
      <c r="A222" s="95"/>
      <c r="B222" s="217"/>
      <c r="C222" s="218"/>
      <c r="D222" s="218"/>
      <c r="E222" s="218"/>
      <c r="F222" s="219"/>
      <c r="G222" s="220" t="s">
        <v>187</v>
      </c>
      <c r="H222" s="15"/>
      <c r="I222" s="15"/>
      <c r="J222" s="15"/>
      <c r="K222" s="15"/>
      <c r="L222" s="15"/>
      <c r="M222" s="15"/>
      <c r="N222" s="15"/>
      <c r="O222" s="16"/>
      <c r="P222" s="220" t="s">
        <v>188</v>
      </c>
      <c r="Q222" s="15"/>
      <c r="R222" s="15"/>
      <c r="S222" s="15"/>
      <c r="T222" s="15"/>
      <c r="U222" s="15"/>
      <c r="V222" s="15"/>
      <c r="W222" s="15"/>
      <c r="X222" s="16"/>
      <c r="Y222" s="221" t="s">
        <v>189</v>
      </c>
      <c r="Z222" s="15"/>
      <c r="AA222" s="15"/>
      <c r="AB222" s="15"/>
      <c r="AC222" s="15"/>
      <c r="AD222" s="15"/>
      <c r="AE222" s="15"/>
      <c r="AF222" s="15"/>
      <c r="AG222" s="222"/>
      <c r="AH222" s="11"/>
    </row>
    <row r="223" ht="70.5" customHeight="1">
      <c r="A223" s="95"/>
      <c r="B223" s="223" t="s">
        <v>190</v>
      </c>
      <c r="C223" s="39"/>
      <c r="D223" s="39"/>
      <c r="E223" s="39"/>
      <c r="F223" s="40"/>
      <c r="G223" s="141"/>
      <c r="H223" s="93"/>
      <c r="I223" s="93"/>
      <c r="J223" s="93"/>
      <c r="K223" s="93"/>
      <c r="L223" s="93"/>
      <c r="M223" s="93"/>
      <c r="N223" s="93"/>
      <c r="O223" s="18"/>
      <c r="P223" s="224"/>
      <c r="Q223" s="93"/>
      <c r="R223" s="93"/>
      <c r="S223" s="93"/>
      <c r="T223" s="93"/>
      <c r="U223" s="93"/>
      <c r="V223" s="93"/>
      <c r="W223" s="93"/>
      <c r="X223" s="18"/>
      <c r="Y223" s="225"/>
      <c r="Z223" s="93"/>
      <c r="AA223" s="93"/>
      <c r="AB223" s="93"/>
      <c r="AC223" s="93"/>
      <c r="AD223" s="93"/>
      <c r="AE223" s="93"/>
      <c r="AF223" s="93"/>
      <c r="AG223" s="18"/>
      <c r="AH223" s="226"/>
    </row>
    <row r="224">
      <c r="A224" s="95"/>
      <c r="B224" s="223" t="s">
        <v>191</v>
      </c>
      <c r="C224" s="39"/>
      <c r="D224" s="39"/>
      <c r="E224" s="39"/>
      <c r="F224" s="40"/>
      <c r="G224" s="141"/>
      <c r="H224" s="93"/>
      <c r="I224" s="93"/>
      <c r="J224" s="93"/>
      <c r="K224" s="93"/>
      <c r="L224" s="93"/>
      <c r="M224" s="93"/>
      <c r="N224" s="93"/>
      <c r="O224" s="18"/>
      <c r="P224" s="224"/>
      <c r="Q224" s="93"/>
      <c r="R224" s="93"/>
      <c r="S224" s="93"/>
      <c r="T224" s="93"/>
      <c r="U224" s="93"/>
      <c r="V224" s="93"/>
      <c r="W224" s="93"/>
      <c r="X224" s="18"/>
      <c r="Y224" s="141"/>
      <c r="Z224" s="93"/>
      <c r="AA224" s="93"/>
      <c r="AB224" s="93"/>
      <c r="AC224" s="93"/>
      <c r="AD224" s="93"/>
      <c r="AE224" s="93"/>
      <c r="AF224" s="93"/>
      <c r="AG224" s="18"/>
      <c r="AH224" s="1"/>
    </row>
    <row r="225">
      <c r="A225" s="95"/>
      <c r="B225" s="223" t="s">
        <v>192</v>
      </c>
      <c r="C225" s="39"/>
      <c r="D225" s="39"/>
      <c r="E225" s="39"/>
      <c r="F225" s="40"/>
      <c r="G225" s="141"/>
      <c r="H225" s="93"/>
      <c r="I225" s="93"/>
      <c r="J225" s="93"/>
      <c r="K225" s="93"/>
      <c r="L225" s="93"/>
      <c r="M225" s="93"/>
      <c r="N225" s="93"/>
      <c r="O225" s="18"/>
      <c r="P225" s="224"/>
      <c r="Q225" s="93"/>
      <c r="R225" s="93"/>
      <c r="S225" s="93"/>
      <c r="T225" s="93"/>
      <c r="U225" s="93"/>
      <c r="V225" s="93"/>
      <c r="W225" s="93"/>
      <c r="X225" s="18"/>
      <c r="Y225" s="141"/>
      <c r="Z225" s="93"/>
      <c r="AA225" s="93"/>
      <c r="AB225" s="93"/>
      <c r="AC225" s="93"/>
      <c r="AD225" s="93"/>
      <c r="AE225" s="93"/>
      <c r="AF225" s="93"/>
      <c r="AG225" s="18"/>
      <c r="AH225" s="1"/>
    </row>
    <row r="226">
      <c r="A226" s="95"/>
      <c r="B226" s="227" t="s">
        <v>193</v>
      </c>
      <c r="C226" s="228"/>
      <c r="D226" s="228"/>
      <c r="E226" s="228"/>
      <c r="F226" s="229"/>
      <c r="G226" s="230"/>
      <c r="H226" s="93"/>
      <c r="I226" s="93"/>
      <c r="J226" s="93"/>
      <c r="K226" s="93"/>
      <c r="L226" s="93"/>
      <c r="M226" s="93"/>
      <c r="N226" s="93"/>
      <c r="O226" s="18"/>
      <c r="P226" s="231"/>
      <c r="Q226" s="93"/>
      <c r="R226" s="93"/>
      <c r="S226" s="93"/>
      <c r="T226" s="93"/>
      <c r="U226" s="93"/>
      <c r="V226" s="93"/>
      <c r="W226" s="93"/>
      <c r="X226" s="18"/>
      <c r="Y226" s="230"/>
      <c r="Z226" s="93"/>
      <c r="AA226" s="93"/>
      <c r="AB226" s="93"/>
      <c r="AC226" s="93"/>
      <c r="AD226" s="93"/>
      <c r="AE226" s="93"/>
      <c r="AF226" s="93"/>
      <c r="AG226" s="18"/>
      <c r="AH226" s="30"/>
    </row>
    <row r="227">
      <c r="A227" s="95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95"/>
    </row>
    <row r="228">
      <c r="A228" s="95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95"/>
    </row>
    <row r="229">
      <c r="A229" s="95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95"/>
    </row>
    <row r="230">
      <c r="A230" s="95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95"/>
    </row>
    <row r="231">
      <c r="A231" s="95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95"/>
    </row>
    <row r="232">
      <c r="A232" s="95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95"/>
    </row>
    <row r="233">
      <c r="A233" s="95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95"/>
    </row>
    <row r="234">
      <c r="A234" s="95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95"/>
    </row>
    <row r="235">
      <c r="A235" s="95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95"/>
    </row>
    <row r="236">
      <c r="A236" s="95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95"/>
    </row>
    <row r="237">
      <c r="A237" s="95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95"/>
    </row>
    <row r="238">
      <c r="A238" s="95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95"/>
    </row>
    <row r="239">
      <c r="A239" s="95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95"/>
    </row>
    <row r="240">
      <c r="A240" s="95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95"/>
    </row>
    <row r="241">
      <c r="A241" s="95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95"/>
    </row>
    <row r="242">
      <c r="A242" s="95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95"/>
    </row>
    <row r="243">
      <c r="A243" s="95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95"/>
    </row>
    <row r="244">
      <c r="A244" s="95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95"/>
    </row>
    <row r="245">
      <c r="A245" s="95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95"/>
    </row>
    <row r="246">
      <c r="A246" s="95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95"/>
    </row>
    <row r="247">
      <c r="A247" s="95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95"/>
    </row>
    <row r="248">
      <c r="A248" s="95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95"/>
    </row>
    <row r="249">
      <c r="A249" s="95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95"/>
    </row>
    <row r="250">
      <c r="A250" s="95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95"/>
    </row>
    <row r="251">
      <c r="A251" s="95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95"/>
    </row>
    <row r="252">
      <c r="A252" s="95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95"/>
    </row>
    <row r="253">
      <c r="A253" s="95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95"/>
    </row>
    <row r="254">
      <c r="A254" s="95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95"/>
    </row>
    <row r="255">
      <c r="A255" s="95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95"/>
    </row>
    <row r="256">
      <c r="A256" s="95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95"/>
    </row>
    <row r="257">
      <c r="A257" s="95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95"/>
    </row>
    <row r="258">
      <c r="A258" s="95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95"/>
    </row>
    <row r="259">
      <c r="A259" s="95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95"/>
    </row>
    <row r="260">
      <c r="A260" s="95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95"/>
    </row>
    <row r="261">
      <c r="A261" s="95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95"/>
    </row>
    <row r="262">
      <c r="A262" s="95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95"/>
    </row>
    <row r="263">
      <c r="A263" s="95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95"/>
    </row>
    <row r="264">
      <c r="A264" s="95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95"/>
    </row>
    <row r="265">
      <c r="A265" s="95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95"/>
    </row>
    <row r="266">
      <c r="A266" s="95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95"/>
    </row>
    <row r="267">
      <c r="A267" s="95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95"/>
    </row>
    <row r="268">
      <c r="A268" s="95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95"/>
    </row>
    <row r="269">
      <c r="A269" s="95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95"/>
    </row>
    <row r="270">
      <c r="A270" s="95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95"/>
    </row>
    <row r="271">
      <c r="A271" s="95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95"/>
    </row>
    <row r="272">
      <c r="A272" s="95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95"/>
    </row>
    <row r="273">
      <c r="A273" s="95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95"/>
    </row>
    <row r="274">
      <c r="A274" s="95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95"/>
    </row>
    <row r="275">
      <c r="A275" s="95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95"/>
    </row>
    <row r="276">
      <c r="A276" s="95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95"/>
    </row>
    <row r="277">
      <c r="A277" s="95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95"/>
    </row>
    <row r="278">
      <c r="A278" s="95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95"/>
    </row>
    <row r="279">
      <c r="A279" s="95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95"/>
    </row>
    <row r="280">
      <c r="A280" s="95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95"/>
    </row>
    <row r="281">
      <c r="A281" s="95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95"/>
    </row>
    <row r="282">
      <c r="A282" s="95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95"/>
    </row>
    <row r="283">
      <c r="A283" s="95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95"/>
    </row>
    <row r="284">
      <c r="A284" s="95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95"/>
    </row>
    <row r="285">
      <c r="A285" s="95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95"/>
    </row>
    <row r="286">
      <c r="A286" s="95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95"/>
    </row>
    <row r="287">
      <c r="A287" s="95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95"/>
    </row>
    <row r="288">
      <c r="A288" s="95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95"/>
    </row>
    <row r="289">
      <c r="A289" s="95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95"/>
    </row>
    <row r="290">
      <c r="A290" s="95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95"/>
    </row>
    <row r="291">
      <c r="A291" s="95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95"/>
    </row>
    <row r="292">
      <c r="A292" s="95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95"/>
    </row>
    <row r="293">
      <c r="A293" s="95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95"/>
    </row>
    <row r="294">
      <c r="A294" s="95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95"/>
    </row>
    <row r="295">
      <c r="A295" s="95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95"/>
    </row>
    <row r="296">
      <c r="A296" s="95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95"/>
    </row>
    <row r="297">
      <c r="A297" s="95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95"/>
    </row>
    <row r="298">
      <c r="A298" s="95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95"/>
    </row>
    <row r="299">
      <c r="A299" s="95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95"/>
    </row>
    <row r="300">
      <c r="A300" s="95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95"/>
    </row>
    <row r="301">
      <c r="A301" s="95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95"/>
    </row>
    <row r="302">
      <c r="A302" s="95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95"/>
    </row>
    <row r="303">
      <c r="A303" s="95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2"/>
      <c r="AC303" s="232"/>
      <c r="AD303" s="232"/>
      <c r="AE303" s="232"/>
      <c r="AF303" s="232"/>
      <c r="AG303" s="232"/>
      <c r="AH303" s="95"/>
    </row>
    <row r="304">
      <c r="A304" s="95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2"/>
      <c r="AC304" s="232"/>
      <c r="AD304" s="232"/>
      <c r="AE304" s="232"/>
      <c r="AF304" s="232"/>
      <c r="AG304" s="232"/>
      <c r="AH304" s="95"/>
    </row>
    <row r="305">
      <c r="A305" s="95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2"/>
      <c r="AC305" s="232"/>
      <c r="AD305" s="232"/>
      <c r="AE305" s="232"/>
      <c r="AF305" s="232"/>
      <c r="AG305" s="232"/>
      <c r="AH305" s="95"/>
    </row>
    <row r="306">
      <c r="A306" s="95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2"/>
      <c r="AC306" s="232"/>
      <c r="AD306" s="232"/>
      <c r="AE306" s="232"/>
      <c r="AF306" s="232"/>
      <c r="AG306" s="232"/>
      <c r="AH306" s="95"/>
    </row>
    <row r="307">
      <c r="A307" s="95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2"/>
      <c r="AC307" s="232"/>
      <c r="AD307" s="232"/>
      <c r="AE307" s="232"/>
      <c r="AF307" s="232"/>
      <c r="AG307" s="232"/>
      <c r="AH307" s="95"/>
    </row>
    <row r="308">
      <c r="A308" s="95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2"/>
      <c r="AC308" s="232"/>
      <c r="AD308" s="232"/>
      <c r="AE308" s="232"/>
      <c r="AF308" s="232"/>
      <c r="AG308" s="232"/>
      <c r="AH308" s="95"/>
    </row>
    <row r="309">
      <c r="A309" s="95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2"/>
      <c r="AC309" s="232"/>
      <c r="AD309" s="232"/>
      <c r="AE309" s="232"/>
      <c r="AF309" s="232"/>
      <c r="AG309" s="232"/>
      <c r="AH309" s="95"/>
    </row>
    <row r="310">
      <c r="A310" s="95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2"/>
      <c r="AC310" s="232"/>
      <c r="AD310" s="232"/>
      <c r="AE310" s="232"/>
      <c r="AF310" s="232"/>
      <c r="AG310" s="232"/>
      <c r="AH310" s="95"/>
    </row>
    <row r="311">
      <c r="A311" s="95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2"/>
      <c r="AC311" s="232"/>
      <c r="AD311" s="232"/>
      <c r="AE311" s="232"/>
      <c r="AF311" s="232"/>
      <c r="AG311" s="232"/>
      <c r="AH311" s="95"/>
    </row>
    <row r="312">
      <c r="A312" s="95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95"/>
    </row>
    <row r="313">
      <c r="A313" s="95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  <c r="AE313" s="232"/>
      <c r="AF313" s="232"/>
      <c r="AG313" s="232"/>
      <c r="AH313" s="95"/>
    </row>
    <row r="314">
      <c r="A314" s="95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2"/>
      <c r="AC314" s="232"/>
      <c r="AD314" s="232"/>
      <c r="AE314" s="232"/>
      <c r="AF314" s="232"/>
      <c r="AG314" s="232"/>
      <c r="AH314" s="95"/>
    </row>
    <row r="315">
      <c r="A315" s="95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2"/>
      <c r="AC315" s="232"/>
      <c r="AD315" s="232"/>
      <c r="AE315" s="232"/>
      <c r="AF315" s="232"/>
      <c r="AG315" s="232"/>
      <c r="AH315" s="95"/>
    </row>
    <row r="316">
      <c r="A316" s="95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2"/>
      <c r="AC316" s="232"/>
      <c r="AD316" s="232"/>
      <c r="AE316" s="232"/>
      <c r="AF316" s="232"/>
      <c r="AG316" s="232"/>
      <c r="AH316" s="95"/>
    </row>
    <row r="317">
      <c r="A317" s="95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2"/>
      <c r="AC317" s="232"/>
      <c r="AD317" s="232"/>
      <c r="AE317" s="232"/>
      <c r="AF317" s="232"/>
      <c r="AG317" s="232"/>
      <c r="AH317" s="95"/>
    </row>
    <row r="318">
      <c r="A318" s="95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2"/>
      <c r="AC318" s="232"/>
      <c r="AD318" s="232"/>
      <c r="AE318" s="232"/>
      <c r="AF318" s="232"/>
      <c r="AG318" s="232"/>
      <c r="AH318" s="95"/>
    </row>
    <row r="319">
      <c r="A319" s="95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2"/>
      <c r="AC319" s="232"/>
      <c r="AD319" s="232"/>
      <c r="AE319" s="232"/>
      <c r="AF319" s="232"/>
      <c r="AG319" s="232"/>
      <c r="AH319" s="95"/>
    </row>
    <row r="320">
      <c r="A320" s="95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2"/>
      <c r="AC320" s="232"/>
      <c r="AD320" s="232"/>
      <c r="AE320" s="232"/>
      <c r="AF320" s="232"/>
      <c r="AG320" s="232"/>
      <c r="AH320" s="95"/>
    </row>
    <row r="321">
      <c r="A321" s="95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2"/>
      <c r="AC321" s="232"/>
      <c r="AD321" s="232"/>
      <c r="AE321" s="232"/>
      <c r="AF321" s="232"/>
      <c r="AG321" s="232"/>
      <c r="AH321" s="95"/>
    </row>
    <row r="322">
      <c r="A322" s="95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2"/>
      <c r="AC322" s="232"/>
      <c r="AD322" s="232"/>
      <c r="AE322" s="232"/>
      <c r="AF322" s="232"/>
      <c r="AG322" s="232"/>
      <c r="AH322" s="95"/>
    </row>
    <row r="323">
      <c r="A323" s="95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2"/>
      <c r="AC323" s="232"/>
      <c r="AD323" s="232"/>
      <c r="AE323" s="232"/>
      <c r="AF323" s="232"/>
      <c r="AG323" s="232"/>
      <c r="AH323" s="95"/>
    </row>
    <row r="324">
      <c r="A324" s="95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2"/>
      <c r="AC324" s="232"/>
      <c r="AD324" s="232"/>
      <c r="AE324" s="232"/>
      <c r="AF324" s="232"/>
      <c r="AG324" s="232"/>
      <c r="AH324" s="95"/>
    </row>
    <row r="325">
      <c r="A325" s="95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2"/>
      <c r="AC325" s="232"/>
      <c r="AD325" s="232"/>
      <c r="AE325" s="232"/>
      <c r="AF325" s="232"/>
      <c r="AG325" s="232"/>
      <c r="AH325" s="95"/>
    </row>
    <row r="326">
      <c r="A326" s="95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2"/>
      <c r="AC326" s="232"/>
      <c r="AD326" s="232"/>
      <c r="AE326" s="232"/>
      <c r="AF326" s="232"/>
      <c r="AG326" s="232"/>
      <c r="AH326" s="95"/>
    </row>
    <row r="327">
      <c r="A327" s="95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2"/>
      <c r="AC327" s="232"/>
      <c r="AD327" s="232"/>
      <c r="AE327" s="232"/>
      <c r="AF327" s="232"/>
      <c r="AG327" s="232"/>
      <c r="AH327" s="95"/>
    </row>
    <row r="328">
      <c r="A328" s="95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2"/>
      <c r="AC328" s="232"/>
      <c r="AD328" s="232"/>
      <c r="AE328" s="232"/>
      <c r="AF328" s="232"/>
      <c r="AG328" s="232"/>
      <c r="AH328" s="95"/>
    </row>
    <row r="329">
      <c r="A329" s="95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2"/>
      <c r="AC329" s="232"/>
      <c r="AD329" s="232"/>
      <c r="AE329" s="232"/>
      <c r="AF329" s="232"/>
      <c r="AG329" s="232"/>
      <c r="AH329" s="95"/>
    </row>
    <row r="330">
      <c r="A330" s="95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2"/>
      <c r="AC330" s="232"/>
      <c r="AD330" s="232"/>
      <c r="AE330" s="232"/>
      <c r="AF330" s="232"/>
      <c r="AG330" s="232"/>
      <c r="AH330" s="95"/>
    </row>
    <row r="331">
      <c r="A331" s="95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2"/>
      <c r="AC331" s="232"/>
      <c r="AD331" s="232"/>
      <c r="AE331" s="232"/>
      <c r="AF331" s="232"/>
      <c r="AG331" s="232"/>
      <c r="AH331" s="95"/>
    </row>
    <row r="332">
      <c r="A332" s="95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2"/>
      <c r="AC332" s="232"/>
      <c r="AD332" s="232"/>
      <c r="AE332" s="232"/>
      <c r="AF332" s="232"/>
      <c r="AG332" s="232"/>
      <c r="AH332" s="95"/>
    </row>
    <row r="333">
      <c r="A333" s="95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2"/>
      <c r="AC333" s="232"/>
      <c r="AD333" s="232"/>
      <c r="AE333" s="232"/>
      <c r="AF333" s="232"/>
      <c r="AG333" s="232"/>
      <c r="AH333" s="95"/>
    </row>
    <row r="334">
      <c r="A334" s="95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2"/>
      <c r="AH334" s="95"/>
    </row>
    <row r="335">
      <c r="A335" s="95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2"/>
      <c r="AC335" s="232"/>
      <c r="AD335" s="232"/>
      <c r="AE335" s="232"/>
      <c r="AF335" s="232"/>
      <c r="AG335" s="232"/>
      <c r="AH335" s="95"/>
    </row>
    <row r="336">
      <c r="A336" s="95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2"/>
      <c r="AC336" s="232"/>
      <c r="AD336" s="232"/>
      <c r="AE336" s="232"/>
      <c r="AF336" s="232"/>
      <c r="AG336" s="232"/>
      <c r="AH336" s="95"/>
    </row>
    <row r="337">
      <c r="A337" s="95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2"/>
      <c r="AC337" s="232"/>
      <c r="AD337" s="232"/>
      <c r="AE337" s="232"/>
      <c r="AF337" s="232"/>
      <c r="AG337" s="232"/>
      <c r="AH337" s="95"/>
    </row>
    <row r="338">
      <c r="A338" s="95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2"/>
      <c r="AC338" s="232"/>
      <c r="AD338" s="232"/>
      <c r="AE338" s="232"/>
      <c r="AF338" s="232"/>
      <c r="AG338" s="232"/>
      <c r="AH338" s="95"/>
    </row>
    <row r="339">
      <c r="A339" s="95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2"/>
      <c r="AC339" s="232"/>
      <c r="AD339" s="232"/>
      <c r="AE339" s="232"/>
      <c r="AF339" s="232"/>
      <c r="AG339" s="232"/>
      <c r="AH339" s="95"/>
    </row>
    <row r="340">
      <c r="A340" s="95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2"/>
      <c r="AC340" s="232"/>
      <c r="AD340" s="232"/>
      <c r="AE340" s="232"/>
      <c r="AF340" s="232"/>
      <c r="AG340" s="232"/>
      <c r="AH340" s="95"/>
    </row>
    <row r="341">
      <c r="A341" s="95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2"/>
      <c r="AC341" s="232"/>
      <c r="AD341" s="232"/>
      <c r="AE341" s="232"/>
      <c r="AF341" s="232"/>
      <c r="AG341" s="232"/>
      <c r="AH341" s="95"/>
    </row>
    <row r="342">
      <c r="A342" s="95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  <c r="AE342" s="232"/>
      <c r="AF342" s="232"/>
      <c r="AG342" s="232"/>
      <c r="AH342" s="95"/>
    </row>
    <row r="343">
      <c r="A343" s="95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  <c r="AA343" s="232"/>
      <c r="AB343" s="232"/>
      <c r="AC343" s="232"/>
      <c r="AD343" s="232"/>
      <c r="AE343" s="232"/>
      <c r="AF343" s="232"/>
      <c r="AG343" s="232"/>
      <c r="AH343" s="95"/>
    </row>
    <row r="344">
      <c r="A344" s="95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  <c r="AA344" s="232"/>
      <c r="AB344" s="232"/>
      <c r="AC344" s="232"/>
      <c r="AD344" s="232"/>
      <c r="AE344" s="232"/>
      <c r="AF344" s="232"/>
      <c r="AG344" s="232"/>
      <c r="AH344" s="95"/>
    </row>
    <row r="345">
      <c r="A345" s="95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  <c r="AA345" s="232"/>
      <c r="AB345" s="232"/>
      <c r="AC345" s="232"/>
      <c r="AD345" s="232"/>
      <c r="AE345" s="232"/>
      <c r="AF345" s="232"/>
      <c r="AG345" s="232"/>
      <c r="AH345" s="95"/>
    </row>
    <row r="346">
      <c r="A346" s="95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  <c r="AA346" s="232"/>
      <c r="AB346" s="232"/>
      <c r="AC346" s="232"/>
      <c r="AD346" s="232"/>
      <c r="AE346" s="232"/>
      <c r="AF346" s="232"/>
      <c r="AG346" s="232"/>
      <c r="AH346" s="95"/>
    </row>
    <row r="347">
      <c r="A347" s="95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  <c r="AA347" s="232"/>
      <c r="AB347" s="232"/>
      <c r="AC347" s="232"/>
      <c r="AD347" s="232"/>
      <c r="AE347" s="232"/>
      <c r="AF347" s="232"/>
      <c r="AG347" s="232"/>
      <c r="AH347" s="95"/>
    </row>
    <row r="348">
      <c r="A348" s="95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  <c r="AA348" s="232"/>
      <c r="AB348" s="232"/>
      <c r="AC348" s="232"/>
      <c r="AD348" s="232"/>
      <c r="AE348" s="232"/>
      <c r="AF348" s="232"/>
      <c r="AG348" s="232"/>
      <c r="AH348" s="95"/>
    </row>
    <row r="349">
      <c r="A349" s="95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  <c r="AA349" s="232"/>
      <c r="AB349" s="232"/>
      <c r="AC349" s="232"/>
      <c r="AD349" s="232"/>
      <c r="AE349" s="232"/>
      <c r="AF349" s="232"/>
      <c r="AG349" s="232"/>
      <c r="AH349" s="95"/>
    </row>
    <row r="350">
      <c r="A350" s="95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  <c r="AA350" s="232"/>
      <c r="AB350" s="232"/>
      <c r="AC350" s="232"/>
      <c r="AD350" s="232"/>
      <c r="AE350" s="232"/>
      <c r="AF350" s="232"/>
      <c r="AG350" s="232"/>
      <c r="AH350" s="95"/>
    </row>
    <row r="351">
      <c r="A351" s="95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  <c r="AA351" s="232"/>
      <c r="AB351" s="232"/>
      <c r="AC351" s="232"/>
      <c r="AD351" s="232"/>
      <c r="AE351" s="232"/>
      <c r="AF351" s="232"/>
      <c r="AG351" s="232"/>
      <c r="AH351" s="95"/>
    </row>
    <row r="352">
      <c r="A352" s="95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  <c r="AA352" s="232"/>
      <c r="AB352" s="232"/>
      <c r="AC352" s="232"/>
      <c r="AD352" s="232"/>
      <c r="AE352" s="232"/>
      <c r="AF352" s="232"/>
      <c r="AG352" s="232"/>
      <c r="AH352" s="95"/>
    </row>
    <row r="353">
      <c r="A353" s="95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  <c r="AA353" s="232"/>
      <c r="AB353" s="232"/>
      <c r="AC353" s="232"/>
      <c r="AD353" s="232"/>
      <c r="AE353" s="232"/>
      <c r="AF353" s="232"/>
      <c r="AG353" s="232"/>
      <c r="AH353" s="95"/>
    </row>
    <row r="354">
      <c r="A354" s="95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  <c r="AA354" s="232"/>
      <c r="AB354" s="232"/>
      <c r="AC354" s="232"/>
      <c r="AD354" s="232"/>
      <c r="AE354" s="232"/>
      <c r="AF354" s="232"/>
      <c r="AG354" s="232"/>
      <c r="AH354" s="95"/>
    </row>
    <row r="355">
      <c r="A355" s="95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  <c r="AA355" s="232"/>
      <c r="AB355" s="232"/>
      <c r="AC355" s="232"/>
      <c r="AD355" s="232"/>
      <c r="AE355" s="232"/>
      <c r="AF355" s="232"/>
      <c r="AG355" s="232"/>
      <c r="AH355" s="95"/>
    </row>
    <row r="356">
      <c r="A356" s="95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  <c r="AA356" s="232"/>
      <c r="AB356" s="232"/>
      <c r="AC356" s="232"/>
      <c r="AD356" s="232"/>
      <c r="AE356" s="232"/>
      <c r="AF356" s="232"/>
      <c r="AG356" s="232"/>
      <c r="AH356" s="95"/>
    </row>
    <row r="357">
      <c r="A357" s="95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  <c r="AA357" s="232"/>
      <c r="AB357" s="232"/>
      <c r="AC357" s="232"/>
      <c r="AD357" s="232"/>
      <c r="AE357" s="232"/>
      <c r="AF357" s="232"/>
      <c r="AG357" s="232"/>
      <c r="AH357" s="95"/>
    </row>
    <row r="358">
      <c r="A358" s="95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  <c r="AE358" s="232"/>
      <c r="AF358" s="232"/>
      <c r="AG358" s="232"/>
      <c r="AH358" s="95"/>
    </row>
    <row r="359">
      <c r="A359" s="95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  <c r="AA359" s="232"/>
      <c r="AB359" s="232"/>
      <c r="AC359" s="232"/>
      <c r="AD359" s="232"/>
      <c r="AE359" s="232"/>
      <c r="AF359" s="232"/>
      <c r="AG359" s="232"/>
      <c r="AH359" s="95"/>
    </row>
    <row r="360">
      <c r="A360" s="95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  <c r="AA360" s="232"/>
      <c r="AB360" s="232"/>
      <c r="AC360" s="232"/>
      <c r="AD360" s="232"/>
      <c r="AE360" s="232"/>
      <c r="AF360" s="232"/>
      <c r="AG360" s="232"/>
      <c r="AH360" s="95"/>
    </row>
    <row r="361">
      <c r="A361" s="95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  <c r="AA361" s="232"/>
      <c r="AB361" s="232"/>
      <c r="AC361" s="232"/>
      <c r="AD361" s="232"/>
      <c r="AE361" s="232"/>
      <c r="AF361" s="232"/>
      <c r="AG361" s="232"/>
      <c r="AH361" s="95"/>
    </row>
    <row r="362">
      <c r="A362" s="95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  <c r="AA362" s="232"/>
      <c r="AB362" s="232"/>
      <c r="AC362" s="232"/>
      <c r="AD362" s="232"/>
      <c r="AE362" s="232"/>
      <c r="AF362" s="232"/>
      <c r="AG362" s="232"/>
      <c r="AH362" s="95"/>
    </row>
    <row r="363">
      <c r="A363" s="95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  <c r="AA363" s="232"/>
      <c r="AB363" s="232"/>
      <c r="AC363" s="232"/>
      <c r="AD363" s="232"/>
      <c r="AE363" s="232"/>
      <c r="AF363" s="232"/>
      <c r="AG363" s="232"/>
      <c r="AH363" s="95"/>
    </row>
    <row r="364">
      <c r="A364" s="95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  <c r="AA364" s="232"/>
      <c r="AB364" s="232"/>
      <c r="AC364" s="232"/>
      <c r="AD364" s="232"/>
      <c r="AE364" s="232"/>
      <c r="AF364" s="232"/>
      <c r="AG364" s="232"/>
      <c r="AH364" s="95"/>
    </row>
    <row r="365">
      <c r="A365" s="95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  <c r="AA365" s="232"/>
      <c r="AB365" s="232"/>
      <c r="AC365" s="232"/>
      <c r="AD365" s="232"/>
      <c r="AE365" s="232"/>
      <c r="AF365" s="232"/>
      <c r="AG365" s="232"/>
      <c r="AH365" s="95"/>
    </row>
    <row r="366">
      <c r="A366" s="95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  <c r="AA366" s="232"/>
      <c r="AB366" s="232"/>
      <c r="AC366" s="232"/>
      <c r="AD366" s="232"/>
      <c r="AE366" s="232"/>
      <c r="AF366" s="232"/>
      <c r="AG366" s="232"/>
      <c r="AH366" s="95"/>
    </row>
    <row r="367">
      <c r="A367" s="95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  <c r="AA367" s="232"/>
      <c r="AB367" s="232"/>
      <c r="AC367" s="232"/>
      <c r="AD367" s="232"/>
      <c r="AE367" s="232"/>
      <c r="AF367" s="232"/>
      <c r="AG367" s="232"/>
      <c r="AH367" s="95"/>
    </row>
    <row r="368">
      <c r="A368" s="95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  <c r="AA368" s="232"/>
      <c r="AB368" s="232"/>
      <c r="AC368" s="232"/>
      <c r="AD368" s="232"/>
      <c r="AE368" s="232"/>
      <c r="AF368" s="232"/>
      <c r="AG368" s="232"/>
      <c r="AH368" s="95"/>
    </row>
    <row r="369">
      <c r="A369" s="95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  <c r="AA369" s="232"/>
      <c r="AB369" s="232"/>
      <c r="AC369" s="232"/>
      <c r="AD369" s="232"/>
      <c r="AE369" s="232"/>
      <c r="AF369" s="232"/>
      <c r="AG369" s="232"/>
      <c r="AH369" s="95"/>
    </row>
    <row r="370">
      <c r="A370" s="95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  <c r="AA370" s="232"/>
      <c r="AB370" s="232"/>
      <c r="AC370" s="232"/>
      <c r="AD370" s="232"/>
      <c r="AE370" s="232"/>
      <c r="AF370" s="232"/>
      <c r="AG370" s="232"/>
      <c r="AH370" s="95"/>
    </row>
    <row r="371">
      <c r="A371" s="95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  <c r="AA371" s="232"/>
      <c r="AB371" s="232"/>
      <c r="AC371" s="232"/>
      <c r="AD371" s="232"/>
      <c r="AE371" s="232"/>
      <c r="AF371" s="232"/>
      <c r="AG371" s="232"/>
      <c r="AH371" s="95"/>
    </row>
    <row r="372">
      <c r="A372" s="95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  <c r="AA372" s="232"/>
      <c r="AB372" s="232"/>
      <c r="AC372" s="232"/>
      <c r="AD372" s="232"/>
      <c r="AE372" s="232"/>
      <c r="AF372" s="232"/>
      <c r="AG372" s="232"/>
      <c r="AH372" s="95"/>
    </row>
    <row r="373">
      <c r="A373" s="95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  <c r="AE373" s="232"/>
      <c r="AF373" s="232"/>
      <c r="AG373" s="232"/>
      <c r="AH373" s="95"/>
    </row>
    <row r="374">
      <c r="A374" s="95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  <c r="AA374" s="232"/>
      <c r="AB374" s="232"/>
      <c r="AC374" s="232"/>
      <c r="AD374" s="232"/>
      <c r="AE374" s="232"/>
      <c r="AF374" s="232"/>
      <c r="AG374" s="232"/>
      <c r="AH374" s="95"/>
    </row>
    <row r="375">
      <c r="A375" s="95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  <c r="AA375" s="232"/>
      <c r="AB375" s="232"/>
      <c r="AC375" s="232"/>
      <c r="AD375" s="232"/>
      <c r="AE375" s="232"/>
      <c r="AF375" s="232"/>
      <c r="AG375" s="232"/>
      <c r="AH375" s="95"/>
    </row>
    <row r="376">
      <c r="A376" s="95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  <c r="AA376" s="232"/>
      <c r="AB376" s="232"/>
      <c r="AC376" s="232"/>
      <c r="AD376" s="232"/>
      <c r="AE376" s="232"/>
      <c r="AF376" s="232"/>
      <c r="AG376" s="232"/>
      <c r="AH376" s="95"/>
    </row>
    <row r="377">
      <c r="A377" s="95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  <c r="AA377" s="232"/>
      <c r="AB377" s="232"/>
      <c r="AC377" s="232"/>
      <c r="AD377" s="232"/>
      <c r="AE377" s="232"/>
      <c r="AF377" s="232"/>
      <c r="AG377" s="232"/>
      <c r="AH377" s="95"/>
    </row>
    <row r="378">
      <c r="A378" s="95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  <c r="AA378" s="232"/>
      <c r="AB378" s="232"/>
      <c r="AC378" s="232"/>
      <c r="AD378" s="232"/>
      <c r="AE378" s="232"/>
      <c r="AF378" s="232"/>
      <c r="AG378" s="232"/>
      <c r="AH378" s="95"/>
    </row>
    <row r="379">
      <c r="A379" s="95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  <c r="AA379" s="232"/>
      <c r="AB379" s="232"/>
      <c r="AC379" s="232"/>
      <c r="AD379" s="232"/>
      <c r="AE379" s="232"/>
      <c r="AF379" s="232"/>
      <c r="AG379" s="232"/>
      <c r="AH379" s="95"/>
    </row>
    <row r="380">
      <c r="A380" s="95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  <c r="AA380" s="232"/>
      <c r="AB380" s="232"/>
      <c r="AC380" s="232"/>
      <c r="AD380" s="232"/>
      <c r="AE380" s="232"/>
      <c r="AF380" s="232"/>
      <c r="AG380" s="232"/>
      <c r="AH380" s="95"/>
    </row>
    <row r="381">
      <c r="A381" s="95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  <c r="AA381" s="232"/>
      <c r="AB381" s="232"/>
      <c r="AC381" s="232"/>
      <c r="AD381" s="232"/>
      <c r="AE381" s="232"/>
      <c r="AF381" s="232"/>
      <c r="AG381" s="232"/>
      <c r="AH381" s="95"/>
    </row>
    <row r="382">
      <c r="A382" s="95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  <c r="AA382" s="232"/>
      <c r="AB382" s="232"/>
      <c r="AC382" s="232"/>
      <c r="AD382" s="232"/>
      <c r="AE382" s="232"/>
      <c r="AF382" s="232"/>
      <c r="AG382" s="232"/>
      <c r="AH382" s="95"/>
    </row>
    <row r="383">
      <c r="A383" s="95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  <c r="AA383" s="232"/>
      <c r="AB383" s="232"/>
      <c r="AC383" s="232"/>
      <c r="AD383" s="232"/>
      <c r="AE383" s="232"/>
      <c r="AF383" s="232"/>
      <c r="AG383" s="232"/>
      <c r="AH383" s="95"/>
    </row>
    <row r="384">
      <c r="A384" s="95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  <c r="AA384" s="232"/>
      <c r="AB384" s="232"/>
      <c r="AC384" s="232"/>
      <c r="AD384" s="232"/>
      <c r="AE384" s="232"/>
      <c r="AF384" s="232"/>
      <c r="AG384" s="232"/>
      <c r="AH384" s="95"/>
    </row>
    <row r="385">
      <c r="A385" s="95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  <c r="AA385" s="232"/>
      <c r="AB385" s="232"/>
      <c r="AC385" s="232"/>
      <c r="AD385" s="232"/>
      <c r="AE385" s="232"/>
      <c r="AF385" s="232"/>
      <c r="AG385" s="232"/>
      <c r="AH385" s="95"/>
    </row>
    <row r="386">
      <c r="A386" s="95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2"/>
      <c r="AH386" s="95"/>
    </row>
    <row r="387">
      <c r="A387" s="95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  <c r="AA387" s="232"/>
      <c r="AB387" s="232"/>
      <c r="AC387" s="232"/>
      <c r="AD387" s="232"/>
      <c r="AE387" s="232"/>
      <c r="AF387" s="232"/>
      <c r="AG387" s="232"/>
      <c r="AH387" s="95"/>
    </row>
    <row r="388">
      <c r="A388" s="95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  <c r="AA388" s="232"/>
      <c r="AB388" s="232"/>
      <c r="AC388" s="232"/>
      <c r="AD388" s="232"/>
      <c r="AE388" s="232"/>
      <c r="AF388" s="232"/>
      <c r="AG388" s="232"/>
      <c r="AH388" s="95"/>
    </row>
    <row r="389">
      <c r="A389" s="95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  <c r="AA389" s="232"/>
      <c r="AB389" s="232"/>
      <c r="AC389" s="232"/>
      <c r="AD389" s="232"/>
      <c r="AE389" s="232"/>
      <c r="AF389" s="232"/>
      <c r="AG389" s="232"/>
      <c r="AH389" s="95"/>
    </row>
    <row r="390">
      <c r="A390" s="95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  <c r="AA390" s="232"/>
      <c r="AB390" s="232"/>
      <c r="AC390" s="232"/>
      <c r="AD390" s="232"/>
      <c r="AE390" s="232"/>
      <c r="AF390" s="232"/>
      <c r="AG390" s="232"/>
      <c r="AH390" s="95"/>
    </row>
    <row r="391">
      <c r="A391" s="95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  <c r="AA391" s="232"/>
      <c r="AB391" s="232"/>
      <c r="AC391" s="232"/>
      <c r="AD391" s="232"/>
      <c r="AE391" s="232"/>
      <c r="AF391" s="232"/>
      <c r="AG391" s="232"/>
      <c r="AH391" s="95"/>
    </row>
    <row r="392">
      <c r="A392" s="95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  <c r="AA392" s="232"/>
      <c r="AB392" s="232"/>
      <c r="AC392" s="232"/>
      <c r="AD392" s="232"/>
      <c r="AE392" s="232"/>
      <c r="AF392" s="232"/>
      <c r="AG392" s="232"/>
      <c r="AH392" s="95"/>
    </row>
    <row r="393">
      <c r="A393" s="95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  <c r="AA393" s="232"/>
      <c r="AB393" s="232"/>
      <c r="AC393" s="232"/>
      <c r="AD393" s="232"/>
      <c r="AE393" s="232"/>
      <c r="AF393" s="232"/>
      <c r="AG393" s="232"/>
      <c r="AH393" s="95"/>
    </row>
    <row r="394">
      <c r="A394" s="95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  <c r="AA394" s="232"/>
      <c r="AB394" s="232"/>
      <c r="AC394" s="232"/>
      <c r="AD394" s="232"/>
      <c r="AE394" s="232"/>
      <c r="AF394" s="232"/>
      <c r="AG394" s="232"/>
      <c r="AH394" s="95"/>
    </row>
    <row r="395">
      <c r="A395" s="95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  <c r="AE395" s="232"/>
      <c r="AF395" s="232"/>
      <c r="AG395" s="232"/>
      <c r="AH395" s="95"/>
    </row>
    <row r="396">
      <c r="A396" s="95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  <c r="AA396" s="232"/>
      <c r="AB396" s="232"/>
      <c r="AC396" s="232"/>
      <c r="AD396" s="232"/>
      <c r="AE396" s="232"/>
      <c r="AF396" s="232"/>
      <c r="AG396" s="232"/>
      <c r="AH396" s="95"/>
    </row>
    <row r="397">
      <c r="A397" s="95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  <c r="AA397" s="232"/>
      <c r="AB397" s="232"/>
      <c r="AC397" s="232"/>
      <c r="AD397" s="232"/>
      <c r="AE397" s="232"/>
      <c r="AF397" s="232"/>
      <c r="AG397" s="232"/>
      <c r="AH397" s="95"/>
    </row>
    <row r="398">
      <c r="A398" s="95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  <c r="AA398" s="232"/>
      <c r="AB398" s="232"/>
      <c r="AC398" s="232"/>
      <c r="AD398" s="232"/>
      <c r="AE398" s="232"/>
      <c r="AF398" s="232"/>
      <c r="AG398" s="232"/>
      <c r="AH398" s="95"/>
    </row>
    <row r="399">
      <c r="A399" s="95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  <c r="AA399" s="232"/>
      <c r="AB399" s="232"/>
      <c r="AC399" s="232"/>
      <c r="AD399" s="232"/>
      <c r="AE399" s="232"/>
      <c r="AF399" s="232"/>
      <c r="AG399" s="232"/>
      <c r="AH399" s="95"/>
    </row>
    <row r="400">
      <c r="A400" s="95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  <c r="AA400" s="232"/>
      <c r="AB400" s="232"/>
      <c r="AC400" s="232"/>
      <c r="AD400" s="232"/>
      <c r="AE400" s="232"/>
      <c r="AF400" s="232"/>
      <c r="AG400" s="232"/>
      <c r="AH400" s="95"/>
    </row>
    <row r="401">
      <c r="A401" s="95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  <c r="AA401" s="232"/>
      <c r="AB401" s="232"/>
      <c r="AC401" s="232"/>
      <c r="AD401" s="232"/>
      <c r="AE401" s="232"/>
      <c r="AF401" s="232"/>
      <c r="AG401" s="232"/>
      <c r="AH401" s="95"/>
    </row>
    <row r="402">
      <c r="A402" s="95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  <c r="AA402" s="232"/>
      <c r="AB402" s="232"/>
      <c r="AC402" s="232"/>
      <c r="AD402" s="232"/>
      <c r="AE402" s="232"/>
      <c r="AF402" s="232"/>
      <c r="AG402" s="232"/>
      <c r="AH402" s="95"/>
    </row>
    <row r="403">
      <c r="A403" s="95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  <c r="AA403" s="232"/>
      <c r="AB403" s="232"/>
      <c r="AC403" s="232"/>
      <c r="AD403" s="232"/>
      <c r="AE403" s="232"/>
      <c r="AF403" s="232"/>
      <c r="AG403" s="232"/>
      <c r="AH403" s="95"/>
    </row>
    <row r="404">
      <c r="A404" s="95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  <c r="AA404" s="232"/>
      <c r="AB404" s="232"/>
      <c r="AC404" s="232"/>
      <c r="AD404" s="232"/>
      <c r="AE404" s="232"/>
      <c r="AF404" s="232"/>
      <c r="AG404" s="232"/>
      <c r="AH404" s="95"/>
    </row>
    <row r="405">
      <c r="A405" s="95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  <c r="AA405" s="232"/>
      <c r="AB405" s="232"/>
      <c r="AC405" s="232"/>
      <c r="AD405" s="232"/>
      <c r="AE405" s="232"/>
      <c r="AF405" s="232"/>
      <c r="AG405" s="232"/>
      <c r="AH405" s="95"/>
    </row>
    <row r="406">
      <c r="A406" s="95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  <c r="AA406" s="232"/>
      <c r="AB406" s="232"/>
      <c r="AC406" s="232"/>
      <c r="AD406" s="232"/>
      <c r="AE406" s="232"/>
      <c r="AF406" s="232"/>
      <c r="AG406" s="232"/>
      <c r="AH406" s="95"/>
    </row>
    <row r="407">
      <c r="A407" s="95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  <c r="AA407" s="232"/>
      <c r="AB407" s="232"/>
      <c r="AC407" s="232"/>
      <c r="AD407" s="232"/>
      <c r="AE407" s="232"/>
      <c r="AF407" s="232"/>
      <c r="AG407" s="232"/>
      <c r="AH407" s="95"/>
    </row>
    <row r="408">
      <c r="A408" s="95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  <c r="AA408" s="232"/>
      <c r="AB408" s="232"/>
      <c r="AC408" s="232"/>
      <c r="AD408" s="232"/>
      <c r="AE408" s="232"/>
      <c r="AF408" s="232"/>
      <c r="AG408" s="232"/>
      <c r="AH408" s="95"/>
    </row>
    <row r="409">
      <c r="A409" s="95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  <c r="AA409" s="232"/>
      <c r="AB409" s="232"/>
      <c r="AC409" s="232"/>
      <c r="AD409" s="232"/>
      <c r="AE409" s="232"/>
      <c r="AF409" s="232"/>
      <c r="AG409" s="232"/>
      <c r="AH409" s="95"/>
    </row>
    <row r="410">
      <c r="A410" s="95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  <c r="AA410" s="232"/>
      <c r="AB410" s="232"/>
      <c r="AC410" s="232"/>
      <c r="AD410" s="232"/>
      <c r="AE410" s="232"/>
      <c r="AF410" s="232"/>
      <c r="AG410" s="232"/>
      <c r="AH410" s="95"/>
    </row>
    <row r="411">
      <c r="A411" s="95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  <c r="AB411" s="232"/>
      <c r="AC411" s="232"/>
      <c r="AD411" s="232"/>
      <c r="AE411" s="232"/>
      <c r="AF411" s="232"/>
      <c r="AG411" s="232"/>
      <c r="AH411" s="95"/>
    </row>
    <row r="412">
      <c r="A412" s="95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  <c r="AA412" s="232"/>
      <c r="AB412" s="232"/>
      <c r="AC412" s="232"/>
      <c r="AD412" s="232"/>
      <c r="AE412" s="232"/>
      <c r="AF412" s="232"/>
      <c r="AG412" s="232"/>
      <c r="AH412" s="95"/>
    </row>
    <row r="413">
      <c r="A413" s="95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  <c r="AA413" s="232"/>
      <c r="AB413" s="232"/>
      <c r="AC413" s="232"/>
      <c r="AD413" s="232"/>
      <c r="AE413" s="232"/>
      <c r="AF413" s="232"/>
      <c r="AG413" s="232"/>
      <c r="AH413" s="95"/>
    </row>
    <row r="414">
      <c r="A414" s="95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  <c r="AA414" s="232"/>
      <c r="AB414" s="232"/>
      <c r="AC414" s="232"/>
      <c r="AD414" s="232"/>
      <c r="AE414" s="232"/>
      <c r="AF414" s="232"/>
      <c r="AG414" s="232"/>
      <c r="AH414" s="95"/>
    </row>
    <row r="415">
      <c r="A415" s="95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  <c r="AA415" s="232"/>
      <c r="AB415" s="232"/>
      <c r="AC415" s="232"/>
      <c r="AD415" s="232"/>
      <c r="AE415" s="232"/>
      <c r="AF415" s="232"/>
      <c r="AG415" s="232"/>
      <c r="AH415" s="95"/>
    </row>
    <row r="416">
      <c r="A416" s="95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  <c r="AA416" s="232"/>
      <c r="AB416" s="232"/>
      <c r="AC416" s="232"/>
      <c r="AD416" s="232"/>
      <c r="AE416" s="232"/>
      <c r="AF416" s="232"/>
      <c r="AG416" s="232"/>
      <c r="AH416" s="95"/>
    </row>
    <row r="417">
      <c r="A417" s="95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  <c r="AA417" s="232"/>
      <c r="AB417" s="232"/>
      <c r="AC417" s="232"/>
      <c r="AD417" s="232"/>
      <c r="AE417" s="232"/>
      <c r="AF417" s="232"/>
      <c r="AG417" s="232"/>
      <c r="AH417" s="95"/>
    </row>
    <row r="418">
      <c r="A418" s="95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  <c r="AA418" s="232"/>
      <c r="AB418" s="232"/>
      <c r="AC418" s="232"/>
      <c r="AD418" s="232"/>
      <c r="AE418" s="232"/>
      <c r="AF418" s="232"/>
      <c r="AG418" s="232"/>
      <c r="AH418" s="95"/>
    </row>
    <row r="419">
      <c r="A419" s="95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  <c r="AA419" s="232"/>
      <c r="AB419" s="232"/>
      <c r="AC419" s="232"/>
      <c r="AD419" s="232"/>
      <c r="AE419" s="232"/>
      <c r="AF419" s="232"/>
      <c r="AG419" s="232"/>
      <c r="AH419" s="95"/>
    </row>
    <row r="420">
      <c r="A420" s="95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  <c r="AA420" s="232"/>
      <c r="AB420" s="232"/>
      <c r="AC420" s="232"/>
      <c r="AD420" s="232"/>
      <c r="AE420" s="232"/>
      <c r="AF420" s="232"/>
      <c r="AG420" s="232"/>
      <c r="AH420" s="95"/>
    </row>
    <row r="421">
      <c r="A421" s="95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  <c r="AA421" s="232"/>
      <c r="AB421" s="232"/>
      <c r="AC421" s="232"/>
      <c r="AD421" s="232"/>
      <c r="AE421" s="232"/>
      <c r="AF421" s="232"/>
      <c r="AG421" s="232"/>
      <c r="AH421" s="95"/>
    </row>
    <row r="422">
      <c r="A422" s="95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  <c r="AA422" s="232"/>
      <c r="AB422" s="232"/>
      <c r="AC422" s="232"/>
      <c r="AD422" s="232"/>
      <c r="AE422" s="232"/>
      <c r="AF422" s="232"/>
      <c r="AG422" s="232"/>
      <c r="AH422" s="95"/>
    </row>
    <row r="423">
      <c r="A423" s="95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2"/>
      <c r="AC423" s="232"/>
      <c r="AD423" s="232"/>
      <c r="AE423" s="232"/>
      <c r="AF423" s="232"/>
      <c r="AG423" s="232"/>
      <c r="AH423" s="95"/>
    </row>
    <row r="424">
      <c r="A424" s="95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2"/>
      <c r="AC424" s="232"/>
      <c r="AD424" s="232"/>
      <c r="AE424" s="232"/>
      <c r="AF424" s="232"/>
      <c r="AG424" s="232"/>
      <c r="AH424" s="95"/>
    </row>
    <row r="425">
      <c r="A425" s="95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2"/>
      <c r="AC425" s="232"/>
      <c r="AD425" s="232"/>
      <c r="AE425" s="232"/>
      <c r="AF425" s="232"/>
      <c r="AG425" s="232"/>
      <c r="AH425" s="95"/>
    </row>
    <row r="426">
      <c r="A426" s="95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  <c r="AA426" s="232"/>
      <c r="AB426" s="232"/>
      <c r="AC426" s="232"/>
      <c r="AD426" s="232"/>
      <c r="AE426" s="232"/>
      <c r="AF426" s="232"/>
      <c r="AG426" s="232"/>
      <c r="AH426" s="95"/>
    </row>
    <row r="427">
      <c r="A427" s="95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  <c r="AA427" s="232"/>
      <c r="AB427" s="232"/>
      <c r="AC427" s="232"/>
      <c r="AD427" s="232"/>
      <c r="AE427" s="232"/>
      <c r="AF427" s="232"/>
      <c r="AG427" s="232"/>
      <c r="AH427" s="95"/>
    </row>
    <row r="428">
      <c r="A428" s="95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  <c r="AA428" s="232"/>
      <c r="AB428" s="232"/>
      <c r="AC428" s="232"/>
      <c r="AD428" s="232"/>
      <c r="AE428" s="232"/>
      <c r="AF428" s="232"/>
      <c r="AG428" s="232"/>
      <c r="AH428" s="95"/>
    </row>
    <row r="429">
      <c r="A429" s="95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  <c r="AA429" s="232"/>
      <c r="AB429" s="232"/>
      <c r="AC429" s="232"/>
      <c r="AD429" s="232"/>
      <c r="AE429" s="232"/>
      <c r="AF429" s="232"/>
      <c r="AG429" s="232"/>
      <c r="AH429" s="95"/>
    </row>
    <row r="430">
      <c r="A430" s="95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2"/>
      <c r="AC430" s="232"/>
      <c r="AD430" s="232"/>
      <c r="AE430" s="232"/>
      <c r="AF430" s="232"/>
      <c r="AG430" s="232"/>
      <c r="AH430" s="95"/>
    </row>
    <row r="431">
      <c r="A431" s="95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2"/>
      <c r="AC431" s="232"/>
      <c r="AD431" s="232"/>
      <c r="AE431" s="232"/>
      <c r="AF431" s="232"/>
      <c r="AG431" s="232"/>
      <c r="AH431" s="95"/>
    </row>
    <row r="432">
      <c r="A432" s="95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2"/>
      <c r="AC432" s="232"/>
      <c r="AD432" s="232"/>
      <c r="AE432" s="232"/>
      <c r="AF432" s="232"/>
      <c r="AG432" s="232"/>
      <c r="AH432" s="95"/>
    </row>
    <row r="433">
      <c r="A433" s="95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  <c r="AA433" s="232"/>
      <c r="AB433" s="232"/>
      <c r="AC433" s="232"/>
      <c r="AD433" s="232"/>
      <c r="AE433" s="232"/>
      <c r="AF433" s="232"/>
      <c r="AG433" s="232"/>
      <c r="AH433" s="95"/>
    </row>
    <row r="434">
      <c r="A434" s="95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  <c r="AA434" s="232"/>
      <c r="AB434" s="232"/>
      <c r="AC434" s="232"/>
      <c r="AD434" s="232"/>
      <c r="AE434" s="232"/>
      <c r="AF434" s="232"/>
      <c r="AG434" s="232"/>
      <c r="AH434" s="95"/>
    </row>
    <row r="435">
      <c r="A435" s="95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  <c r="AA435" s="232"/>
      <c r="AB435" s="232"/>
      <c r="AC435" s="232"/>
      <c r="AD435" s="232"/>
      <c r="AE435" s="232"/>
      <c r="AF435" s="232"/>
      <c r="AG435" s="232"/>
      <c r="AH435" s="95"/>
    </row>
    <row r="436">
      <c r="A436" s="95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  <c r="AE436" s="232"/>
      <c r="AF436" s="232"/>
      <c r="AG436" s="232"/>
      <c r="AH436" s="95"/>
    </row>
    <row r="437">
      <c r="A437" s="95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  <c r="AA437" s="232"/>
      <c r="AB437" s="232"/>
      <c r="AC437" s="232"/>
      <c r="AD437" s="232"/>
      <c r="AE437" s="232"/>
      <c r="AF437" s="232"/>
      <c r="AG437" s="232"/>
      <c r="AH437" s="95"/>
    </row>
    <row r="438">
      <c r="A438" s="95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2"/>
      <c r="AH438" s="95"/>
    </row>
    <row r="439">
      <c r="A439" s="95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  <c r="AA439" s="232"/>
      <c r="AB439" s="232"/>
      <c r="AC439" s="232"/>
      <c r="AD439" s="232"/>
      <c r="AE439" s="232"/>
      <c r="AF439" s="232"/>
      <c r="AG439" s="232"/>
      <c r="AH439" s="95"/>
    </row>
    <row r="440">
      <c r="A440" s="95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  <c r="AA440" s="232"/>
      <c r="AB440" s="232"/>
      <c r="AC440" s="232"/>
      <c r="AD440" s="232"/>
      <c r="AE440" s="232"/>
      <c r="AF440" s="232"/>
      <c r="AG440" s="232"/>
      <c r="AH440" s="95"/>
    </row>
    <row r="441">
      <c r="A441" s="95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  <c r="AA441" s="232"/>
      <c r="AB441" s="232"/>
      <c r="AC441" s="232"/>
      <c r="AD441" s="232"/>
      <c r="AE441" s="232"/>
      <c r="AF441" s="232"/>
      <c r="AG441" s="232"/>
      <c r="AH441" s="95"/>
    </row>
    <row r="442">
      <c r="A442" s="95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  <c r="AA442" s="232"/>
      <c r="AB442" s="232"/>
      <c r="AC442" s="232"/>
      <c r="AD442" s="232"/>
      <c r="AE442" s="232"/>
      <c r="AF442" s="232"/>
      <c r="AG442" s="232"/>
      <c r="AH442" s="95"/>
    </row>
    <row r="443">
      <c r="A443" s="95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  <c r="AA443" s="232"/>
      <c r="AB443" s="232"/>
      <c r="AC443" s="232"/>
      <c r="AD443" s="232"/>
      <c r="AE443" s="232"/>
      <c r="AF443" s="232"/>
      <c r="AG443" s="232"/>
      <c r="AH443" s="95"/>
    </row>
    <row r="444">
      <c r="A444" s="95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  <c r="AA444" s="232"/>
      <c r="AB444" s="232"/>
      <c r="AC444" s="232"/>
      <c r="AD444" s="232"/>
      <c r="AE444" s="232"/>
      <c r="AF444" s="232"/>
      <c r="AG444" s="232"/>
      <c r="AH444" s="95"/>
    </row>
    <row r="445">
      <c r="A445" s="95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  <c r="AA445" s="232"/>
      <c r="AB445" s="232"/>
      <c r="AC445" s="232"/>
      <c r="AD445" s="232"/>
      <c r="AE445" s="232"/>
      <c r="AF445" s="232"/>
      <c r="AG445" s="232"/>
      <c r="AH445" s="95"/>
    </row>
    <row r="446">
      <c r="A446" s="95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  <c r="AA446" s="232"/>
      <c r="AB446" s="232"/>
      <c r="AC446" s="232"/>
      <c r="AD446" s="232"/>
      <c r="AE446" s="232"/>
      <c r="AF446" s="232"/>
      <c r="AG446" s="232"/>
      <c r="AH446" s="95"/>
    </row>
    <row r="447">
      <c r="A447" s="95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  <c r="AA447" s="232"/>
      <c r="AB447" s="232"/>
      <c r="AC447" s="232"/>
      <c r="AD447" s="232"/>
      <c r="AE447" s="232"/>
      <c r="AF447" s="232"/>
      <c r="AG447" s="232"/>
      <c r="AH447" s="95"/>
    </row>
    <row r="448">
      <c r="A448" s="95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  <c r="AA448" s="232"/>
      <c r="AB448" s="232"/>
      <c r="AC448" s="232"/>
      <c r="AD448" s="232"/>
      <c r="AE448" s="232"/>
      <c r="AF448" s="232"/>
      <c r="AG448" s="232"/>
      <c r="AH448" s="95"/>
    </row>
    <row r="449">
      <c r="A449" s="95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  <c r="AA449" s="232"/>
      <c r="AB449" s="232"/>
      <c r="AC449" s="232"/>
      <c r="AD449" s="232"/>
      <c r="AE449" s="232"/>
      <c r="AF449" s="232"/>
      <c r="AG449" s="232"/>
      <c r="AH449" s="95"/>
    </row>
    <row r="450">
      <c r="A450" s="95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  <c r="AA450" s="232"/>
      <c r="AB450" s="232"/>
      <c r="AC450" s="232"/>
      <c r="AD450" s="232"/>
      <c r="AE450" s="232"/>
      <c r="AF450" s="232"/>
      <c r="AG450" s="232"/>
      <c r="AH450" s="95"/>
    </row>
    <row r="451">
      <c r="A451" s="95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  <c r="AA451" s="232"/>
      <c r="AB451" s="232"/>
      <c r="AC451" s="232"/>
      <c r="AD451" s="232"/>
      <c r="AE451" s="232"/>
      <c r="AF451" s="232"/>
      <c r="AG451" s="232"/>
      <c r="AH451" s="95"/>
    </row>
    <row r="452">
      <c r="A452" s="95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  <c r="AA452" s="232"/>
      <c r="AB452" s="232"/>
      <c r="AC452" s="232"/>
      <c r="AD452" s="232"/>
      <c r="AE452" s="232"/>
      <c r="AF452" s="232"/>
      <c r="AG452" s="232"/>
      <c r="AH452" s="95"/>
    </row>
    <row r="453">
      <c r="A453" s="95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  <c r="AA453" s="232"/>
      <c r="AB453" s="232"/>
      <c r="AC453" s="232"/>
      <c r="AD453" s="232"/>
      <c r="AE453" s="232"/>
      <c r="AF453" s="232"/>
      <c r="AG453" s="232"/>
      <c r="AH453" s="95"/>
    </row>
    <row r="454">
      <c r="A454" s="95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  <c r="AA454" s="232"/>
      <c r="AB454" s="232"/>
      <c r="AC454" s="232"/>
      <c r="AD454" s="232"/>
      <c r="AE454" s="232"/>
      <c r="AF454" s="232"/>
      <c r="AG454" s="232"/>
      <c r="AH454" s="95"/>
    </row>
    <row r="455">
      <c r="A455" s="95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  <c r="AA455" s="232"/>
      <c r="AB455" s="232"/>
      <c r="AC455" s="232"/>
      <c r="AD455" s="232"/>
      <c r="AE455" s="232"/>
      <c r="AF455" s="232"/>
      <c r="AG455" s="232"/>
      <c r="AH455" s="95"/>
    </row>
    <row r="456">
      <c r="A456" s="95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  <c r="AA456" s="232"/>
      <c r="AB456" s="232"/>
      <c r="AC456" s="232"/>
      <c r="AD456" s="232"/>
      <c r="AE456" s="232"/>
      <c r="AF456" s="232"/>
      <c r="AG456" s="232"/>
      <c r="AH456" s="95"/>
    </row>
    <row r="457">
      <c r="A457" s="95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  <c r="AA457" s="232"/>
      <c r="AB457" s="232"/>
      <c r="AC457" s="232"/>
      <c r="AD457" s="232"/>
      <c r="AE457" s="232"/>
      <c r="AF457" s="232"/>
      <c r="AG457" s="232"/>
      <c r="AH457" s="95"/>
    </row>
    <row r="458">
      <c r="A458" s="95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  <c r="AA458" s="232"/>
      <c r="AB458" s="232"/>
      <c r="AC458" s="232"/>
      <c r="AD458" s="232"/>
      <c r="AE458" s="232"/>
      <c r="AF458" s="232"/>
      <c r="AG458" s="232"/>
      <c r="AH458" s="95"/>
    </row>
    <row r="459">
      <c r="A459" s="95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  <c r="AA459" s="232"/>
      <c r="AB459" s="232"/>
      <c r="AC459" s="232"/>
      <c r="AD459" s="232"/>
      <c r="AE459" s="232"/>
      <c r="AF459" s="232"/>
      <c r="AG459" s="232"/>
      <c r="AH459" s="95"/>
    </row>
    <row r="460">
      <c r="A460" s="95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  <c r="AA460" s="232"/>
      <c r="AB460" s="232"/>
      <c r="AC460" s="232"/>
      <c r="AD460" s="232"/>
      <c r="AE460" s="232"/>
      <c r="AF460" s="232"/>
      <c r="AG460" s="232"/>
      <c r="AH460" s="95"/>
    </row>
    <row r="461">
      <c r="A461" s="95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  <c r="AA461" s="232"/>
      <c r="AB461" s="232"/>
      <c r="AC461" s="232"/>
      <c r="AD461" s="232"/>
      <c r="AE461" s="232"/>
      <c r="AF461" s="232"/>
      <c r="AG461" s="232"/>
      <c r="AH461" s="95"/>
    </row>
    <row r="462">
      <c r="A462" s="95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  <c r="AA462" s="232"/>
      <c r="AB462" s="232"/>
      <c r="AC462" s="232"/>
      <c r="AD462" s="232"/>
      <c r="AE462" s="232"/>
      <c r="AF462" s="232"/>
      <c r="AG462" s="232"/>
      <c r="AH462" s="95"/>
    </row>
    <row r="463">
      <c r="A463" s="95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  <c r="AA463" s="232"/>
      <c r="AB463" s="232"/>
      <c r="AC463" s="232"/>
      <c r="AD463" s="232"/>
      <c r="AE463" s="232"/>
      <c r="AF463" s="232"/>
      <c r="AG463" s="232"/>
      <c r="AH463" s="95"/>
    </row>
    <row r="464">
      <c r="A464" s="95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  <c r="AA464" s="232"/>
      <c r="AB464" s="232"/>
      <c r="AC464" s="232"/>
      <c r="AD464" s="232"/>
      <c r="AE464" s="232"/>
      <c r="AF464" s="232"/>
      <c r="AG464" s="232"/>
      <c r="AH464" s="95"/>
    </row>
    <row r="465">
      <c r="A465" s="95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  <c r="AA465" s="232"/>
      <c r="AB465" s="232"/>
      <c r="AC465" s="232"/>
      <c r="AD465" s="232"/>
      <c r="AE465" s="232"/>
      <c r="AF465" s="232"/>
      <c r="AG465" s="232"/>
      <c r="AH465" s="95"/>
    </row>
    <row r="466">
      <c r="A466" s="95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  <c r="AA466" s="232"/>
      <c r="AB466" s="232"/>
      <c r="AC466" s="232"/>
      <c r="AD466" s="232"/>
      <c r="AE466" s="232"/>
      <c r="AF466" s="232"/>
      <c r="AG466" s="232"/>
      <c r="AH466" s="95"/>
    </row>
    <row r="467">
      <c r="A467" s="95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  <c r="AA467" s="232"/>
      <c r="AB467" s="232"/>
      <c r="AC467" s="232"/>
      <c r="AD467" s="232"/>
      <c r="AE467" s="232"/>
      <c r="AF467" s="232"/>
      <c r="AG467" s="232"/>
      <c r="AH467" s="95"/>
    </row>
    <row r="468">
      <c r="A468" s="95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  <c r="AA468" s="232"/>
      <c r="AB468" s="232"/>
      <c r="AC468" s="232"/>
      <c r="AD468" s="232"/>
      <c r="AE468" s="232"/>
      <c r="AF468" s="232"/>
      <c r="AG468" s="232"/>
      <c r="AH468" s="95"/>
    </row>
    <row r="469">
      <c r="A469" s="95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  <c r="AA469" s="232"/>
      <c r="AB469" s="232"/>
      <c r="AC469" s="232"/>
      <c r="AD469" s="232"/>
      <c r="AE469" s="232"/>
      <c r="AF469" s="232"/>
      <c r="AG469" s="232"/>
      <c r="AH469" s="95"/>
    </row>
    <row r="470">
      <c r="A470" s="95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  <c r="AA470" s="232"/>
      <c r="AB470" s="232"/>
      <c r="AC470" s="232"/>
      <c r="AD470" s="232"/>
      <c r="AE470" s="232"/>
      <c r="AF470" s="232"/>
      <c r="AG470" s="232"/>
      <c r="AH470" s="95"/>
    </row>
    <row r="471">
      <c r="A471" s="95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  <c r="AB471" s="232"/>
      <c r="AC471" s="232"/>
      <c r="AD471" s="232"/>
      <c r="AE471" s="232"/>
      <c r="AF471" s="232"/>
      <c r="AG471" s="232"/>
      <c r="AH471" s="95"/>
    </row>
    <row r="472">
      <c r="A472" s="95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  <c r="AA472" s="232"/>
      <c r="AB472" s="232"/>
      <c r="AC472" s="232"/>
      <c r="AD472" s="232"/>
      <c r="AE472" s="232"/>
      <c r="AF472" s="232"/>
      <c r="AG472" s="232"/>
      <c r="AH472" s="95"/>
    </row>
    <row r="473">
      <c r="A473" s="95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  <c r="AA473" s="232"/>
      <c r="AB473" s="232"/>
      <c r="AC473" s="232"/>
      <c r="AD473" s="232"/>
      <c r="AE473" s="232"/>
      <c r="AF473" s="232"/>
      <c r="AG473" s="232"/>
      <c r="AH473" s="95"/>
    </row>
    <row r="474">
      <c r="A474" s="95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  <c r="AA474" s="232"/>
      <c r="AB474" s="232"/>
      <c r="AC474" s="232"/>
      <c r="AD474" s="232"/>
      <c r="AE474" s="232"/>
      <c r="AF474" s="232"/>
      <c r="AG474" s="232"/>
      <c r="AH474" s="95"/>
    </row>
    <row r="475">
      <c r="A475" s="95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  <c r="AA475" s="232"/>
      <c r="AB475" s="232"/>
      <c r="AC475" s="232"/>
      <c r="AD475" s="232"/>
      <c r="AE475" s="232"/>
      <c r="AF475" s="232"/>
      <c r="AG475" s="232"/>
      <c r="AH475" s="95"/>
    </row>
    <row r="476">
      <c r="A476" s="95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  <c r="AA476" s="232"/>
      <c r="AB476" s="232"/>
      <c r="AC476" s="232"/>
      <c r="AD476" s="232"/>
      <c r="AE476" s="232"/>
      <c r="AF476" s="232"/>
      <c r="AG476" s="232"/>
      <c r="AH476" s="95"/>
    </row>
    <row r="477">
      <c r="A477" s="95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  <c r="AA477" s="232"/>
      <c r="AB477" s="232"/>
      <c r="AC477" s="232"/>
      <c r="AD477" s="232"/>
      <c r="AE477" s="232"/>
      <c r="AF477" s="232"/>
      <c r="AG477" s="232"/>
      <c r="AH477" s="95"/>
    </row>
    <row r="478">
      <c r="A478" s="95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  <c r="AA478" s="232"/>
      <c r="AB478" s="232"/>
      <c r="AC478" s="232"/>
      <c r="AD478" s="232"/>
      <c r="AE478" s="232"/>
      <c r="AF478" s="232"/>
      <c r="AG478" s="232"/>
      <c r="AH478" s="95"/>
    </row>
    <row r="479">
      <c r="A479" s="95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  <c r="AA479" s="232"/>
      <c r="AB479" s="232"/>
      <c r="AC479" s="232"/>
      <c r="AD479" s="232"/>
      <c r="AE479" s="232"/>
      <c r="AF479" s="232"/>
      <c r="AG479" s="232"/>
      <c r="AH479" s="95"/>
    </row>
    <row r="480">
      <c r="A480" s="95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  <c r="AA480" s="232"/>
      <c r="AB480" s="232"/>
      <c r="AC480" s="232"/>
      <c r="AD480" s="232"/>
      <c r="AE480" s="232"/>
      <c r="AF480" s="232"/>
      <c r="AG480" s="232"/>
      <c r="AH480" s="95"/>
    </row>
    <row r="481">
      <c r="A481" s="95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  <c r="AA481" s="232"/>
      <c r="AB481" s="232"/>
      <c r="AC481" s="232"/>
      <c r="AD481" s="232"/>
      <c r="AE481" s="232"/>
      <c r="AF481" s="232"/>
      <c r="AG481" s="232"/>
      <c r="AH481" s="95"/>
    </row>
    <row r="482">
      <c r="A482" s="95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  <c r="AA482" s="232"/>
      <c r="AB482" s="232"/>
      <c r="AC482" s="232"/>
      <c r="AD482" s="232"/>
      <c r="AE482" s="232"/>
      <c r="AF482" s="232"/>
      <c r="AG482" s="232"/>
      <c r="AH482" s="95"/>
    </row>
    <row r="483">
      <c r="A483" s="95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  <c r="AA483" s="232"/>
      <c r="AB483" s="232"/>
      <c r="AC483" s="232"/>
      <c r="AD483" s="232"/>
      <c r="AE483" s="232"/>
      <c r="AF483" s="232"/>
      <c r="AG483" s="232"/>
      <c r="AH483" s="95"/>
    </row>
    <row r="484">
      <c r="A484" s="95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  <c r="AA484" s="232"/>
      <c r="AB484" s="232"/>
      <c r="AC484" s="232"/>
      <c r="AD484" s="232"/>
      <c r="AE484" s="232"/>
      <c r="AF484" s="232"/>
      <c r="AG484" s="232"/>
      <c r="AH484" s="95"/>
    </row>
    <row r="485">
      <c r="A485" s="95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  <c r="AA485" s="232"/>
      <c r="AB485" s="232"/>
      <c r="AC485" s="232"/>
      <c r="AD485" s="232"/>
      <c r="AE485" s="232"/>
      <c r="AF485" s="232"/>
      <c r="AG485" s="232"/>
      <c r="AH485" s="95"/>
    </row>
    <row r="486">
      <c r="A486" s="95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  <c r="AA486" s="232"/>
      <c r="AB486" s="232"/>
      <c r="AC486" s="232"/>
      <c r="AD486" s="232"/>
      <c r="AE486" s="232"/>
      <c r="AF486" s="232"/>
      <c r="AG486" s="232"/>
      <c r="AH486" s="95"/>
    </row>
    <row r="487">
      <c r="A487" s="95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  <c r="AA487" s="232"/>
      <c r="AB487" s="232"/>
      <c r="AC487" s="232"/>
      <c r="AD487" s="232"/>
      <c r="AE487" s="232"/>
      <c r="AF487" s="232"/>
      <c r="AG487" s="232"/>
      <c r="AH487" s="95"/>
    </row>
    <row r="488">
      <c r="A488" s="95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  <c r="AA488" s="232"/>
      <c r="AB488" s="232"/>
      <c r="AC488" s="232"/>
      <c r="AD488" s="232"/>
      <c r="AE488" s="232"/>
      <c r="AF488" s="232"/>
      <c r="AG488" s="232"/>
      <c r="AH488" s="95"/>
    </row>
    <row r="489">
      <c r="A489" s="95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  <c r="AA489" s="232"/>
      <c r="AB489" s="232"/>
      <c r="AC489" s="232"/>
      <c r="AD489" s="232"/>
      <c r="AE489" s="232"/>
      <c r="AF489" s="232"/>
      <c r="AG489" s="232"/>
      <c r="AH489" s="95"/>
    </row>
    <row r="490">
      <c r="A490" s="95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2"/>
      <c r="AH490" s="95"/>
    </row>
    <row r="491">
      <c r="A491" s="95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  <c r="AA491" s="232"/>
      <c r="AB491" s="232"/>
      <c r="AC491" s="232"/>
      <c r="AD491" s="232"/>
      <c r="AE491" s="232"/>
      <c r="AF491" s="232"/>
      <c r="AG491" s="232"/>
      <c r="AH491" s="95"/>
    </row>
    <row r="492">
      <c r="A492" s="95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  <c r="AA492" s="232"/>
      <c r="AB492" s="232"/>
      <c r="AC492" s="232"/>
      <c r="AD492" s="232"/>
      <c r="AE492" s="232"/>
      <c r="AF492" s="232"/>
      <c r="AG492" s="232"/>
      <c r="AH492" s="95"/>
    </row>
    <row r="493">
      <c r="A493" s="95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  <c r="AA493" s="232"/>
      <c r="AB493" s="232"/>
      <c r="AC493" s="232"/>
      <c r="AD493" s="232"/>
      <c r="AE493" s="232"/>
      <c r="AF493" s="232"/>
      <c r="AG493" s="232"/>
      <c r="AH493" s="95"/>
    </row>
    <row r="494">
      <c r="A494" s="95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  <c r="AA494" s="232"/>
      <c r="AB494" s="232"/>
      <c r="AC494" s="232"/>
      <c r="AD494" s="232"/>
      <c r="AE494" s="232"/>
      <c r="AF494" s="232"/>
      <c r="AG494" s="232"/>
      <c r="AH494" s="95"/>
    </row>
    <row r="495">
      <c r="A495" s="95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  <c r="AE495" s="232"/>
      <c r="AF495" s="232"/>
      <c r="AG495" s="232"/>
      <c r="AH495" s="95"/>
    </row>
    <row r="496">
      <c r="A496" s="95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2"/>
      <c r="AD496" s="232"/>
      <c r="AE496" s="232"/>
      <c r="AF496" s="232"/>
      <c r="AG496" s="232"/>
      <c r="AH496" s="95"/>
    </row>
    <row r="497">
      <c r="A497" s="95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  <c r="AA497" s="232"/>
      <c r="AB497" s="232"/>
      <c r="AC497" s="232"/>
      <c r="AD497" s="232"/>
      <c r="AE497" s="232"/>
      <c r="AF497" s="232"/>
      <c r="AG497" s="232"/>
      <c r="AH497" s="95"/>
    </row>
    <row r="498">
      <c r="A498" s="95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  <c r="AA498" s="232"/>
      <c r="AB498" s="232"/>
      <c r="AC498" s="232"/>
      <c r="AD498" s="232"/>
      <c r="AE498" s="232"/>
      <c r="AF498" s="232"/>
      <c r="AG498" s="232"/>
      <c r="AH498" s="95"/>
    </row>
    <row r="499">
      <c r="A499" s="95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  <c r="AA499" s="232"/>
      <c r="AB499" s="232"/>
      <c r="AC499" s="232"/>
      <c r="AD499" s="232"/>
      <c r="AE499" s="232"/>
      <c r="AF499" s="232"/>
      <c r="AG499" s="232"/>
      <c r="AH499" s="95"/>
    </row>
    <row r="500">
      <c r="A500" s="95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  <c r="AA500" s="232"/>
      <c r="AB500" s="232"/>
      <c r="AC500" s="232"/>
      <c r="AD500" s="232"/>
      <c r="AE500" s="232"/>
      <c r="AF500" s="232"/>
      <c r="AG500" s="232"/>
      <c r="AH500" s="95"/>
    </row>
    <row r="501">
      <c r="A501" s="95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  <c r="AA501" s="232"/>
      <c r="AB501" s="232"/>
      <c r="AC501" s="232"/>
      <c r="AD501" s="232"/>
      <c r="AE501" s="232"/>
      <c r="AF501" s="232"/>
      <c r="AG501" s="232"/>
      <c r="AH501" s="95"/>
    </row>
    <row r="502">
      <c r="A502" s="95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  <c r="AA502" s="232"/>
      <c r="AB502" s="232"/>
      <c r="AC502" s="232"/>
      <c r="AD502" s="232"/>
      <c r="AE502" s="232"/>
      <c r="AF502" s="232"/>
      <c r="AG502" s="232"/>
      <c r="AH502" s="95"/>
    </row>
    <row r="503">
      <c r="A503" s="95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  <c r="AA503" s="232"/>
      <c r="AB503" s="232"/>
      <c r="AC503" s="232"/>
      <c r="AD503" s="232"/>
      <c r="AE503" s="232"/>
      <c r="AF503" s="232"/>
      <c r="AG503" s="232"/>
      <c r="AH503" s="95"/>
    </row>
    <row r="504">
      <c r="A504" s="95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  <c r="AA504" s="232"/>
      <c r="AB504" s="232"/>
      <c r="AC504" s="232"/>
      <c r="AD504" s="232"/>
      <c r="AE504" s="232"/>
      <c r="AF504" s="232"/>
      <c r="AG504" s="232"/>
      <c r="AH504" s="95"/>
    </row>
    <row r="505">
      <c r="A505" s="95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  <c r="AA505" s="232"/>
      <c r="AB505" s="232"/>
      <c r="AC505" s="232"/>
      <c r="AD505" s="232"/>
      <c r="AE505" s="232"/>
      <c r="AF505" s="232"/>
      <c r="AG505" s="232"/>
      <c r="AH505" s="95"/>
    </row>
    <row r="506">
      <c r="A506" s="95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  <c r="AA506" s="232"/>
      <c r="AB506" s="232"/>
      <c r="AC506" s="232"/>
      <c r="AD506" s="232"/>
      <c r="AE506" s="232"/>
      <c r="AF506" s="232"/>
      <c r="AG506" s="232"/>
      <c r="AH506" s="95"/>
    </row>
    <row r="507">
      <c r="A507" s="95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  <c r="AA507" s="232"/>
      <c r="AB507" s="232"/>
      <c r="AC507" s="232"/>
      <c r="AD507" s="232"/>
      <c r="AE507" s="232"/>
      <c r="AF507" s="232"/>
      <c r="AG507" s="232"/>
      <c r="AH507" s="95"/>
    </row>
    <row r="508">
      <c r="A508" s="95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  <c r="AA508" s="232"/>
      <c r="AB508" s="232"/>
      <c r="AC508" s="232"/>
      <c r="AD508" s="232"/>
      <c r="AE508" s="232"/>
      <c r="AF508" s="232"/>
      <c r="AG508" s="232"/>
      <c r="AH508" s="95"/>
    </row>
    <row r="509">
      <c r="A509" s="95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  <c r="AA509" s="232"/>
      <c r="AB509" s="232"/>
      <c r="AC509" s="232"/>
      <c r="AD509" s="232"/>
      <c r="AE509" s="232"/>
      <c r="AF509" s="232"/>
      <c r="AG509" s="232"/>
      <c r="AH509" s="95"/>
    </row>
    <row r="510">
      <c r="A510" s="95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  <c r="AA510" s="232"/>
      <c r="AB510" s="232"/>
      <c r="AC510" s="232"/>
      <c r="AD510" s="232"/>
      <c r="AE510" s="232"/>
      <c r="AF510" s="232"/>
      <c r="AG510" s="232"/>
      <c r="AH510" s="95"/>
    </row>
    <row r="511">
      <c r="A511" s="95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  <c r="AA511" s="232"/>
      <c r="AB511" s="232"/>
      <c r="AC511" s="232"/>
      <c r="AD511" s="232"/>
      <c r="AE511" s="232"/>
      <c r="AF511" s="232"/>
      <c r="AG511" s="232"/>
      <c r="AH511" s="95"/>
    </row>
    <row r="512">
      <c r="A512" s="95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2"/>
      <c r="AD512" s="232"/>
      <c r="AE512" s="232"/>
      <c r="AF512" s="232"/>
      <c r="AG512" s="232"/>
      <c r="AH512" s="95"/>
    </row>
    <row r="513">
      <c r="A513" s="95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  <c r="AA513" s="232"/>
      <c r="AB513" s="232"/>
      <c r="AC513" s="232"/>
      <c r="AD513" s="232"/>
      <c r="AE513" s="232"/>
      <c r="AF513" s="232"/>
      <c r="AG513" s="232"/>
      <c r="AH513" s="95"/>
    </row>
    <row r="514">
      <c r="A514" s="95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  <c r="AA514" s="232"/>
      <c r="AB514" s="232"/>
      <c r="AC514" s="232"/>
      <c r="AD514" s="232"/>
      <c r="AE514" s="232"/>
      <c r="AF514" s="232"/>
      <c r="AG514" s="232"/>
      <c r="AH514" s="95"/>
    </row>
    <row r="515">
      <c r="A515" s="95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  <c r="AA515" s="232"/>
      <c r="AB515" s="232"/>
      <c r="AC515" s="232"/>
      <c r="AD515" s="232"/>
      <c r="AE515" s="232"/>
      <c r="AF515" s="232"/>
      <c r="AG515" s="232"/>
      <c r="AH515" s="95"/>
    </row>
    <row r="516">
      <c r="A516" s="95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2"/>
      <c r="AC516" s="232"/>
      <c r="AD516" s="232"/>
      <c r="AE516" s="232"/>
      <c r="AF516" s="232"/>
      <c r="AG516" s="232"/>
      <c r="AH516" s="95"/>
    </row>
    <row r="517">
      <c r="A517" s="95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  <c r="AA517" s="232"/>
      <c r="AB517" s="232"/>
      <c r="AC517" s="232"/>
      <c r="AD517" s="232"/>
      <c r="AE517" s="232"/>
      <c r="AF517" s="232"/>
      <c r="AG517" s="232"/>
      <c r="AH517" s="95"/>
    </row>
    <row r="518">
      <c r="A518" s="95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  <c r="AA518" s="232"/>
      <c r="AB518" s="232"/>
      <c r="AC518" s="232"/>
      <c r="AD518" s="232"/>
      <c r="AE518" s="232"/>
      <c r="AF518" s="232"/>
      <c r="AG518" s="232"/>
      <c r="AH518" s="95"/>
    </row>
    <row r="519">
      <c r="A519" s="95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  <c r="AA519" s="232"/>
      <c r="AB519" s="232"/>
      <c r="AC519" s="232"/>
      <c r="AD519" s="232"/>
      <c r="AE519" s="232"/>
      <c r="AF519" s="232"/>
      <c r="AG519" s="232"/>
      <c r="AH519" s="95"/>
    </row>
    <row r="520">
      <c r="A520" s="95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  <c r="AA520" s="232"/>
      <c r="AB520" s="232"/>
      <c r="AC520" s="232"/>
      <c r="AD520" s="232"/>
      <c r="AE520" s="232"/>
      <c r="AF520" s="232"/>
      <c r="AG520" s="232"/>
      <c r="AH520" s="95"/>
    </row>
    <row r="521">
      <c r="A521" s="95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  <c r="AA521" s="232"/>
      <c r="AB521" s="232"/>
      <c r="AC521" s="232"/>
      <c r="AD521" s="232"/>
      <c r="AE521" s="232"/>
      <c r="AF521" s="232"/>
      <c r="AG521" s="232"/>
      <c r="AH521" s="95"/>
    </row>
    <row r="522">
      <c r="A522" s="95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  <c r="AA522" s="232"/>
      <c r="AB522" s="232"/>
      <c r="AC522" s="232"/>
      <c r="AD522" s="232"/>
      <c r="AE522" s="232"/>
      <c r="AF522" s="232"/>
      <c r="AG522" s="232"/>
      <c r="AH522" s="95"/>
    </row>
    <row r="523">
      <c r="A523" s="95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  <c r="AA523" s="232"/>
      <c r="AB523" s="232"/>
      <c r="AC523" s="232"/>
      <c r="AD523" s="232"/>
      <c r="AE523" s="232"/>
      <c r="AF523" s="232"/>
      <c r="AG523" s="232"/>
      <c r="AH523" s="95"/>
    </row>
    <row r="524">
      <c r="A524" s="95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  <c r="AA524" s="232"/>
      <c r="AB524" s="232"/>
      <c r="AC524" s="232"/>
      <c r="AD524" s="232"/>
      <c r="AE524" s="232"/>
      <c r="AF524" s="232"/>
      <c r="AG524" s="232"/>
      <c r="AH524" s="95"/>
    </row>
    <row r="525">
      <c r="A525" s="95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  <c r="AA525" s="232"/>
      <c r="AB525" s="232"/>
      <c r="AC525" s="232"/>
      <c r="AD525" s="232"/>
      <c r="AE525" s="232"/>
      <c r="AF525" s="232"/>
      <c r="AG525" s="232"/>
      <c r="AH525" s="95"/>
    </row>
    <row r="526">
      <c r="A526" s="95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  <c r="AA526" s="232"/>
      <c r="AB526" s="232"/>
      <c r="AC526" s="232"/>
      <c r="AD526" s="232"/>
      <c r="AE526" s="232"/>
      <c r="AF526" s="232"/>
      <c r="AG526" s="232"/>
      <c r="AH526" s="95"/>
    </row>
    <row r="527">
      <c r="A527" s="95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  <c r="AA527" s="232"/>
      <c r="AB527" s="232"/>
      <c r="AC527" s="232"/>
      <c r="AD527" s="232"/>
      <c r="AE527" s="232"/>
      <c r="AF527" s="232"/>
      <c r="AG527" s="232"/>
      <c r="AH527" s="95"/>
    </row>
    <row r="528">
      <c r="A528" s="95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  <c r="AA528" s="232"/>
      <c r="AB528" s="232"/>
      <c r="AC528" s="232"/>
      <c r="AD528" s="232"/>
      <c r="AE528" s="232"/>
      <c r="AF528" s="232"/>
      <c r="AG528" s="232"/>
      <c r="AH528" s="95"/>
    </row>
    <row r="529">
      <c r="A529" s="95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  <c r="AA529" s="232"/>
      <c r="AB529" s="232"/>
      <c r="AC529" s="232"/>
      <c r="AD529" s="232"/>
      <c r="AE529" s="232"/>
      <c r="AF529" s="232"/>
      <c r="AG529" s="232"/>
      <c r="AH529" s="95"/>
    </row>
    <row r="530">
      <c r="A530" s="95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  <c r="AA530" s="232"/>
      <c r="AB530" s="232"/>
      <c r="AC530" s="232"/>
      <c r="AD530" s="232"/>
      <c r="AE530" s="232"/>
      <c r="AF530" s="232"/>
      <c r="AG530" s="232"/>
      <c r="AH530" s="95"/>
    </row>
    <row r="531">
      <c r="A531" s="95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  <c r="AA531" s="232"/>
      <c r="AB531" s="232"/>
      <c r="AC531" s="232"/>
      <c r="AD531" s="232"/>
      <c r="AE531" s="232"/>
      <c r="AF531" s="232"/>
      <c r="AG531" s="232"/>
      <c r="AH531" s="95"/>
    </row>
    <row r="532">
      <c r="A532" s="95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  <c r="AA532" s="232"/>
      <c r="AB532" s="232"/>
      <c r="AC532" s="232"/>
      <c r="AD532" s="232"/>
      <c r="AE532" s="232"/>
      <c r="AF532" s="232"/>
      <c r="AG532" s="232"/>
      <c r="AH532" s="95"/>
    </row>
    <row r="533">
      <c r="A533" s="95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  <c r="AA533" s="232"/>
      <c r="AB533" s="232"/>
      <c r="AC533" s="232"/>
      <c r="AD533" s="232"/>
      <c r="AE533" s="232"/>
      <c r="AF533" s="232"/>
      <c r="AG533" s="232"/>
      <c r="AH533" s="95"/>
    </row>
    <row r="534">
      <c r="A534" s="95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  <c r="AA534" s="232"/>
      <c r="AB534" s="232"/>
      <c r="AC534" s="232"/>
      <c r="AD534" s="232"/>
      <c r="AE534" s="232"/>
      <c r="AF534" s="232"/>
      <c r="AG534" s="232"/>
      <c r="AH534" s="95"/>
    </row>
    <row r="535">
      <c r="A535" s="95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  <c r="AA535" s="232"/>
      <c r="AB535" s="232"/>
      <c r="AC535" s="232"/>
      <c r="AD535" s="232"/>
      <c r="AE535" s="232"/>
      <c r="AF535" s="232"/>
      <c r="AG535" s="232"/>
      <c r="AH535" s="95"/>
    </row>
    <row r="536">
      <c r="A536" s="95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  <c r="AA536" s="232"/>
      <c r="AB536" s="232"/>
      <c r="AC536" s="232"/>
      <c r="AD536" s="232"/>
      <c r="AE536" s="232"/>
      <c r="AF536" s="232"/>
      <c r="AG536" s="232"/>
      <c r="AH536" s="95"/>
    </row>
    <row r="537">
      <c r="A537" s="95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  <c r="AC537" s="232"/>
      <c r="AD537" s="232"/>
      <c r="AE537" s="232"/>
      <c r="AF537" s="232"/>
      <c r="AG537" s="232"/>
      <c r="AH537" s="95"/>
    </row>
    <row r="538">
      <c r="A538" s="95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  <c r="AA538" s="232"/>
      <c r="AB538" s="232"/>
      <c r="AC538" s="232"/>
      <c r="AD538" s="232"/>
      <c r="AE538" s="232"/>
      <c r="AF538" s="232"/>
      <c r="AG538" s="232"/>
      <c r="AH538" s="95"/>
    </row>
    <row r="539">
      <c r="A539" s="95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  <c r="AA539" s="232"/>
      <c r="AB539" s="232"/>
      <c r="AC539" s="232"/>
      <c r="AD539" s="232"/>
      <c r="AE539" s="232"/>
      <c r="AF539" s="232"/>
      <c r="AG539" s="232"/>
      <c r="AH539" s="95"/>
    </row>
    <row r="540">
      <c r="A540" s="95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  <c r="AA540" s="232"/>
      <c r="AB540" s="232"/>
      <c r="AC540" s="232"/>
      <c r="AD540" s="232"/>
      <c r="AE540" s="232"/>
      <c r="AF540" s="232"/>
      <c r="AG540" s="232"/>
      <c r="AH540" s="95"/>
    </row>
    <row r="541">
      <c r="A541" s="95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  <c r="AA541" s="232"/>
      <c r="AB541" s="232"/>
      <c r="AC541" s="232"/>
      <c r="AD541" s="232"/>
      <c r="AE541" s="232"/>
      <c r="AF541" s="232"/>
      <c r="AG541" s="232"/>
      <c r="AH541" s="95"/>
    </row>
    <row r="542">
      <c r="A542" s="95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2"/>
      <c r="AH542" s="95"/>
    </row>
    <row r="543">
      <c r="A543" s="95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  <c r="AA543" s="232"/>
      <c r="AB543" s="232"/>
      <c r="AC543" s="232"/>
      <c r="AD543" s="232"/>
      <c r="AE543" s="232"/>
      <c r="AF543" s="232"/>
      <c r="AG543" s="232"/>
      <c r="AH543" s="95"/>
    </row>
    <row r="544">
      <c r="A544" s="95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  <c r="AA544" s="232"/>
      <c r="AB544" s="232"/>
      <c r="AC544" s="232"/>
      <c r="AD544" s="232"/>
      <c r="AE544" s="232"/>
      <c r="AF544" s="232"/>
      <c r="AG544" s="232"/>
      <c r="AH544" s="95"/>
    </row>
    <row r="545">
      <c r="A545" s="95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  <c r="AA545" s="232"/>
      <c r="AB545" s="232"/>
      <c r="AC545" s="232"/>
      <c r="AD545" s="232"/>
      <c r="AE545" s="232"/>
      <c r="AF545" s="232"/>
      <c r="AG545" s="232"/>
      <c r="AH545" s="95"/>
    </row>
    <row r="546">
      <c r="A546" s="95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  <c r="AA546" s="232"/>
      <c r="AB546" s="232"/>
      <c r="AC546" s="232"/>
      <c r="AD546" s="232"/>
      <c r="AE546" s="232"/>
      <c r="AF546" s="232"/>
      <c r="AG546" s="232"/>
      <c r="AH546" s="95"/>
    </row>
    <row r="547">
      <c r="A547" s="95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  <c r="AA547" s="232"/>
      <c r="AB547" s="232"/>
      <c r="AC547" s="232"/>
      <c r="AD547" s="232"/>
      <c r="AE547" s="232"/>
      <c r="AF547" s="232"/>
      <c r="AG547" s="232"/>
      <c r="AH547" s="95"/>
    </row>
    <row r="548">
      <c r="A548" s="95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  <c r="AA548" s="232"/>
      <c r="AB548" s="232"/>
      <c r="AC548" s="232"/>
      <c r="AD548" s="232"/>
      <c r="AE548" s="232"/>
      <c r="AF548" s="232"/>
      <c r="AG548" s="232"/>
      <c r="AH548" s="95"/>
    </row>
    <row r="549">
      <c r="A549" s="95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  <c r="AA549" s="232"/>
      <c r="AB549" s="232"/>
      <c r="AC549" s="232"/>
      <c r="AD549" s="232"/>
      <c r="AE549" s="232"/>
      <c r="AF549" s="232"/>
      <c r="AG549" s="232"/>
      <c r="AH549" s="95"/>
    </row>
    <row r="550">
      <c r="A550" s="95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  <c r="AA550" s="232"/>
      <c r="AB550" s="232"/>
      <c r="AC550" s="232"/>
      <c r="AD550" s="232"/>
      <c r="AE550" s="232"/>
      <c r="AF550" s="232"/>
      <c r="AG550" s="232"/>
      <c r="AH550" s="95"/>
    </row>
    <row r="551">
      <c r="A551" s="95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  <c r="AA551" s="232"/>
      <c r="AB551" s="232"/>
      <c r="AC551" s="232"/>
      <c r="AD551" s="232"/>
      <c r="AE551" s="232"/>
      <c r="AF551" s="232"/>
      <c r="AG551" s="232"/>
      <c r="AH551" s="95"/>
    </row>
    <row r="552">
      <c r="A552" s="95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  <c r="AA552" s="232"/>
      <c r="AB552" s="232"/>
      <c r="AC552" s="232"/>
      <c r="AD552" s="232"/>
      <c r="AE552" s="232"/>
      <c r="AF552" s="232"/>
      <c r="AG552" s="232"/>
      <c r="AH552" s="95"/>
    </row>
    <row r="553">
      <c r="A553" s="95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  <c r="AA553" s="232"/>
      <c r="AB553" s="232"/>
      <c r="AC553" s="232"/>
      <c r="AD553" s="232"/>
      <c r="AE553" s="232"/>
      <c r="AF553" s="232"/>
      <c r="AG553" s="232"/>
      <c r="AH553" s="95"/>
    </row>
    <row r="554">
      <c r="A554" s="95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  <c r="AA554" s="232"/>
      <c r="AB554" s="232"/>
      <c r="AC554" s="232"/>
      <c r="AD554" s="232"/>
      <c r="AE554" s="232"/>
      <c r="AF554" s="232"/>
      <c r="AG554" s="232"/>
      <c r="AH554" s="95"/>
    </row>
    <row r="555">
      <c r="A555" s="95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  <c r="AA555" s="232"/>
      <c r="AB555" s="232"/>
      <c r="AC555" s="232"/>
      <c r="AD555" s="232"/>
      <c r="AE555" s="232"/>
      <c r="AF555" s="232"/>
      <c r="AG555" s="232"/>
      <c r="AH555" s="95"/>
    </row>
    <row r="556">
      <c r="A556" s="95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  <c r="AA556" s="232"/>
      <c r="AB556" s="232"/>
      <c r="AC556" s="232"/>
      <c r="AD556" s="232"/>
      <c r="AE556" s="232"/>
      <c r="AF556" s="232"/>
      <c r="AG556" s="232"/>
      <c r="AH556" s="95"/>
    </row>
    <row r="557">
      <c r="A557" s="95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  <c r="AA557" s="232"/>
      <c r="AB557" s="232"/>
      <c r="AC557" s="232"/>
      <c r="AD557" s="232"/>
      <c r="AE557" s="232"/>
      <c r="AF557" s="232"/>
      <c r="AG557" s="232"/>
      <c r="AH557" s="95"/>
    </row>
    <row r="558">
      <c r="A558" s="95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  <c r="AA558" s="232"/>
      <c r="AB558" s="232"/>
      <c r="AC558" s="232"/>
      <c r="AD558" s="232"/>
      <c r="AE558" s="232"/>
      <c r="AF558" s="232"/>
      <c r="AG558" s="232"/>
      <c r="AH558" s="95"/>
    </row>
    <row r="559">
      <c r="A559" s="95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  <c r="AA559" s="232"/>
      <c r="AB559" s="232"/>
      <c r="AC559" s="232"/>
      <c r="AD559" s="232"/>
      <c r="AE559" s="232"/>
      <c r="AF559" s="232"/>
      <c r="AG559" s="232"/>
      <c r="AH559" s="95"/>
    </row>
    <row r="560">
      <c r="A560" s="95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  <c r="AA560" s="232"/>
      <c r="AB560" s="232"/>
      <c r="AC560" s="232"/>
      <c r="AD560" s="232"/>
      <c r="AE560" s="232"/>
      <c r="AF560" s="232"/>
      <c r="AG560" s="232"/>
      <c r="AH560" s="95"/>
    </row>
    <row r="561">
      <c r="A561" s="95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  <c r="AA561" s="232"/>
      <c r="AB561" s="232"/>
      <c r="AC561" s="232"/>
      <c r="AD561" s="232"/>
      <c r="AE561" s="232"/>
      <c r="AF561" s="232"/>
      <c r="AG561" s="232"/>
      <c r="AH561" s="95"/>
    </row>
    <row r="562">
      <c r="A562" s="95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  <c r="AA562" s="232"/>
      <c r="AB562" s="232"/>
      <c r="AC562" s="232"/>
      <c r="AD562" s="232"/>
      <c r="AE562" s="232"/>
      <c r="AF562" s="232"/>
      <c r="AG562" s="232"/>
      <c r="AH562" s="95"/>
    </row>
    <row r="563">
      <c r="A563" s="95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  <c r="AA563" s="232"/>
      <c r="AB563" s="232"/>
      <c r="AC563" s="232"/>
      <c r="AD563" s="232"/>
      <c r="AE563" s="232"/>
      <c r="AF563" s="232"/>
      <c r="AG563" s="232"/>
      <c r="AH563" s="95"/>
    </row>
    <row r="564">
      <c r="A564" s="95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  <c r="AA564" s="232"/>
      <c r="AB564" s="232"/>
      <c r="AC564" s="232"/>
      <c r="AD564" s="232"/>
      <c r="AE564" s="232"/>
      <c r="AF564" s="232"/>
      <c r="AG564" s="232"/>
      <c r="AH564" s="95"/>
    </row>
    <row r="565">
      <c r="A565" s="95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  <c r="AA565" s="232"/>
      <c r="AB565" s="232"/>
      <c r="AC565" s="232"/>
      <c r="AD565" s="232"/>
      <c r="AE565" s="232"/>
      <c r="AF565" s="232"/>
      <c r="AG565" s="232"/>
      <c r="AH565" s="95"/>
    </row>
    <row r="566">
      <c r="A566" s="95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  <c r="AA566" s="232"/>
      <c r="AB566" s="232"/>
      <c r="AC566" s="232"/>
      <c r="AD566" s="232"/>
      <c r="AE566" s="232"/>
      <c r="AF566" s="232"/>
      <c r="AG566" s="232"/>
      <c r="AH566" s="95"/>
    </row>
    <row r="567">
      <c r="A567" s="95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  <c r="AA567" s="232"/>
      <c r="AB567" s="232"/>
      <c r="AC567" s="232"/>
      <c r="AD567" s="232"/>
      <c r="AE567" s="232"/>
      <c r="AF567" s="232"/>
      <c r="AG567" s="232"/>
      <c r="AH567" s="95"/>
    </row>
    <row r="568">
      <c r="A568" s="95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  <c r="AA568" s="232"/>
      <c r="AB568" s="232"/>
      <c r="AC568" s="232"/>
      <c r="AD568" s="232"/>
      <c r="AE568" s="232"/>
      <c r="AF568" s="232"/>
      <c r="AG568" s="232"/>
      <c r="AH568" s="95"/>
    </row>
    <row r="569">
      <c r="A569" s="95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  <c r="AA569" s="232"/>
      <c r="AB569" s="232"/>
      <c r="AC569" s="232"/>
      <c r="AD569" s="232"/>
      <c r="AE569" s="232"/>
      <c r="AF569" s="232"/>
      <c r="AG569" s="232"/>
      <c r="AH569" s="95"/>
    </row>
    <row r="570">
      <c r="A570" s="95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  <c r="AA570" s="232"/>
      <c r="AB570" s="232"/>
      <c r="AC570" s="232"/>
      <c r="AD570" s="232"/>
      <c r="AE570" s="232"/>
      <c r="AF570" s="232"/>
      <c r="AG570" s="232"/>
      <c r="AH570" s="95"/>
    </row>
    <row r="571">
      <c r="A571" s="95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  <c r="AA571" s="232"/>
      <c r="AB571" s="232"/>
      <c r="AC571" s="232"/>
      <c r="AD571" s="232"/>
      <c r="AE571" s="232"/>
      <c r="AF571" s="232"/>
      <c r="AG571" s="232"/>
      <c r="AH571" s="95"/>
    </row>
    <row r="572">
      <c r="A572" s="95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  <c r="AA572" s="232"/>
      <c r="AB572" s="232"/>
      <c r="AC572" s="232"/>
      <c r="AD572" s="232"/>
      <c r="AE572" s="232"/>
      <c r="AF572" s="232"/>
      <c r="AG572" s="232"/>
      <c r="AH572" s="95"/>
    </row>
    <row r="573">
      <c r="A573" s="95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  <c r="AA573" s="232"/>
      <c r="AB573" s="232"/>
      <c r="AC573" s="232"/>
      <c r="AD573" s="232"/>
      <c r="AE573" s="232"/>
      <c r="AF573" s="232"/>
      <c r="AG573" s="232"/>
      <c r="AH573" s="95"/>
    </row>
    <row r="574">
      <c r="A574" s="95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  <c r="AA574" s="232"/>
      <c r="AB574" s="232"/>
      <c r="AC574" s="232"/>
      <c r="AD574" s="232"/>
      <c r="AE574" s="232"/>
      <c r="AF574" s="232"/>
      <c r="AG574" s="232"/>
      <c r="AH574" s="95"/>
    </row>
    <row r="575">
      <c r="A575" s="95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  <c r="AA575" s="232"/>
      <c r="AB575" s="232"/>
      <c r="AC575" s="232"/>
      <c r="AD575" s="232"/>
      <c r="AE575" s="232"/>
      <c r="AF575" s="232"/>
      <c r="AG575" s="232"/>
      <c r="AH575" s="95"/>
    </row>
    <row r="576">
      <c r="A576" s="95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  <c r="AA576" s="232"/>
      <c r="AB576" s="232"/>
      <c r="AC576" s="232"/>
      <c r="AD576" s="232"/>
      <c r="AE576" s="232"/>
      <c r="AF576" s="232"/>
      <c r="AG576" s="232"/>
      <c r="AH576" s="95"/>
    </row>
    <row r="577">
      <c r="A577" s="95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  <c r="AA577" s="232"/>
      <c r="AB577" s="232"/>
      <c r="AC577" s="232"/>
      <c r="AD577" s="232"/>
      <c r="AE577" s="232"/>
      <c r="AF577" s="232"/>
      <c r="AG577" s="232"/>
      <c r="AH577" s="95"/>
    </row>
    <row r="578">
      <c r="A578" s="95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  <c r="AA578" s="232"/>
      <c r="AB578" s="232"/>
      <c r="AC578" s="232"/>
      <c r="AD578" s="232"/>
      <c r="AE578" s="232"/>
      <c r="AF578" s="232"/>
      <c r="AG578" s="232"/>
      <c r="AH578" s="95"/>
    </row>
    <row r="579">
      <c r="A579" s="95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  <c r="AA579" s="232"/>
      <c r="AB579" s="232"/>
      <c r="AC579" s="232"/>
      <c r="AD579" s="232"/>
      <c r="AE579" s="232"/>
      <c r="AF579" s="232"/>
      <c r="AG579" s="232"/>
      <c r="AH579" s="95"/>
    </row>
    <row r="580">
      <c r="A580" s="95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  <c r="AA580" s="232"/>
      <c r="AB580" s="232"/>
      <c r="AC580" s="232"/>
      <c r="AD580" s="232"/>
      <c r="AE580" s="232"/>
      <c r="AF580" s="232"/>
      <c r="AG580" s="232"/>
      <c r="AH580" s="95"/>
    </row>
    <row r="581">
      <c r="A581" s="95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  <c r="AA581" s="232"/>
      <c r="AB581" s="232"/>
      <c r="AC581" s="232"/>
      <c r="AD581" s="232"/>
      <c r="AE581" s="232"/>
      <c r="AF581" s="232"/>
      <c r="AG581" s="232"/>
      <c r="AH581" s="95"/>
    </row>
    <row r="582">
      <c r="A582" s="95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  <c r="AA582" s="232"/>
      <c r="AB582" s="232"/>
      <c r="AC582" s="232"/>
      <c r="AD582" s="232"/>
      <c r="AE582" s="232"/>
      <c r="AF582" s="232"/>
      <c r="AG582" s="232"/>
      <c r="AH582" s="95"/>
    </row>
    <row r="583">
      <c r="A583" s="95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  <c r="AA583" s="232"/>
      <c r="AB583" s="232"/>
      <c r="AC583" s="232"/>
      <c r="AD583" s="232"/>
      <c r="AE583" s="232"/>
      <c r="AF583" s="232"/>
      <c r="AG583" s="232"/>
      <c r="AH583" s="95"/>
    </row>
    <row r="584">
      <c r="A584" s="95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  <c r="AA584" s="232"/>
      <c r="AB584" s="232"/>
      <c r="AC584" s="232"/>
      <c r="AD584" s="232"/>
      <c r="AE584" s="232"/>
      <c r="AF584" s="232"/>
      <c r="AG584" s="232"/>
      <c r="AH584" s="95"/>
    </row>
    <row r="585">
      <c r="A585" s="95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  <c r="AA585" s="232"/>
      <c r="AB585" s="232"/>
      <c r="AC585" s="232"/>
      <c r="AD585" s="232"/>
      <c r="AE585" s="232"/>
      <c r="AF585" s="232"/>
      <c r="AG585" s="232"/>
      <c r="AH585" s="95"/>
    </row>
    <row r="586">
      <c r="A586" s="95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  <c r="AA586" s="232"/>
      <c r="AB586" s="232"/>
      <c r="AC586" s="232"/>
      <c r="AD586" s="232"/>
      <c r="AE586" s="232"/>
      <c r="AF586" s="232"/>
      <c r="AG586" s="232"/>
      <c r="AH586" s="95"/>
    </row>
    <row r="587">
      <c r="A587" s="95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  <c r="AA587" s="232"/>
      <c r="AB587" s="232"/>
      <c r="AC587" s="232"/>
      <c r="AD587" s="232"/>
      <c r="AE587" s="232"/>
      <c r="AF587" s="232"/>
      <c r="AG587" s="232"/>
      <c r="AH587" s="95"/>
    </row>
    <row r="588">
      <c r="A588" s="95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  <c r="AA588" s="232"/>
      <c r="AB588" s="232"/>
      <c r="AC588" s="232"/>
      <c r="AD588" s="232"/>
      <c r="AE588" s="232"/>
      <c r="AF588" s="232"/>
      <c r="AG588" s="232"/>
      <c r="AH588" s="95"/>
    </row>
    <row r="589">
      <c r="A589" s="95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  <c r="AB589" s="232"/>
      <c r="AC589" s="232"/>
      <c r="AD589" s="232"/>
      <c r="AE589" s="232"/>
      <c r="AF589" s="232"/>
      <c r="AG589" s="232"/>
      <c r="AH589" s="95"/>
    </row>
    <row r="590">
      <c r="A590" s="95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  <c r="AA590" s="232"/>
      <c r="AB590" s="232"/>
      <c r="AC590" s="232"/>
      <c r="AD590" s="232"/>
      <c r="AE590" s="232"/>
      <c r="AF590" s="232"/>
      <c r="AG590" s="232"/>
      <c r="AH590" s="95"/>
    </row>
    <row r="591">
      <c r="A591" s="95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  <c r="AA591" s="232"/>
      <c r="AB591" s="232"/>
      <c r="AC591" s="232"/>
      <c r="AD591" s="232"/>
      <c r="AE591" s="232"/>
      <c r="AF591" s="232"/>
      <c r="AG591" s="232"/>
      <c r="AH591" s="95"/>
    </row>
    <row r="592">
      <c r="A592" s="95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  <c r="AA592" s="232"/>
      <c r="AB592" s="232"/>
      <c r="AC592" s="232"/>
      <c r="AD592" s="232"/>
      <c r="AE592" s="232"/>
      <c r="AF592" s="232"/>
      <c r="AG592" s="232"/>
      <c r="AH592" s="95"/>
    </row>
    <row r="593">
      <c r="A593" s="95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  <c r="AA593" s="232"/>
      <c r="AB593" s="232"/>
      <c r="AC593" s="232"/>
      <c r="AD593" s="232"/>
      <c r="AE593" s="232"/>
      <c r="AF593" s="232"/>
      <c r="AG593" s="232"/>
      <c r="AH593" s="95"/>
    </row>
    <row r="594">
      <c r="A594" s="95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  <c r="AA594" s="232"/>
      <c r="AB594" s="232"/>
      <c r="AC594" s="232"/>
      <c r="AD594" s="232"/>
      <c r="AE594" s="232"/>
      <c r="AF594" s="232"/>
      <c r="AG594" s="232"/>
      <c r="AH594" s="95"/>
    </row>
    <row r="595">
      <c r="A595" s="95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  <c r="AA595" s="232"/>
      <c r="AB595" s="232"/>
      <c r="AC595" s="232"/>
      <c r="AD595" s="232"/>
      <c r="AE595" s="232"/>
      <c r="AF595" s="232"/>
      <c r="AG595" s="232"/>
      <c r="AH595" s="95"/>
    </row>
    <row r="596">
      <c r="A596" s="95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  <c r="AA596" s="232"/>
      <c r="AB596" s="232"/>
      <c r="AC596" s="232"/>
      <c r="AD596" s="232"/>
      <c r="AE596" s="232"/>
      <c r="AF596" s="232"/>
      <c r="AG596" s="232"/>
      <c r="AH596" s="95"/>
    </row>
    <row r="597">
      <c r="A597" s="95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  <c r="AA597" s="232"/>
      <c r="AB597" s="232"/>
      <c r="AC597" s="232"/>
      <c r="AD597" s="232"/>
      <c r="AE597" s="232"/>
      <c r="AF597" s="232"/>
      <c r="AG597" s="232"/>
      <c r="AH597" s="95"/>
    </row>
    <row r="598">
      <c r="A598" s="95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  <c r="AA598" s="232"/>
      <c r="AB598" s="232"/>
      <c r="AC598" s="232"/>
      <c r="AD598" s="232"/>
      <c r="AE598" s="232"/>
      <c r="AF598" s="232"/>
      <c r="AG598" s="232"/>
      <c r="AH598" s="95"/>
    </row>
    <row r="599">
      <c r="A599" s="95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  <c r="AA599" s="232"/>
      <c r="AB599" s="232"/>
      <c r="AC599" s="232"/>
      <c r="AD599" s="232"/>
      <c r="AE599" s="232"/>
      <c r="AF599" s="232"/>
      <c r="AG599" s="232"/>
      <c r="AH599" s="95"/>
    </row>
    <row r="600">
      <c r="A600" s="95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  <c r="AA600" s="232"/>
      <c r="AB600" s="232"/>
      <c r="AC600" s="232"/>
      <c r="AD600" s="232"/>
      <c r="AE600" s="232"/>
      <c r="AF600" s="232"/>
      <c r="AG600" s="232"/>
      <c r="AH600" s="95"/>
    </row>
    <row r="601">
      <c r="A601" s="95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  <c r="AA601" s="232"/>
      <c r="AB601" s="232"/>
      <c r="AC601" s="232"/>
      <c r="AD601" s="232"/>
      <c r="AE601" s="232"/>
      <c r="AF601" s="232"/>
      <c r="AG601" s="232"/>
      <c r="AH601" s="95"/>
    </row>
    <row r="602">
      <c r="A602" s="95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  <c r="AA602" s="232"/>
      <c r="AB602" s="232"/>
      <c r="AC602" s="232"/>
      <c r="AD602" s="232"/>
      <c r="AE602" s="232"/>
      <c r="AF602" s="232"/>
      <c r="AG602" s="232"/>
      <c r="AH602" s="95"/>
    </row>
    <row r="603">
      <c r="A603" s="95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  <c r="AA603" s="232"/>
      <c r="AB603" s="232"/>
      <c r="AC603" s="232"/>
      <c r="AD603" s="232"/>
      <c r="AE603" s="232"/>
      <c r="AF603" s="232"/>
      <c r="AG603" s="232"/>
      <c r="AH603" s="95"/>
    </row>
    <row r="604">
      <c r="A604" s="95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  <c r="AA604" s="232"/>
      <c r="AB604" s="232"/>
      <c r="AC604" s="232"/>
      <c r="AD604" s="232"/>
      <c r="AE604" s="232"/>
      <c r="AF604" s="232"/>
      <c r="AG604" s="232"/>
      <c r="AH604" s="95"/>
    </row>
    <row r="605">
      <c r="A605" s="95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  <c r="AA605" s="232"/>
      <c r="AB605" s="232"/>
      <c r="AC605" s="232"/>
      <c r="AD605" s="232"/>
      <c r="AE605" s="232"/>
      <c r="AF605" s="232"/>
      <c r="AG605" s="232"/>
      <c r="AH605" s="95"/>
    </row>
    <row r="606">
      <c r="A606" s="95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  <c r="AA606" s="232"/>
      <c r="AB606" s="232"/>
      <c r="AC606" s="232"/>
      <c r="AD606" s="232"/>
      <c r="AE606" s="232"/>
      <c r="AF606" s="232"/>
      <c r="AG606" s="232"/>
      <c r="AH606" s="95"/>
    </row>
    <row r="607">
      <c r="A607" s="95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  <c r="AA607" s="232"/>
      <c r="AB607" s="232"/>
      <c r="AC607" s="232"/>
      <c r="AD607" s="232"/>
      <c r="AE607" s="232"/>
      <c r="AF607" s="232"/>
      <c r="AG607" s="232"/>
      <c r="AH607" s="95"/>
    </row>
    <row r="608">
      <c r="A608" s="95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  <c r="AA608" s="232"/>
      <c r="AB608" s="232"/>
      <c r="AC608" s="232"/>
      <c r="AD608" s="232"/>
      <c r="AE608" s="232"/>
      <c r="AF608" s="232"/>
      <c r="AG608" s="232"/>
      <c r="AH608" s="95"/>
    </row>
    <row r="609">
      <c r="A609" s="95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  <c r="AA609" s="232"/>
      <c r="AB609" s="232"/>
      <c r="AC609" s="232"/>
      <c r="AD609" s="232"/>
      <c r="AE609" s="232"/>
      <c r="AF609" s="232"/>
      <c r="AG609" s="232"/>
      <c r="AH609" s="95"/>
    </row>
    <row r="610">
      <c r="A610" s="95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  <c r="AA610" s="232"/>
      <c r="AB610" s="232"/>
      <c r="AC610" s="232"/>
      <c r="AD610" s="232"/>
      <c r="AE610" s="232"/>
      <c r="AF610" s="232"/>
      <c r="AG610" s="232"/>
      <c r="AH610" s="95"/>
    </row>
    <row r="611">
      <c r="A611" s="95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  <c r="AA611" s="232"/>
      <c r="AB611" s="232"/>
      <c r="AC611" s="232"/>
      <c r="AD611" s="232"/>
      <c r="AE611" s="232"/>
      <c r="AF611" s="232"/>
      <c r="AG611" s="232"/>
      <c r="AH611" s="95"/>
    </row>
    <row r="612">
      <c r="A612" s="95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  <c r="AA612" s="232"/>
      <c r="AB612" s="232"/>
      <c r="AC612" s="232"/>
      <c r="AD612" s="232"/>
      <c r="AE612" s="232"/>
      <c r="AF612" s="232"/>
      <c r="AG612" s="232"/>
      <c r="AH612" s="95"/>
    </row>
    <row r="613">
      <c r="A613" s="95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  <c r="AA613" s="232"/>
      <c r="AB613" s="232"/>
      <c r="AC613" s="232"/>
      <c r="AD613" s="232"/>
      <c r="AE613" s="232"/>
      <c r="AF613" s="232"/>
      <c r="AG613" s="232"/>
      <c r="AH613" s="95"/>
    </row>
    <row r="614">
      <c r="A614" s="95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  <c r="AA614" s="232"/>
      <c r="AB614" s="232"/>
      <c r="AC614" s="232"/>
      <c r="AD614" s="232"/>
      <c r="AE614" s="232"/>
      <c r="AF614" s="232"/>
      <c r="AG614" s="232"/>
      <c r="AH614" s="95"/>
    </row>
    <row r="615">
      <c r="A615" s="95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  <c r="AA615" s="232"/>
      <c r="AB615" s="232"/>
      <c r="AC615" s="232"/>
      <c r="AD615" s="232"/>
      <c r="AE615" s="232"/>
      <c r="AF615" s="232"/>
      <c r="AG615" s="232"/>
      <c r="AH615" s="95"/>
    </row>
    <row r="616">
      <c r="A616" s="95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  <c r="AA616" s="232"/>
      <c r="AB616" s="232"/>
      <c r="AC616" s="232"/>
      <c r="AD616" s="232"/>
      <c r="AE616" s="232"/>
      <c r="AF616" s="232"/>
      <c r="AG616" s="232"/>
      <c r="AH616" s="95"/>
    </row>
    <row r="617">
      <c r="A617" s="95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  <c r="AA617" s="232"/>
      <c r="AB617" s="232"/>
      <c r="AC617" s="232"/>
      <c r="AD617" s="232"/>
      <c r="AE617" s="232"/>
      <c r="AF617" s="232"/>
      <c r="AG617" s="232"/>
      <c r="AH617" s="95"/>
    </row>
    <row r="618">
      <c r="A618" s="95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  <c r="AA618" s="232"/>
      <c r="AB618" s="232"/>
      <c r="AC618" s="232"/>
      <c r="AD618" s="232"/>
      <c r="AE618" s="232"/>
      <c r="AF618" s="232"/>
      <c r="AG618" s="232"/>
      <c r="AH618" s="95"/>
    </row>
    <row r="619">
      <c r="A619" s="95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  <c r="AA619" s="232"/>
      <c r="AB619" s="232"/>
      <c r="AC619" s="232"/>
      <c r="AD619" s="232"/>
      <c r="AE619" s="232"/>
      <c r="AF619" s="232"/>
      <c r="AG619" s="232"/>
      <c r="AH619" s="95"/>
    </row>
    <row r="620">
      <c r="A620" s="95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  <c r="AA620" s="232"/>
      <c r="AB620" s="232"/>
      <c r="AC620" s="232"/>
      <c r="AD620" s="232"/>
      <c r="AE620" s="232"/>
      <c r="AF620" s="232"/>
      <c r="AG620" s="232"/>
      <c r="AH620" s="95"/>
    </row>
    <row r="621">
      <c r="A621" s="95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  <c r="AA621" s="232"/>
      <c r="AB621" s="232"/>
      <c r="AC621" s="232"/>
      <c r="AD621" s="232"/>
      <c r="AE621" s="232"/>
      <c r="AF621" s="232"/>
      <c r="AG621" s="232"/>
      <c r="AH621" s="95"/>
    </row>
    <row r="622">
      <c r="A622" s="95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  <c r="AA622" s="232"/>
      <c r="AB622" s="232"/>
      <c r="AC622" s="232"/>
      <c r="AD622" s="232"/>
      <c r="AE622" s="232"/>
      <c r="AF622" s="232"/>
      <c r="AG622" s="232"/>
      <c r="AH622" s="95"/>
    </row>
    <row r="623">
      <c r="A623" s="95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  <c r="AA623" s="232"/>
      <c r="AB623" s="232"/>
      <c r="AC623" s="232"/>
      <c r="AD623" s="232"/>
      <c r="AE623" s="232"/>
      <c r="AF623" s="232"/>
      <c r="AG623" s="232"/>
      <c r="AH623" s="95"/>
    </row>
    <row r="624">
      <c r="A624" s="95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  <c r="AA624" s="232"/>
      <c r="AB624" s="232"/>
      <c r="AC624" s="232"/>
      <c r="AD624" s="232"/>
      <c r="AE624" s="232"/>
      <c r="AF624" s="232"/>
      <c r="AG624" s="232"/>
      <c r="AH624" s="95"/>
    </row>
    <row r="625">
      <c r="A625" s="95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  <c r="AA625" s="232"/>
      <c r="AB625" s="232"/>
      <c r="AC625" s="232"/>
      <c r="AD625" s="232"/>
      <c r="AE625" s="232"/>
      <c r="AF625" s="232"/>
      <c r="AG625" s="232"/>
      <c r="AH625" s="95"/>
    </row>
    <row r="626">
      <c r="A626" s="95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  <c r="AA626" s="232"/>
      <c r="AB626" s="232"/>
      <c r="AC626" s="232"/>
      <c r="AD626" s="232"/>
      <c r="AE626" s="232"/>
      <c r="AF626" s="232"/>
      <c r="AG626" s="232"/>
      <c r="AH626" s="95"/>
    </row>
    <row r="627">
      <c r="A627" s="95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  <c r="AA627" s="232"/>
      <c r="AB627" s="232"/>
      <c r="AC627" s="232"/>
      <c r="AD627" s="232"/>
      <c r="AE627" s="232"/>
      <c r="AF627" s="232"/>
      <c r="AG627" s="232"/>
      <c r="AH627" s="95"/>
    </row>
    <row r="628">
      <c r="A628" s="95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  <c r="AA628" s="232"/>
      <c r="AB628" s="232"/>
      <c r="AC628" s="232"/>
      <c r="AD628" s="232"/>
      <c r="AE628" s="232"/>
      <c r="AF628" s="232"/>
      <c r="AG628" s="232"/>
      <c r="AH628" s="95"/>
    </row>
    <row r="629">
      <c r="A629" s="95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  <c r="AA629" s="232"/>
      <c r="AB629" s="232"/>
      <c r="AC629" s="232"/>
      <c r="AD629" s="232"/>
      <c r="AE629" s="232"/>
      <c r="AF629" s="232"/>
      <c r="AG629" s="232"/>
      <c r="AH629" s="95"/>
    </row>
    <row r="630">
      <c r="A630" s="95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  <c r="AA630" s="232"/>
      <c r="AB630" s="232"/>
      <c r="AC630" s="232"/>
      <c r="AD630" s="232"/>
      <c r="AE630" s="232"/>
      <c r="AF630" s="232"/>
      <c r="AG630" s="232"/>
      <c r="AH630" s="95"/>
    </row>
    <row r="631">
      <c r="A631" s="95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  <c r="AA631" s="232"/>
      <c r="AB631" s="232"/>
      <c r="AC631" s="232"/>
      <c r="AD631" s="232"/>
      <c r="AE631" s="232"/>
      <c r="AF631" s="232"/>
      <c r="AG631" s="232"/>
      <c r="AH631" s="95"/>
    </row>
    <row r="632">
      <c r="A632" s="95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  <c r="AA632" s="232"/>
      <c r="AB632" s="232"/>
      <c r="AC632" s="232"/>
      <c r="AD632" s="232"/>
      <c r="AE632" s="232"/>
      <c r="AF632" s="232"/>
      <c r="AG632" s="232"/>
      <c r="AH632" s="95"/>
    </row>
    <row r="633">
      <c r="A633" s="95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  <c r="AA633" s="232"/>
      <c r="AB633" s="232"/>
      <c r="AC633" s="232"/>
      <c r="AD633" s="232"/>
      <c r="AE633" s="232"/>
      <c r="AF633" s="232"/>
      <c r="AG633" s="232"/>
      <c r="AH633" s="95"/>
    </row>
    <row r="634">
      <c r="A634" s="95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  <c r="AA634" s="232"/>
      <c r="AB634" s="232"/>
      <c r="AC634" s="232"/>
      <c r="AD634" s="232"/>
      <c r="AE634" s="232"/>
      <c r="AF634" s="232"/>
      <c r="AG634" s="232"/>
      <c r="AH634" s="95"/>
    </row>
    <row r="635">
      <c r="A635" s="95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  <c r="AA635" s="232"/>
      <c r="AB635" s="232"/>
      <c r="AC635" s="232"/>
      <c r="AD635" s="232"/>
      <c r="AE635" s="232"/>
      <c r="AF635" s="232"/>
      <c r="AG635" s="232"/>
      <c r="AH635" s="95"/>
    </row>
    <row r="636">
      <c r="A636" s="95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  <c r="AA636" s="232"/>
      <c r="AB636" s="232"/>
      <c r="AC636" s="232"/>
      <c r="AD636" s="232"/>
      <c r="AE636" s="232"/>
      <c r="AF636" s="232"/>
      <c r="AG636" s="232"/>
      <c r="AH636" s="95"/>
    </row>
    <row r="637">
      <c r="A637" s="95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  <c r="AA637" s="232"/>
      <c r="AB637" s="232"/>
      <c r="AC637" s="232"/>
      <c r="AD637" s="232"/>
      <c r="AE637" s="232"/>
      <c r="AF637" s="232"/>
      <c r="AG637" s="232"/>
      <c r="AH637" s="95"/>
    </row>
    <row r="638">
      <c r="A638" s="95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  <c r="AA638" s="232"/>
      <c r="AB638" s="232"/>
      <c r="AC638" s="232"/>
      <c r="AD638" s="232"/>
      <c r="AE638" s="232"/>
      <c r="AF638" s="232"/>
      <c r="AG638" s="232"/>
      <c r="AH638" s="95"/>
    </row>
    <row r="639">
      <c r="A639" s="95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  <c r="AA639" s="232"/>
      <c r="AB639" s="232"/>
      <c r="AC639" s="232"/>
      <c r="AD639" s="232"/>
      <c r="AE639" s="232"/>
      <c r="AF639" s="232"/>
      <c r="AG639" s="232"/>
      <c r="AH639" s="95"/>
    </row>
    <row r="640">
      <c r="A640" s="95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  <c r="AA640" s="232"/>
      <c r="AB640" s="232"/>
      <c r="AC640" s="232"/>
      <c r="AD640" s="232"/>
      <c r="AE640" s="232"/>
      <c r="AF640" s="232"/>
      <c r="AG640" s="232"/>
      <c r="AH640" s="95"/>
    </row>
    <row r="641">
      <c r="A641" s="95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  <c r="AA641" s="232"/>
      <c r="AB641" s="232"/>
      <c r="AC641" s="232"/>
      <c r="AD641" s="232"/>
      <c r="AE641" s="232"/>
      <c r="AF641" s="232"/>
      <c r="AG641" s="232"/>
      <c r="AH641" s="95"/>
    </row>
    <row r="642">
      <c r="A642" s="95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  <c r="AA642" s="232"/>
      <c r="AB642" s="232"/>
      <c r="AC642" s="232"/>
      <c r="AD642" s="232"/>
      <c r="AE642" s="232"/>
      <c r="AF642" s="232"/>
      <c r="AG642" s="232"/>
      <c r="AH642" s="95"/>
    </row>
    <row r="643">
      <c r="A643" s="95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  <c r="AA643" s="232"/>
      <c r="AB643" s="232"/>
      <c r="AC643" s="232"/>
      <c r="AD643" s="232"/>
      <c r="AE643" s="232"/>
      <c r="AF643" s="232"/>
      <c r="AG643" s="232"/>
      <c r="AH643" s="95"/>
    </row>
    <row r="644">
      <c r="A644" s="95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  <c r="AA644" s="232"/>
      <c r="AB644" s="232"/>
      <c r="AC644" s="232"/>
      <c r="AD644" s="232"/>
      <c r="AE644" s="232"/>
      <c r="AF644" s="232"/>
      <c r="AG644" s="232"/>
      <c r="AH644" s="95"/>
    </row>
    <row r="645">
      <c r="A645" s="95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  <c r="AA645" s="232"/>
      <c r="AB645" s="232"/>
      <c r="AC645" s="232"/>
      <c r="AD645" s="232"/>
      <c r="AE645" s="232"/>
      <c r="AF645" s="232"/>
      <c r="AG645" s="232"/>
      <c r="AH645" s="95"/>
    </row>
    <row r="646">
      <c r="A646" s="95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  <c r="AA646" s="232"/>
      <c r="AB646" s="232"/>
      <c r="AC646" s="232"/>
      <c r="AD646" s="232"/>
      <c r="AE646" s="232"/>
      <c r="AF646" s="232"/>
      <c r="AG646" s="232"/>
      <c r="AH646" s="95"/>
    </row>
    <row r="647">
      <c r="A647" s="95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  <c r="AA647" s="232"/>
      <c r="AB647" s="232"/>
      <c r="AC647" s="232"/>
      <c r="AD647" s="232"/>
      <c r="AE647" s="232"/>
      <c r="AF647" s="232"/>
      <c r="AG647" s="232"/>
      <c r="AH647" s="95"/>
    </row>
    <row r="648">
      <c r="A648" s="95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  <c r="AA648" s="232"/>
      <c r="AB648" s="232"/>
      <c r="AC648" s="232"/>
      <c r="AD648" s="232"/>
      <c r="AE648" s="232"/>
      <c r="AF648" s="232"/>
      <c r="AG648" s="232"/>
      <c r="AH648" s="95"/>
    </row>
    <row r="649">
      <c r="A649" s="95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  <c r="AA649" s="232"/>
      <c r="AB649" s="232"/>
      <c r="AC649" s="232"/>
      <c r="AD649" s="232"/>
      <c r="AE649" s="232"/>
      <c r="AF649" s="232"/>
      <c r="AG649" s="232"/>
      <c r="AH649" s="95"/>
    </row>
    <row r="650">
      <c r="A650" s="95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  <c r="AA650" s="232"/>
      <c r="AB650" s="232"/>
      <c r="AC650" s="232"/>
      <c r="AD650" s="232"/>
      <c r="AE650" s="232"/>
      <c r="AF650" s="232"/>
      <c r="AG650" s="232"/>
      <c r="AH650" s="95"/>
    </row>
    <row r="651">
      <c r="A651" s="95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  <c r="AA651" s="232"/>
      <c r="AB651" s="232"/>
      <c r="AC651" s="232"/>
      <c r="AD651" s="232"/>
      <c r="AE651" s="232"/>
      <c r="AF651" s="232"/>
      <c r="AG651" s="232"/>
      <c r="AH651" s="95"/>
    </row>
    <row r="652">
      <c r="A652" s="95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  <c r="AA652" s="232"/>
      <c r="AB652" s="232"/>
      <c r="AC652" s="232"/>
      <c r="AD652" s="232"/>
      <c r="AE652" s="232"/>
      <c r="AF652" s="232"/>
      <c r="AG652" s="232"/>
      <c r="AH652" s="95"/>
    </row>
    <row r="653">
      <c r="A653" s="95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  <c r="AA653" s="232"/>
      <c r="AB653" s="232"/>
      <c r="AC653" s="232"/>
      <c r="AD653" s="232"/>
      <c r="AE653" s="232"/>
      <c r="AF653" s="232"/>
      <c r="AG653" s="232"/>
      <c r="AH653" s="95"/>
    </row>
    <row r="654">
      <c r="A654" s="95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  <c r="AA654" s="232"/>
      <c r="AB654" s="232"/>
      <c r="AC654" s="232"/>
      <c r="AD654" s="232"/>
      <c r="AE654" s="232"/>
      <c r="AF654" s="232"/>
      <c r="AG654" s="232"/>
      <c r="AH654" s="95"/>
    </row>
    <row r="655">
      <c r="A655" s="95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  <c r="AA655" s="232"/>
      <c r="AB655" s="232"/>
      <c r="AC655" s="232"/>
      <c r="AD655" s="232"/>
      <c r="AE655" s="232"/>
      <c r="AF655" s="232"/>
      <c r="AG655" s="232"/>
      <c r="AH655" s="95"/>
    </row>
    <row r="656">
      <c r="A656" s="95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  <c r="AA656" s="232"/>
      <c r="AB656" s="232"/>
      <c r="AC656" s="232"/>
      <c r="AD656" s="232"/>
      <c r="AE656" s="232"/>
      <c r="AF656" s="232"/>
      <c r="AG656" s="232"/>
      <c r="AH656" s="95"/>
    </row>
    <row r="657">
      <c r="A657" s="95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  <c r="AA657" s="232"/>
      <c r="AB657" s="232"/>
      <c r="AC657" s="232"/>
      <c r="AD657" s="232"/>
      <c r="AE657" s="232"/>
      <c r="AF657" s="232"/>
      <c r="AG657" s="232"/>
      <c r="AH657" s="95"/>
    </row>
    <row r="658">
      <c r="A658" s="95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  <c r="AA658" s="232"/>
      <c r="AB658" s="232"/>
      <c r="AC658" s="232"/>
      <c r="AD658" s="232"/>
      <c r="AE658" s="232"/>
      <c r="AF658" s="232"/>
      <c r="AG658" s="232"/>
      <c r="AH658" s="95"/>
    </row>
    <row r="659">
      <c r="A659" s="95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  <c r="AA659" s="232"/>
      <c r="AB659" s="232"/>
      <c r="AC659" s="232"/>
      <c r="AD659" s="232"/>
      <c r="AE659" s="232"/>
      <c r="AF659" s="232"/>
      <c r="AG659" s="232"/>
      <c r="AH659" s="95"/>
    </row>
    <row r="660">
      <c r="A660" s="95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  <c r="AA660" s="232"/>
      <c r="AB660" s="232"/>
      <c r="AC660" s="232"/>
      <c r="AD660" s="232"/>
      <c r="AE660" s="232"/>
      <c r="AF660" s="232"/>
      <c r="AG660" s="232"/>
      <c r="AH660" s="95"/>
    </row>
    <row r="661">
      <c r="A661" s="95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  <c r="AA661" s="232"/>
      <c r="AB661" s="232"/>
      <c r="AC661" s="232"/>
      <c r="AD661" s="232"/>
      <c r="AE661" s="232"/>
      <c r="AF661" s="232"/>
      <c r="AG661" s="232"/>
      <c r="AH661" s="95"/>
    </row>
    <row r="662">
      <c r="A662" s="95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  <c r="AA662" s="232"/>
      <c r="AB662" s="232"/>
      <c r="AC662" s="232"/>
      <c r="AD662" s="232"/>
      <c r="AE662" s="232"/>
      <c r="AF662" s="232"/>
      <c r="AG662" s="232"/>
      <c r="AH662" s="95"/>
    </row>
    <row r="663">
      <c r="A663" s="95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  <c r="AA663" s="232"/>
      <c r="AB663" s="232"/>
      <c r="AC663" s="232"/>
      <c r="AD663" s="232"/>
      <c r="AE663" s="232"/>
      <c r="AF663" s="232"/>
      <c r="AG663" s="232"/>
      <c r="AH663" s="95"/>
    </row>
    <row r="664">
      <c r="A664" s="95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  <c r="AA664" s="232"/>
      <c r="AB664" s="232"/>
      <c r="AC664" s="232"/>
      <c r="AD664" s="232"/>
      <c r="AE664" s="232"/>
      <c r="AF664" s="232"/>
      <c r="AG664" s="232"/>
      <c r="AH664" s="95"/>
    </row>
    <row r="665">
      <c r="A665" s="95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  <c r="AA665" s="232"/>
      <c r="AB665" s="232"/>
      <c r="AC665" s="232"/>
      <c r="AD665" s="232"/>
      <c r="AE665" s="232"/>
      <c r="AF665" s="232"/>
      <c r="AG665" s="232"/>
      <c r="AH665" s="95"/>
    </row>
    <row r="666">
      <c r="A666" s="95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  <c r="AA666" s="232"/>
      <c r="AB666" s="232"/>
      <c r="AC666" s="232"/>
      <c r="AD666" s="232"/>
      <c r="AE666" s="232"/>
      <c r="AF666" s="232"/>
      <c r="AG666" s="232"/>
      <c r="AH666" s="95"/>
    </row>
    <row r="667">
      <c r="A667" s="95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  <c r="AA667" s="232"/>
      <c r="AB667" s="232"/>
      <c r="AC667" s="232"/>
      <c r="AD667" s="232"/>
      <c r="AE667" s="232"/>
      <c r="AF667" s="232"/>
      <c r="AG667" s="232"/>
      <c r="AH667" s="95"/>
    </row>
    <row r="668">
      <c r="A668" s="95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  <c r="AA668" s="232"/>
      <c r="AB668" s="232"/>
      <c r="AC668" s="232"/>
      <c r="AD668" s="232"/>
      <c r="AE668" s="232"/>
      <c r="AF668" s="232"/>
      <c r="AG668" s="232"/>
      <c r="AH668" s="95"/>
    </row>
    <row r="669">
      <c r="A669" s="95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  <c r="AA669" s="232"/>
      <c r="AB669" s="232"/>
      <c r="AC669" s="232"/>
      <c r="AD669" s="232"/>
      <c r="AE669" s="232"/>
      <c r="AF669" s="232"/>
      <c r="AG669" s="232"/>
      <c r="AH669" s="95"/>
    </row>
    <row r="670">
      <c r="A670" s="95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  <c r="AA670" s="232"/>
      <c r="AB670" s="232"/>
      <c r="AC670" s="232"/>
      <c r="AD670" s="232"/>
      <c r="AE670" s="232"/>
      <c r="AF670" s="232"/>
      <c r="AG670" s="232"/>
      <c r="AH670" s="95"/>
    </row>
    <row r="671">
      <c r="A671" s="95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  <c r="AA671" s="232"/>
      <c r="AB671" s="232"/>
      <c r="AC671" s="232"/>
      <c r="AD671" s="232"/>
      <c r="AE671" s="232"/>
      <c r="AF671" s="232"/>
      <c r="AG671" s="232"/>
      <c r="AH671" s="95"/>
    </row>
    <row r="672">
      <c r="A672" s="95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  <c r="AA672" s="232"/>
      <c r="AB672" s="232"/>
      <c r="AC672" s="232"/>
      <c r="AD672" s="232"/>
      <c r="AE672" s="232"/>
      <c r="AF672" s="232"/>
      <c r="AG672" s="232"/>
      <c r="AH672" s="95"/>
    </row>
    <row r="673">
      <c r="A673" s="95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  <c r="AA673" s="232"/>
      <c r="AB673" s="232"/>
      <c r="AC673" s="232"/>
      <c r="AD673" s="232"/>
      <c r="AE673" s="232"/>
      <c r="AF673" s="232"/>
      <c r="AG673" s="232"/>
      <c r="AH673" s="95"/>
    </row>
    <row r="674">
      <c r="A674" s="95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  <c r="AA674" s="232"/>
      <c r="AB674" s="232"/>
      <c r="AC674" s="232"/>
      <c r="AD674" s="232"/>
      <c r="AE674" s="232"/>
      <c r="AF674" s="232"/>
      <c r="AG674" s="232"/>
      <c r="AH674" s="95"/>
    </row>
    <row r="675">
      <c r="A675" s="95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  <c r="AA675" s="232"/>
      <c r="AB675" s="232"/>
      <c r="AC675" s="232"/>
      <c r="AD675" s="232"/>
      <c r="AE675" s="232"/>
      <c r="AF675" s="232"/>
      <c r="AG675" s="232"/>
      <c r="AH675" s="95"/>
    </row>
    <row r="676">
      <c r="A676" s="95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  <c r="AB676" s="232"/>
      <c r="AC676" s="232"/>
      <c r="AD676" s="232"/>
      <c r="AE676" s="232"/>
      <c r="AF676" s="232"/>
      <c r="AG676" s="232"/>
      <c r="AH676" s="95"/>
    </row>
    <row r="677">
      <c r="A677" s="95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  <c r="AA677" s="232"/>
      <c r="AB677" s="232"/>
      <c r="AC677" s="232"/>
      <c r="AD677" s="232"/>
      <c r="AE677" s="232"/>
      <c r="AF677" s="232"/>
      <c r="AG677" s="232"/>
      <c r="AH677" s="95"/>
    </row>
    <row r="678">
      <c r="A678" s="95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  <c r="AA678" s="232"/>
      <c r="AB678" s="232"/>
      <c r="AC678" s="232"/>
      <c r="AD678" s="232"/>
      <c r="AE678" s="232"/>
      <c r="AF678" s="232"/>
      <c r="AG678" s="232"/>
      <c r="AH678" s="95"/>
    </row>
    <row r="679">
      <c r="A679" s="95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  <c r="AA679" s="232"/>
      <c r="AB679" s="232"/>
      <c r="AC679" s="232"/>
      <c r="AD679" s="232"/>
      <c r="AE679" s="232"/>
      <c r="AF679" s="232"/>
      <c r="AG679" s="232"/>
      <c r="AH679" s="95"/>
    </row>
    <row r="680">
      <c r="A680" s="95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  <c r="AA680" s="232"/>
      <c r="AB680" s="232"/>
      <c r="AC680" s="232"/>
      <c r="AD680" s="232"/>
      <c r="AE680" s="232"/>
      <c r="AF680" s="232"/>
      <c r="AG680" s="232"/>
      <c r="AH680" s="95"/>
    </row>
    <row r="681">
      <c r="A681" s="95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  <c r="AA681" s="232"/>
      <c r="AB681" s="232"/>
      <c r="AC681" s="232"/>
      <c r="AD681" s="232"/>
      <c r="AE681" s="232"/>
      <c r="AF681" s="232"/>
      <c r="AG681" s="232"/>
      <c r="AH681" s="95"/>
    </row>
    <row r="682">
      <c r="A682" s="95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  <c r="AA682" s="232"/>
      <c r="AB682" s="232"/>
      <c r="AC682" s="232"/>
      <c r="AD682" s="232"/>
      <c r="AE682" s="232"/>
      <c r="AF682" s="232"/>
      <c r="AG682" s="232"/>
      <c r="AH682" s="95"/>
    </row>
    <row r="683">
      <c r="A683" s="95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  <c r="AA683" s="232"/>
      <c r="AB683" s="232"/>
      <c r="AC683" s="232"/>
      <c r="AD683" s="232"/>
      <c r="AE683" s="232"/>
      <c r="AF683" s="232"/>
      <c r="AG683" s="232"/>
      <c r="AH683" s="95"/>
    </row>
    <row r="684">
      <c r="A684" s="95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  <c r="AA684" s="232"/>
      <c r="AB684" s="232"/>
      <c r="AC684" s="232"/>
      <c r="AD684" s="232"/>
      <c r="AE684" s="232"/>
      <c r="AF684" s="232"/>
      <c r="AG684" s="232"/>
      <c r="AH684" s="95"/>
    </row>
    <row r="685">
      <c r="A685" s="95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  <c r="AA685" s="232"/>
      <c r="AB685" s="232"/>
      <c r="AC685" s="232"/>
      <c r="AD685" s="232"/>
      <c r="AE685" s="232"/>
      <c r="AF685" s="232"/>
      <c r="AG685" s="232"/>
      <c r="AH685" s="95"/>
    </row>
    <row r="686">
      <c r="A686" s="95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  <c r="AA686" s="232"/>
      <c r="AB686" s="232"/>
      <c r="AC686" s="232"/>
      <c r="AD686" s="232"/>
      <c r="AE686" s="232"/>
      <c r="AF686" s="232"/>
      <c r="AG686" s="232"/>
      <c r="AH686" s="95"/>
    </row>
    <row r="687">
      <c r="A687" s="95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  <c r="AA687" s="232"/>
      <c r="AB687" s="232"/>
      <c r="AC687" s="232"/>
      <c r="AD687" s="232"/>
      <c r="AE687" s="232"/>
      <c r="AF687" s="232"/>
      <c r="AG687" s="232"/>
      <c r="AH687" s="95"/>
    </row>
    <row r="688">
      <c r="A688" s="95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  <c r="AA688" s="232"/>
      <c r="AB688" s="232"/>
      <c r="AC688" s="232"/>
      <c r="AD688" s="232"/>
      <c r="AE688" s="232"/>
      <c r="AF688" s="232"/>
      <c r="AG688" s="232"/>
      <c r="AH688" s="95"/>
    </row>
    <row r="689">
      <c r="A689" s="95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  <c r="AA689" s="232"/>
      <c r="AB689" s="232"/>
      <c r="AC689" s="232"/>
      <c r="AD689" s="232"/>
      <c r="AE689" s="232"/>
      <c r="AF689" s="232"/>
      <c r="AG689" s="232"/>
      <c r="AH689" s="95"/>
    </row>
    <row r="690">
      <c r="A690" s="95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  <c r="AA690" s="232"/>
      <c r="AB690" s="232"/>
      <c r="AC690" s="232"/>
      <c r="AD690" s="232"/>
      <c r="AE690" s="232"/>
      <c r="AF690" s="232"/>
      <c r="AG690" s="232"/>
      <c r="AH690" s="95"/>
    </row>
    <row r="691">
      <c r="A691" s="95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  <c r="AA691" s="232"/>
      <c r="AB691" s="232"/>
      <c r="AC691" s="232"/>
      <c r="AD691" s="232"/>
      <c r="AE691" s="232"/>
      <c r="AF691" s="232"/>
      <c r="AG691" s="232"/>
      <c r="AH691" s="95"/>
    </row>
    <row r="692">
      <c r="A692" s="95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  <c r="AA692" s="232"/>
      <c r="AB692" s="232"/>
      <c r="AC692" s="232"/>
      <c r="AD692" s="232"/>
      <c r="AE692" s="232"/>
      <c r="AF692" s="232"/>
      <c r="AG692" s="232"/>
      <c r="AH692" s="95"/>
    </row>
    <row r="693">
      <c r="A693" s="95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  <c r="AA693" s="232"/>
      <c r="AB693" s="232"/>
      <c r="AC693" s="232"/>
      <c r="AD693" s="232"/>
      <c r="AE693" s="232"/>
      <c r="AF693" s="232"/>
      <c r="AG693" s="232"/>
      <c r="AH693" s="95"/>
    </row>
    <row r="694">
      <c r="A694" s="95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  <c r="AA694" s="232"/>
      <c r="AB694" s="232"/>
      <c r="AC694" s="232"/>
      <c r="AD694" s="232"/>
      <c r="AE694" s="232"/>
      <c r="AF694" s="232"/>
      <c r="AG694" s="232"/>
      <c r="AH694" s="95"/>
    </row>
    <row r="695">
      <c r="A695" s="95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  <c r="AA695" s="232"/>
      <c r="AB695" s="232"/>
      <c r="AC695" s="232"/>
      <c r="AD695" s="232"/>
      <c r="AE695" s="232"/>
      <c r="AF695" s="232"/>
      <c r="AG695" s="232"/>
      <c r="AH695" s="95"/>
    </row>
    <row r="696">
      <c r="A696" s="95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  <c r="AA696" s="232"/>
      <c r="AB696" s="232"/>
      <c r="AC696" s="232"/>
      <c r="AD696" s="232"/>
      <c r="AE696" s="232"/>
      <c r="AF696" s="232"/>
      <c r="AG696" s="232"/>
      <c r="AH696" s="95"/>
    </row>
    <row r="697">
      <c r="A697" s="95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  <c r="AA697" s="232"/>
      <c r="AB697" s="232"/>
      <c r="AC697" s="232"/>
      <c r="AD697" s="232"/>
      <c r="AE697" s="232"/>
      <c r="AF697" s="232"/>
      <c r="AG697" s="232"/>
      <c r="AH697" s="95"/>
    </row>
    <row r="698">
      <c r="A698" s="95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  <c r="AA698" s="232"/>
      <c r="AB698" s="232"/>
      <c r="AC698" s="232"/>
      <c r="AD698" s="232"/>
      <c r="AE698" s="232"/>
      <c r="AF698" s="232"/>
      <c r="AG698" s="232"/>
      <c r="AH698" s="95"/>
    </row>
    <row r="699">
      <c r="A699" s="95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  <c r="AA699" s="232"/>
      <c r="AB699" s="232"/>
      <c r="AC699" s="232"/>
      <c r="AD699" s="232"/>
      <c r="AE699" s="232"/>
      <c r="AF699" s="232"/>
      <c r="AG699" s="232"/>
      <c r="AH699" s="95"/>
    </row>
    <row r="700">
      <c r="A700" s="95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  <c r="AA700" s="232"/>
      <c r="AB700" s="232"/>
      <c r="AC700" s="232"/>
      <c r="AD700" s="232"/>
      <c r="AE700" s="232"/>
      <c r="AF700" s="232"/>
      <c r="AG700" s="232"/>
      <c r="AH700" s="95"/>
    </row>
    <row r="701">
      <c r="A701" s="95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  <c r="AA701" s="232"/>
      <c r="AB701" s="232"/>
      <c r="AC701" s="232"/>
      <c r="AD701" s="232"/>
      <c r="AE701" s="232"/>
      <c r="AF701" s="232"/>
      <c r="AG701" s="232"/>
      <c r="AH701" s="95"/>
    </row>
    <row r="702">
      <c r="A702" s="95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  <c r="AA702" s="232"/>
      <c r="AB702" s="232"/>
      <c r="AC702" s="232"/>
      <c r="AD702" s="232"/>
      <c r="AE702" s="232"/>
      <c r="AF702" s="232"/>
      <c r="AG702" s="232"/>
      <c r="AH702" s="95"/>
    </row>
    <row r="703">
      <c r="A703" s="95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  <c r="AA703" s="232"/>
      <c r="AB703" s="232"/>
      <c r="AC703" s="232"/>
      <c r="AD703" s="232"/>
      <c r="AE703" s="232"/>
      <c r="AF703" s="232"/>
      <c r="AG703" s="232"/>
      <c r="AH703" s="95"/>
    </row>
    <row r="704">
      <c r="A704" s="95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  <c r="AA704" s="232"/>
      <c r="AB704" s="232"/>
      <c r="AC704" s="232"/>
      <c r="AD704" s="232"/>
      <c r="AE704" s="232"/>
      <c r="AF704" s="232"/>
      <c r="AG704" s="232"/>
      <c r="AH704" s="95"/>
    </row>
    <row r="705">
      <c r="A705" s="95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  <c r="AA705" s="232"/>
      <c r="AB705" s="232"/>
      <c r="AC705" s="232"/>
      <c r="AD705" s="232"/>
      <c r="AE705" s="232"/>
      <c r="AF705" s="232"/>
      <c r="AG705" s="232"/>
      <c r="AH705" s="95"/>
    </row>
    <row r="706">
      <c r="A706" s="95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  <c r="AA706" s="232"/>
      <c r="AB706" s="232"/>
      <c r="AC706" s="232"/>
      <c r="AD706" s="232"/>
      <c r="AE706" s="232"/>
      <c r="AF706" s="232"/>
      <c r="AG706" s="232"/>
      <c r="AH706" s="95"/>
    </row>
    <row r="707">
      <c r="A707" s="95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  <c r="AA707" s="232"/>
      <c r="AB707" s="232"/>
      <c r="AC707" s="232"/>
      <c r="AD707" s="232"/>
      <c r="AE707" s="232"/>
      <c r="AF707" s="232"/>
      <c r="AG707" s="232"/>
      <c r="AH707" s="95"/>
    </row>
    <row r="708">
      <c r="A708" s="95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  <c r="AA708" s="232"/>
      <c r="AB708" s="232"/>
      <c r="AC708" s="232"/>
      <c r="AD708" s="232"/>
      <c r="AE708" s="232"/>
      <c r="AF708" s="232"/>
      <c r="AG708" s="232"/>
      <c r="AH708" s="95"/>
    </row>
    <row r="709">
      <c r="A709" s="95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  <c r="AA709" s="232"/>
      <c r="AB709" s="232"/>
      <c r="AC709" s="232"/>
      <c r="AD709" s="232"/>
      <c r="AE709" s="232"/>
      <c r="AF709" s="232"/>
      <c r="AG709" s="232"/>
      <c r="AH709" s="95"/>
    </row>
    <row r="710">
      <c r="A710" s="95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  <c r="AA710" s="232"/>
      <c r="AB710" s="232"/>
      <c r="AC710" s="232"/>
      <c r="AD710" s="232"/>
      <c r="AE710" s="232"/>
      <c r="AF710" s="232"/>
      <c r="AG710" s="232"/>
      <c r="AH710" s="95"/>
    </row>
    <row r="711">
      <c r="A711" s="95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  <c r="AA711" s="232"/>
      <c r="AB711" s="232"/>
      <c r="AC711" s="232"/>
      <c r="AD711" s="232"/>
      <c r="AE711" s="232"/>
      <c r="AF711" s="232"/>
      <c r="AG711" s="232"/>
      <c r="AH711" s="95"/>
    </row>
    <row r="712">
      <c r="A712" s="95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  <c r="AA712" s="232"/>
      <c r="AB712" s="232"/>
      <c r="AC712" s="232"/>
      <c r="AD712" s="232"/>
      <c r="AE712" s="232"/>
      <c r="AF712" s="232"/>
      <c r="AG712" s="232"/>
      <c r="AH712" s="95"/>
    </row>
    <row r="713">
      <c r="A713" s="95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  <c r="AA713" s="232"/>
      <c r="AB713" s="232"/>
      <c r="AC713" s="232"/>
      <c r="AD713" s="232"/>
      <c r="AE713" s="232"/>
      <c r="AF713" s="232"/>
      <c r="AG713" s="232"/>
      <c r="AH713" s="95"/>
    </row>
    <row r="714">
      <c r="A714" s="95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  <c r="AA714" s="232"/>
      <c r="AB714" s="232"/>
      <c r="AC714" s="232"/>
      <c r="AD714" s="232"/>
      <c r="AE714" s="232"/>
      <c r="AF714" s="232"/>
      <c r="AG714" s="232"/>
      <c r="AH714" s="95"/>
    </row>
    <row r="715">
      <c r="A715" s="95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  <c r="AA715" s="232"/>
      <c r="AB715" s="232"/>
      <c r="AC715" s="232"/>
      <c r="AD715" s="232"/>
      <c r="AE715" s="232"/>
      <c r="AF715" s="232"/>
      <c r="AG715" s="232"/>
      <c r="AH715" s="95"/>
    </row>
    <row r="716">
      <c r="A716" s="95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  <c r="AA716" s="232"/>
      <c r="AB716" s="232"/>
      <c r="AC716" s="232"/>
      <c r="AD716" s="232"/>
      <c r="AE716" s="232"/>
      <c r="AF716" s="232"/>
      <c r="AG716" s="232"/>
      <c r="AH716" s="95"/>
    </row>
    <row r="717">
      <c r="A717" s="95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  <c r="AA717" s="232"/>
      <c r="AB717" s="232"/>
      <c r="AC717" s="232"/>
      <c r="AD717" s="232"/>
      <c r="AE717" s="232"/>
      <c r="AF717" s="232"/>
      <c r="AG717" s="232"/>
      <c r="AH717" s="95"/>
    </row>
    <row r="718">
      <c r="A718" s="95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  <c r="AA718" s="232"/>
      <c r="AB718" s="232"/>
      <c r="AC718" s="232"/>
      <c r="AD718" s="232"/>
      <c r="AE718" s="232"/>
      <c r="AF718" s="232"/>
      <c r="AG718" s="232"/>
      <c r="AH718" s="95"/>
    </row>
    <row r="719">
      <c r="A719" s="95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  <c r="AA719" s="232"/>
      <c r="AB719" s="232"/>
      <c r="AC719" s="232"/>
      <c r="AD719" s="232"/>
      <c r="AE719" s="232"/>
      <c r="AF719" s="232"/>
      <c r="AG719" s="232"/>
      <c r="AH719" s="95"/>
    </row>
    <row r="720">
      <c r="A720" s="95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  <c r="AA720" s="232"/>
      <c r="AB720" s="232"/>
      <c r="AC720" s="232"/>
      <c r="AD720" s="232"/>
      <c r="AE720" s="232"/>
      <c r="AF720" s="232"/>
      <c r="AG720" s="232"/>
      <c r="AH720" s="95"/>
    </row>
    <row r="721">
      <c r="A721" s="95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  <c r="AA721" s="232"/>
      <c r="AB721" s="232"/>
      <c r="AC721" s="232"/>
      <c r="AD721" s="232"/>
      <c r="AE721" s="232"/>
      <c r="AF721" s="232"/>
      <c r="AG721" s="232"/>
      <c r="AH721" s="95"/>
    </row>
    <row r="722">
      <c r="A722" s="95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  <c r="AA722" s="232"/>
      <c r="AB722" s="232"/>
      <c r="AC722" s="232"/>
      <c r="AD722" s="232"/>
      <c r="AE722" s="232"/>
      <c r="AF722" s="232"/>
      <c r="AG722" s="232"/>
      <c r="AH722" s="95"/>
    </row>
    <row r="723">
      <c r="A723" s="95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  <c r="AA723" s="232"/>
      <c r="AB723" s="232"/>
      <c r="AC723" s="232"/>
      <c r="AD723" s="232"/>
      <c r="AE723" s="232"/>
      <c r="AF723" s="232"/>
      <c r="AG723" s="232"/>
      <c r="AH723" s="95"/>
    </row>
    <row r="724">
      <c r="A724" s="95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  <c r="AA724" s="232"/>
      <c r="AB724" s="232"/>
      <c r="AC724" s="232"/>
      <c r="AD724" s="232"/>
      <c r="AE724" s="232"/>
      <c r="AF724" s="232"/>
      <c r="AG724" s="232"/>
      <c r="AH724" s="95"/>
    </row>
    <row r="725">
      <c r="A725" s="95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  <c r="AA725" s="232"/>
      <c r="AB725" s="232"/>
      <c r="AC725" s="232"/>
      <c r="AD725" s="232"/>
      <c r="AE725" s="232"/>
      <c r="AF725" s="232"/>
      <c r="AG725" s="232"/>
      <c r="AH725" s="95"/>
    </row>
    <row r="726">
      <c r="A726" s="95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  <c r="AA726" s="232"/>
      <c r="AB726" s="232"/>
      <c r="AC726" s="232"/>
      <c r="AD726" s="232"/>
      <c r="AE726" s="232"/>
      <c r="AF726" s="232"/>
      <c r="AG726" s="232"/>
      <c r="AH726" s="95"/>
    </row>
    <row r="727">
      <c r="A727" s="95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  <c r="AA727" s="232"/>
      <c r="AB727" s="232"/>
      <c r="AC727" s="232"/>
      <c r="AD727" s="232"/>
      <c r="AE727" s="232"/>
      <c r="AF727" s="232"/>
      <c r="AG727" s="232"/>
      <c r="AH727" s="95"/>
    </row>
    <row r="728">
      <c r="A728" s="95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  <c r="AA728" s="232"/>
      <c r="AB728" s="232"/>
      <c r="AC728" s="232"/>
      <c r="AD728" s="232"/>
      <c r="AE728" s="232"/>
      <c r="AF728" s="232"/>
      <c r="AG728" s="232"/>
      <c r="AH728" s="95"/>
    </row>
    <row r="729">
      <c r="A729" s="95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  <c r="AA729" s="232"/>
      <c r="AB729" s="232"/>
      <c r="AC729" s="232"/>
      <c r="AD729" s="232"/>
      <c r="AE729" s="232"/>
      <c r="AF729" s="232"/>
      <c r="AG729" s="232"/>
      <c r="AH729" s="95"/>
    </row>
    <row r="730">
      <c r="A730" s="95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  <c r="AA730" s="232"/>
      <c r="AB730" s="232"/>
      <c r="AC730" s="232"/>
      <c r="AD730" s="232"/>
      <c r="AE730" s="232"/>
      <c r="AF730" s="232"/>
      <c r="AG730" s="232"/>
      <c r="AH730" s="95"/>
    </row>
    <row r="731">
      <c r="A731" s="95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  <c r="AA731" s="232"/>
      <c r="AB731" s="232"/>
      <c r="AC731" s="232"/>
      <c r="AD731" s="232"/>
      <c r="AE731" s="232"/>
      <c r="AF731" s="232"/>
      <c r="AG731" s="232"/>
      <c r="AH731" s="95"/>
    </row>
    <row r="732">
      <c r="A732" s="95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  <c r="AA732" s="232"/>
      <c r="AB732" s="232"/>
      <c r="AC732" s="232"/>
      <c r="AD732" s="232"/>
      <c r="AE732" s="232"/>
      <c r="AF732" s="232"/>
      <c r="AG732" s="232"/>
      <c r="AH732" s="95"/>
    </row>
    <row r="733">
      <c r="A733" s="95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  <c r="AA733" s="232"/>
      <c r="AB733" s="232"/>
      <c r="AC733" s="232"/>
      <c r="AD733" s="232"/>
      <c r="AE733" s="232"/>
      <c r="AF733" s="232"/>
      <c r="AG733" s="232"/>
      <c r="AH733" s="95"/>
    </row>
    <row r="734">
      <c r="A734" s="95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  <c r="AA734" s="232"/>
      <c r="AB734" s="232"/>
      <c r="AC734" s="232"/>
      <c r="AD734" s="232"/>
      <c r="AE734" s="232"/>
      <c r="AF734" s="232"/>
      <c r="AG734" s="232"/>
      <c r="AH734" s="95"/>
    </row>
    <row r="735">
      <c r="A735" s="95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  <c r="AA735" s="232"/>
      <c r="AB735" s="232"/>
      <c r="AC735" s="232"/>
      <c r="AD735" s="232"/>
      <c r="AE735" s="232"/>
      <c r="AF735" s="232"/>
      <c r="AG735" s="232"/>
      <c r="AH735" s="95"/>
    </row>
    <row r="736">
      <c r="A736" s="95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  <c r="AA736" s="232"/>
      <c r="AB736" s="232"/>
      <c r="AC736" s="232"/>
      <c r="AD736" s="232"/>
      <c r="AE736" s="232"/>
      <c r="AF736" s="232"/>
      <c r="AG736" s="232"/>
      <c r="AH736" s="95"/>
    </row>
    <row r="737">
      <c r="A737" s="95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  <c r="AB737" s="232"/>
      <c r="AC737" s="232"/>
      <c r="AD737" s="232"/>
      <c r="AE737" s="232"/>
      <c r="AF737" s="232"/>
      <c r="AG737" s="232"/>
      <c r="AH737" s="95"/>
    </row>
    <row r="738">
      <c r="A738" s="95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  <c r="AA738" s="232"/>
      <c r="AB738" s="232"/>
      <c r="AC738" s="232"/>
      <c r="AD738" s="232"/>
      <c r="AE738" s="232"/>
      <c r="AF738" s="232"/>
      <c r="AG738" s="232"/>
      <c r="AH738" s="95"/>
    </row>
    <row r="739">
      <c r="A739" s="95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  <c r="AA739" s="232"/>
      <c r="AB739" s="232"/>
      <c r="AC739" s="232"/>
      <c r="AD739" s="232"/>
      <c r="AE739" s="232"/>
      <c r="AF739" s="232"/>
      <c r="AG739" s="232"/>
      <c r="AH739" s="95"/>
    </row>
    <row r="740">
      <c r="A740" s="95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  <c r="AA740" s="232"/>
      <c r="AB740" s="232"/>
      <c r="AC740" s="232"/>
      <c r="AD740" s="232"/>
      <c r="AE740" s="232"/>
      <c r="AF740" s="232"/>
      <c r="AG740" s="232"/>
      <c r="AH740" s="95"/>
    </row>
    <row r="741">
      <c r="A741" s="95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  <c r="AA741" s="232"/>
      <c r="AB741" s="232"/>
      <c r="AC741" s="232"/>
      <c r="AD741" s="232"/>
      <c r="AE741" s="232"/>
      <c r="AF741" s="232"/>
      <c r="AG741" s="232"/>
      <c r="AH741" s="95"/>
    </row>
    <row r="742">
      <c r="A742" s="95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  <c r="AA742" s="232"/>
      <c r="AB742" s="232"/>
      <c r="AC742" s="232"/>
      <c r="AD742" s="232"/>
      <c r="AE742" s="232"/>
      <c r="AF742" s="232"/>
      <c r="AG742" s="232"/>
      <c r="AH742" s="95"/>
    </row>
    <row r="743">
      <c r="A743" s="95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  <c r="AA743" s="232"/>
      <c r="AB743" s="232"/>
      <c r="AC743" s="232"/>
      <c r="AD743" s="232"/>
      <c r="AE743" s="232"/>
      <c r="AF743" s="232"/>
      <c r="AG743" s="232"/>
      <c r="AH743" s="95"/>
    </row>
    <row r="744">
      <c r="A744" s="95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  <c r="AA744" s="232"/>
      <c r="AB744" s="232"/>
      <c r="AC744" s="232"/>
      <c r="AD744" s="232"/>
      <c r="AE744" s="232"/>
      <c r="AF744" s="232"/>
      <c r="AG744" s="232"/>
      <c r="AH744" s="95"/>
    </row>
    <row r="745">
      <c r="A745" s="95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  <c r="AA745" s="232"/>
      <c r="AB745" s="232"/>
      <c r="AC745" s="232"/>
      <c r="AD745" s="232"/>
      <c r="AE745" s="232"/>
      <c r="AF745" s="232"/>
      <c r="AG745" s="232"/>
      <c r="AH745" s="95"/>
    </row>
    <row r="746">
      <c r="A746" s="95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  <c r="AA746" s="232"/>
      <c r="AB746" s="232"/>
      <c r="AC746" s="232"/>
      <c r="AD746" s="232"/>
      <c r="AE746" s="232"/>
      <c r="AF746" s="232"/>
      <c r="AG746" s="232"/>
      <c r="AH746" s="95"/>
    </row>
    <row r="747">
      <c r="A747" s="95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  <c r="AA747" s="232"/>
      <c r="AB747" s="232"/>
      <c r="AC747" s="232"/>
      <c r="AD747" s="232"/>
      <c r="AE747" s="232"/>
      <c r="AF747" s="232"/>
      <c r="AG747" s="232"/>
      <c r="AH747" s="95"/>
    </row>
    <row r="748">
      <c r="A748" s="95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  <c r="AA748" s="232"/>
      <c r="AB748" s="232"/>
      <c r="AC748" s="232"/>
      <c r="AD748" s="232"/>
      <c r="AE748" s="232"/>
      <c r="AF748" s="232"/>
      <c r="AG748" s="232"/>
      <c r="AH748" s="95"/>
    </row>
    <row r="749">
      <c r="A749" s="95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  <c r="AA749" s="232"/>
      <c r="AB749" s="232"/>
      <c r="AC749" s="232"/>
      <c r="AD749" s="232"/>
      <c r="AE749" s="232"/>
      <c r="AF749" s="232"/>
      <c r="AG749" s="232"/>
      <c r="AH749" s="95"/>
    </row>
    <row r="750">
      <c r="A750" s="95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  <c r="AA750" s="232"/>
      <c r="AB750" s="232"/>
      <c r="AC750" s="232"/>
      <c r="AD750" s="232"/>
      <c r="AE750" s="232"/>
      <c r="AF750" s="232"/>
      <c r="AG750" s="232"/>
      <c r="AH750" s="95"/>
    </row>
    <row r="751">
      <c r="A751" s="95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  <c r="AA751" s="232"/>
      <c r="AB751" s="232"/>
      <c r="AC751" s="232"/>
      <c r="AD751" s="232"/>
      <c r="AE751" s="232"/>
      <c r="AF751" s="232"/>
      <c r="AG751" s="232"/>
      <c r="AH751" s="95"/>
    </row>
    <row r="752">
      <c r="A752" s="95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  <c r="AA752" s="232"/>
      <c r="AB752" s="232"/>
      <c r="AC752" s="232"/>
      <c r="AD752" s="232"/>
      <c r="AE752" s="232"/>
      <c r="AF752" s="232"/>
      <c r="AG752" s="232"/>
      <c r="AH752" s="95"/>
    </row>
    <row r="753">
      <c r="A753" s="95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  <c r="AA753" s="232"/>
      <c r="AB753" s="232"/>
      <c r="AC753" s="232"/>
      <c r="AD753" s="232"/>
      <c r="AE753" s="232"/>
      <c r="AF753" s="232"/>
      <c r="AG753" s="232"/>
      <c r="AH753" s="95"/>
    </row>
    <row r="754">
      <c r="A754" s="95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  <c r="AA754" s="232"/>
      <c r="AB754" s="232"/>
      <c r="AC754" s="232"/>
      <c r="AD754" s="232"/>
      <c r="AE754" s="232"/>
      <c r="AF754" s="232"/>
      <c r="AG754" s="232"/>
      <c r="AH754" s="95"/>
    </row>
    <row r="755">
      <c r="A755" s="95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  <c r="AA755" s="232"/>
      <c r="AB755" s="232"/>
      <c r="AC755" s="232"/>
      <c r="AD755" s="232"/>
      <c r="AE755" s="232"/>
      <c r="AF755" s="232"/>
      <c r="AG755" s="232"/>
      <c r="AH755" s="95"/>
    </row>
    <row r="756">
      <c r="A756" s="95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  <c r="AA756" s="232"/>
      <c r="AB756" s="232"/>
      <c r="AC756" s="232"/>
      <c r="AD756" s="232"/>
      <c r="AE756" s="232"/>
      <c r="AF756" s="232"/>
      <c r="AG756" s="232"/>
      <c r="AH756" s="95"/>
    </row>
    <row r="757">
      <c r="A757" s="95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  <c r="AA757" s="232"/>
      <c r="AB757" s="232"/>
      <c r="AC757" s="232"/>
      <c r="AD757" s="232"/>
      <c r="AE757" s="232"/>
      <c r="AF757" s="232"/>
      <c r="AG757" s="232"/>
      <c r="AH757" s="95"/>
    </row>
    <row r="758">
      <c r="A758" s="95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  <c r="AA758" s="232"/>
      <c r="AB758" s="232"/>
      <c r="AC758" s="232"/>
      <c r="AD758" s="232"/>
      <c r="AE758" s="232"/>
      <c r="AF758" s="232"/>
      <c r="AG758" s="232"/>
      <c r="AH758" s="95"/>
    </row>
    <row r="759">
      <c r="A759" s="95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  <c r="AA759" s="232"/>
      <c r="AB759" s="232"/>
      <c r="AC759" s="232"/>
      <c r="AD759" s="232"/>
      <c r="AE759" s="232"/>
      <c r="AF759" s="232"/>
      <c r="AG759" s="232"/>
      <c r="AH759" s="95"/>
    </row>
    <row r="760">
      <c r="A760" s="95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  <c r="AA760" s="232"/>
      <c r="AB760" s="232"/>
      <c r="AC760" s="232"/>
      <c r="AD760" s="232"/>
      <c r="AE760" s="232"/>
      <c r="AF760" s="232"/>
      <c r="AG760" s="232"/>
      <c r="AH760" s="95"/>
    </row>
    <row r="761">
      <c r="A761" s="95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  <c r="AA761" s="232"/>
      <c r="AB761" s="232"/>
      <c r="AC761" s="232"/>
      <c r="AD761" s="232"/>
      <c r="AE761" s="232"/>
      <c r="AF761" s="232"/>
      <c r="AG761" s="232"/>
      <c r="AH761" s="95"/>
    </row>
    <row r="762">
      <c r="A762" s="95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  <c r="AA762" s="232"/>
      <c r="AB762" s="232"/>
      <c r="AC762" s="232"/>
      <c r="AD762" s="232"/>
      <c r="AE762" s="232"/>
      <c r="AF762" s="232"/>
      <c r="AG762" s="232"/>
      <c r="AH762" s="95"/>
    </row>
    <row r="763">
      <c r="A763" s="95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  <c r="AA763" s="232"/>
      <c r="AB763" s="232"/>
      <c r="AC763" s="232"/>
      <c r="AD763" s="232"/>
      <c r="AE763" s="232"/>
      <c r="AF763" s="232"/>
      <c r="AG763" s="232"/>
      <c r="AH763" s="95"/>
    </row>
    <row r="764">
      <c r="A764" s="95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  <c r="AA764" s="232"/>
      <c r="AB764" s="232"/>
      <c r="AC764" s="232"/>
      <c r="AD764" s="232"/>
      <c r="AE764" s="232"/>
      <c r="AF764" s="232"/>
      <c r="AG764" s="232"/>
      <c r="AH764" s="95"/>
    </row>
    <row r="765">
      <c r="A765" s="95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  <c r="AA765" s="232"/>
      <c r="AB765" s="232"/>
      <c r="AC765" s="232"/>
      <c r="AD765" s="232"/>
      <c r="AE765" s="232"/>
      <c r="AF765" s="232"/>
      <c r="AG765" s="232"/>
      <c r="AH765" s="95"/>
    </row>
    <row r="766">
      <c r="A766" s="95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  <c r="AA766" s="232"/>
      <c r="AB766" s="232"/>
      <c r="AC766" s="232"/>
      <c r="AD766" s="232"/>
      <c r="AE766" s="232"/>
      <c r="AF766" s="232"/>
      <c r="AG766" s="232"/>
      <c r="AH766" s="95"/>
    </row>
    <row r="767">
      <c r="A767" s="95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  <c r="AA767" s="232"/>
      <c r="AB767" s="232"/>
      <c r="AC767" s="232"/>
      <c r="AD767" s="232"/>
      <c r="AE767" s="232"/>
      <c r="AF767" s="232"/>
      <c r="AG767" s="232"/>
      <c r="AH767" s="95"/>
    </row>
    <row r="768">
      <c r="A768" s="95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  <c r="AA768" s="232"/>
      <c r="AB768" s="232"/>
      <c r="AC768" s="232"/>
      <c r="AD768" s="232"/>
      <c r="AE768" s="232"/>
      <c r="AF768" s="232"/>
      <c r="AG768" s="232"/>
      <c r="AH768" s="95"/>
    </row>
    <row r="769">
      <c r="A769" s="95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  <c r="AA769" s="232"/>
      <c r="AB769" s="232"/>
      <c r="AC769" s="232"/>
      <c r="AD769" s="232"/>
      <c r="AE769" s="232"/>
      <c r="AF769" s="232"/>
      <c r="AG769" s="232"/>
      <c r="AH769" s="95"/>
    </row>
    <row r="770">
      <c r="A770" s="95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  <c r="AA770" s="232"/>
      <c r="AB770" s="232"/>
      <c r="AC770" s="232"/>
      <c r="AD770" s="232"/>
      <c r="AE770" s="232"/>
      <c r="AF770" s="232"/>
      <c r="AG770" s="232"/>
      <c r="AH770" s="95"/>
    </row>
    <row r="771">
      <c r="A771" s="95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  <c r="AA771" s="232"/>
      <c r="AB771" s="232"/>
      <c r="AC771" s="232"/>
      <c r="AD771" s="232"/>
      <c r="AE771" s="232"/>
      <c r="AF771" s="232"/>
      <c r="AG771" s="232"/>
      <c r="AH771" s="95"/>
    </row>
    <row r="772">
      <c r="A772" s="95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  <c r="AA772" s="232"/>
      <c r="AB772" s="232"/>
      <c r="AC772" s="232"/>
      <c r="AD772" s="232"/>
      <c r="AE772" s="232"/>
      <c r="AF772" s="232"/>
      <c r="AG772" s="232"/>
      <c r="AH772" s="95"/>
    </row>
    <row r="773">
      <c r="A773" s="95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  <c r="AA773" s="232"/>
      <c r="AB773" s="232"/>
      <c r="AC773" s="232"/>
      <c r="AD773" s="232"/>
      <c r="AE773" s="232"/>
      <c r="AF773" s="232"/>
      <c r="AG773" s="232"/>
      <c r="AH773" s="95"/>
    </row>
    <row r="774">
      <c r="A774" s="95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  <c r="AA774" s="232"/>
      <c r="AB774" s="232"/>
      <c r="AC774" s="232"/>
      <c r="AD774" s="232"/>
      <c r="AE774" s="232"/>
      <c r="AF774" s="232"/>
      <c r="AG774" s="232"/>
      <c r="AH774" s="95"/>
    </row>
    <row r="775">
      <c r="A775" s="95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  <c r="AA775" s="232"/>
      <c r="AB775" s="232"/>
      <c r="AC775" s="232"/>
      <c r="AD775" s="232"/>
      <c r="AE775" s="232"/>
      <c r="AF775" s="232"/>
      <c r="AG775" s="232"/>
      <c r="AH775" s="95"/>
    </row>
    <row r="776">
      <c r="A776" s="95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  <c r="AA776" s="232"/>
      <c r="AB776" s="232"/>
      <c r="AC776" s="232"/>
      <c r="AD776" s="232"/>
      <c r="AE776" s="232"/>
      <c r="AF776" s="232"/>
      <c r="AG776" s="232"/>
      <c r="AH776" s="95"/>
    </row>
    <row r="777">
      <c r="A777" s="95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  <c r="AA777" s="232"/>
      <c r="AB777" s="232"/>
      <c r="AC777" s="232"/>
      <c r="AD777" s="232"/>
      <c r="AE777" s="232"/>
      <c r="AF777" s="232"/>
      <c r="AG777" s="232"/>
      <c r="AH777" s="95"/>
    </row>
    <row r="778">
      <c r="A778" s="95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  <c r="AA778" s="232"/>
      <c r="AB778" s="232"/>
      <c r="AC778" s="232"/>
      <c r="AD778" s="232"/>
      <c r="AE778" s="232"/>
      <c r="AF778" s="232"/>
      <c r="AG778" s="232"/>
      <c r="AH778" s="95"/>
    </row>
    <row r="779">
      <c r="A779" s="95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  <c r="AA779" s="232"/>
      <c r="AB779" s="232"/>
      <c r="AC779" s="232"/>
      <c r="AD779" s="232"/>
      <c r="AE779" s="232"/>
      <c r="AF779" s="232"/>
      <c r="AG779" s="232"/>
      <c r="AH779" s="95"/>
    </row>
    <row r="780">
      <c r="A780" s="95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  <c r="AA780" s="232"/>
      <c r="AB780" s="232"/>
      <c r="AC780" s="232"/>
      <c r="AD780" s="232"/>
      <c r="AE780" s="232"/>
      <c r="AF780" s="232"/>
      <c r="AG780" s="232"/>
      <c r="AH780" s="95"/>
    </row>
    <row r="781">
      <c r="A781" s="95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  <c r="AA781" s="232"/>
      <c r="AB781" s="232"/>
      <c r="AC781" s="232"/>
      <c r="AD781" s="232"/>
      <c r="AE781" s="232"/>
      <c r="AF781" s="232"/>
      <c r="AG781" s="232"/>
      <c r="AH781" s="95"/>
    </row>
    <row r="782">
      <c r="A782" s="95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  <c r="AA782" s="232"/>
      <c r="AB782" s="232"/>
      <c r="AC782" s="232"/>
      <c r="AD782" s="232"/>
      <c r="AE782" s="232"/>
      <c r="AF782" s="232"/>
      <c r="AG782" s="232"/>
      <c r="AH782" s="95"/>
    </row>
    <row r="783">
      <c r="A783" s="95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  <c r="AA783" s="232"/>
      <c r="AB783" s="232"/>
      <c r="AC783" s="232"/>
      <c r="AD783" s="232"/>
      <c r="AE783" s="232"/>
      <c r="AF783" s="232"/>
      <c r="AG783" s="232"/>
      <c r="AH783" s="95"/>
    </row>
    <row r="784">
      <c r="A784" s="95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  <c r="AA784" s="232"/>
      <c r="AB784" s="232"/>
      <c r="AC784" s="232"/>
      <c r="AD784" s="232"/>
      <c r="AE784" s="232"/>
      <c r="AF784" s="232"/>
      <c r="AG784" s="232"/>
      <c r="AH784" s="95"/>
    </row>
    <row r="785">
      <c r="A785" s="95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  <c r="AA785" s="232"/>
      <c r="AB785" s="232"/>
      <c r="AC785" s="232"/>
      <c r="AD785" s="232"/>
      <c r="AE785" s="232"/>
      <c r="AF785" s="232"/>
      <c r="AG785" s="232"/>
      <c r="AH785" s="95"/>
    </row>
    <row r="786">
      <c r="A786" s="95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  <c r="AA786" s="232"/>
      <c r="AB786" s="232"/>
      <c r="AC786" s="232"/>
      <c r="AD786" s="232"/>
      <c r="AE786" s="232"/>
      <c r="AF786" s="232"/>
      <c r="AG786" s="232"/>
      <c r="AH786" s="95"/>
    </row>
    <row r="787">
      <c r="A787" s="95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  <c r="AA787" s="232"/>
      <c r="AB787" s="232"/>
      <c r="AC787" s="232"/>
      <c r="AD787" s="232"/>
      <c r="AE787" s="232"/>
      <c r="AF787" s="232"/>
      <c r="AG787" s="232"/>
      <c r="AH787" s="95"/>
    </row>
    <row r="788">
      <c r="A788" s="95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  <c r="AA788" s="232"/>
      <c r="AB788" s="232"/>
      <c r="AC788" s="232"/>
      <c r="AD788" s="232"/>
      <c r="AE788" s="232"/>
      <c r="AF788" s="232"/>
      <c r="AG788" s="232"/>
      <c r="AH788" s="95"/>
    </row>
    <row r="789">
      <c r="A789" s="95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  <c r="AA789" s="232"/>
      <c r="AB789" s="232"/>
      <c r="AC789" s="232"/>
      <c r="AD789" s="232"/>
      <c r="AE789" s="232"/>
      <c r="AF789" s="232"/>
      <c r="AG789" s="232"/>
      <c r="AH789" s="95"/>
    </row>
    <row r="790">
      <c r="A790" s="95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  <c r="AA790" s="232"/>
      <c r="AB790" s="232"/>
      <c r="AC790" s="232"/>
      <c r="AD790" s="232"/>
      <c r="AE790" s="232"/>
      <c r="AF790" s="232"/>
      <c r="AG790" s="232"/>
      <c r="AH790" s="95"/>
    </row>
    <row r="791">
      <c r="A791" s="95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  <c r="AA791" s="232"/>
      <c r="AB791" s="232"/>
      <c r="AC791" s="232"/>
      <c r="AD791" s="232"/>
      <c r="AE791" s="232"/>
      <c r="AF791" s="232"/>
      <c r="AG791" s="232"/>
      <c r="AH791" s="95"/>
    </row>
    <row r="792">
      <c r="A792" s="95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  <c r="AA792" s="232"/>
      <c r="AB792" s="232"/>
      <c r="AC792" s="232"/>
      <c r="AD792" s="232"/>
      <c r="AE792" s="232"/>
      <c r="AF792" s="232"/>
      <c r="AG792" s="232"/>
      <c r="AH792" s="95"/>
    </row>
    <row r="793">
      <c r="A793" s="95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  <c r="AA793" s="232"/>
      <c r="AB793" s="232"/>
      <c r="AC793" s="232"/>
      <c r="AD793" s="232"/>
      <c r="AE793" s="232"/>
      <c r="AF793" s="232"/>
      <c r="AG793" s="232"/>
      <c r="AH793" s="95"/>
    </row>
    <row r="794">
      <c r="A794" s="95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  <c r="AA794" s="232"/>
      <c r="AB794" s="232"/>
      <c r="AC794" s="232"/>
      <c r="AD794" s="232"/>
      <c r="AE794" s="232"/>
      <c r="AF794" s="232"/>
      <c r="AG794" s="232"/>
      <c r="AH794" s="95"/>
    </row>
    <row r="795">
      <c r="A795" s="95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  <c r="AA795" s="232"/>
      <c r="AB795" s="232"/>
      <c r="AC795" s="232"/>
      <c r="AD795" s="232"/>
      <c r="AE795" s="232"/>
      <c r="AF795" s="232"/>
      <c r="AG795" s="232"/>
      <c r="AH795" s="95"/>
    </row>
    <row r="796">
      <c r="A796" s="95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  <c r="AA796" s="232"/>
      <c r="AB796" s="232"/>
      <c r="AC796" s="232"/>
      <c r="AD796" s="232"/>
      <c r="AE796" s="232"/>
      <c r="AF796" s="232"/>
      <c r="AG796" s="232"/>
      <c r="AH796" s="95"/>
    </row>
    <row r="797">
      <c r="A797" s="95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  <c r="AA797" s="232"/>
      <c r="AB797" s="232"/>
      <c r="AC797" s="232"/>
      <c r="AD797" s="232"/>
      <c r="AE797" s="232"/>
      <c r="AF797" s="232"/>
      <c r="AG797" s="232"/>
      <c r="AH797" s="95"/>
    </row>
    <row r="798">
      <c r="A798" s="95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  <c r="AA798" s="232"/>
      <c r="AB798" s="232"/>
      <c r="AC798" s="232"/>
      <c r="AD798" s="232"/>
      <c r="AE798" s="232"/>
      <c r="AF798" s="232"/>
      <c r="AG798" s="232"/>
      <c r="AH798" s="95"/>
    </row>
    <row r="799">
      <c r="A799" s="95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  <c r="AA799" s="232"/>
      <c r="AB799" s="232"/>
      <c r="AC799" s="232"/>
      <c r="AD799" s="232"/>
      <c r="AE799" s="232"/>
      <c r="AF799" s="232"/>
      <c r="AG799" s="232"/>
      <c r="AH799" s="95"/>
    </row>
    <row r="800">
      <c r="A800" s="95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  <c r="AA800" s="232"/>
      <c r="AB800" s="232"/>
      <c r="AC800" s="232"/>
      <c r="AD800" s="232"/>
      <c r="AE800" s="232"/>
      <c r="AF800" s="232"/>
      <c r="AG800" s="232"/>
      <c r="AH800" s="95"/>
    </row>
    <row r="801">
      <c r="A801" s="95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  <c r="AA801" s="232"/>
      <c r="AB801" s="232"/>
      <c r="AC801" s="232"/>
      <c r="AD801" s="232"/>
      <c r="AE801" s="232"/>
      <c r="AF801" s="232"/>
      <c r="AG801" s="232"/>
      <c r="AH801" s="95"/>
    </row>
    <row r="802">
      <c r="A802" s="95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  <c r="AA802" s="232"/>
      <c r="AB802" s="232"/>
      <c r="AC802" s="232"/>
      <c r="AD802" s="232"/>
      <c r="AE802" s="232"/>
      <c r="AF802" s="232"/>
      <c r="AG802" s="232"/>
      <c r="AH802" s="95"/>
    </row>
    <row r="803">
      <c r="A803" s="95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  <c r="AA803" s="232"/>
      <c r="AB803" s="232"/>
      <c r="AC803" s="232"/>
      <c r="AD803" s="232"/>
      <c r="AE803" s="232"/>
      <c r="AF803" s="232"/>
      <c r="AG803" s="232"/>
      <c r="AH803" s="95"/>
    </row>
    <row r="804">
      <c r="A804" s="95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  <c r="AA804" s="232"/>
      <c r="AB804" s="232"/>
      <c r="AC804" s="232"/>
      <c r="AD804" s="232"/>
      <c r="AE804" s="232"/>
      <c r="AF804" s="232"/>
      <c r="AG804" s="232"/>
      <c r="AH804" s="95"/>
    </row>
    <row r="805">
      <c r="A805" s="95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  <c r="AA805" s="232"/>
      <c r="AB805" s="232"/>
      <c r="AC805" s="232"/>
      <c r="AD805" s="232"/>
      <c r="AE805" s="232"/>
      <c r="AF805" s="232"/>
      <c r="AG805" s="232"/>
      <c r="AH805" s="95"/>
    </row>
    <row r="806">
      <c r="A806" s="95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  <c r="AA806" s="232"/>
      <c r="AB806" s="232"/>
      <c r="AC806" s="232"/>
      <c r="AD806" s="232"/>
      <c r="AE806" s="232"/>
      <c r="AF806" s="232"/>
      <c r="AG806" s="232"/>
      <c r="AH806" s="95"/>
    </row>
    <row r="807">
      <c r="A807" s="95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  <c r="AA807" s="232"/>
      <c r="AB807" s="232"/>
      <c r="AC807" s="232"/>
      <c r="AD807" s="232"/>
      <c r="AE807" s="232"/>
      <c r="AF807" s="232"/>
      <c r="AG807" s="232"/>
      <c r="AH807" s="95"/>
    </row>
    <row r="808">
      <c r="A808" s="95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  <c r="AA808" s="232"/>
      <c r="AB808" s="232"/>
      <c r="AC808" s="232"/>
      <c r="AD808" s="232"/>
      <c r="AE808" s="232"/>
      <c r="AF808" s="232"/>
      <c r="AG808" s="232"/>
      <c r="AH808" s="95"/>
    </row>
    <row r="809">
      <c r="A809" s="95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  <c r="AA809" s="232"/>
      <c r="AB809" s="232"/>
      <c r="AC809" s="232"/>
      <c r="AD809" s="232"/>
      <c r="AE809" s="232"/>
      <c r="AF809" s="232"/>
      <c r="AG809" s="232"/>
      <c r="AH809" s="95"/>
    </row>
    <row r="810">
      <c r="A810" s="95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  <c r="AA810" s="232"/>
      <c r="AB810" s="232"/>
      <c r="AC810" s="232"/>
      <c r="AD810" s="232"/>
      <c r="AE810" s="232"/>
      <c r="AF810" s="232"/>
      <c r="AG810" s="232"/>
      <c r="AH810" s="95"/>
    </row>
    <row r="811">
      <c r="A811" s="95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  <c r="AA811" s="232"/>
      <c r="AB811" s="232"/>
      <c r="AC811" s="232"/>
      <c r="AD811" s="232"/>
      <c r="AE811" s="232"/>
      <c r="AF811" s="232"/>
      <c r="AG811" s="232"/>
      <c r="AH811" s="95"/>
    </row>
    <row r="812">
      <c r="A812" s="95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  <c r="AA812" s="232"/>
      <c r="AB812" s="232"/>
      <c r="AC812" s="232"/>
      <c r="AD812" s="232"/>
      <c r="AE812" s="232"/>
      <c r="AF812" s="232"/>
      <c r="AG812" s="232"/>
      <c r="AH812" s="95"/>
    </row>
    <row r="813">
      <c r="A813" s="95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  <c r="AA813" s="232"/>
      <c r="AB813" s="232"/>
      <c r="AC813" s="232"/>
      <c r="AD813" s="232"/>
      <c r="AE813" s="232"/>
      <c r="AF813" s="232"/>
      <c r="AG813" s="232"/>
      <c r="AH813" s="95"/>
    </row>
    <row r="814">
      <c r="A814" s="95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  <c r="AA814" s="232"/>
      <c r="AB814" s="232"/>
      <c r="AC814" s="232"/>
      <c r="AD814" s="232"/>
      <c r="AE814" s="232"/>
      <c r="AF814" s="232"/>
      <c r="AG814" s="232"/>
      <c r="AH814" s="95"/>
    </row>
    <row r="815">
      <c r="A815" s="95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  <c r="AA815" s="232"/>
      <c r="AB815" s="232"/>
      <c r="AC815" s="232"/>
      <c r="AD815" s="232"/>
      <c r="AE815" s="232"/>
      <c r="AF815" s="232"/>
      <c r="AG815" s="232"/>
      <c r="AH815" s="95"/>
    </row>
    <row r="816">
      <c r="A816" s="95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  <c r="AA816" s="232"/>
      <c r="AB816" s="232"/>
      <c r="AC816" s="232"/>
      <c r="AD816" s="232"/>
      <c r="AE816" s="232"/>
      <c r="AF816" s="232"/>
      <c r="AG816" s="232"/>
      <c r="AH816" s="95"/>
    </row>
    <row r="817">
      <c r="A817" s="95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  <c r="AA817" s="232"/>
      <c r="AB817" s="232"/>
      <c r="AC817" s="232"/>
      <c r="AD817" s="232"/>
      <c r="AE817" s="232"/>
      <c r="AF817" s="232"/>
      <c r="AG817" s="232"/>
      <c r="AH817" s="95"/>
    </row>
    <row r="818">
      <c r="A818" s="95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  <c r="AA818" s="232"/>
      <c r="AB818" s="232"/>
      <c r="AC818" s="232"/>
      <c r="AD818" s="232"/>
      <c r="AE818" s="232"/>
      <c r="AF818" s="232"/>
      <c r="AG818" s="232"/>
      <c r="AH818" s="95"/>
    </row>
    <row r="819">
      <c r="A819" s="95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  <c r="AA819" s="232"/>
      <c r="AB819" s="232"/>
      <c r="AC819" s="232"/>
      <c r="AD819" s="232"/>
      <c r="AE819" s="232"/>
      <c r="AF819" s="232"/>
      <c r="AG819" s="232"/>
      <c r="AH819" s="95"/>
    </row>
    <row r="820">
      <c r="A820" s="95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  <c r="AA820" s="232"/>
      <c r="AB820" s="232"/>
      <c r="AC820" s="232"/>
      <c r="AD820" s="232"/>
      <c r="AE820" s="232"/>
      <c r="AF820" s="232"/>
      <c r="AG820" s="232"/>
      <c r="AH820" s="95"/>
    </row>
    <row r="821">
      <c r="A821" s="95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  <c r="AA821" s="232"/>
      <c r="AB821" s="232"/>
      <c r="AC821" s="232"/>
      <c r="AD821" s="232"/>
      <c r="AE821" s="232"/>
      <c r="AF821" s="232"/>
      <c r="AG821" s="232"/>
      <c r="AH821" s="95"/>
    </row>
    <row r="822">
      <c r="A822" s="95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  <c r="AA822" s="232"/>
      <c r="AB822" s="232"/>
      <c r="AC822" s="232"/>
      <c r="AD822" s="232"/>
      <c r="AE822" s="232"/>
      <c r="AF822" s="232"/>
      <c r="AG822" s="232"/>
      <c r="AH822" s="95"/>
    </row>
    <row r="823">
      <c r="A823" s="95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  <c r="AA823" s="232"/>
      <c r="AB823" s="232"/>
      <c r="AC823" s="232"/>
      <c r="AD823" s="232"/>
      <c r="AE823" s="232"/>
      <c r="AF823" s="232"/>
      <c r="AG823" s="232"/>
      <c r="AH823" s="95"/>
    </row>
    <row r="824">
      <c r="A824" s="95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  <c r="AA824" s="232"/>
      <c r="AB824" s="232"/>
      <c r="AC824" s="232"/>
      <c r="AD824" s="232"/>
      <c r="AE824" s="232"/>
      <c r="AF824" s="232"/>
      <c r="AG824" s="232"/>
      <c r="AH824" s="95"/>
    </row>
    <row r="825">
      <c r="A825" s="95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  <c r="AA825" s="232"/>
      <c r="AB825" s="232"/>
      <c r="AC825" s="232"/>
      <c r="AD825" s="232"/>
      <c r="AE825" s="232"/>
      <c r="AF825" s="232"/>
      <c r="AG825" s="232"/>
      <c r="AH825" s="95"/>
    </row>
    <row r="826">
      <c r="A826" s="95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  <c r="AA826" s="232"/>
      <c r="AB826" s="232"/>
      <c r="AC826" s="232"/>
      <c r="AD826" s="232"/>
      <c r="AE826" s="232"/>
      <c r="AF826" s="232"/>
      <c r="AG826" s="232"/>
      <c r="AH826" s="95"/>
    </row>
    <row r="827">
      <c r="A827" s="95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  <c r="AA827" s="232"/>
      <c r="AB827" s="232"/>
      <c r="AC827" s="232"/>
      <c r="AD827" s="232"/>
      <c r="AE827" s="232"/>
      <c r="AF827" s="232"/>
      <c r="AG827" s="232"/>
      <c r="AH827" s="95"/>
    </row>
    <row r="828">
      <c r="A828" s="95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  <c r="AA828" s="232"/>
      <c r="AB828" s="232"/>
      <c r="AC828" s="232"/>
      <c r="AD828" s="232"/>
      <c r="AE828" s="232"/>
      <c r="AF828" s="232"/>
      <c r="AG828" s="232"/>
      <c r="AH828" s="95"/>
    </row>
    <row r="829">
      <c r="A829" s="95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  <c r="AA829" s="232"/>
      <c r="AB829" s="232"/>
      <c r="AC829" s="232"/>
      <c r="AD829" s="232"/>
      <c r="AE829" s="232"/>
      <c r="AF829" s="232"/>
      <c r="AG829" s="232"/>
      <c r="AH829" s="95"/>
    </row>
    <row r="830">
      <c r="A830" s="95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  <c r="AA830" s="232"/>
      <c r="AB830" s="232"/>
      <c r="AC830" s="232"/>
      <c r="AD830" s="232"/>
      <c r="AE830" s="232"/>
      <c r="AF830" s="232"/>
      <c r="AG830" s="232"/>
      <c r="AH830" s="95"/>
    </row>
    <row r="831">
      <c r="A831" s="95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  <c r="AA831" s="232"/>
      <c r="AB831" s="232"/>
      <c r="AC831" s="232"/>
      <c r="AD831" s="232"/>
      <c r="AE831" s="232"/>
      <c r="AF831" s="232"/>
      <c r="AG831" s="232"/>
      <c r="AH831" s="95"/>
    </row>
    <row r="832">
      <c r="A832" s="95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  <c r="AA832" s="232"/>
      <c r="AB832" s="232"/>
      <c r="AC832" s="232"/>
      <c r="AD832" s="232"/>
      <c r="AE832" s="232"/>
      <c r="AF832" s="232"/>
      <c r="AG832" s="232"/>
      <c r="AH832" s="95"/>
    </row>
    <row r="833">
      <c r="A833" s="95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  <c r="AA833" s="232"/>
      <c r="AB833" s="232"/>
      <c r="AC833" s="232"/>
      <c r="AD833" s="232"/>
      <c r="AE833" s="232"/>
      <c r="AF833" s="232"/>
      <c r="AG833" s="232"/>
      <c r="AH833" s="95"/>
    </row>
    <row r="834">
      <c r="A834" s="95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  <c r="AA834" s="232"/>
      <c r="AB834" s="232"/>
      <c r="AC834" s="232"/>
      <c r="AD834" s="232"/>
      <c r="AE834" s="232"/>
      <c r="AF834" s="232"/>
      <c r="AG834" s="232"/>
      <c r="AH834" s="95"/>
    </row>
    <row r="835">
      <c r="A835" s="95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  <c r="AA835" s="232"/>
      <c r="AB835" s="232"/>
      <c r="AC835" s="232"/>
      <c r="AD835" s="232"/>
      <c r="AE835" s="232"/>
      <c r="AF835" s="232"/>
      <c r="AG835" s="232"/>
      <c r="AH835" s="95"/>
    </row>
    <row r="836">
      <c r="A836" s="95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  <c r="AA836" s="232"/>
      <c r="AB836" s="232"/>
      <c r="AC836" s="232"/>
      <c r="AD836" s="232"/>
      <c r="AE836" s="232"/>
      <c r="AF836" s="232"/>
      <c r="AG836" s="232"/>
      <c r="AH836" s="95"/>
    </row>
    <row r="837">
      <c r="A837" s="95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  <c r="AA837" s="232"/>
      <c r="AB837" s="232"/>
      <c r="AC837" s="232"/>
      <c r="AD837" s="232"/>
      <c r="AE837" s="232"/>
      <c r="AF837" s="232"/>
      <c r="AG837" s="232"/>
      <c r="AH837" s="95"/>
    </row>
    <row r="838">
      <c r="A838" s="95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  <c r="AA838" s="232"/>
      <c r="AB838" s="232"/>
      <c r="AC838" s="232"/>
      <c r="AD838" s="232"/>
      <c r="AE838" s="232"/>
      <c r="AF838" s="232"/>
      <c r="AG838" s="232"/>
      <c r="AH838" s="95"/>
    </row>
    <row r="839">
      <c r="A839" s="95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  <c r="AA839" s="232"/>
      <c r="AB839" s="232"/>
      <c r="AC839" s="232"/>
      <c r="AD839" s="232"/>
      <c r="AE839" s="232"/>
      <c r="AF839" s="232"/>
      <c r="AG839" s="232"/>
      <c r="AH839" s="95"/>
    </row>
    <row r="840">
      <c r="A840" s="95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  <c r="AA840" s="232"/>
      <c r="AB840" s="232"/>
      <c r="AC840" s="232"/>
      <c r="AD840" s="232"/>
      <c r="AE840" s="232"/>
      <c r="AF840" s="232"/>
      <c r="AG840" s="232"/>
      <c r="AH840" s="95"/>
    </row>
    <row r="841">
      <c r="A841" s="95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  <c r="AA841" s="232"/>
      <c r="AB841" s="232"/>
      <c r="AC841" s="232"/>
      <c r="AD841" s="232"/>
      <c r="AE841" s="232"/>
      <c r="AF841" s="232"/>
      <c r="AG841" s="232"/>
      <c r="AH841" s="95"/>
    </row>
    <row r="842">
      <c r="A842" s="95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  <c r="AA842" s="232"/>
      <c r="AB842" s="232"/>
      <c r="AC842" s="232"/>
      <c r="AD842" s="232"/>
      <c r="AE842" s="232"/>
      <c r="AF842" s="232"/>
      <c r="AG842" s="232"/>
      <c r="AH842" s="95"/>
    </row>
    <row r="843">
      <c r="A843" s="95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  <c r="AA843" s="232"/>
      <c r="AB843" s="232"/>
      <c r="AC843" s="232"/>
      <c r="AD843" s="232"/>
      <c r="AE843" s="232"/>
      <c r="AF843" s="232"/>
      <c r="AG843" s="232"/>
      <c r="AH843" s="95"/>
    </row>
    <row r="844">
      <c r="A844" s="95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  <c r="AA844" s="232"/>
      <c r="AB844" s="232"/>
      <c r="AC844" s="232"/>
      <c r="AD844" s="232"/>
      <c r="AE844" s="232"/>
      <c r="AF844" s="232"/>
      <c r="AG844" s="232"/>
      <c r="AH844" s="95"/>
    </row>
    <row r="845">
      <c r="A845" s="95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  <c r="AA845" s="232"/>
      <c r="AB845" s="232"/>
      <c r="AC845" s="232"/>
      <c r="AD845" s="232"/>
      <c r="AE845" s="232"/>
      <c r="AF845" s="232"/>
      <c r="AG845" s="232"/>
      <c r="AH845" s="95"/>
    </row>
    <row r="846">
      <c r="A846" s="95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  <c r="AA846" s="232"/>
      <c r="AB846" s="232"/>
      <c r="AC846" s="232"/>
      <c r="AD846" s="232"/>
      <c r="AE846" s="232"/>
      <c r="AF846" s="232"/>
      <c r="AG846" s="232"/>
      <c r="AH846" s="95"/>
    </row>
    <row r="847">
      <c r="A847" s="95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  <c r="AA847" s="232"/>
      <c r="AB847" s="232"/>
      <c r="AC847" s="232"/>
      <c r="AD847" s="232"/>
      <c r="AE847" s="232"/>
      <c r="AF847" s="232"/>
      <c r="AG847" s="232"/>
      <c r="AH847" s="95"/>
    </row>
    <row r="848">
      <c r="A848" s="95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  <c r="AA848" s="232"/>
      <c r="AB848" s="232"/>
      <c r="AC848" s="232"/>
      <c r="AD848" s="232"/>
      <c r="AE848" s="232"/>
      <c r="AF848" s="232"/>
      <c r="AG848" s="232"/>
      <c r="AH848" s="95"/>
    </row>
    <row r="849">
      <c r="A849" s="95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  <c r="AA849" s="232"/>
      <c r="AB849" s="232"/>
      <c r="AC849" s="232"/>
      <c r="AD849" s="232"/>
      <c r="AE849" s="232"/>
      <c r="AF849" s="232"/>
      <c r="AG849" s="232"/>
      <c r="AH849" s="95"/>
    </row>
    <row r="850">
      <c r="A850" s="95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  <c r="AA850" s="232"/>
      <c r="AB850" s="232"/>
      <c r="AC850" s="232"/>
      <c r="AD850" s="232"/>
      <c r="AE850" s="232"/>
      <c r="AF850" s="232"/>
      <c r="AG850" s="232"/>
      <c r="AH850" s="95"/>
    </row>
    <row r="851">
      <c r="A851" s="95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  <c r="AA851" s="232"/>
      <c r="AB851" s="232"/>
      <c r="AC851" s="232"/>
      <c r="AD851" s="232"/>
      <c r="AE851" s="232"/>
      <c r="AF851" s="232"/>
      <c r="AG851" s="232"/>
      <c r="AH851" s="95"/>
    </row>
    <row r="852">
      <c r="A852" s="95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  <c r="AA852" s="232"/>
      <c r="AB852" s="232"/>
      <c r="AC852" s="232"/>
      <c r="AD852" s="232"/>
      <c r="AE852" s="232"/>
      <c r="AF852" s="232"/>
      <c r="AG852" s="232"/>
      <c r="AH852" s="95"/>
    </row>
    <row r="853">
      <c r="A853" s="95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  <c r="AA853" s="232"/>
      <c r="AB853" s="232"/>
      <c r="AC853" s="232"/>
      <c r="AD853" s="232"/>
      <c r="AE853" s="232"/>
      <c r="AF853" s="232"/>
      <c r="AG853" s="232"/>
      <c r="AH853" s="95"/>
    </row>
    <row r="854">
      <c r="A854" s="95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  <c r="AA854" s="232"/>
      <c r="AB854" s="232"/>
      <c r="AC854" s="232"/>
      <c r="AD854" s="232"/>
      <c r="AE854" s="232"/>
      <c r="AF854" s="232"/>
      <c r="AG854" s="232"/>
      <c r="AH854" s="95"/>
    </row>
    <row r="855">
      <c r="A855" s="95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  <c r="AA855" s="232"/>
      <c r="AB855" s="232"/>
      <c r="AC855" s="232"/>
      <c r="AD855" s="232"/>
      <c r="AE855" s="232"/>
      <c r="AF855" s="232"/>
      <c r="AG855" s="232"/>
      <c r="AH855" s="95"/>
    </row>
    <row r="856">
      <c r="A856" s="95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  <c r="AA856" s="232"/>
      <c r="AB856" s="232"/>
      <c r="AC856" s="232"/>
      <c r="AD856" s="232"/>
      <c r="AE856" s="232"/>
      <c r="AF856" s="232"/>
      <c r="AG856" s="232"/>
      <c r="AH856" s="95"/>
    </row>
    <row r="857">
      <c r="A857" s="95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  <c r="AA857" s="232"/>
      <c r="AB857" s="232"/>
      <c r="AC857" s="232"/>
      <c r="AD857" s="232"/>
      <c r="AE857" s="232"/>
      <c r="AF857" s="232"/>
      <c r="AG857" s="232"/>
      <c r="AH857" s="95"/>
    </row>
    <row r="858">
      <c r="A858" s="95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  <c r="AA858" s="232"/>
      <c r="AB858" s="232"/>
      <c r="AC858" s="232"/>
      <c r="AD858" s="232"/>
      <c r="AE858" s="232"/>
      <c r="AF858" s="232"/>
      <c r="AG858" s="232"/>
      <c r="AH858" s="95"/>
    </row>
    <row r="859">
      <c r="A859" s="95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  <c r="AA859" s="232"/>
      <c r="AB859" s="232"/>
      <c r="AC859" s="232"/>
      <c r="AD859" s="232"/>
      <c r="AE859" s="232"/>
      <c r="AF859" s="232"/>
      <c r="AG859" s="232"/>
      <c r="AH859" s="95"/>
    </row>
    <row r="860">
      <c r="A860" s="95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  <c r="AA860" s="232"/>
      <c r="AB860" s="232"/>
      <c r="AC860" s="232"/>
      <c r="AD860" s="232"/>
      <c r="AE860" s="232"/>
      <c r="AF860" s="232"/>
      <c r="AG860" s="232"/>
      <c r="AH860" s="95"/>
    </row>
    <row r="861">
      <c r="A861" s="95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  <c r="AA861" s="232"/>
      <c r="AB861" s="232"/>
      <c r="AC861" s="232"/>
      <c r="AD861" s="232"/>
      <c r="AE861" s="232"/>
      <c r="AF861" s="232"/>
      <c r="AG861" s="232"/>
      <c r="AH861" s="95"/>
    </row>
    <row r="862">
      <c r="A862" s="95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  <c r="AA862" s="232"/>
      <c r="AB862" s="232"/>
      <c r="AC862" s="232"/>
      <c r="AD862" s="232"/>
      <c r="AE862" s="232"/>
      <c r="AF862" s="232"/>
      <c r="AG862" s="232"/>
      <c r="AH862" s="95"/>
    </row>
    <row r="863">
      <c r="A863" s="95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  <c r="AA863" s="232"/>
      <c r="AB863" s="232"/>
      <c r="AC863" s="232"/>
      <c r="AD863" s="232"/>
      <c r="AE863" s="232"/>
      <c r="AF863" s="232"/>
      <c r="AG863" s="232"/>
      <c r="AH863" s="95"/>
    </row>
    <row r="864">
      <c r="A864" s="95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  <c r="AA864" s="232"/>
      <c r="AB864" s="232"/>
      <c r="AC864" s="232"/>
      <c r="AD864" s="232"/>
      <c r="AE864" s="232"/>
      <c r="AF864" s="232"/>
      <c r="AG864" s="232"/>
      <c r="AH864" s="95"/>
    </row>
    <row r="865">
      <c r="A865" s="95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  <c r="AA865" s="232"/>
      <c r="AB865" s="232"/>
      <c r="AC865" s="232"/>
      <c r="AD865" s="232"/>
      <c r="AE865" s="232"/>
      <c r="AF865" s="232"/>
      <c r="AG865" s="232"/>
      <c r="AH865" s="95"/>
    </row>
    <row r="866">
      <c r="A866" s="95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  <c r="AA866" s="232"/>
      <c r="AB866" s="232"/>
      <c r="AC866" s="232"/>
      <c r="AD866" s="232"/>
      <c r="AE866" s="232"/>
      <c r="AF866" s="232"/>
      <c r="AG866" s="232"/>
      <c r="AH866" s="95"/>
    </row>
    <row r="867">
      <c r="A867" s="95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  <c r="AA867" s="232"/>
      <c r="AB867" s="232"/>
      <c r="AC867" s="232"/>
      <c r="AD867" s="232"/>
      <c r="AE867" s="232"/>
      <c r="AF867" s="232"/>
      <c r="AG867" s="232"/>
      <c r="AH867" s="95"/>
    </row>
    <row r="868">
      <c r="A868" s="95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  <c r="AA868" s="232"/>
      <c r="AB868" s="232"/>
      <c r="AC868" s="232"/>
      <c r="AD868" s="232"/>
      <c r="AE868" s="232"/>
      <c r="AF868" s="232"/>
      <c r="AG868" s="232"/>
      <c r="AH868" s="95"/>
    </row>
    <row r="869">
      <c r="A869" s="95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  <c r="AA869" s="232"/>
      <c r="AB869" s="232"/>
      <c r="AC869" s="232"/>
      <c r="AD869" s="232"/>
      <c r="AE869" s="232"/>
      <c r="AF869" s="232"/>
      <c r="AG869" s="232"/>
      <c r="AH869" s="95"/>
    </row>
    <row r="870">
      <c r="A870" s="95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  <c r="AA870" s="232"/>
      <c r="AB870" s="232"/>
      <c r="AC870" s="232"/>
      <c r="AD870" s="232"/>
      <c r="AE870" s="232"/>
      <c r="AF870" s="232"/>
      <c r="AG870" s="232"/>
      <c r="AH870" s="95"/>
    </row>
    <row r="871">
      <c r="A871" s="95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  <c r="AA871" s="232"/>
      <c r="AB871" s="232"/>
      <c r="AC871" s="232"/>
      <c r="AD871" s="232"/>
      <c r="AE871" s="232"/>
      <c r="AF871" s="232"/>
      <c r="AG871" s="232"/>
      <c r="AH871" s="95"/>
    </row>
    <row r="872">
      <c r="A872" s="95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  <c r="AA872" s="232"/>
      <c r="AB872" s="232"/>
      <c r="AC872" s="232"/>
      <c r="AD872" s="232"/>
      <c r="AE872" s="232"/>
      <c r="AF872" s="232"/>
      <c r="AG872" s="232"/>
      <c r="AH872" s="95"/>
    </row>
    <row r="873">
      <c r="A873" s="95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  <c r="AA873" s="232"/>
      <c r="AB873" s="232"/>
      <c r="AC873" s="232"/>
      <c r="AD873" s="232"/>
      <c r="AE873" s="232"/>
      <c r="AF873" s="232"/>
      <c r="AG873" s="232"/>
      <c r="AH873" s="95"/>
    </row>
    <row r="874">
      <c r="A874" s="95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  <c r="AA874" s="232"/>
      <c r="AB874" s="232"/>
      <c r="AC874" s="232"/>
      <c r="AD874" s="232"/>
      <c r="AE874" s="232"/>
      <c r="AF874" s="232"/>
      <c r="AG874" s="232"/>
      <c r="AH874" s="95"/>
    </row>
    <row r="875">
      <c r="A875" s="95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  <c r="AA875" s="232"/>
      <c r="AB875" s="232"/>
      <c r="AC875" s="232"/>
      <c r="AD875" s="232"/>
      <c r="AE875" s="232"/>
      <c r="AF875" s="232"/>
      <c r="AG875" s="232"/>
      <c r="AH875" s="95"/>
    </row>
    <row r="876">
      <c r="A876" s="95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  <c r="AA876" s="232"/>
      <c r="AB876" s="232"/>
      <c r="AC876" s="232"/>
      <c r="AD876" s="232"/>
      <c r="AE876" s="232"/>
      <c r="AF876" s="232"/>
      <c r="AG876" s="232"/>
      <c r="AH876" s="95"/>
    </row>
    <row r="877">
      <c r="A877" s="95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  <c r="AA877" s="232"/>
      <c r="AB877" s="232"/>
      <c r="AC877" s="232"/>
      <c r="AD877" s="232"/>
      <c r="AE877" s="232"/>
      <c r="AF877" s="232"/>
      <c r="AG877" s="232"/>
      <c r="AH877" s="95"/>
    </row>
    <row r="878">
      <c r="A878" s="95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  <c r="AA878" s="232"/>
      <c r="AB878" s="232"/>
      <c r="AC878" s="232"/>
      <c r="AD878" s="232"/>
      <c r="AE878" s="232"/>
      <c r="AF878" s="232"/>
      <c r="AG878" s="232"/>
      <c r="AH878" s="95"/>
    </row>
    <row r="879">
      <c r="A879" s="95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  <c r="AA879" s="232"/>
      <c r="AB879" s="232"/>
      <c r="AC879" s="232"/>
      <c r="AD879" s="232"/>
      <c r="AE879" s="232"/>
      <c r="AF879" s="232"/>
      <c r="AG879" s="232"/>
      <c r="AH879" s="95"/>
    </row>
    <row r="880">
      <c r="A880" s="95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  <c r="AA880" s="232"/>
      <c r="AB880" s="232"/>
      <c r="AC880" s="232"/>
      <c r="AD880" s="232"/>
      <c r="AE880" s="232"/>
      <c r="AF880" s="232"/>
      <c r="AG880" s="232"/>
      <c r="AH880" s="95"/>
    </row>
    <row r="881">
      <c r="A881" s="95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  <c r="AA881" s="232"/>
      <c r="AB881" s="232"/>
      <c r="AC881" s="232"/>
      <c r="AD881" s="232"/>
      <c r="AE881" s="232"/>
      <c r="AF881" s="232"/>
      <c r="AG881" s="232"/>
      <c r="AH881" s="95"/>
    </row>
    <row r="882">
      <c r="A882" s="95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  <c r="AA882" s="232"/>
      <c r="AB882" s="232"/>
      <c r="AC882" s="232"/>
      <c r="AD882" s="232"/>
      <c r="AE882" s="232"/>
      <c r="AF882" s="232"/>
      <c r="AG882" s="232"/>
      <c r="AH882" s="95"/>
    </row>
    <row r="883">
      <c r="A883" s="95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  <c r="AA883" s="232"/>
      <c r="AB883" s="232"/>
      <c r="AC883" s="232"/>
      <c r="AD883" s="232"/>
      <c r="AE883" s="232"/>
      <c r="AF883" s="232"/>
      <c r="AG883" s="232"/>
      <c r="AH883" s="95"/>
    </row>
    <row r="884">
      <c r="A884" s="95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  <c r="AA884" s="232"/>
      <c r="AB884" s="232"/>
      <c r="AC884" s="232"/>
      <c r="AD884" s="232"/>
      <c r="AE884" s="232"/>
      <c r="AF884" s="232"/>
      <c r="AG884" s="232"/>
      <c r="AH884" s="95"/>
    </row>
    <row r="885">
      <c r="A885" s="95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  <c r="AA885" s="232"/>
      <c r="AB885" s="232"/>
      <c r="AC885" s="232"/>
      <c r="AD885" s="232"/>
      <c r="AE885" s="232"/>
      <c r="AF885" s="232"/>
      <c r="AG885" s="232"/>
      <c r="AH885" s="95"/>
    </row>
    <row r="886">
      <c r="A886" s="95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  <c r="AA886" s="232"/>
      <c r="AB886" s="232"/>
      <c r="AC886" s="232"/>
      <c r="AD886" s="232"/>
      <c r="AE886" s="232"/>
      <c r="AF886" s="232"/>
      <c r="AG886" s="232"/>
      <c r="AH886" s="95"/>
    </row>
    <row r="887">
      <c r="A887" s="95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  <c r="AA887" s="232"/>
      <c r="AB887" s="232"/>
      <c r="AC887" s="232"/>
      <c r="AD887" s="232"/>
      <c r="AE887" s="232"/>
      <c r="AF887" s="232"/>
      <c r="AG887" s="232"/>
      <c r="AH887" s="95"/>
    </row>
    <row r="888">
      <c r="A888" s="95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  <c r="AA888" s="232"/>
      <c r="AB888" s="232"/>
      <c r="AC888" s="232"/>
      <c r="AD888" s="232"/>
      <c r="AE888" s="232"/>
      <c r="AF888" s="232"/>
      <c r="AG888" s="232"/>
      <c r="AH888" s="95"/>
    </row>
    <row r="889">
      <c r="A889" s="95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  <c r="AA889" s="232"/>
      <c r="AB889" s="232"/>
      <c r="AC889" s="232"/>
      <c r="AD889" s="232"/>
      <c r="AE889" s="232"/>
      <c r="AF889" s="232"/>
      <c r="AG889" s="232"/>
      <c r="AH889" s="95"/>
    </row>
    <row r="890">
      <c r="A890" s="95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  <c r="AA890" s="232"/>
      <c r="AB890" s="232"/>
      <c r="AC890" s="232"/>
      <c r="AD890" s="232"/>
      <c r="AE890" s="232"/>
      <c r="AF890" s="232"/>
      <c r="AG890" s="232"/>
      <c r="AH890" s="95"/>
    </row>
    <row r="891">
      <c r="A891" s="95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  <c r="AA891" s="232"/>
      <c r="AB891" s="232"/>
      <c r="AC891" s="232"/>
      <c r="AD891" s="232"/>
      <c r="AE891" s="232"/>
      <c r="AF891" s="232"/>
      <c r="AG891" s="232"/>
      <c r="AH891" s="95"/>
    </row>
    <row r="892">
      <c r="A892" s="95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  <c r="AA892" s="232"/>
      <c r="AB892" s="232"/>
      <c r="AC892" s="232"/>
      <c r="AD892" s="232"/>
      <c r="AE892" s="232"/>
      <c r="AF892" s="232"/>
      <c r="AG892" s="232"/>
      <c r="AH892" s="95"/>
    </row>
    <row r="893">
      <c r="A893" s="95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  <c r="AA893" s="232"/>
      <c r="AB893" s="232"/>
      <c r="AC893" s="232"/>
      <c r="AD893" s="232"/>
      <c r="AE893" s="232"/>
      <c r="AF893" s="232"/>
      <c r="AG893" s="232"/>
      <c r="AH893" s="95"/>
    </row>
    <row r="894">
      <c r="A894" s="95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  <c r="AA894" s="232"/>
      <c r="AB894" s="232"/>
      <c r="AC894" s="232"/>
      <c r="AD894" s="232"/>
      <c r="AE894" s="232"/>
      <c r="AF894" s="232"/>
      <c r="AG894" s="232"/>
      <c r="AH894" s="95"/>
    </row>
    <row r="895">
      <c r="A895" s="95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  <c r="AA895" s="232"/>
      <c r="AB895" s="232"/>
      <c r="AC895" s="232"/>
      <c r="AD895" s="232"/>
      <c r="AE895" s="232"/>
      <c r="AF895" s="232"/>
      <c r="AG895" s="232"/>
      <c r="AH895" s="95"/>
    </row>
  </sheetData>
  <mergeCells count="626">
    <mergeCell ref="B1:G3"/>
    <mergeCell ref="H1:AC1"/>
    <mergeCell ref="AD1:AG1"/>
    <mergeCell ref="AD2:AE2"/>
    <mergeCell ref="AF2:AG2"/>
    <mergeCell ref="AD3:AE3"/>
    <mergeCell ref="AF3:AG3"/>
    <mergeCell ref="M7:O7"/>
    <mergeCell ref="P7:Q7"/>
    <mergeCell ref="R7:W7"/>
    <mergeCell ref="X7:Y7"/>
    <mergeCell ref="Z7:AB7"/>
    <mergeCell ref="AC7:AD7"/>
    <mergeCell ref="H2:AC3"/>
    <mergeCell ref="B4:AG4"/>
    <mergeCell ref="B5:AG5"/>
    <mergeCell ref="B6:AG6"/>
    <mergeCell ref="B7:D7"/>
    <mergeCell ref="J7:L7"/>
    <mergeCell ref="AE7:AG7"/>
    <mergeCell ref="U9:Y9"/>
    <mergeCell ref="Z9:AB9"/>
    <mergeCell ref="E7:I7"/>
    <mergeCell ref="B8:AG8"/>
    <mergeCell ref="B9:D9"/>
    <mergeCell ref="E9:I9"/>
    <mergeCell ref="J9:L9"/>
    <mergeCell ref="M9:Q9"/>
    <mergeCell ref="R9:T9"/>
    <mergeCell ref="B30:P30"/>
    <mergeCell ref="B31:P32"/>
    <mergeCell ref="R32:T32"/>
    <mergeCell ref="B35:AG35"/>
    <mergeCell ref="B37:AG37"/>
    <mergeCell ref="G39:Q39"/>
    <mergeCell ref="B41:AG41"/>
    <mergeCell ref="B39:F39"/>
    <mergeCell ref="B43:F43"/>
    <mergeCell ref="G43:Q43"/>
    <mergeCell ref="R43:V43"/>
    <mergeCell ref="W43:AG43"/>
    <mergeCell ref="B45:AG45"/>
    <mergeCell ref="B47:AG47"/>
    <mergeCell ref="AC9:AG9"/>
    <mergeCell ref="B10:AG10"/>
    <mergeCell ref="B11:D11"/>
    <mergeCell ref="O11:Q11"/>
    <mergeCell ref="R11:Y11"/>
    <mergeCell ref="Z11:AB11"/>
    <mergeCell ref="AC11:AG11"/>
    <mergeCell ref="L16:M16"/>
    <mergeCell ref="N16:P16"/>
    <mergeCell ref="R16:AF31"/>
    <mergeCell ref="M20:P20"/>
    <mergeCell ref="M26:N26"/>
    <mergeCell ref="O26:P26"/>
    <mergeCell ref="U32:AF32"/>
    <mergeCell ref="E11:N11"/>
    <mergeCell ref="B12:AG12"/>
    <mergeCell ref="B13:AG13"/>
    <mergeCell ref="B14:AG14"/>
    <mergeCell ref="B15:AG15"/>
    <mergeCell ref="B16:F16"/>
    <mergeCell ref="G16:K16"/>
    <mergeCell ref="B18:F18"/>
    <mergeCell ref="G18:P18"/>
    <mergeCell ref="B20:F20"/>
    <mergeCell ref="G20:I20"/>
    <mergeCell ref="J20:L20"/>
    <mergeCell ref="B22:F22"/>
    <mergeCell ref="G22:P22"/>
    <mergeCell ref="B24:F24"/>
    <mergeCell ref="G24:P24"/>
    <mergeCell ref="B26:F26"/>
    <mergeCell ref="G26:H26"/>
    <mergeCell ref="I26:L26"/>
    <mergeCell ref="B28:F28"/>
    <mergeCell ref="G28:P28"/>
    <mergeCell ref="R39:V39"/>
    <mergeCell ref="W39:AG39"/>
    <mergeCell ref="Q54:V54"/>
    <mergeCell ref="W54:AB54"/>
    <mergeCell ref="B50:AG50"/>
    <mergeCell ref="B51:AG51"/>
    <mergeCell ref="B52:AG52"/>
    <mergeCell ref="B53:AG53"/>
    <mergeCell ref="B54:F54"/>
    <mergeCell ref="G54:K54"/>
    <mergeCell ref="L54:P54"/>
    <mergeCell ref="AC54:AG54"/>
    <mergeCell ref="B55:AG55"/>
    <mergeCell ref="B56:AG56"/>
    <mergeCell ref="B57:AG57"/>
    <mergeCell ref="B58:Q58"/>
    <mergeCell ref="R58:AG58"/>
    <mergeCell ref="B59:AG59"/>
    <mergeCell ref="B60:E60"/>
    <mergeCell ref="F60:I60"/>
    <mergeCell ref="J60:L60"/>
    <mergeCell ref="M60:Q60"/>
    <mergeCell ref="R60:U60"/>
    <mergeCell ref="V60:Y60"/>
    <mergeCell ref="Z60:AB60"/>
    <mergeCell ref="V62:Y62"/>
    <mergeCell ref="Z62:AB62"/>
    <mergeCell ref="AC60:AG60"/>
    <mergeCell ref="B61:AG61"/>
    <mergeCell ref="B62:E62"/>
    <mergeCell ref="F62:I62"/>
    <mergeCell ref="J62:L62"/>
    <mergeCell ref="M62:Q62"/>
    <mergeCell ref="R62:U62"/>
    <mergeCell ref="AC62:AG62"/>
    <mergeCell ref="B63:AG63"/>
    <mergeCell ref="B64:E64"/>
    <mergeCell ref="F64:AG64"/>
    <mergeCell ref="B65:AG65"/>
    <mergeCell ref="B66:AG66"/>
    <mergeCell ref="B67:AG67"/>
    <mergeCell ref="B68:I68"/>
    <mergeCell ref="J68:S68"/>
    <mergeCell ref="T68:AA69"/>
    <mergeCell ref="AB68:AG69"/>
    <mergeCell ref="B69:I69"/>
    <mergeCell ref="J69:S69"/>
    <mergeCell ref="B70:AG70"/>
    <mergeCell ref="E91:L91"/>
    <mergeCell ref="M91:O91"/>
    <mergeCell ref="L86:AG87"/>
    <mergeCell ref="B88:AG88"/>
    <mergeCell ref="B89:AG89"/>
    <mergeCell ref="B90:L90"/>
    <mergeCell ref="M90:V90"/>
    <mergeCell ref="W90:AG90"/>
    <mergeCell ref="B91:D91"/>
    <mergeCell ref="Z91:AG91"/>
    <mergeCell ref="P91:V91"/>
    <mergeCell ref="W91:Y91"/>
    <mergeCell ref="B92:AG92"/>
    <mergeCell ref="B93:K94"/>
    <mergeCell ref="L93:AG94"/>
    <mergeCell ref="B95:AG95"/>
    <mergeCell ref="B96:AG96"/>
    <mergeCell ref="B97:AG97"/>
    <mergeCell ref="B98:Q98"/>
    <mergeCell ref="R98:AG98"/>
    <mergeCell ref="E99:Q99"/>
    <mergeCell ref="R99:T99"/>
    <mergeCell ref="U99:AG99"/>
    <mergeCell ref="B100:AG100"/>
    <mergeCell ref="Z101:AC101"/>
    <mergeCell ref="AD101:AG101"/>
    <mergeCell ref="B99:D99"/>
    <mergeCell ref="B101:E101"/>
    <mergeCell ref="J101:M101"/>
    <mergeCell ref="N101:Q101"/>
    <mergeCell ref="R101:U101"/>
    <mergeCell ref="V101:Y101"/>
    <mergeCell ref="B102:AG102"/>
    <mergeCell ref="Q110:V110"/>
    <mergeCell ref="W110:AB110"/>
    <mergeCell ref="F101:I101"/>
    <mergeCell ref="B103:K104"/>
    <mergeCell ref="L103:AG104"/>
    <mergeCell ref="B105:AG105"/>
    <mergeCell ref="B106:AG106"/>
    <mergeCell ref="B108:AG108"/>
    <mergeCell ref="B110:F110"/>
    <mergeCell ref="AC110:AG110"/>
    <mergeCell ref="G110:K110"/>
    <mergeCell ref="L110:P110"/>
    <mergeCell ref="B112:AG112"/>
    <mergeCell ref="B114:E114"/>
    <mergeCell ref="F114:Q114"/>
    <mergeCell ref="R114:U114"/>
    <mergeCell ref="V114:AG114"/>
    <mergeCell ref="F116:K116"/>
    <mergeCell ref="L116:P116"/>
    <mergeCell ref="Q116:V116"/>
    <mergeCell ref="W116:AA116"/>
    <mergeCell ref="AB116:AG116"/>
    <mergeCell ref="B119:AG119"/>
    <mergeCell ref="B121:AG121"/>
    <mergeCell ref="K75:AA75"/>
    <mergeCell ref="AB75:AG75"/>
    <mergeCell ref="B71:AG71"/>
    <mergeCell ref="B72:AG72"/>
    <mergeCell ref="K73:AA73"/>
    <mergeCell ref="AB73:AG73"/>
    <mergeCell ref="K74:AA74"/>
    <mergeCell ref="AB74:AG74"/>
    <mergeCell ref="B76:AG76"/>
    <mergeCell ref="B73:J75"/>
    <mergeCell ref="B77:K77"/>
    <mergeCell ref="L77:P77"/>
    <mergeCell ref="Q77:U77"/>
    <mergeCell ref="V77:AA77"/>
    <mergeCell ref="AB77:AG77"/>
    <mergeCell ref="B78:AG78"/>
    <mergeCell ref="B79:K79"/>
    <mergeCell ref="L79:AG79"/>
    <mergeCell ref="B80:AG80"/>
    <mergeCell ref="B81:AG81"/>
    <mergeCell ref="B82:AG82"/>
    <mergeCell ref="M83:V83"/>
    <mergeCell ref="W83:AG83"/>
    <mergeCell ref="E84:L84"/>
    <mergeCell ref="B86:K87"/>
    <mergeCell ref="B83:L83"/>
    <mergeCell ref="B84:D84"/>
    <mergeCell ref="M84:O84"/>
    <mergeCell ref="P84:V84"/>
    <mergeCell ref="W84:Y84"/>
    <mergeCell ref="Z84:AG84"/>
    <mergeCell ref="B85:AG85"/>
    <mergeCell ref="Z123:AC123"/>
    <mergeCell ref="AD123:AG123"/>
    <mergeCell ref="J124:K124"/>
    <mergeCell ref="L124:M124"/>
    <mergeCell ref="J125:M125"/>
    <mergeCell ref="J126:K126"/>
    <mergeCell ref="L126:M126"/>
    <mergeCell ref="J128:M128"/>
    <mergeCell ref="R124:S124"/>
    <mergeCell ref="T124:U124"/>
    <mergeCell ref="R125:U125"/>
    <mergeCell ref="V125:Y125"/>
    <mergeCell ref="Z125:AC125"/>
    <mergeCell ref="AD125:AG125"/>
    <mergeCell ref="V124:W124"/>
    <mergeCell ref="X124:Y124"/>
    <mergeCell ref="Z124:AA124"/>
    <mergeCell ref="AB124:AC124"/>
    <mergeCell ref="AD124:AE124"/>
    <mergeCell ref="AF124:AG124"/>
    <mergeCell ref="B116:E116"/>
    <mergeCell ref="B123:E124"/>
    <mergeCell ref="F123:I123"/>
    <mergeCell ref="J123:M123"/>
    <mergeCell ref="N123:Q123"/>
    <mergeCell ref="R123:U123"/>
    <mergeCell ref="V123:Y123"/>
    <mergeCell ref="V126:W126"/>
    <mergeCell ref="X126:Y126"/>
    <mergeCell ref="Z126:AC126"/>
    <mergeCell ref="AD126:AG126"/>
    <mergeCell ref="B127:AG127"/>
    <mergeCell ref="N128:Q128"/>
    <mergeCell ref="R128:U128"/>
    <mergeCell ref="V128:Y128"/>
    <mergeCell ref="Z128:AC128"/>
    <mergeCell ref="AD128:AG128"/>
    <mergeCell ref="N124:O124"/>
    <mergeCell ref="P124:Q124"/>
    <mergeCell ref="N125:Q125"/>
    <mergeCell ref="N126:O126"/>
    <mergeCell ref="P126:Q126"/>
    <mergeCell ref="R126:S126"/>
    <mergeCell ref="T126:U126"/>
    <mergeCell ref="AA136:AB136"/>
    <mergeCell ref="AC136:AE136"/>
    <mergeCell ref="D136:F136"/>
    <mergeCell ref="G136:H136"/>
    <mergeCell ref="I136:K136"/>
    <mergeCell ref="N136:P136"/>
    <mergeCell ref="Q136:R136"/>
    <mergeCell ref="S136:U136"/>
    <mergeCell ref="X136:Z136"/>
    <mergeCell ref="AA137:AB137"/>
    <mergeCell ref="AC137:AE137"/>
    <mergeCell ref="D137:F137"/>
    <mergeCell ref="G137:H137"/>
    <mergeCell ref="I137:K137"/>
    <mergeCell ref="N137:P137"/>
    <mergeCell ref="Q137:R137"/>
    <mergeCell ref="S137:U137"/>
    <mergeCell ref="X137:Z137"/>
    <mergeCell ref="AA138:AB138"/>
    <mergeCell ref="AC138:AE138"/>
    <mergeCell ref="D138:F138"/>
    <mergeCell ref="G138:H138"/>
    <mergeCell ref="I138:K138"/>
    <mergeCell ref="N138:P138"/>
    <mergeCell ref="Q138:R138"/>
    <mergeCell ref="S138:U138"/>
    <mergeCell ref="X138:Z138"/>
    <mergeCell ref="J131:M131"/>
    <mergeCell ref="N131:Q131"/>
    <mergeCell ref="B146:Q162"/>
    <mergeCell ref="B163:D163"/>
    <mergeCell ref="E163:Q163"/>
    <mergeCell ref="AA142:AB142"/>
    <mergeCell ref="AC142:AE142"/>
    <mergeCell ref="R146:AG162"/>
    <mergeCell ref="R163:T163"/>
    <mergeCell ref="U163:AG163"/>
    <mergeCell ref="B164:AG164"/>
    <mergeCell ref="B165:AG165"/>
    <mergeCell ref="F128:I128"/>
    <mergeCell ref="F129:I129"/>
    <mergeCell ref="J129:M129"/>
    <mergeCell ref="N129:Q129"/>
    <mergeCell ref="R129:U129"/>
    <mergeCell ref="V129:Y129"/>
    <mergeCell ref="Z129:AC129"/>
    <mergeCell ref="AD129:AG129"/>
    <mergeCell ref="F124:G124"/>
    <mergeCell ref="H124:I124"/>
    <mergeCell ref="B125:E126"/>
    <mergeCell ref="F125:I125"/>
    <mergeCell ref="F126:G126"/>
    <mergeCell ref="H126:I126"/>
    <mergeCell ref="B128:E129"/>
    <mergeCell ref="R131:U131"/>
    <mergeCell ref="V131:Y131"/>
    <mergeCell ref="Z131:AC131"/>
    <mergeCell ref="AD131:AG131"/>
    <mergeCell ref="S135:U135"/>
    <mergeCell ref="X135:Z135"/>
    <mergeCell ref="AA135:AB135"/>
    <mergeCell ref="AC135:AE135"/>
    <mergeCell ref="D142:F142"/>
    <mergeCell ref="G142:H142"/>
    <mergeCell ref="I142:K142"/>
    <mergeCell ref="N142:P142"/>
    <mergeCell ref="Q142:R142"/>
    <mergeCell ref="S142:U142"/>
    <mergeCell ref="X142:Z142"/>
    <mergeCell ref="B144:AG144"/>
    <mergeCell ref="R179:T179"/>
    <mergeCell ref="U179:X179"/>
    <mergeCell ref="Y179:AB179"/>
    <mergeCell ref="AC179:AG179"/>
    <mergeCell ref="B130:E131"/>
    <mergeCell ref="J130:M130"/>
    <mergeCell ref="N130:Q130"/>
    <mergeCell ref="R130:U130"/>
    <mergeCell ref="V130:Y130"/>
    <mergeCell ref="Z130:AC130"/>
    <mergeCell ref="AD130:AG130"/>
    <mergeCell ref="B133:AG133"/>
    <mergeCell ref="F130:I130"/>
    <mergeCell ref="F131:I131"/>
    <mergeCell ref="D135:F135"/>
    <mergeCell ref="G135:H135"/>
    <mergeCell ref="I135:K135"/>
    <mergeCell ref="N135:P135"/>
    <mergeCell ref="Q135:R135"/>
    <mergeCell ref="AA139:AB139"/>
    <mergeCell ref="AC139:AE139"/>
    <mergeCell ref="D139:F139"/>
    <mergeCell ref="G139:H139"/>
    <mergeCell ref="I139:K139"/>
    <mergeCell ref="N139:P139"/>
    <mergeCell ref="Q139:R139"/>
    <mergeCell ref="S139:U139"/>
    <mergeCell ref="X139:Z139"/>
    <mergeCell ref="AA140:AB140"/>
    <mergeCell ref="AC140:AE140"/>
    <mergeCell ref="D140:F140"/>
    <mergeCell ref="G140:H140"/>
    <mergeCell ref="I140:K140"/>
    <mergeCell ref="N140:P140"/>
    <mergeCell ref="Q140:R140"/>
    <mergeCell ref="S140:U140"/>
    <mergeCell ref="X140:Z140"/>
    <mergeCell ref="AA141:AB141"/>
    <mergeCell ref="AC141:AE141"/>
    <mergeCell ref="D141:F141"/>
    <mergeCell ref="G141:H141"/>
    <mergeCell ref="I141:K141"/>
    <mergeCell ref="N141:P141"/>
    <mergeCell ref="Q141:R141"/>
    <mergeCell ref="S141:U141"/>
    <mergeCell ref="X141:Z141"/>
    <mergeCell ref="W169:AB169"/>
    <mergeCell ref="AC169:AG169"/>
    <mergeCell ref="B166:AG166"/>
    <mergeCell ref="B167:AG167"/>
    <mergeCell ref="B168:AG168"/>
    <mergeCell ref="B169:F169"/>
    <mergeCell ref="G169:K169"/>
    <mergeCell ref="L169:P169"/>
    <mergeCell ref="Q169:V169"/>
    <mergeCell ref="F175:P175"/>
    <mergeCell ref="Q175:V175"/>
    <mergeCell ref="W175:AG175"/>
    <mergeCell ref="B170:AG170"/>
    <mergeCell ref="B171:AG171"/>
    <mergeCell ref="B172:AG172"/>
    <mergeCell ref="F173:P173"/>
    <mergeCell ref="Q173:V173"/>
    <mergeCell ref="W173:AG173"/>
    <mergeCell ref="B174:AG174"/>
    <mergeCell ref="U189:V189"/>
    <mergeCell ref="W189:X189"/>
    <mergeCell ref="Z189:AA189"/>
    <mergeCell ref="AB189:AC189"/>
    <mergeCell ref="AD189:AE189"/>
    <mergeCell ref="D189:E189"/>
    <mergeCell ref="F189:G189"/>
    <mergeCell ref="H189:I189"/>
    <mergeCell ref="K189:L189"/>
    <mergeCell ref="M189:N189"/>
    <mergeCell ref="O189:P189"/>
    <mergeCell ref="S189:T189"/>
    <mergeCell ref="J179:L179"/>
    <mergeCell ref="M179:Q179"/>
    <mergeCell ref="B173:E173"/>
    <mergeCell ref="B175:E175"/>
    <mergeCell ref="B176:AG176"/>
    <mergeCell ref="B177:AG177"/>
    <mergeCell ref="B178:AG178"/>
    <mergeCell ref="B179:D179"/>
    <mergeCell ref="E179:I179"/>
    <mergeCell ref="S183:T183"/>
    <mergeCell ref="U183:V183"/>
    <mergeCell ref="S184:T184"/>
    <mergeCell ref="U184:V184"/>
    <mergeCell ref="W184:X184"/>
    <mergeCell ref="S185:T185"/>
    <mergeCell ref="U185:V185"/>
    <mergeCell ref="W185:X185"/>
    <mergeCell ref="W183:X183"/>
    <mergeCell ref="Z183:AA183"/>
    <mergeCell ref="Z184:AA184"/>
    <mergeCell ref="Z185:AA185"/>
    <mergeCell ref="AB183:AC183"/>
    <mergeCell ref="AD183:AE183"/>
    <mergeCell ref="AB184:AC184"/>
    <mergeCell ref="AD184:AE184"/>
    <mergeCell ref="AB185:AC185"/>
    <mergeCell ref="AD185:AE185"/>
    <mergeCell ref="B180:AG180"/>
    <mergeCell ref="B181:AG181"/>
    <mergeCell ref="B182:AG182"/>
    <mergeCell ref="D183:E183"/>
    <mergeCell ref="F183:G183"/>
    <mergeCell ref="H183:I183"/>
    <mergeCell ref="K183:L183"/>
    <mergeCell ref="U186:V186"/>
    <mergeCell ref="W186:X186"/>
    <mergeCell ref="Z186:AA186"/>
    <mergeCell ref="AB186:AC186"/>
    <mergeCell ref="AD186:AE186"/>
    <mergeCell ref="D186:E186"/>
    <mergeCell ref="F186:G186"/>
    <mergeCell ref="H186:I186"/>
    <mergeCell ref="K186:L186"/>
    <mergeCell ref="M186:N186"/>
    <mergeCell ref="O186:P186"/>
    <mergeCell ref="S186:T186"/>
    <mergeCell ref="U197:V197"/>
    <mergeCell ref="W197:X197"/>
    <mergeCell ref="Z197:AA197"/>
    <mergeCell ref="AB197:AC197"/>
    <mergeCell ref="AD197:AE197"/>
    <mergeCell ref="R202:AG218"/>
    <mergeCell ref="R219:T219"/>
    <mergeCell ref="U219:AG219"/>
    <mergeCell ref="D197:E197"/>
    <mergeCell ref="F197:G197"/>
    <mergeCell ref="H197:I197"/>
    <mergeCell ref="K197:L197"/>
    <mergeCell ref="M197:N197"/>
    <mergeCell ref="S197:T197"/>
    <mergeCell ref="B201:AG201"/>
    <mergeCell ref="O197:P197"/>
    <mergeCell ref="B202:Q218"/>
    <mergeCell ref="B219:D219"/>
    <mergeCell ref="E219:Q219"/>
    <mergeCell ref="B220:AG220"/>
    <mergeCell ref="B221:AG221"/>
    <mergeCell ref="B222:F222"/>
    <mergeCell ref="Y222:AG222"/>
    <mergeCell ref="G222:O222"/>
    <mergeCell ref="P222:X222"/>
    <mergeCell ref="B223:F223"/>
    <mergeCell ref="G223:O223"/>
    <mergeCell ref="P223:X223"/>
    <mergeCell ref="Y223:AG223"/>
    <mergeCell ref="B224:F224"/>
    <mergeCell ref="Y224:AG224"/>
    <mergeCell ref="G226:O226"/>
    <mergeCell ref="P226:X226"/>
    <mergeCell ref="G224:O224"/>
    <mergeCell ref="P224:X224"/>
    <mergeCell ref="B225:F225"/>
    <mergeCell ref="G225:O225"/>
    <mergeCell ref="P225:X225"/>
    <mergeCell ref="Y225:AG225"/>
    <mergeCell ref="B226:F226"/>
    <mergeCell ref="Y226:AG226"/>
    <mergeCell ref="M183:N183"/>
    <mergeCell ref="O183:P183"/>
    <mergeCell ref="F184:G184"/>
    <mergeCell ref="H184:I184"/>
    <mergeCell ref="K184:L184"/>
    <mergeCell ref="M184:N184"/>
    <mergeCell ref="O184:P184"/>
    <mergeCell ref="D184:E184"/>
    <mergeCell ref="D185:E185"/>
    <mergeCell ref="F185:G185"/>
    <mergeCell ref="H185:I185"/>
    <mergeCell ref="K185:L185"/>
    <mergeCell ref="M185:N185"/>
    <mergeCell ref="O185:P185"/>
    <mergeCell ref="U187:V187"/>
    <mergeCell ref="W187:X187"/>
    <mergeCell ref="Z187:AA187"/>
    <mergeCell ref="AB187:AC187"/>
    <mergeCell ref="AD187:AE187"/>
    <mergeCell ref="D187:E187"/>
    <mergeCell ref="F187:G187"/>
    <mergeCell ref="H187:I187"/>
    <mergeCell ref="K187:L187"/>
    <mergeCell ref="M187:N187"/>
    <mergeCell ref="O187:P187"/>
    <mergeCell ref="S187:T187"/>
    <mergeCell ref="U188:V188"/>
    <mergeCell ref="W188:X188"/>
    <mergeCell ref="Z188:AA188"/>
    <mergeCell ref="AB188:AC188"/>
    <mergeCell ref="AD188:AE188"/>
    <mergeCell ref="D188:E188"/>
    <mergeCell ref="F188:G188"/>
    <mergeCell ref="H188:I188"/>
    <mergeCell ref="K188:L188"/>
    <mergeCell ref="M188:N188"/>
    <mergeCell ref="O188:P188"/>
    <mergeCell ref="S188:T188"/>
    <mergeCell ref="U198:V198"/>
    <mergeCell ref="W198:X198"/>
    <mergeCell ref="Z198:AA198"/>
    <mergeCell ref="AB198:AC198"/>
    <mergeCell ref="AD198:AE198"/>
    <mergeCell ref="D198:E198"/>
    <mergeCell ref="F198:G198"/>
    <mergeCell ref="H198:I198"/>
    <mergeCell ref="K198:L198"/>
    <mergeCell ref="M198:N198"/>
    <mergeCell ref="O198:P198"/>
    <mergeCell ref="S198:T198"/>
    <mergeCell ref="U190:V190"/>
    <mergeCell ref="W190:X190"/>
    <mergeCell ref="Z190:AA190"/>
    <mergeCell ref="AB190:AC190"/>
    <mergeCell ref="AD190:AE190"/>
    <mergeCell ref="D190:E190"/>
    <mergeCell ref="F190:G190"/>
    <mergeCell ref="H190:I190"/>
    <mergeCell ref="K190:L190"/>
    <mergeCell ref="M190:N190"/>
    <mergeCell ref="O190:P190"/>
    <mergeCell ref="S190:T190"/>
    <mergeCell ref="U191:V191"/>
    <mergeCell ref="W191:X191"/>
    <mergeCell ref="Z191:AA191"/>
    <mergeCell ref="AB191:AC191"/>
    <mergeCell ref="AD191:AE191"/>
    <mergeCell ref="D191:E191"/>
    <mergeCell ref="F191:G191"/>
    <mergeCell ref="H191:I191"/>
    <mergeCell ref="K191:L191"/>
    <mergeCell ref="M191:N191"/>
    <mergeCell ref="O191:P191"/>
    <mergeCell ref="S191:T191"/>
    <mergeCell ref="U192:V192"/>
    <mergeCell ref="W192:X192"/>
    <mergeCell ref="Z192:AA192"/>
    <mergeCell ref="AB192:AC192"/>
    <mergeCell ref="AD192:AE192"/>
    <mergeCell ref="D192:E192"/>
    <mergeCell ref="F192:G192"/>
    <mergeCell ref="H192:I192"/>
    <mergeCell ref="K192:L192"/>
    <mergeCell ref="M192:N192"/>
    <mergeCell ref="O192:P192"/>
    <mergeCell ref="S192:T192"/>
    <mergeCell ref="U193:V193"/>
    <mergeCell ref="W193:X193"/>
    <mergeCell ref="Z193:AA193"/>
    <mergeCell ref="AB193:AC193"/>
    <mergeCell ref="AD193:AE193"/>
    <mergeCell ref="D193:E193"/>
    <mergeCell ref="F193:G193"/>
    <mergeCell ref="H193:I193"/>
    <mergeCell ref="K193:L193"/>
    <mergeCell ref="M193:N193"/>
    <mergeCell ref="O193:P193"/>
    <mergeCell ref="S193:T193"/>
    <mergeCell ref="U194:V194"/>
    <mergeCell ref="W194:X194"/>
    <mergeCell ref="Z194:AA194"/>
    <mergeCell ref="AD194:AE194"/>
    <mergeCell ref="D194:E194"/>
    <mergeCell ref="F194:G194"/>
    <mergeCell ref="H194:I194"/>
    <mergeCell ref="K194:L194"/>
    <mergeCell ref="M194:N194"/>
    <mergeCell ref="O194:P194"/>
    <mergeCell ref="S194:T194"/>
    <mergeCell ref="U195:V195"/>
    <mergeCell ref="W195:X195"/>
    <mergeCell ref="Z195:AA195"/>
    <mergeCell ref="AB195:AC195"/>
    <mergeCell ref="AD195:AE195"/>
    <mergeCell ref="D195:E195"/>
    <mergeCell ref="F195:G195"/>
    <mergeCell ref="H195:I195"/>
    <mergeCell ref="K195:L195"/>
    <mergeCell ref="M195:N195"/>
    <mergeCell ref="O195:P195"/>
    <mergeCell ref="S195:T195"/>
    <mergeCell ref="U196:V196"/>
    <mergeCell ref="W196:X196"/>
    <mergeCell ref="Z196:AA196"/>
    <mergeCell ref="AB196:AC196"/>
    <mergeCell ref="AD196:AE196"/>
    <mergeCell ref="D196:E196"/>
    <mergeCell ref="F196:G196"/>
    <mergeCell ref="H196:I196"/>
    <mergeCell ref="K196:L196"/>
    <mergeCell ref="M196:N196"/>
    <mergeCell ref="O196:P196"/>
    <mergeCell ref="S196:T196"/>
  </mergeCells>
  <dataValidations>
    <dataValidation type="list" allowBlank="1" showErrorMessage="1" sqref="I136:I142 S136:S142 AC136:AC142">
      <formula1>"Cumple,No cumple,NE"</formula1>
    </dataValidation>
  </dataValidations>
  <printOptions horizontalCentered="1"/>
  <pageMargins bottom="0.7874015748031497" footer="0.0" header="0.0" left="0.7874015748031497" right="0.7874015748031497" top="0.7874015748031497"/>
  <pageSetup orientation="portrait"/>
  <drawing r:id="rId1"/>
</worksheet>
</file>