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map" sheetId="1" r:id="rId5"/>
    <sheet state="visible" name="2.general_particulas_magneticas" sheetId="2" r:id="rId6"/>
    <sheet state="visible" name="3.resultados_inspeccion" sheetId="3" r:id="rId7"/>
    <sheet state="visible" name="4.reg_fotografico" sheetId="4" r:id="rId8"/>
    <sheet state="visible" name="4.2.reg_calidad" sheetId="5" r:id="rId9"/>
    <sheet state="visible" name="5.indicaciones" sheetId="6" r:id="rId10"/>
    <sheet state="visible" name="6.complementos" sheetId="7" r:id="rId11"/>
    <sheet state="visible" name="FORMATO_MT" sheetId="8" r:id="rId12"/>
  </sheets>
  <definedNames>
    <definedName hidden="1" localSheetId="6" name="_xlnm._FilterDatabase">'6.complementos'!$A$1:$Z$101</definedName>
  </definedNames>
  <calcPr/>
</workbook>
</file>

<file path=xl/sharedStrings.xml><?xml version="1.0" encoding="utf-8"?>
<sst xmlns="http://schemas.openxmlformats.org/spreadsheetml/2006/main" count="8797" uniqueCount="4512">
  <si>
    <t>Nombre de la Columna</t>
  </si>
  <si>
    <t>Descripción</t>
  </si>
  <si>
    <t>celda</t>
  </si>
  <si>
    <t>Columna 1</t>
  </si>
  <si>
    <t>id_informe</t>
  </si>
  <si>
    <t>(ID / Llave Primaria) Identificador único para este informe.</t>
  </si>
  <si>
    <t>cliente</t>
  </si>
  <si>
    <t>(Sección 1) Nombre del cliente.</t>
  </si>
  <si>
    <t>C7</t>
  </si>
  <si>
    <t>x</t>
  </si>
  <si>
    <t>contrato</t>
  </si>
  <si>
    <t>(Sección 1) Número del contrato.</t>
  </si>
  <si>
    <t>H7</t>
  </si>
  <si>
    <t>ot</t>
  </si>
  <si>
    <t>(Sección 1) Número de la Orden de Trabajo.</t>
  </si>
  <si>
    <t>M7</t>
  </si>
  <si>
    <t>id_resultado</t>
  </si>
  <si>
    <t>(ID / Llave Primaria) Un identificador único para cada resultado/ítem.</t>
  </si>
  <si>
    <t>fecha_actividad</t>
  </si>
  <si>
    <t>(Sección 1) Fecha de la inspección.</t>
  </si>
  <si>
    <t>Q7</t>
  </si>
  <si>
    <t>id_informe_fk</t>
  </si>
  <si>
    <t>(Llave Foránea) El ID del informe al que pertenece este resultado.</t>
  </si>
  <si>
    <t>reporte_n</t>
  </si>
  <si>
    <t>(Sección 1) Número o código del reporte.</t>
  </si>
  <si>
    <t>R7</t>
  </si>
  <si>
    <t>item</t>
  </si>
  <si>
    <t>Número secuencial del ítem.</t>
  </si>
  <si>
    <t>A44</t>
  </si>
  <si>
    <t>zona</t>
  </si>
  <si>
    <t>(Sección 1) Zona geográfica de la inspección.</t>
  </si>
  <si>
    <t>C9</t>
  </si>
  <si>
    <t>identificacion</t>
  </si>
  <si>
    <t>Identificación del componente o área.</t>
  </si>
  <si>
    <t>B44</t>
  </si>
  <si>
    <t>sistema</t>
  </si>
  <si>
    <t>(Sección 1) Nombre del sistema inspeccionado.</t>
  </si>
  <si>
    <t>I9</t>
  </si>
  <si>
    <t>zona_insp_distancia</t>
  </si>
  <si>
    <t>Zona de inspección o distancia al registro (m).</t>
  </si>
  <si>
    <t>E44</t>
  </si>
  <si>
    <t>subsistema_linea</t>
  </si>
  <si>
    <t>(Sección 1) Nombre del subsistema o línea.</t>
  </si>
  <si>
    <t>O9</t>
  </si>
  <si>
    <t>diam_long</t>
  </si>
  <si>
    <t>Diámetro o longitud del componente inspeccionado.</t>
  </si>
  <si>
    <t>G44</t>
  </si>
  <si>
    <t>departamento</t>
  </si>
  <si>
    <t>(Sección 1) Departamento donde se ubica el equipo.</t>
  </si>
  <si>
    <t>C11</t>
  </si>
  <si>
    <t>indicacion1_tipo</t>
  </si>
  <si>
    <t>Tipo de la indicación 1.</t>
  </si>
  <si>
    <t>I44</t>
  </si>
  <si>
    <t>municipio</t>
  </si>
  <si>
    <t>(Sección 1) Municipio donde se ubica el equipo.</t>
  </si>
  <si>
    <t>I11</t>
  </si>
  <si>
    <t>indicacion1_long</t>
  </si>
  <si>
    <t>Longitud de la indicación 1.</t>
  </si>
  <si>
    <t>J44</t>
  </si>
  <si>
    <t>pk_sistema</t>
  </si>
  <si>
    <t>(Sección 1) Punto kilométrico del sistema.</t>
  </si>
  <si>
    <t>O11</t>
  </si>
  <si>
    <t>indicacion2_tipo</t>
  </si>
  <si>
    <t>Tipo de la indicación 2.</t>
  </si>
  <si>
    <t>K44</t>
  </si>
  <si>
    <t>distancia_registro</t>
  </si>
  <si>
    <t>(Sección 1) Distancia total del registro.</t>
  </si>
  <si>
    <t>S11</t>
  </si>
  <si>
    <t>indicacion2_long</t>
  </si>
  <si>
    <t>Longitud de la indicación 2.</t>
  </si>
  <si>
    <t>L44</t>
  </si>
  <si>
    <t>descripcion_elemento</t>
  </si>
  <si>
    <t>(Sección 2) Descripción de lo inspeccionado.</t>
  </si>
  <si>
    <t>F15</t>
  </si>
  <si>
    <t>indicacion3_tipo</t>
  </si>
  <si>
    <t>Tipo de la indicación 3.</t>
  </si>
  <si>
    <t>M44</t>
  </si>
  <si>
    <t>acabado_superficial</t>
  </si>
  <si>
    <t>(Sección 2) Tipo de acabado superficial.</t>
  </si>
  <si>
    <t>R15</t>
  </si>
  <si>
    <t>indicacion3_long</t>
  </si>
  <si>
    <t>Longitud de la indicación 3.</t>
  </si>
  <si>
    <t>N44</t>
  </si>
  <si>
    <t>material</t>
  </si>
  <si>
    <t>(Sección 2) Material del equipo.</t>
  </si>
  <si>
    <t>D17</t>
  </si>
  <si>
    <t>evaluacion</t>
  </si>
  <si>
    <t>Evaluación final del hallazgo (Aceptado, Rechazado, etc.).</t>
  </si>
  <si>
    <t>O44</t>
  </si>
  <si>
    <t>espesor</t>
  </si>
  <si>
    <t>(Sección 2) Espesor del material (ej: 6.3 mm).</t>
  </si>
  <si>
    <t>J17</t>
  </si>
  <si>
    <t>observaciones</t>
  </si>
  <si>
    <t>Comentarios y observaciones adicionales.</t>
  </si>
  <si>
    <t>Q44</t>
  </si>
  <si>
    <t>diametro</t>
  </si>
  <si>
    <t>(Sección 2) Diámetro del equipo (ej: 10").</t>
  </si>
  <si>
    <t>N17</t>
  </si>
  <si>
    <t>cantidad_inspeccionada</t>
  </si>
  <si>
    <t>(Sección 2) Cantidad de elementos inspeccionados.</t>
  </si>
  <si>
    <t>S17</t>
  </si>
  <si>
    <t>plano_referencia</t>
  </si>
  <si>
    <t>(Sección 2) Código del plano o referencia.</t>
  </si>
  <si>
    <t>D19</t>
  </si>
  <si>
    <t>procedimiento_n</t>
  </si>
  <si>
    <t>(Sección 3) Código del procedimiento.</t>
  </si>
  <si>
    <t>E23</t>
  </si>
  <si>
    <t>x(Sol)</t>
  </si>
  <si>
    <t>revision</t>
  </si>
  <si>
    <t>(Sección 3) Número de revisión del procedimiento.</t>
  </si>
  <si>
    <t>K23</t>
  </si>
  <si>
    <t>id_foto</t>
  </si>
  <si>
    <t>(ID / Llave Primaria) Un identificador único para cada foto.</t>
  </si>
  <si>
    <t>norma_codigo_ref</t>
  </si>
  <si>
    <t>(Sección 3) Norma o código de referencia (ej: API 1104 Ed 21).</t>
  </si>
  <si>
    <t>Q23</t>
  </si>
  <si>
    <t>id_resultado_fk</t>
  </si>
  <si>
    <t>(Llave Foránea) El ID del resultado (de la Tabla 2) al que corresponde esta foto.</t>
  </si>
  <si>
    <t>tecnica_magnetizacion</t>
  </si>
  <si>
    <t>(Sección 3) Técnica utilizada (ej: Yugo).</t>
  </si>
  <si>
    <t>E25</t>
  </si>
  <si>
    <t>imagen</t>
  </si>
  <si>
    <t>(Columna tipo "Image") Aquí se guardará la foto capturada o subida.</t>
  </si>
  <si>
    <t>fuerza_campo</t>
  </si>
  <si>
    <t>(Sección 3) Fuerza del campo magnético (ej: 10Lb).</t>
  </si>
  <si>
    <t>L25</t>
  </si>
  <si>
    <t>descripcion</t>
  </si>
  <si>
    <t>Una breve descripción de lo que muestra la fotografía.</t>
  </si>
  <si>
    <t>B57,M57</t>
  </si>
  <si>
    <t>direccion_campo</t>
  </si>
  <si>
    <t>(Sección 3) Dirección del campo aplicado.</t>
  </si>
  <si>
    <t>S25</t>
  </si>
  <si>
    <t>link</t>
  </si>
  <si>
    <t>Campo para un enlace externo a la imagen (si es necesario).</t>
  </si>
  <si>
    <t>A56,K56</t>
  </si>
  <si>
    <t>tecnica_desmagnetizacion</t>
  </si>
  <si>
    <t>(Sección 3) Técnica de desmagnetización.</t>
  </si>
  <si>
    <t>F27</t>
  </si>
  <si>
    <t>visual_photo</t>
  </si>
  <si>
    <t>Campo adicional para una vista previa o miniatura.</t>
  </si>
  <si>
    <t>tipo_particulas</t>
  </si>
  <si>
    <t>(Sección 4) Tipo de partículas usadas (ej: Húmedas fluorescentes).</t>
  </si>
  <si>
    <t>D31</t>
  </si>
  <si>
    <t>metodo_aplicacion</t>
  </si>
  <si>
    <t>(Sección 4) Método de aplicación (ej: SPRAY).</t>
  </si>
  <si>
    <t>K31</t>
  </si>
  <si>
    <t>color_particulas</t>
  </si>
  <si>
    <t>(Sección 4) Color de las partículas.</t>
  </si>
  <si>
    <t>O31</t>
  </si>
  <si>
    <t>tipo_luz_negra</t>
  </si>
  <si>
    <t>(Sección 4) Tipo de luz negra (ej: UV).</t>
  </si>
  <si>
    <t>T31</t>
  </si>
  <si>
    <t>marca_equipo</t>
  </si>
  <si>
    <t>(Sección 4) Marca del equipo principal (ej: Magnaflux-Yoke Y7).</t>
  </si>
  <si>
    <t>E33</t>
  </si>
  <si>
    <t>codigo_equipo</t>
  </si>
  <si>
    <t>(Sección 4) Código interno del equipo (ej: OH1).</t>
  </si>
  <si>
    <t>P33</t>
  </si>
  <si>
    <t>marca_particulas</t>
  </si>
  <si>
    <t>(Sección 4) Marca de las partículas (ej: MAGNAFLUX).</t>
  </si>
  <si>
    <t>E35</t>
  </si>
  <si>
    <t>codigo_particulas</t>
  </si>
  <si>
    <t>(Sección 4) Código o lote de las partículas.</t>
  </si>
  <si>
    <t>R35</t>
  </si>
  <si>
    <t>intensidad_luz_blanca</t>
  </si>
  <si>
    <t>(Sección 4) Intensidad medida de luz blanca (LUX).</t>
  </si>
  <si>
    <t>E37</t>
  </si>
  <si>
    <t>intensidad_luz_negra</t>
  </si>
  <si>
    <t>(Sección 4) Intensidad medida de luz negra (µW/cm2).</t>
  </si>
  <si>
    <t>R37</t>
  </si>
  <si>
    <t>tipo_corriente</t>
  </si>
  <si>
    <t>(Sección 4) Tipo de corriente usada (ej: AC).</t>
  </si>
  <si>
    <t>E39</t>
  </si>
  <si>
    <t>equipo_medicion_luz</t>
  </si>
  <si>
    <t>(Sección 4) Equipo usado para medir la luz.</t>
  </si>
  <si>
    <t>K39</t>
  </si>
  <si>
    <t>equipo_luz_sn</t>
  </si>
  <si>
    <t>(Sección 4) Número de serie (SN) del equipo de medición.</t>
  </si>
  <si>
    <t>R39</t>
  </si>
  <si>
    <t>nombre</t>
  </si>
  <si>
    <t>D61</t>
  </si>
  <si>
    <t>firma_link</t>
  </si>
  <si>
    <t>D63</t>
  </si>
  <si>
    <t>fecha</t>
  </si>
  <si>
    <t>D64</t>
  </si>
  <si>
    <t>2.general_particulas_magneticas</t>
  </si>
  <si>
    <t>variable</t>
  </si>
  <si>
    <t>Nombre real</t>
  </si>
  <si>
    <t>tipo de dato</t>
  </si>
  <si>
    <t>respuestas</t>
  </si>
  <si>
    <t>ID Informe</t>
  </si>
  <si>
    <t>Text</t>
  </si>
  <si>
    <t>N/A</t>
  </si>
  <si>
    <t>Cliente</t>
  </si>
  <si>
    <t>Contrato</t>
  </si>
  <si>
    <t>OT (Orden de Trabajo)</t>
  </si>
  <si>
    <t>K7</t>
  </si>
  <si>
    <t>Fecha de Actividad</t>
  </si>
  <si>
    <t>Date</t>
  </si>
  <si>
    <t>N7</t>
  </si>
  <si>
    <t>Reporte N°</t>
  </si>
  <si>
    <t>Zona</t>
  </si>
  <si>
    <t>Sistema</t>
  </si>
  <si>
    <t>Subsistema / Línea</t>
  </si>
  <si>
    <t>Departamento</t>
  </si>
  <si>
    <t>Municipio</t>
  </si>
  <si>
    <t>PK Sistema</t>
  </si>
  <si>
    <t>Distancia de Registro</t>
  </si>
  <si>
    <t>Decimal</t>
  </si>
  <si>
    <t>Descripción del Elemento</t>
  </si>
  <si>
    <t>Acabado Superficial</t>
  </si>
  <si>
    <t>Material</t>
  </si>
  <si>
    <t>Espesor</t>
  </si>
  <si>
    <t>Diámetro</t>
  </si>
  <si>
    <t>Cantidad Inspeccionada</t>
  </si>
  <si>
    <t>Number</t>
  </si>
  <si>
    <t>Plano de Referencia</t>
  </si>
  <si>
    <t>Procedimiento N°</t>
  </si>
  <si>
    <t>Revisión</t>
  </si>
  <si>
    <t>Norma / Código Ref.</t>
  </si>
  <si>
    <t>Técnica de Magnetización</t>
  </si>
  <si>
    <t>Fuerza de Campo</t>
  </si>
  <si>
    <t>Dirección de Campo</t>
  </si>
  <si>
    <t>Técnica de Desmagnetización</t>
  </si>
  <si>
    <t>Tipo de Partículas</t>
  </si>
  <si>
    <t>Método de Aplicación</t>
  </si>
  <si>
    <t>Color de Partículas</t>
  </si>
  <si>
    <t>Tipo de Luz Negra</t>
  </si>
  <si>
    <t>Marca del Equipo</t>
  </si>
  <si>
    <t>Código del Equipo</t>
  </si>
  <si>
    <t>Marca de Partículas</t>
  </si>
  <si>
    <t>Código de Partículas</t>
  </si>
  <si>
    <t>Intensidad Luz Blanca</t>
  </si>
  <si>
    <t>Intensidad Luz Negra</t>
  </si>
  <si>
    <t>Tipo de Corriente</t>
  </si>
  <si>
    <t>Equipo Medición de Luz</t>
  </si>
  <si>
    <t>Equipo Luz S/N</t>
  </si>
  <si>
    <t>Nombre del Inspector</t>
  </si>
  <si>
    <t>Name</t>
  </si>
  <si>
    <t>D54</t>
  </si>
  <si>
    <t>Firma</t>
  </si>
  <si>
    <t>Signature</t>
  </si>
  <si>
    <t>D56</t>
  </si>
  <si>
    <t>Fecha de Firma</t>
  </si>
  <si>
    <t>D57</t>
  </si>
  <si>
    <t>3.resultados_inspeccion</t>
  </si>
  <si>
    <t>ID Resultado</t>
  </si>
  <si>
    <t>Ref</t>
  </si>
  <si>
    <t>Ítem</t>
  </si>
  <si>
    <t>Identificación</t>
  </si>
  <si>
    <t>Zona Insp. / Distancia</t>
  </si>
  <si>
    <t>Diámetro / Longitud</t>
  </si>
  <si>
    <t>Evaluación</t>
  </si>
  <si>
    <t>Observaciones</t>
  </si>
  <si>
    <t>LongText</t>
  </si>
  <si>
    <t>5.indicaciones</t>
  </si>
  <si>
    <t>1.1_indicaciones</t>
  </si>
  <si>
    <t>id_indicacion</t>
  </si>
  <si>
    <t>ID Indicación</t>
  </si>
  <si>
    <t>tipo</t>
  </si>
  <si>
    <t>Tipo de Indicación</t>
  </si>
  <si>
    <t>I44, K44, M44</t>
  </si>
  <si>
    <t>long</t>
  </si>
  <si>
    <t>Longitud de Indicación</t>
  </si>
  <si>
    <t>J44, L44, N44</t>
  </si>
  <si>
    <t>4.reg_fotografico</t>
  </si>
  <si>
    <t>B50,M50</t>
  </si>
  <si>
    <t>A49,K49</t>
  </si>
  <si>
    <t>4.2.reg_calidad</t>
  </si>
  <si>
    <t>id_general</t>
  </si>
  <si>
    <t>nombre_supervisor</t>
  </si>
  <si>
    <t>cod_supervisor</t>
  </si>
  <si>
    <t>codigo equipo</t>
  </si>
  <si>
    <t>firma</t>
  </si>
  <si>
    <t xml:space="preserve">observaciones </t>
  </si>
  <si>
    <t>certificado</t>
  </si>
  <si>
    <t>link_reporte</t>
  </si>
  <si>
    <t>Report_PV_a435774f</t>
  </si>
  <si>
    <t>Prueba 1</t>
  </si>
  <si>
    <t>Prueba 1Prueba 1</t>
  </si>
  <si>
    <t>Húmedas Fluorescentes</t>
  </si>
  <si>
    <t>Red</t>
  </si>
  <si>
    <t>https://docs.google.com/spreadsheets/d/1JGdQLeJYH3FuPwsGniUnNxLCmNBat55TGg5nLzzcvGM/edit</t>
  </si>
  <si>
    <t>Report_PV_b57a0a24</t>
  </si>
  <si>
    <t>CENIT</t>
  </si>
  <si>
    <t>100006</t>
  </si>
  <si>
    <t>Milton</t>
  </si>
  <si>
    <t>norte</t>
  </si>
  <si>
    <t>combuestoleo ducto Ayacucho Coveñas</t>
  </si>
  <si>
    <t>Ayacucho - Retiro 16"</t>
  </si>
  <si>
    <t>MAGDALENA</t>
  </si>
  <si>
    <t>SANTA ANA</t>
  </si>
  <si>
    <t>API 5L X60</t>
  </si>
  <si>
    <t>Green</t>
  </si>
  <si>
    <t>UV</t>
  </si>
  <si>
    <t>TENMARS</t>
  </si>
  <si>
    <t>DIEGO ALEJANDRO HERNANDEZ BLANCO</t>
  </si>
  <si>
    <t>2.general_particulas_magneticas_Images/Report_PV_b57a0a24.firma.212140.png</t>
  </si>
  <si>
    <t>c345</t>
  </si>
  <si>
    <t>https://docs.google.com/spreadsheets/d/1aLlGavV6ZNJzrECge5iCWI2Ig1JfQnrM6tKFYwaP-KQ/edit</t>
  </si>
  <si>
    <t>Report_PV_fe83e141</t>
  </si>
  <si>
    <t>26082987</t>
  </si>
  <si>
    <t>Anexo 2-MT-CAR-YUM-DR4538_OT26082987</t>
  </si>
  <si>
    <t>OCCIDENTE</t>
  </si>
  <si>
    <t>Poliducto Medellín - Cartago - Yumbo 10"</t>
  </si>
  <si>
    <t>Cartago - Yumbo 10"</t>
  </si>
  <si>
    <t>ARAUCA</t>
  </si>
  <si>
    <t>4+538</t>
  </si>
  <si>
    <t>3 JUNTAS CIRCUNFERENCIALES; 4 TRAMOS DE SOLDADURA LONGITUDINAL Y 14 ZONAS SANAS</t>
  </si>
  <si>
    <t>SSPC-SP3</t>
  </si>
  <si>
    <t>API 5L X52</t>
  </si>
  <si>
    <t>10"</t>
  </si>
  <si>
    <t>ROSEN_UTC-2018</t>
  </si>
  <si>
    <t xml:space="preserve">P-OPE-AP-05 </t>
  </si>
  <si>
    <t>5</t>
  </si>
  <si>
    <t>API 1104 Ed 21</t>
  </si>
  <si>
    <t>Yugo</t>
  </si>
  <si>
    <t>10</t>
  </si>
  <si>
    <t>Longitudinal y Circunferencial</t>
  </si>
  <si>
    <t>Unidireccional</t>
  </si>
  <si>
    <t>Espolvoreado</t>
  </si>
  <si>
    <t>Magnaflux-Yoke Y7</t>
  </si>
  <si>
    <t>OH1</t>
  </si>
  <si>
    <t>MAGNAFLUX</t>
  </si>
  <si>
    <t>20B</t>
  </si>
  <si>
    <t>AC</t>
  </si>
  <si>
    <t>Magnaflux -  Luxómetro digital</t>
  </si>
  <si>
    <t>Diego Alejandro Hernandez Blanco</t>
  </si>
  <si>
    <t>2.general_particulas_magneticas_Images/Report_PV_fe83e141.firma.133716.png</t>
  </si>
  <si>
    <t>https://docs.google.com/spreadsheets/d/102u98mwU862oVLiKhL-1KBoCn_kwSgzenvRFgkoZCtA/edit</t>
  </si>
  <si>
    <t>Report_PV_b6b13d5d</t>
  </si>
  <si>
    <t>8000008077</t>
  </si>
  <si>
    <t>_MT_5</t>
  </si>
  <si>
    <t>Poliducto Medellín Cartago-Yumbo 10"</t>
  </si>
  <si>
    <t>Cartago-Yumbo 10"</t>
  </si>
  <si>
    <t>VALLE DEL CAUCA</t>
  </si>
  <si>
    <t>ZARZAL</t>
  </si>
  <si>
    <t>54+251</t>
  </si>
  <si>
    <t>Metal base, juntas circunferenciales, costura longitudinal</t>
  </si>
  <si>
    <t>10,75</t>
  </si>
  <si>
    <t>2 Juntas circunferenciales, 5 zonas sanas</t>
  </si>
  <si>
    <t>Corrida ILI_ROSEN_UT_A_2024</t>
  </si>
  <si>
    <t>API 1104 Ed. 21</t>
  </si>
  <si>
    <t>Multidireccional</t>
  </si>
  <si>
    <t>Spray</t>
  </si>
  <si>
    <t>191000280</t>
  </si>
  <si>
    <t>14AM</t>
  </si>
  <si>
    <t>Tenmars</t>
  </si>
  <si>
    <t>Karen Adriana Guaman Bravo</t>
  </si>
  <si>
    <t>2.general_particulas_magneticas_Images/Report_PV_b6b13d5d.firma.213559.png</t>
  </si>
  <si>
    <t>https://docs.google.com/spreadsheets/d/1u8oS5Ip0xc871HQ0E0aBs8zIOSW4P_jDuX5lZoc_hYs/edit</t>
  </si>
  <si>
    <t>Report_PV_568689c4</t>
  </si>
  <si>
    <t>R_ADM_9_CENT_</t>
  </si>
  <si>
    <t>_MT_6</t>
  </si>
  <si>
    <t>CARTAGO</t>
  </si>
  <si>
    <t>8+270</t>
  </si>
  <si>
    <t>Línea Cartago- Yumbo 10"</t>
  </si>
  <si>
    <t>Sin recubrimiento</t>
  </si>
  <si>
    <t>Lámpara</t>
  </si>
  <si>
    <t>PARKER</t>
  </si>
  <si>
    <t>9145</t>
  </si>
  <si>
    <t>Parker reseaech corporativo</t>
  </si>
  <si>
    <t>Na</t>
  </si>
  <si>
    <t>LUXOMETRO DIGITAL UVBEAST</t>
  </si>
  <si>
    <t>Angie Katerine Rodríguez Riaño</t>
  </si>
  <si>
    <t>2.general_particulas_magneticas_Images/Report_PV_568689c4.firma.160153.png</t>
  </si>
  <si>
    <t>https://docs.google.com/spreadsheets/d/1vlBMNjXidLQBqzOKSQ53mTU7kM9Uzj4EHw5t0SlEHU0/edit</t>
  </si>
  <si>
    <t>Report_PV_267edb6f</t>
  </si>
  <si>
    <t>Reporte_MT_7</t>
  </si>
  <si>
    <t>COVEÑAS</t>
  </si>
  <si>
    <t>Combustoleoducto Galán - Ayacucho 18"</t>
  </si>
  <si>
    <t>Galán - Ayacucho 18”</t>
  </si>
  <si>
    <t>CESAR</t>
  </si>
  <si>
    <t>SAN MARTÍN</t>
  </si>
  <si>
    <t>118+470</t>
  </si>
  <si>
    <t>Zonas sanas</t>
  </si>
  <si>
    <t>API 5L X65</t>
  </si>
  <si>
    <t>8</t>
  </si>
  <si>
    <t>2 Zonas sanas</t>
  </si>
  <si>
    <t>Corrida ILI Rosen MFL-A 2023</t>
  </si>
  <si>
    <t>LED UV-A</t>
  </si>
  <si>
    <t>ADC-633</t>
  </si>
  <si>
    <t>MI80</t>
  </si>
  <si>
    <t>191000078</t>
  </si>
  <si>
    <t>Nelson Leonardo Barrera Díaz</t>
  </si>
  <si>
    <t>2.general_particulas_magneticas_Images/Report_PV_267edb6f.firma.171101.jpg</t>
  </si>
  <si>
    <t>https://docs.google.com/spreadsheets/d/1lIg1TS-kj1UvAS6Y90pOJTBYEiS0POPj39oGuQc8rAM/edit</t>
  </si>
  <si>
    <t>Report_PV_f2c6ccf3</t>
  </si>
  <si>
    <t>Reporte_MT_8</t>
  </si>
  <si>
    <t>Poliducto Medellín - Cartago 10"</t>
  </si>
  <si>
    <t>La Felisa - Cartago 10"</t>
  </si>
  <si>
    <t>RISARALDA</t>
  </si>
  <si>
    <t>MARSELLA</t>
  </si>
  <si>
    <t>205+485</t>
  </si>
  <si>
    <t>2 Juntas circunferenciales, 12 m de junta longitudinal, 4 daños mecánicos, 18 zonas sanas</t>
  </si>
  <si>
    <t>ROSEN_UTA_2020</t>
  </si>
  <si>
    <t>Húmedas Visibles</t>
  </si>
  <si>
    <t>ADC-1370</t>
  </si>
  <si>
    <t>( 347    )/(1370    )</t>
  </si>
  <si>
    <t>H11H-JO7876/240300494</t>
  </si>
  <si>
    <t>Sergio Alejandro Fajardo Salamanca</t>
  </si>
  <si>
    <t>2.general_particulas_magneticas_Images/Report_PV_f2c6ccf3.firma.192151.jpg</t>
  </si>
  <si>
    <t>7559</t>
  </si>
  <si>
    <t>https://docs.google.com/spreadsheets/d/1CaeF00SSuwbNKoPbVFvgPg8x0S43qbXAxRbR93inF2A/edit</t>
  </si>
  <si>
    <t>Report_PV_94c91687</t>
  </si>
  <si>
    <t>Reporte_MT_9</t>
  </si>
  <si>
    <t>Poliducto Sebastopol - Medellín</t>
  </si>
  <si>
    <t>Sebastopol - San Jose del Nus</t>
  </si>
  <si>
    <t>ANTIOQUIA</t>
  </si>
  <si>
    <t>MACEO</t>
  </si>
  <si>
    <t>51+245</t>
  </si>
  <si>
    <t>METAL BASE, JUNTAS CIRCUNFERENCIALES, COSTURA LONGITUDINAL</t>
  </si>
  <si>
    <t>12,75</t>
  </si>
  <si>
    <t>2 Juntas Circunferenciales, 17,847 m Costura Longitudinal, 19 Zonas Sanas</t>
  </si>
  <si>
    <t>CORRIDA ILI_ROSEN_MFLA_2024</t>
  </si>
  <si>
    <t>ADC-1367</t>
  </si>
  <si>
    <t>(   TASI  )/( TENMARS   )</t>
  </si>
  <si>
    <t>(   22059073  )/(  191000280  )</t>
  </si>
  <si>
    <t>2.general_particulas_magneticas_Images/Report_PV_94c91687.firma.022431.png</t>
  </si>
  <si>
    <t>8852</t>
  </si>
  <si>
    <t>https://docs.google.com/spreadsheets/d/1nuNWI21loLGuBzm4lsS_Jky24z3aqeOsp0YExuUFTFQ/edit</t>
  </si>
  <si>
    <t>Report_PV_e465f226</t>
  </si>
  <si>
    <t>SUR</t>
  </si>
  <si>
    <t>Oleoducto Yaguara-Tenay</t>
  </si>
  <si>
    <t>Yaguara - Tenay 8"</t>
  </si>
  <si>
    <t>HUILA</t>
  </si>
  <si>
    <t>YAGUARÁ</t>
  </si>
  <si>
    <t>10+281</t>
  </si>
  <si>
    <t>Oleoducto Yaguará - Tenay 8"</t>
  </si>
  <si>
    <t>13.330m de soldadura longitudinal, 2 juntas circunferenciales</t>
  </si>
  <si>
    <t>ROSEN_MFL_2023</t>
  </si>
  <si>
    <t>Met-l-chek</t>
  </si>
  <si>
    <t>LUXOMETRO DIGITAL UVVEAST</t>
  </si>
  <si>
    <t>Angie Katerine Rodriguez Riaño</t>
  </si>
  <si>
    <t>2.general_particulas_magneticas_Images/Report_PV_e465f226.firma.175317.png</t>
  </si>
  <si>
    <t>https://www.appsheet.com/template/gettablefileurl?appName=particulas_magneticas-924373673&amp;tableName=4.reg_fotografico&amp;fileName=2.general_particulas_magneticas_Images/Report_PV_e465f226.firma.175317.png</t>
  </si>
  <si>
    <t>https://docs.google.com/spreadsheets/d/1Eq1NdVKwFW2QbtteSnmFKNSoC0QyZpV8kw6NeVrIQN4/edit</t>
  </si>
  <si>
    <t>Report_PV_861a28ca</t>
  </si>
  <si>
    <t>Reporte_MT_11</t>
  </si>
  <si>
    <t>Occidente</t>
  </si>
  <si>
    <t>Poliducto Medellin Cartago 10"</t>
  </si>
  <si>
    <t>CALDAS</t>
  </si>
  <si>
    <t>CHINCHINa</t>
  </si>
  <si>
    <t>183+831</t>
  </si>
  <si>
    <t>Juntas circunferenciales, Juntas Longitudinales, Zonas sanas y anomalias</t>
  </si>
  <si>
    <t>2 JC, 3 JL, 6 ZS y 1 A</t>
  </si>
  <si>
    <t>Rosen UTC 2024</t>
  </si>
  <si>
    <t>ADC-1001</t>
  </si>
  <si>
    <t>(PEAK METER)/(TENMARS)</t>
  </si>
  <si>
    <t>(H11H-J07855)/(240300323)</t>
  </si>
  <si>
    <t>César Jhovanny Páez Chávez</t>
  </si>
  <si>
    <t>2.general_particulas_magneticas_Images/Report_PV_861a28ca.firma.033451.png</t>
  </si>
  <si>
    <t>https://docs.google.com/spreadsheets/d/14R5uSXbZPDubwBoj9Htu96NZHj5vHwAIYTh161nnOwo/edit</t>
  </si>
  <si>
    <t>Report_PV_df68035e</t>
  </si>
  <si>
    <t>Reporte_MT_17</t>
  </si>
  <si>
    <t>Cartagena</t>
  </si>
  <si>
    <t>Político cartagena baranoa</t>
  </si>
  <si>
    <t>Cartagena – Baranoa 12"</t>
  </si>
  <si>
    <t>BOLIVAR</t>
  </si>
  <si>
    <t>CARTAGENA</t>
  </si>
  <si>
    <t>12+365</t>
  </si>
  <si>
    <t>Tuberia de 12 pulgadas</t>
  </si>
  <si>
    <t>API 5L X56</t>
  </si>
  <si>
    <t>12</t>
  </si>
  <si>
    <t>41,071m de soldadura longitudinal 18 zonas sanas 4 juntas circunferencias, 11 indicaciones lineales spot entre los tramos sin camisa de los tubos 5 y 6</t>
  </si>
  <si>
    <t>Rosen MFL 2024</t>
  </si>
  <si>
    <t>Api 1104 Ed 21</t>
  </si>
  <si>
    <t>B100</t>
  </si>
  <si>
    <t>Magnaflux</t>
  </si>
  <si>
    <t>Luxometro digital</t>
  </si>
  <si>
    <t>César Fernando Hernández Pinilla</t>
  </si>
  <si>
    <t>2.general_particulas_magneticas_Images/Report_PV_df68035e.firma.162758.png</t>
  </si>
  <si>
    <t>https://docs.google.com/spreadsheets/d/1c428Td5MbhbDl_sEcKdhhP8MfCXjnDfwiLJdB14GXVA/edit</t>
  </si>
  <si>
    <t>Report_PV_143fec36</t>
  </si>
  <si>
    <t>Reporte_MT_12</t>
  </si>
  <si>
    <t>POLIDUCTO SEBASTOPOL-MEDELLÍN</t>
  </si>
  <si>
    <t>PUERTO BERRiO</t>
  </si>
  <si>
    <t>14+615</t>
  </si>
  <si>
    <t>2 JUNTAS CIRCUNFERENCIALES-1 SOLDADURA LONGITUDINAL-4 ZONAS SANAS- 7 CORROSIONES- CURVATURA DEL TUBO</t>
  </si>
  <si>
    <t>SIN RECUBRIMIENTO</t>
  </si>
  <si>
    <t>12,185 m</t>
  </si>
  <si>
    <t>HOJA DE EXCAVACIÓNN ROSEN MFL-2024</t>
  </si>
  <si>
    <t>ADC-1366</t>
  </si>
  <si>
    <t>-</t>
  </si>
  <si>
    <t>( MEDIDOR DE LUZ DIA TASI ADC-1086   )/(MEDIDOR DE LUZ UV TENMARS ADC-361    )</t>
  </si>
  <si>
    <t>(  22058994   )/(240300335    )</t>
  </si>
  <si>
    <t>ALEJANDRO ALZATE SUAREZ</t>
  </si>
  <si>
    <t>2.general_particulas_magneticas_Images/Report_PV_143fec36.firma.175034.png</t>
  </si>
  <si>
    <t>https://docs.google.com/spreadsheets/d/1pvyU6JlKnlu_rpZ8xOChM2m9y1ArAH04lGnUgSLOwcY/edit</t>
  </si>
  <si>
    <t>Report_PV_7eb6c1be</t>
  </si>
  <si>
    <t>Reporte_MT_13</t>
  </si>
  <si>
    <t>Yarumo</t>
  </si>
  <si>
    <t>Oleoducto Mansoya – Orito</t>
  </si>
  <si>
    <t>Mansoya – Santana</t>
  </si>
  <si>
    <t>PUTUMAYO</t>
  </si>
  <si>
    <t>ORITO</t>
  </si>
  <si>
    <t>72+580</t>
  </si>
  <si>
    <t>JUNTAS CIRCUNFERENCIAES SOLDADAS</t>
  </si>
  <si>
    <t>API 5L X42</t>
  </si>
  <si>
    <t>12 JUNTAS CIRCUNFERENCIALES- 2 AREAS SANAS</t>
  </si>
  <si>
    <t>NO APLICA</t>
  </si>
  <si>
    <t>API 1104 Ed. 21.</t>
  </si>
  <si>
    <t>SPR-365</t>
  </si>
  <si>
    <t>WESTERN INSTRUMENTS</t>
  </si>
  <si>
    <t>ADC 922</t>
  </si>
  <si>
    <t>22B</t>
  </si>
  <si>
    <t>MEDIDOR DIGITAL DE LUZ</t>
  </si>
  <si>
    <t>https://www.appsheet.com/template/gettablefileurl?appName=APP022ParticMagnMTV2-924373673-26-05-14&amp;tableName=4.reg_fotografico&amp;fileName=2.general_particulas_magneticas_Images/Report_PV_143fec36.firma.175034.png</t>
  </si>
  <si>
    <t>8877</t>
  </si>
  <si>
    <t>https://docs.google.com/spreadsheets/d/1aipoy_ysowl2J4bSAGCag3HWrRmPyWGSvCkeGwPbhrg/edit</t>
  </si>
  <si>
    <t>Report_PV_d9e4640a</t>
  </si>
  <si>
    <t>Reporte_MT_15</t>
  </si>
  <si>
    <t>Poliducto Medellin-Cartago 10"</t>
  </si>
  <si>
    <t>Medellín - La Felisa 10"</t>
  </si>
  <si>
    <t>MEDELLÍN</t>
  </si>
  <si>
    <t>PK15+310 m</t>
  </si>
  <si>
    <t>Junta longitudinal, Zonas sanas y Daño mecanico</t>
  </si>
  <si>
    <t>10 in</t>
  </si>
  <si>
    <t>2 zonas sanas, 1,797 m de junta longitudinal y un daño mecanico</t>
  </si>
  <si>
    <t>Baker Huges CAL/IMU 2025</t>
  </si>
  <si>
    <t>Cesar Jhovanny Paez Chavez</t>
  </si>
  <si>
    <t>2.general_particulas_magneticas_Images/Report_PV_d9e4640a.firma.030134.png</t>
  </si>
  <si>
    <t>https://docs.google.com/spreadsheets/d/1GQe_8jz9RLjSUUBMi7q6FMliOq0FkNEnaHQz604h3FM/edit</t>
  </si>
  <si>
    <t>Report_PV_c4693edc</t>
  </si>
  <si>
    <t>Reporte_MT_16</t>
  </si>
  <si>
    <t>METAL BASE, COSTURA LONGITUDINAL</t>
  </si>
  <si>
    <t>1,5 metal base (zona abolladuras), 1,5 m costura longitudinal, 1 zona sana de reparación</t>
  </si>
  <si>
    <t>P-OPE-AP-05</t>
  </si>
  <si>
    <t>(  TASI   )/(  TENMARS  )</t>
  </si>
  <si>
    <t>2.general_particulas_magneticas_Images/Report_PV_c4693edc.firma.031840.png</t>
  </si>
  <si>
    <t>https://docs.google.com/spreadsheets/d/116m_PLUTC9lt6K5ZtF0bEf21-BIzusjXdH5exCw409Y/edit</t>
  </si>
  <si>
    <t>Report_PV_63fd3c5b</t>
  </si>
  <si>
    <t>Reporte_MT_20</t>
  </si>
  <si>
    <t>CENTRAL</t>
  </si>
  <si>
    <t>POLIDUCTO ODECA</t>
  </si>
  <si>
    <t>Salgar - Mariquita 8</t>
  </si>
  <si>
    <t>VICTORIA</t>
  </si>
  <si>
    <t>27+458</t>
  </si>
  <si>
    <t>Zonas sanas de corte</t>
  </si>
  <si>
    <t>2 zonas sanas</t>
  </si>
  <si>
    <t>Rosen MFL 2021</t>
  </si>
  <si>
    <t>P-OPE-AP-05 MT HUMEDAS FLUORESCENTES</t>
  </si>
  <si>
    <t>1</t>
  </si>
  <si>
    <t>Cesar Paez</t>
  </si>
  <si>
    <t>2.general_particulas_magneticas_Images/Report_PV_63fd3c5b.firma.152214.png</t>
  </si>
  <si>
    <t>ASMT-ADC-6634</t>
  </si>
  <si>
    <t>Report_PV_c8032ff9</t>
  </si>
  <si>
    <t>ODC</t>
  </si>
  <si>
    <t>8000008379</t>
  </si>
  <si>
    <t>Caucasia - Coveñas 24"</t>
  </si>
  <si>
    <t>CORDOBA</t>
  </si>
  <si>
    <t>LA APARTADA</t>
  </si>
  <si>
    <t>9+393</t>
  </si>
  <si>
    <t>Soldadura circunferencial, costura longitudinal y Metal base.</t>
  </si>
  <si>
    <t>24</t>
  </si>
  <si>
    <t>2 Juntas Circunferenciales 12,274 m costura Long 3 Zonas Sanas 6 metal base @10:10 a 2:30</t>
  </si>
  <si>
    <t>HOJA DE EXCAVACIÓN CORRIDA ILI ROSEN_UTWM_2023</t>
  </si>
  <si>
    <t>(   TASI  )/(  TENMARS  )</t>
  </si>
  <si>
    <t>(  22059073   )/(  191000280  )</t>
  </si>
  <si>
    <t>2.general_particulas_magneticas_Images/Report_PV_c8032ff9.firma.144146.png</t>
  </si>
  <si>
    <t>https://docs.google.com/spreadsheets/d/1ytdLRu9fCdRLWYCj9KpPmQOmCOswOmE2h0oAEWAkB3w/edit</t>
  </si>
  <si>
    <t>Report_PV_05a5fb7c</t>
  </si>
  <si>
    <t>Reporte_MT_19</t>
  </si>
  <si>
    <t>La Paila</t>
  </si>
  <si>
    <t>Poliducto ODECA Cartago-Yumbo</t>
  </si>
  <si>
    <t>Zarzal-Lucerna 10"</t>
  </si>
  <si>
    <t>55+600</t>
  </si>
  <si>
    <t>Junta Circunferencial, Zona sana, Tramo de tuberia</t>
  </si>
  <si>
    <t>6</t>
  </si>
  <si>
    <t>un tramo de tubería de 6,7 m, una junta circunferencial y dos zonas sanas</t>
  </si>
  <si>
    <t>ILI Rosen_MFLA_2024</t>
  </si>
  <si>
    <t>ADC-1091</t>
  </si>
  <si>
    <t>(  Tasi   )/( Tenmars)</t>
  </si>
  <si>
    <t>( TA8121    )/(tM 213    )</t>
  </si>
  <si>
    <t>Milton Augusto Pamplona Soler</t>
  </si>
  <si>
    <t>2.general_particulas_magneticas_Images/Report_PV_05a5fb7c.firma.192931.jpg</t>
  </si>
  <si>
    <t>5692</t>
  </si>
  <si>
    <t>https://docs.google.com/spreadsheets/d/1eVI9tqL_BDz0Yu7zKB-yLLulG09aNYAeW0338J8oKug/edit</t>
  </si>
  <si>
    <t>Report_PV_3970d8a5</t>
  </si>
  <si>
    <t>8000008078</t>
  </si>
  <si>
    <t>Norte</t>
  </si>
  <si>
    <t>SANTANDER</t>
  </si>
  <si>
    <t>PUERTO WILCHES</t>
  </si>
  <si>
    <t>30+043.24</t>
  </si>
  <si>
    <t>Junta circunferencial, junta longitudinal, zona sana</t>
  </si>
  <si>
    <t>18</t>
  </si>
  <si>
    <t>6 juntas circunferenciales, 4 juntas longitudinales, 1 zona sana</t>
  </si>
  <si>
    <t>ADC-</t>
  </si>
  <si>
    <t>( Peak meter )/(Tenmars )</t>
  </si>
  <si>
    <t>(H11H-J07835)/(191000078)</t>
  </si>
  <si>
    <t>2.general_particulas_magneticas_Images/Report_PV_3970d8a5.firma.142015.png</t>
  </si>
  <si>
    <t>6717</t>
  </si>
  <si>
    <t>https://docs.google.com/spreadsheets/d/1ReBklYvN7vNuWcS-gFbyvkEiKKp290-e6CxU1RutH9o/edit</t>
  </si>
  <si>
    <t>Report_PV_d5272d1d</t>
  </si>
  <si>
    <t>8000008079</t>
  </si>
  <si>
    <t>Reporte_MT_21</t>
  </si>
  <si>
    <t>Galán - Ayacucho 14”</t>
  </si>
  <si>
    <t>71+390</t>
  </si>
  <si>
    <t>Zona sana</t>
  </si>
  <si>
    <t>14</t>
  </si>
  <si>
    <t>(Peak meter)/(Tenmars)</t>
  </si>
  <si>
    <t>2.general_particulas_magneticas_Images/Report_PV_d5272d1d.firma.144601.png</t>
  </si>
  <si>
    <t>https://docs.google.com/spreadsheets/d/1JbCFi-WB_NOtscBtfCJjG2Tti4Nb23fhmruNhhDMN1g/edit</t>
  </si>
  <si>
    <t>Report_PV_d3867aae</t>
  </si>
  <si>
    <t>Reporte_MT_22</t>
  </si>
  <si>
    <t>OLEODUCTO ORITO-SAN MIGUEL</t>
  </si>
  <si>
    <t>Colón – Orito</t>
  </si>
  <si>
    <t>24+261</t>
  </si>
  <si>
    <t>2 Juntas circunferenciales, 7 Zonas sanas, 2,0m de junta longitudinal, 1 Anomalía</t>
  </si>
  <si>
    <t>CORRIDA ILI MFL-A Ultra 2025</t>
  </si>
  <si>
    <t>ADC- 922</t>
  </si>
  <si>
    <t>(348     )/( H11H-J07847   )</t>
  </si>
  <si>
    <t>( 1079    )/( 220700189   )</t>
  </si>
  <si>
    <t>Sergio Fajardo</t>
  </si>
  <si>
    <t>2.general_particulas_magneticas_Images/Report_PV_d3867aae.firma.000930.jpg</t>
  </si>
  <si>
    <t>Report_PV_23824fc8</t>
  </si>
  <si>
    <t>Reporte_MT_31</t>
  </si>
  <si>
    <t>Coveñas</t>
  </si>
  <si>
    <t>Combustoleoducto coveña cartagena</t>
  </si>
  <si>
    <t>Coveñas - Cartagena 18"</t>
  </si>
  <si>
    <t>SUCRE</t>
  </si>
  <si>
    <t>12+968</t>
  </si>
  <si>
    <t>2 zonas sanas Tie in inicial y final</t>
  </si>
  <si>
    <t>Rosemount MFL 2023</t>
  </si>
  <si>
    <t>Api 1104 Ed 2021</t>
  </si>
  <si>
    <t>2.general_particulas_magneticas_Images/Report_PV_23824fc8.firma.002659.png</t>
  </si>
  <si>
    <t>https://www.appsheet.com/template/gettablefileurl?appName=particulas_magneticas-924373673&amp;tableName=4.reg_fotografico&amp;fileName=2.general_particulas_magneticas_Images/Report_PV_23824fc8.firma.002659.png</t>
  </si>
  <si>
    <t>https://docs.google.com/spreadsheets/d/1rYR7_xnzAFYI0xvDlMpgHRcCbR_l5i_4Mulz5qdYIIw/edit</t>
  </si>
  <si>
    <t>Report_PV_d08db9fb</t>
  </si>
  <si>
    <t>Reporte_MT_24</t>
  </si>
  <si>
    <t>BUENAVENTURA- BARRIO MIRAFLORES</t>
  </si>
  <si>
    <t>Poliducto Buenaventura-Yumbo</t>
  </si>
  <si>
    <t>Buenaventura-Gallineros 8"</t>
  </si>
  <si>
    <t>BUENAVENTURA</t>
  </si>
  <si>
    <t>5+199</t>
  </si>
  <si>
    <t>Tubería 8"</t>
  </si>
  <si>
    <t>Sin Recubrimiento</t>
  </si>
  <si>
    <t>2 Soldaduras longitudinales, 1 junta circunferencial, 8 Zonas Sanas, 1 anomalía reportada por el ILI</t>
  </si>
  <si>
    <t>HOJA DE EXCAVACION RoCorr MFL-A 2019</t>
  </si>
  <si>
    <t>2.general_particulas_magneticas_Images/Report_PV_d08db9fb.firma.181049.png</t>
  </si>
  <si>
    <t>6877</t>
  </si>
  <si>
    <t>https://docs.google.com/spreadsheets/d/1oZRSDOpcfXAwDgxFebpknP7k_2NS_zkvj_PR4nEPjpw/edit</t>
  </si>
  <si>
    <t>Report_PV_7b4e7b8d</t>
  </si>
  <si>
    <t>Reporte_MT_35</t>
  </si>
  <si>
    <t>Central</t>
  </si>
  <si>
    <t>Poliducto ODECA</t>
  </si>
  <si>
    <t>Fresno - Herveo 6"_8"</t>
  </si>
  <si>
    <t>TOLIMA</t>
  </si>
  <si>
    <t>HERVEO</t>
  </si>
  <si>
    <t>8+735</t>
  </si>
  <si>
    <t>Zonas sanas, Junta Circunferencial, Junta Longitudinal, Daños mecanicos</t>
  </si>
  <si>
    <t>5 Zonas sanas, Junta Circunferencial, Junta Longitudinal, Daños mecanicos</t>
  </si>
  <si>
    <t>Cesar Jhovanny Páez Chávez</t>
  </si>
  <si>
    <t>2.general_particulas_magneticas_Images/Report_PV_7b4e7b8d.firma.184016.png</t>
  </si>
  <si>
    <t>6634</t>
  </si>
  <si>
    <t>https://docs.google.com/spreadsheets/d/1qbP9TlY9hDqS3NcTBCB4FwUOW7Zmfk1ulNy0u90m_TU/edit</t>
  </si>
  <si>
    <t>Report_PV_040a6bb9</t>
  </si>
  <si>
    <t>Reporte_MT_26</t>
  </si>
  <si>
    <t>Oleoducto Mansoyá-Orito</t>
  </si>
  <si>
    <t>Santana – Yarumo</t>
  </si>
  <si>
    <t>37+187</t>
  </si>
  <si>
    <t>Metal base</t>
  </si>
  <si>
    <t>540 mm</t>
  </si>
  <si>
    <t>Corrida ILI LINESCAN 2022</t>
  </si>
  <si>
    <t>05</t>
  </si>
  <si>
    <t>PEAK METER</t>
  </si>
  <si>
    <t>ADC-922</t>
  </si>
  <si>
    <t>( 348 )/( H11H-J07847)</t>
  </si>
  <si>
    <t>(1079)/(220700189)</t>
  </si>
  <si>
    <t>2.general_particulas_magneticas_Images/Report_PV_040a6bb9.firma.022358.jpg</t>
  </si>
  <si>
    <t>https://docs.google.com/spreadsheets/d/1Le-y5XnCqxgazm2BhiIajyD9PJkFuw4vJL14KYoFy7k/edit</t>
  </si>
  <si>
    <t>Report_PV_539c6ebb</t>
  </si>
  <si>
    <t>Reporte_MT_27</t>
  </si>
  <si>
    <t>Monopamba</t>
  </si>
  <si>
    <t>OTA</t>
  </si>
  <si>
    <t>Guamuez – Alisales</t>
  </si>
  <si>
    <t>NARIÑO</t>
  </si>
  <si>
    <t>PUERRES</t>
  </si>
  <si>
    <t>44+800</t>
  </si>
  <si>
    <t>Linea Guamuez-Alisales</t>
  </si>
  <si>
    <t>21,08</t>
  </si>
  <si>
    <t>Corrida MFLA_2023</t>
  </si>
  <si>
    <t>ADC-3713</t>
  </si>
  <si>
    <t>(   tasi )/( tenmars    )</t>
  </si>
  <si>
    <t>(  TA 8121   )/( TM-213   )</t>
  </si>
  <si>
    <t>2.general_particulas_magneticas_Images/Report_PV_539c6ebb.firma.193536.jpg</t>
  </si>
  <si>
    <t>9652</t>
  </si>
  <si>
    <t>https://docs.google.com/spreadsheets/d/1EXjlv5bvIfCVWp3O-wbdTymR6nW04m_y3VMcZZOKVsE/edit</t>
  </si>
  <si>
    <t>Report_PV_bf5ed851</t>
  </si>
  <si>
    <t>Reporte_MT_28</t>
  </si>
  <si>
    <t>Oleoducto San Miguel-Orito</t>
  </si>
  <si>
    <t>5+603</t>
  </si>
  <si>
    <t>Corrida ILI Rosen 2025</t>
  </si>
  <si>
    <t>(348)/(H11H-J07847)</t>
  </si>
  <si>
    <t>2.general_particulas_magneticas_Images/Report_PV_bf5ed851.firma.003449.jpg</t>
  </si>
  <si>
    <t>https://docs.google.com/spreadsheets/d/1bIixK9VYv8kRvfqaZFXRUooYESXw2fOxTzG5bI8pwKw/edit</t>
  </si>
  <si>
    <t>Report_PV_f74c9b68</t>
  </si>
  <si>
    <t>Reporte_MT_29</t>
  </si>
  <si>
    <t>COMBUSTOLEODUCTO COVEÑAS - CARTAGENA</t>
  </si>
  <si>
    <t>1+029,004</t>
  </si>
  <si>
    <t>CORRIDA ILI_ROSEN_MFL_2023</t>
  </si>
  <si>
    <t>(   22059107  )/(  191000264  )</t>
  </si>
  <si>
    <t>Karen adriana Guaman Bravo</t>
  </si>
  <si>
    <t>2.general_particulas_magneticas_Images/Report_PV_f74c9b68.firma.121353.png</t>
  </si>
  <si>
    <t>https://docs.google.com/spreadsheets/d/1XvGhHu-bJXfuuHfN7GkWFd4szPLplUFtE3NWB6_SIZk/edit</t>
  </si>
  <si>
    <t>Report_PV_1a3c6178</t>
  </si>
  <si>
    <t>Reporte_MT_30</t>
  </si>
  <si>
    <t>24+267</t>
  </si>
  <si>
    <t>Junta circunferencial, 1,5 m de junta longitudinal, 1 anomalía, 3 zonas sanas</t>
  </si>
  <si>
    <t>Corrida ILI Rosen MFL 2025</t>
  </si>
  <si>
    <t>2.general_particulas_magneticas_Images/Report_PV_1a3c6178.firma.165228.jpg</t>
  </si>
  <si>
    <t>https://docs.google.com/spreadsheets/d/1rjfmkgwTMabVaEUrzFXt1EEW64QD28t3tVJBqh2987E/edit</t>
  </si>
  <si>
    <t>Report_PV_767a783c</t>
  </si>
  <si>
    <t>26097693</t>
  </si>
  <si>
    <t>COMBUSTOLEODUCTO AYACUCHO - COVEÑAS</t>
  </si>
  <si>
    <t>EL BANCO</t>
  </si>
  <si>
    <t>90+725</t>
  </si>
  <si>
    <t>METAL BASE</t>
  </si>
  <si>
    <t>16</t>
  </si>
  <si>
    <t>DOS ÁREAS SANAS</t>
  </si>
  <si>
    <t>2.general_particulas_magneticas_Images/Report_PV_767a783c.firma.172617.png</t>
  </si>
  <si>
    <t>https://docs.google.com/spreadsheets/d/1Zp5BSYUc2tiC4byfX2es3AtlZj8OoaoSlHGvC2GEJ00/edit</t>
  </si>
  <si>
    <t>Report_PV_758cb162</t>
  </si>
  <si>
    <t>Reporte_MT_32</t>
  </si>
  <si>
    <t>COMBUSTOLEODUCTO AYACUCHO-COVEÑAS</t>
  </si>
  <si>
    <t>GUAMAL</t>
  </si>
  <si>
    <t>107+713</t>
  </si>
  <si>
    <t>DOS  ZONAS SANAS</t>
  </si>
  <si>
    <t>2.general_particulas_magneticas_Images/Report_PV_758cb162.firma.180815.png</t>
  </si>
  <si>
    <t>https://docs.google.com/spreadsheets/d/1XGScSgcjRtQJowR8bYyEXdoTCJBG1qk5XWlVvJWzI1s/edit</t>
  </si>
  <si>
    <t>Report_PV_8a1bd491</t>
  </si>
  <si>
    <t>Reporte_MT_33</t>
  </si>
  <si>
    <t>NORTE</t>
  </si>
  <si>
    <t>Combustoleoducto Ayacucho - Coveñas 24"</t>
  </si>
  <si>
    <t>Ayacucho - Coveñas 24"</t>
  </si>
  <si>
    <t>CHIMICHAGUA</t>
  </si>
  <si>
    <t>81+388</t>
  </si>
  <si>
    <t>D1 CORROSIÓN EXTERNA- 4 DAÑOS MECANICOS</t>
  </si>
  <si>
    <t>1 CORROSIÓN EXTERNA- 4 DAÑOS MECANICOS</t>
  </si>
  <si>
    <t>ILI_ROSEN_MFL_2022</t>
  </si>
  <si>
    <t>(    TASI )/( TENMARS   )</t>
  </si>
  <si>
    <t>(  22059073)/(   240300323)</t>
  </si>
  <si>
    <t>2.general_particulas_magneticas_Images/Report_PV_8a1bd491.firma.021210.png</t>
  </si>
  <si>
    <t>https://docs.google.com/spreadsheets/d/12WAJRs1ulqP-LjmDqeHvjqC8M95qlhxq1eJP1OtU7Kk/edit</t>
  </si>
  <si>
    <t>Report_PV_9daf4f49</t>
  </si>
  <si>
    <t>Reporte_MT_34</t>
  </si>
  <si>
    <t>Poliducto Cartagena Baranoa</t>
  </si>
  <si>
    <t>SANTA CATALINA</t>
  </si>
  <si>
    <t>41+220</t>
  </si>
  <si>
    <t>Junta longitudinal, junta circunferencial, zonas sanas, daños mecanicos, soldadura cold weld</t>
  </si>
  <si>
    <t>10.5 m junta longitudinal, 1 junta circunferencial, 6 zonas sanas, 5 daños mecanicos, 2 soldaduras cold weld</t>
  </si>
  <si>
    <t>ADC-854</t>
  </si>
  <si>
    <t>(H11H-K18482)/(220700178)</t>
  </si>
  <si>
    <t>Nelson Leonardo Barrera</t>
  </si>
  <si>
    <t>2.general_particulas_magneticas_Images/Report_PV_9daf4f49.firma.191056.png</t>
  </si>
  <si>
    <t>https://docs.google.com/spreadsheets/d/1yBVoyU-aZCa1QF37FvM0Or-V6tNttlgN1vjRxHwt7fA/edit</t>
  </si>
  <si>
    <t>Report_PV_77e95c55</t>
  </si>
  <si>
    <t>Manizales - Cartago 8"</t>
  </si>
  <si>
    <t>PEREIRA</t>
  </si>
  <si>
    <t>215+187</t>
  </si>
  <si>
    <t>6,625</t>
  </si>
  <si>
    <t>2,640 m metal base</t>
  </si>
  <si>
    <t>CORRIDA ILI_ROSEN_UTA_2026</t>
  </si>
  <si>
    <t>ADC-162</t>
  </si>
  <si>
    <t>(     )/(  TENMARS  )</t>
  </si>
  <si>
    <t>(     )/(  220700188  )</t>
  </si>
  <si>
    <t>2.general_particulas_magneticas_Images/Report_PV_77e95c55.firma.193032.jpg</t>
  </si>
  <si>
    <t>https://docs.google.com/spreadsheets/d/161n7dkKpBkqeterTVo5OvhlMqqOVWZe1dLfwv6Z0oow/edit</t>
  </si>
  <si>
    <t>Report_PV_f624ae70</t>
  </si>
  <si>
    <t>Pendiente</t>
  </si>
  <si>
    <t>Reporte_MT_36</t>
  </si>
  <si>
    <t>OLEODUCTO AYACUCHO - GALÁN 8"</t>
  </si>
  <si>
    <t>Ayacucho - Galán 8”</t>
  </si>
  <si>
    <t>63+837</t>
  </si>
  <si>
    <t>Jutas circunferenciales, zonas sanas, anomalías de daño mecánico, junta longitudinal</t>
  </si>
  <si>
    <t>12 juntas circunferenciales, 13 anomalías de daño mecánico, 44 zonas sana, 2 m de junta longitudinal</t>
  </si>
  <si>
    <t>NA</t>
  </si>
  <si>
    <t>ADC-673</t>
  </si>
  <si>
    <t>( PEAK METER )/( TENMARS   )</t>
  </si>
  <si>
    <t>( H11H-J07835 )/(  1910000078  )</t>
  </si>
  <si>
    <t>Benjamin Alvarado Correales</t>
  </si>
  <si>
    <t>2.general_particulas_magneticas_Images/Report_PV_f624ae70.firma.040425.jpg</t>
  </si>
  <si>
    <t>10622</t>
  </si>
  <si>
    <t>https://docs.google.com/spreadsheets/d/1pjP_a5BfSJCA8axKPbUisrt2Nwmu-LYOH9tKlNTSkOw/edit</t>
  </si>
  <si>
    <t>Report_PV_660a0f9c</t>
  </si>
  <si>
    <t>8+280</t>
  </si>
  <si>
    <t>Corrida ILI ROSEN 2025</t>
  </si>
  <si>
    <t>2.general_particulas_magneticas_Images/Report_PV_660a0f9c.firma.025734.jpg</t>
  </si>
  <si>
    <t>https://docs.google.com/spreadsheets/d/1o5tZABDSI9DcAJYsUfvelg9vg_bCI04WlW4N7YpkyRA/edit</t>
  </si>
  <si>
    <t>50c71767</t>
  </si>
  <si>
    <t>54ffd57c</t>
  </si>
  <si>
    <t>Aceptada</t>
  </si>
  <si>
    <t>61899a64</t>
  </si>
  <si>
    <t>70904089</t>
  </si>
  <si>
    <t>987f4cad</t>
  </si>
  <si>
    <t>Junta Circunferencial # 4020</t>
  </si>
  <si>
    <t>10" X 860 mm</t>
  </si>
  <si>
    <t>No se evidencian indicaciones relevantes</t>
  </si>
  <si>
    <t>1b1eeaf9</t>
  </si>
  <si>
    <t>PRUEBA</t>
  </si>
  <si>
    <t>545</t>
  </si>
  <si>
    <t>Analisis</t>
  </si>
  <si>
    <t>dda7f9e6</t>
  </si>
  <si>
    <t>10101</t>
  </si>
  <si>
    <t>20</t>
  </si>
  <si>
    <t>feef</t>
  </si>
  <si>
    <t>0d612147</t>
  </si>
  <si>
    <t>A</t>
  </si>
  <si>
    <t>d3e22fbd</t>
  </si>
  <si>
    <t>Gyy</t>
  </si>
  <si>
    <t>fb3ccae2</t>
  </si>
  <si>
    <t>Zona sana fin reparación cambio de tramo por C&amp;E/ Camisa sobre anillos reparación No 3</t>
  </si>
  <si>
    <t>10,75”/150 mm</t>
  </si>
  <si>
    <t>fa7781b8</t>
  </si>
  <si>
    <t>Junta circunferencial JC # 46870</t>
  </si>
  <si>
    <t>10,75”/50mm</t>
  </si>
  <si>
    <t>07fbf814</t>
  </si>
  <si>
    <t>Depósito de soldadura Lado A</t>
  </si>
  <si>
    <t>50 mm x 50 mm</t>
  </si>
  <si>
    <t>bfad0889</t>
  </si>
  <si>
    <t>Zona sana inicio reparación Cambio de tramo (C&amp;E)/ Camisa sobre anillos reparación No 1</t>
  </si>
  <si>
    <t>30602378</t>
  </si>
  <si>
    <t>Depósito de soldadura</t>
  </si>
  <si>
    <t>1f808cf5</t>
  </si>
  <si>
    <t>Costura longitudinal</t>
  </si>
  <si>
    <t>50 mm x 11994 mm</t>
  </si>
  <si>
    <t>0b9e6387</t>
  </si>
  <si>
    <t>Zona sana fin reparación camisa sobre anillos reparación No 1</t>
  </si>
  <si>
    <t>10.75”/100 mm</t>
  </si>
  <si>
    <t>4ff4ba9f</t>
  </si>
  <si>
    <t>Zona sana inicio camisa sobre anillos reparación No 3</t>
  </si>
  <si>
    <t>334ee07b</t>
  </si>
  <si>
    <t>10.75”/ 400mm</t>
  </si>
  <si>
    <t>Validación mediante partículas magnéticas fluorescentes y visibles a indicación reportada por la corrida ILI ROSEN_UTA_2024 como crack field en el DR 54260.931 m. No se evidenciaron indicaciones relevantes.</t>
  </si>
  <si>
    <t>4d974114</t>
  </si>
  <si>
    <t>Zona sana inicio camisa tipo B reparación No 2</t>
  </si>
  <si>
    <t>10,75”/100mm</t>
  </si>
  <si>
    <t>9a63593e</t>
  </si>
  <si>
    <t>50 mm x 900 mm</t>
  </si>
  <si>
    <t>409ac3d6</t>
  </si>
  <si>
    <t>Pérdida de metal por corrosión externa A1 Tubo 2</t>
  </si>
  <si>
    <t>150 mm x 150 mm</t>
  </si>
  <si>
    <t>dc06de58</t>
  </si>
  <si>
    <t>C1 Tubo 3</t>
  </si>
  <si>
    <t>50 mm x 2225 mm</t>
  </si>
  <si>
    <t>Rechazada</t>
  </si>
  <si>
    <t>Indicación inherente al proceso de fabricación abierta a la superficie externa en interacción con la costura longitudinal</t>
  </si>
  <si>
    <t>0a076e87</t>
  </si>
  <si>
    <t>Zona sana fin camisa tipo B reparación No 2</t>
  </si>
  <si>
    <t>10,75”/100 mm</t>
  </si>
  <si>
    <t>e24d8c14</t>
  </si>
  <si>
    <t>ANOMALIA 4</t>
  </si>
  <si>
    <t>No se encuentran indicaciones relevantes</t>
  </si>
  <si>
    <t>615048a4</t>
  </si>
  <si>
    <t>Junta circunferencial final</t>
  </si>
  <si>
    <t>No se encuentran indicaciones relevantes.</t>
  </si>
  <si>
    <t>a3fe0b4a</t>
  </si>
  <si>
    <t>Junta circunferencial inicial</t>
  </si>
  <si>
    <t>10 pulgadas</t>
  </si>
  <si>
    <t>2632a4a7</t>
  </si>
  <si>
    <t>ANOMALIA 1</t>
  </si>
  <si>
    <t>7 mm</t>
  </si>
  <si>
    <t>011642d1</t>
  </si>
  <si>
    <t>Soldadura longitudinal</t>
  </si>
  <si>
    <t>10 pulga /12.215</t>
  </si>
  <si>
    <t>bf6ce381</t>
  </si>
  <si>
    <t>ANOMALIA 3</t>
  </si>
  <si>
    <t>25 mm</t>
  </si>
  <si>
    <t>910a136f</t>
  </si>
  <si>
    <t>ANOMALIA 2</t>
  </si>
  <si>
    <t>150</t>
  </si>
  <si>
    <t>cb72d662</t>
  </si>
  <si>
    <t>Zona sana camisa 3 tipo B</t>
  </si>
  <si>
    <t>600 mm</t>
  </si>
  <si>
    <t>0000d8a3</t>
  </si>
  <si>
    <t>Zona sana camisa 2 tipo B</t>
  </si>
  <si>
    <t>0.9 mm</t>
  </si>
  <si>
    <t>7efeb547</t>
  </si>
  <si>
    <t>Zona sana camisa 1 tipo sobre anillos</t>
  </si>
  <si>
    <t>274 mm - 1000 mm</t>
  </si>
  <si>
    <t>bfd1e0fc</t>
  </si>
  <si>
    <t>Medición de campo residual</t>
  </si>
  <si>
    <t>268b35e8</t>
  </si>
  <si>
    <t>Medición de luz UV</t>
  </si>
  <si>
    <t>d8cb0e39</t>
  </si>
  <si>
    <t>Medición de luz blanca</t>
  </si>
  <si>
    <t>050beb9e</t>
  </si>
  <si>
    <t>Prueba de levantamiento de peso muerto</t>
  </si>
  <si>
    <t>37ce4262</t>
  </si>
  <si>
    <t>Indicador de líneas de flujo</t>
  </si>
  <si>
    <t>f8573438</t>
  </si>
  <si>
    <t>Inicio corte</t>
  </si>
  <si>
    <t>70862.901</t>
  </si>
  <si>
    <t>8"/150</t>
  </si>
  <si>
    <t>0ed1a98f</t>
  </si>
  <si>
    <t>2</t>
  </si>
  <si>
    <t>Fin de corte</t>
  </si>
  <si>
    <t>70941.086</t>
  </si>
  <si>
    <t>(8)/(150)</t>
  </si>
  <si>
    <t>d0cd0715</t>
  </si>
  <si>
    <t>SOLDADURA CIRCUNFERENCIAL  JC# 8820</t>
  </si>
  <si>
    <t>DR 10278.07m</t>
  </si>
  <si>
    <t>688.24mm</t>
  </si>
  <si>
    <t>No se observa indicaciones relevantes.</t>
  </si>
  <si>
    <t>6f62bbab</t>
  </si>
  <si>
    <t>SOLDADURA CIRCUNFERENCIAL  JC# 8830</t>
  </si>
  <si>
    <t>DR 10290.334</t>
  </si>
  <si>
    <t>25ddc63e</t>
  </si>
  <si>
    <t>SOLDADURA LONGITUDINAL TUBO 0</t>
  </si>
  <si>
    <t>DR 10277.55</t>
  </si>
  <si>
    <t>520 mm</t>
  </si>
  <si>
    <t>e4c8b989</t>
  </si>
  <si>
    <t>SOLDADURA LONGITUDINAL TUBO 3</t>
  </si>
  <si>
    <t>DR 10290.334 mm</t>
  </si>
  <si>
    <t>445 mm</t>
  </si>
  <si>
    <t>60be39bd</t>
  </si>
  <si>
    <t>SOLDADURA LONGITUDINAL TUBO 1</t>
  </si>
  <si>
    <t>DR 10278.07</t>
  </si>
  <si>
    <t>12365 mm</t>
  </si>
  <si>
    <t>4f20b394</t>
  </si>
  <si>
    <t>Junta longitudinal</t>
  </si>
  <si>
    <t>183830,554</t>
  </si>
  <si>
    <t>(70)/( 578)</t>
  </si>
  <si>
    <t>ad8cb3e5</t>
  </si>
  <si>
    <t>Zona sana Inicio Corte</t>
  </si>
  <si>
    <t>183830,707</t>
  </si>
  <si>
    <t>(858)/(150)</t>
  </si>
  <si>
    <t>0aaf3d97</t>
  </si>
  <si>
    <t>3</t>
  </si>
  <si>
    <t>Junta circunferencial</t>
  </si>
  <si>
    <t>183831,132</t>
  </si>
  <si>
    <t>(858)/(70)</t>
  </si>
  <si>
    <t>ed7be4c2</t>
  </si>
  <si>
    <t>4</t>
  </si>
  <si>
    <t>Junta Longitudinal</t>
  </si>
  <si>
    <t>(70)/(11963)</t>
  </si>
  <si>
    <t>Se evidencian colonias de grietas por lo que se encuentra rechazada</t>
  </si>
  <si>
    <t>c11fbf55</t>
  </si>
  <si>
    <t>Zona sana inicio camisa No1</t>
  </si>
  <si>
    <t>183838,368</t>
  </si>
  <si>
    <t>(858)/(120)</t>
  </si>
  <si>
    <t>49e2d6bf</t>
  </si>
  <si>
    <t>Zona sana fin camisa No1</t>
  </si>
  <si>
    <t>183839,368</t>
  </si>
  <si>
    <t>f2001caf</t>
  </si>
  <si>
    <t>7</t>
  </si>
  <si>
    <t>Zona sana Inicio Camisa No2</t>
  </si>
  <si>
    <t>183840,617</t>
  </si>
  <si>
    <t>No se evidencian indicaiones relevantes</t>
  </si>
  <si>
    <t>95dc88d5</t>
  </si>
  <si>
    <t>Zona sana fin Camisa No2</t>
  </si>
  <si>
    <t>183841,217</t>
  </si>
  <si>
    <t>deececdf</t>
  </si>
  <si>
    <t>9</t>
  </si>
  <si>
    <t>Anomalia A1</t>
  </si>
  <si>
    <t>183841,009</t>
  </si>
  <si>
    <t>(70)/(1900)</t>
  </si>
  <si>
    <t>73ecfa99</t>
  </si>
  <si>
    <t>183843,095</t>
  </si>
  <si>
    <t>c486a50b</t>
  </si>
  <si>
    <t>11</t>
  </si>
  <si>
    <t>(70)/(500)</t>
  </si>
  <si>
    <t>9d55b4cf</t>
  </si>
  <si>
    <t>Zona sana Fin Corte</t>
  </si>
  <si>
    <t>183843,370</t>
  </si>
  <si>
    <t>d7f6b509</t>
  </si>
  <si>
    <t>Zona sana inicio reparación Camisa tipo B reparación No 4 y No 5</t>
  </si>
  <si>
    <t>(   52316,991  )/(  52317,111  )</t>
  </si>
  <si>
    <t>(  12,75   )/(  120  )</t>
  </si>
  <si>
    <t>4820ac6b</t>
  </si>
  <si>
    <t>Zona sana fin reparación Camisa sobre anillos reparación No 1</t>
  </si>
  <si>
    <t>(   52313,421  )/(  52313,541  )</t>
  </si>
  <si>
    <t>(   12,75  )/(  120  )</t>
  </si>
  <si>
    <t>01e065ca</t>
  </si>
  <si>
    <t>28</t>
  </si>
  <si>
    <t>PMD A1 Tubo 2</t>
  </si>
  <si>
    <t>52325,759</t>
  </si>
  <si>
    <t>(  100   )/(  100  )</t>
  </si>
  <si>
    <t>e28c11ee</t>
  </si>
  <si>
    <t>27</t>
  </si>
  <si>
    <t>Zona sana inicio reparación Camisa tipo B 10  No 4</t>
  </si>
  <si>
    <t>(   52325,546  )/(  52325,666  )</t>
  </si>
  <si>
    <t>2c5fcc29</t>
  </si>
  <si>
    <t>(  52317,231   )/(  52317,931  )</t>
  </si>
  <si>
    <t>(  167   )/(  700  )</t>
  </si>
  <si>
    <t>83989398</t>
  </si>
  <si>
    <t>Junta Circunferencial  JC # 45560</t>
  </si>
  <si>
    <t>(   52313,231  )/(    )</t>
  </si>
  <si>
    <t>(  12,75   )/(  50  )</t>
  </si>
  <si>
    <t>fce11264</t>
  </si>
  <si>
    <t>29</t>
  </si>
  <si>
    <t>Zona sana fin reparación Camisa tipo B reparación No 10</t>
  </si>
  <si>
    <t>(   52325,981  )/(  52326,131  )</t>
  </si>
  <si>
    <t>(  12,75   )/(  150  )</t>
  </si>
  <si>
    <t>a501cbd2</t>
  </si>
  <si>
    <t>25</t>
  </si>
  <si>
    <t>(  52313,231   )/(  52325,396  )</t>
  </si>
  <si>
    <t>(  50   )/(  12165  )</t>
  </si>
  <si>
    <t>4888598d</t>
  </si>
  <si>
    <t>Zona sana inicio reparación Camisa tipo B reparación No 7</t>
  </si>
  <si>
    <t>(  52320,486   )/(  52320,606  )</t>
  </si>
  <si>
    <t>bc2d7a31</t>
  </si>
  <si>
    <t>30</t>
  </si>
  <si>
    <t>(  52325,396   )/(  52.331,078  )</t>
  </si>
  <si>
    <t>(  50   )/(  5682  )</t>
  </si>
  <si>
    <t>4531993f</t>
  </si>
  <si>
    <t>Zona sana fin reparación Camisa sobre anillos  No 9</t>
  </si>
  <si>
    <t>(  52324,556   )/(  52324,676  )</t>
  </si>
  <si>
    <t>ebb6537d</t>
  </si>
  <si>
    <t>Zona sana inicio reparación Camisa tipo B reparación No 3</t>
  </si>
  <si>
    <t>(   52314,891  )/(  52315,011  )</t>
  </si>
  <si>
    <t>7163e5a8</t>
  </si>
  <si>
    <t>21</t>
  </si>
  <si>
    <t>52323,001</t>
  </si>
  <si>
    <t>(  50   )/(  50  )</t>
  </si>
  <si>
    <t>3f3fc738</t>
  </si>
  <si>
    <t>23</t>
  </si>
  <si>
    <t>Zona sana inicio reparación Camisa Tipo B  No 9</t>
  </si>
  <si>
    <t>(  52324,056   )/(  52324,176  )</t>
  </si>
  <si>
    <t>1a73ad59</t>
  </si>
  <si>
    <t>PDM A71 Tubo 1</t>
  </si>
  <si>
    <t>52322,952</t>
  </si>
  <si>
    <t>7a4709f7</t>
  </si>
  <si>
    <t>Zona sana inicio reparación cambio de tramo por C&amp;E/ Camisa sobre anillos reparación No 1</t>
  </si>
  <si>
    <t>(   52312,806  )/(  52312,956  )</t>
  </si>
  <si>
    <t>824158db</t>
  </si>
  <si>
    <t>Zona sana fin reparación Camisa tipo B reparación No 3</t>
  </si>
  <si>
    <t>(  52315,891   )/(  52316,011  )</t>
  </si>
  <si>
    <t>9799c412</t>
  </si>
  <si>
    <t>Zona sana fin reparación Camisa tipo B reparación No 2</t>
  </si>
  <si>
    <t>(   52314,411  )/(  52314,531  )</t>
  </si>
  <si>
    <t>d129e756</t>
  </si>
  <si>
    <t>Zona sana fin reparación Camisa tipo B reparación No 7</t>
  </si>
  <si>
    <t>(   52320,986  )/(  52321,106  )</t>
  </si>
  <si>
    <t>c97e5c7b</t>
  </si>
  <si>
    <t>15</t>
  </si>
  <si>
    <t>PDM A68 Tubo 1</t>
  </si>
  <si>
    <t>52320,656</t>
  </si>
  <si>
    <t>(   50  )/(  50  )</t>
  </si>
  <si>
    <t>47625150</t>
  </si>
  <si>
    <t>Zona sana inicio reparación Camisa tipo B reparación No 2</t>
  </si>
  <si>
    <t>(  52313,861   )/(  52313,981  )</t>
  </si>
  <si>
    <t>1a441201</t>
  </si>
  <si>
    <t>PDM A1 Tubo 1</t>
  </si>
  <si>
    <t>52313,231</t>
  </si>
  <si>
    <t>93edb86b</t>
  </si>
  <si>
    <t>13</t>
  </si>
  <si>
    <t>Zona sana fin reparación Camisa tipo B reparación No 4/ No 6</t>
  </si>
  <si>
    <t>(   52319,991  )/(  52320,111  )</t>
  </si>
  <si>
    <t>4c5d7686</t>
  </si>
  <si>
    <t>17</t>
  </si>
  <si>
    <t>Zona sana inicio reparación Camisa sobre anillos  No 8</t>
  </si>
  <si>
    <t>(   52322,171  )/(  52322,291  )</t>
  </si>
  <si>
    <t>c254ffa7</t>
  </si>
  <si>
    <t>Zona sana fin reparación Camisa tipo B reparación No 5</t>
  </si>
  <si>
    <t>(   52318,216  )/(  52318,246  )</t>
  </si>
  <si>
    <t>(   12,75  )/( 30  )</t>
  </si>
  <si>
    <t>a8a01d5c</t>
  </si>
  <si>
    <t>Zona sana inicio reparación Camisa tipo B reparación No 6</t>
  </si>
  <si>
    <t>(  52318,606   )/(  52318,636  )</t>
  </si>
  <si>
    <t>(  12,75   )/(  30  )</t>
  </si>
  <si>
    <t>5f214048</t>
  </si>
  <si>
    <t>26</t>
  </si>
  <si>
    <t>Junta Circunferencial  JC # 45570</t>
  </si>
  <si>
    <t>52325,396</t>
  </si>
  <si>
    <t>(   12,75  )/(  50  )</t>
  </si>
  <si>
    <t>e71d8b62</t>
  </si>
  <si>
    <t>PDM A70 Tubo 1</t>
  </si>
  <si>
    <t>52322,376</t>
  </si>
  <si>
    <t>a7343f5a</t>
  </si>
  <si>
    <t>22</t>
  </si>
  <si>
    <t>Zona sana fin reparación Camisa sobre anillos  No 8</t>
  </si>
  <si>
    <t>(  52323,121   )/(  52323,241  )</t>
  </si>
  <si>
    <t>0ac37478</t>
  </si>
  <si>
    <t>19</t>
  </si>
  <si>
    <t>Parche 1</t>
  </si>
  <si>
    <t>52322,761</t>
  </si>
  <si>
    <t>(  200   )/(  200  )</t>
  </si>
  <si>
    <t>934214d2</t>
  </si>
  <si>
    <t>DR 14705,992</t>
  </si>
  <si>
    <t>( SOLDADURA CIRCUNFERENCIAL)/(  14705,992  )</t>
  </si>
  <si>
    <t>(12 )/(  1018  )</t>
  </si>
  <si>
    <t>f2291888</t>
  </si>
  <si>
    <t>DR 14705,992- DR 14718,139</t>
  </si>
  <si>
    <t>(  JUNTA LONGITUDINAL   )/(  DR 14705,992- DR 14718,139  )</t>
  </si>
  <si>
    <t>(   12  )/(   12,185 )</t>
  </si>
  <si>
    <t>f2c0af3f</t>
  </si>
  <si>
    <t>ZONA SANA 1-CAMISA TIPO B</t>
  </si>
  <si>
    <t>(   ZONA SANA  )/( 14709,352- DR 14709,452)</t>
  </si>
  <si>
    <t>( 12)/(1018mm)</t>
  </si>
  <si>
    <t>ac572e5b</t>
  </si>
  <si>
    <t>ZONA SANA 2-CAMISA TIPO B</t>
  </si>
  <si>
    <t>(   ZONA SANA  )/(  14709,952m - 14710,052m )</t>
  </si>
  <si>
    <t>(  12   )/(  1018  )</t>
  </si>
  <si>
    <t>96fb8adc</t>
  </si>
  <si>
    <t>CURVATURA DEL TUBO</t>
  </si>
  <si>
    <t>(CURVATURA DEL TUBO)/(DR 14713,492 m - DR 14714,492 m)</t>
  </si>
  <si>
    <t>(  12   )/(1000)</t>
  </si>
  <si>
    <t>275eee87</t>
  </si>
  <si>
    <t>ZONA SANA 1 CAMISA TIPO ANILLO</t>
  </si>
  <si>
    <t>(  ZONA SANA 1)/(  DR 14713,547m - DR 14713,637m  )</t>
  </si>
  <si>
    <t>( 12 )/(1018)</t>
  </si>
  <si>
    <t>4f53caa6</t>
  </si>
  <si>
    <t>ZONA SANA 2-CAMISA TIPO ANILLO</t>
  </si>
  <si>
    <t>( ZONA SANA 2)/( DR 14717,147m - DR 14717,237m)</t>
  </si>
  <si>
    <t>2b1deab8</t>
  </si>
  <si>
    <t>SOLDADURA CIRCUNFERENCIAL</t>
  </si>
  <si>
    <t>( JUNTA CIRCUNFERENCIAL)/(14718,139m)</t>
  </si>
  <si>
    <t>(12 )/(1018)</t>
  </si>
  <si>
    <t>36a0b441</t>
  </si>
  <si>
    <t>CORROSIÓN G1-A1</t>
  </si>
  <si>
    <t>( AGRUPACIÓN DE CORROSIÓN   )/(DR 14709,392 m   )</t>
  </si>
  <si>
    <t>(  12 )/(  270mmx360mm)</t>
  </si>
  <si>
    <t>e0f4c7a4</t>
  </si>
  <si>
    <t>CORROSIÓN A2</t>
  </si>
  <si>
    <t>(COROSIÓN A2)/( DR 14713,127 m   )</t>
  </si>
  <si>
    <t>( 12 )/( 215mmx70mm)</t>
  </si>
  <si>
    <t>65d96f03</t>
  </si>
  <si>
    <t>CORROSIÓN G2-A3</t>
  </si>
  <si>
    <t>( CORROSIÓN G2-A3 )/( DR 14713,642 m )</t>
  </si>
  <si>
    <t>(12)/(900mmx210mm)</t>
  </si>
  <si>
    <t>020385d1</t>
  </si>
  <si>
    <t>CORROSIÓN A4</t>
  </si>
  <si>
    <t>(CORROSIÓN A4)/(DR 14713,692 m)</t>
  </si>
  <si>
    <t>(12 )/( 165mmx180mm)</t>
  </si>
  <si>
    <t>ccf520c0</t>
  </si>
  <si>
    <t>CORROSIÓN A5</t>
  </si>
  <si>
    <t>(CORROSIÓN A5)/(DR 14714,596 m)</t>
  </si>
  <si>
    <t>(12)/(170mmx120mm)</t>
  </si>
  <si>
    <t>ceba6eca</t>
  </si>
  <si>
    <t>CORROSIÓN G3-A6</t>
  </si>
  <si>
    <t>( CORROSIÓN G3-A6)/(DR 14715,052 m)</t>
  </si>
  <si>
    <t>(12)/(1030mmx200mm)</t>
  </si>
  <si>
    <t>fe2ecb6f</t>
  </si>
  <si>
    <t>CORROSIÓN G4-A7</t>
  </si>
  <si>
    <t>(CORROSIÓN G4-A7)/( DR 14716,162 m)</t>
  </si>
  <si>
    <t>(12)/(850mmx310mm)</t>
  </si>
  <si>
    <t>fe2ecb6f1</t>
  </si>
  <si>
    <t>JC#:40320</t>
  </si>
  <si>
    <t>37.175.916,00</t>
  </si>
  <si>
    <t>6/530 mm</t>
  </si>
  <si>
    <t>fe2ecb6f2</t>
  </si>
  <si>
    <t>JC#: 40330</t>
  </si>
  <si>
    <t>37.187.804,00</t>
  </si>
  <si>
    <t>fe2ecb6f3</t>
  </si>
  <si>
    <t>JC#: 40360</t>
  </si>
  <si>
    <t>37.223.923,00</t>
  </si>
  <si>
    <t>fe2ecb6f4</t>
  </si>
  <si>
    <t>JC#: 40380</t>
  </si>
  <si>
    <t>37.247.958,00</t>
  </si>
  <si>
    <t>fe2ecb6f5</t>
  </si>
  <si>
    <t>JC#: 40390</t>
  </si>
  <si>
    <t>37.260.031,00</t>
  </si>
  <si>
    <t>fe2ecb6f6</t>
  </si>
  <si>
    <t>JC#: 40400</t>
  </si>
  <si>
    <t>37.272.129,00</t>
  </si>
  <si>
    <t>fe2ecb6f7</t>
  </si>
  <si>
    <t>JC#: 40410</t>
  </si>
  <si>
    <t>37.276.924,00</t>
  </si>
  <si>
    <t>fe2ecb6f8</t>
  </si>
  <si>
    <t>JC#: 40420</t>
  </si>
  <si>
    <t>37.289.040,00</t>
  </si>
  <si>
    <t>fe2ecb6f9</t>
  </si>
  <si>
    <t>JC# 40430</t>
  </si>
  <si>
    <t>37.301.192,00</t>
  </si>
  <si>
    <t>fe2ecb6f10</t>
  </si>
  <si>
    <t>JC#: 40440</t>
  </si>
  <si>
    <t>37.312.255,00</t>
  </si>
  <si>
    <t>fe2ecb6f11</t>
  </si>
  <si>
    <t>JC#: 40450</t>
  </si>
  <si>
    <t>37.324.414,00</t>
  </si>
  <si>
    <t>fe2ecb6f12</t>
  </si>
  <si>
    <t>JC#: 40460</t>
  </si>
  <si>
    <t>37.325.892,00</t>
  </si>
  <si>
    <t>fe2ecb6f13</t>
  </si>
  <si>
    <t>37.187.704,00</t>
  </si>
  <si>
    <t>fe2ecb6f14</t>
  </si>
  <si>
    <t>37.187.904,00</t>
  </si>
  <si>
    <t>ea787ec1</t>
  </si>
  <si>
    <t>Zona sana inicio de corte</t>
  </si>
  <si>
    <t>205485,364 m</t>
  </si>
  <si>
    <t>(10 in)/( 150 mm   )</t>
  </si>
  <si>
    <t>No se observan indicaciones relevantes</t>
  </si>
  <si>
    <t>0a94be4f</t>
  </si>
  <si>
    <t>205485,764 m</t>
  </si>
  <si>
    <t>(  10 in   )/( 50 mm    )</t>
  </si>
  <si>
    <t>No se evidencia indicaciones relevantes</t>
  </si>
  <si>
    <t>366165fc</t>
  </si>
  <si>
    <t>A1 hasta A6</t>
  </si>
  <si>
    <t>205485,819; 205485,823; 205485,827; 205485,834; 205485,843; 205485,866</t>
  </si>
  <si>
    <t>45 mm / 60 mm</t>
  </si>
  <si>
    <t>a2f1f2bb</t>
  </si>
  <si>
    <t>205485,764 al 205497,859</t>
  </si>
  <si>
    <t>12095 mm</t>
  </si>
  <si>
    <t>abb9fa1b</t>
  </si>
  <si>
    <t>Zona sana para camisa No 7</t>
  </si>
  <si>
    <t>205494,589 m</t>
  </si>
  <si>
    <t>(  10 in   )/(  50 mm  )</t>
  </si>
  <si>
    <t>d4556ff6</t>
  </si>
  <si>
    <t>A7 hasta A12</t>
  </si>
  <si>
    <t>205497,689; 205497,719; 205497,744; 205497,776; 205497,796; 205497,825</t>
  </si>
  <si>
    <t>50 mm / 125 mm</t>
  </si>
  <si>
    <t>6579ae8a</t>
  </si>
  <si>
    <t>205497,859</t>
  </si>
  <si>
    <t>( 10 in  )/( 50 mm )</t>
  </si>
  <si>
    <t>eeb2ee67</t>
  </si>
  <si>
    <t>Zona sana fín de corte</t>
  </si>
  <si>
    <t>205498,259</t>
  </si>
  <si>
    <t>(10 in )/(  150 mm  )</t>
  </si>
  <si>
    <t>75a6ba13</t>
  </si>
  <si>
    <t>15363,347</t>
  </si>
  <si>
    <t>(70)/(1797)</t>
  </si>
  <si>
    <t>837d75b1</t>
  </si>
  <si>
    <t>Zona sana inicio camisa</t>
  </si>
  <si>
    <t>15363,982</t>
  </si>
  <si>
    <t>374d14eb</t>
  </si>
  <si>
    <t>Daño menico A1</t>
  </si>
  <si>
    <t>15364,242</t>
  </si>
  <si>
    <t>6b7eb5be</t>
  </si>
  <si>
    <t>Zona sana fin de Camisa</t>
  </si>
  <si>
    <t>15364,482</t>
  </si>
  <si>
    <t>4238d57a</t>
  </si>
  <si>
    <t>Zona sana tie in inicial</t>
  </si>
  <si>
    <t>12308,487</t>
  </si>
  <si>
    <t>1017.4 / 100</t>
  </si>
  <si>
    <t>ee8ac181</t>
  </si>
  <si>
    <t>Junta circunferencia</t>
  </si>
  <si>
    <t>12336.271</t>
  </si>
  <si>
    <t>931331b8</t>
  </si>
  <si>
    <t>C13</t>
  </si>
  <si>
    <t>12371.416</t>
  </si>
  <si>
    <t>Ubicada sobre la soldadura circunferencias 11:00 profundidad menor a 1</t>
  </si>
  <si>
    <t>015035b0</t>
  </si>
  <si>
    <t>Fin zona sana camisa Tipo B</t>
  </si>
  <si>
    <t>12358.069</t>
  </si>
  <si>
    <t>fd30c6cd</t>
  </si>
  <si>
    <t>C12</t>
  </si>
  <si>
    <t>12371.383</t>
  </si>
  <si>
    <t>Ubicada sobre la soldadura circunferencias 11:00 profundidad 1.4mm</t>
  </si>
  <si>
    <t>d96c2a1a</t>
  </si>
  <si>
    <t>12359.312</t>
  </si>
  <si>
    <t>100/12170</t>
  </si>
  <si>
    <t>Indicaciones C12 y C13</t>
  </si>
  <si>
    <t>3a11ae19</t>
  </si>
  <si>
    <t>12352.069</t>
  </si>
  <si>
    <t>8f665f0d</t>
  </si>
  <si>
    <t>C1</t>
  </si>
  <si>
    <t>12333.721</t>
  </si>
  <si>
    <t>Profundidad menor a 1</t>
  </si>
  <si>
    <t>dfcda0ef</t>
  </si>
  <si>
    <t>12366.412</t>
  </si>
  <si>
    <t>100mm/5070mm</t>
  </si>
  <si>
    <t>b7c9caaf</t>
  </si>
  <si>
    <t>12347.869</t>
  </si>
  <si>
    <t>100/11443</t>
  </si>
  <si>
    <t>495addc4</t>
  </si>
  <si>
    <t>Fin zona sana camisa sobre anillos</t>
  </si>
  <si>
    <t>12360.712</t>
  </si>
  <si>
    <t>9539ce01</t>
  </si>
  <si>
    <t>12365.412</t>
  </si>
  <si>
    <t>013ccfc9</t>
  </si>
  <si>
    <t>C8</t>
  </si>
  <si>
    <t>12346.696</t>
  </si>
  <si>
    <t>26mm/10mm</t>
  </si>
  <si>
    <t>875ba0de</t>
  </si>
  <si>
    <t>12355.069</t>
  </si>
  <si>
    <t>d5497c2b</t>
  </si>
  <si>
    <t>12333.711</t>
  </si>
  <si>
    <t>100/ 2560</t>
  </si>
  <si>
    <t>04fc000f</t>
  </si>
  <si>
    <t>cceb0ee0</t>
  </si>
  <si>
    <t>12354.164</t>
  </si>
  <si>
    <t>11mm</t>
  </si>
  <si>
    <t>Ubicada a las 4:3, profundidad de 1.74mm</t>
  </si>
  <si>
    <t>c7716799</t>
  </si>
  <si>
    <t>12346.686</t>
  </si>
  <si>
    <t>21mm/35mm</t>
  </si>
  <si>
    <t>Profundidad 1.23mm</t>
  </si>
  <si>
    <t>36378af7</t>
  </si>
  <si>
    <t>100/11598</t>
  </si>
  <si>
    <t>Indicaciones C3, C4, C5</t>
  </si>
  <si>
    <t>c2249128</t>
  </si>
  <si>
    <t>C4</t>
  </si>
  <si>
    <t>12338.721</t>
  </si>
  <si>
    <t>44</t>
  </si>
  <si>
    <t>Indicación en la junta longitudinal profundidad 1.35mm</t>
  </si>
  <si>
    <t>1484bb6b</t>
  </si>
  <si>
    <t>Inicio zona sana camisa Tipo B</t>
  </si>
  <si>
    <t>12353.869</t>
  </si>
  <si>
    <t>9eb37cec</t>
  </si>
  <si>
    <t>12349.069</t>
  </si>
  <si>
    <t>ec251e5a</t>
  </si>
  <si>
    <t>Fin zona sana camisa Tipo B y tie in</t>
  </si>
  <si>
    <t>12374.532</t>
  </si>
  <si>
    <t>0a7f568b</t>
  </si>
  <si>
    <t>Junta circunferencias #10300</t>
  </si>
  <si>
    <t>70add43f</t>
  </si>
  <si>
    <t>C10</t>
  </si>
  <si>
    <t>12357.252</t>
  </si>
  <si>
    <t>12mm</t>
  </si>
  <si>
    <t>Ubicada a las 5:21 profundidad de 1.77mm</t>
  </si>
  <si>
    <t>b15588d1</t>
  </si>
  <si>
    <t>Junta circunferencias #10310</t>
  </si>
  <si>
    <t>12371.482</t>
  </si>
  <si>
    <t>0239e4d1</t>
  </si>
  <si>
    <t>Inicio zona sana camisa sobre anillos</t>
  </si>
  <si>
    <t>12366.262</t>
  </si>
  <si>
    <t>385e3a5a</t>
  </si>
  <si>
    <t>C2</t>
  </si>
  <si>
    <t>12333,745</t>
  </si>
  <si>
    <t>27655643</t>
  </si>
  <si>
    <t>12351.269</t>
  </si>
  <si>
    <t>77efe27a</t>
  </si>
  <si>
    <t>12361.262</t>
  </si>
  <si>
    <t>0b56813f</t>
  </si>
  <si>
    <t>C6</t>
  </si>
  <si>
    <t>12346.681</t>
  </si>
  <si>
    <t>29mm/5mm</t>
  </si>
  <si>
    <t>117bba1c</t>
  </si>
  <si>
    <t>12372.482</t>
  </si>
  <si>
    <t>5c9686a2</t>
  </si>
  <si>
    <t>C5</t>
  </si>
  <si>
    <t>12342.691</t>
  </si>
  <si>
    <t>Indicación en la junta longitudinal, profundidad menor a  1</t>
  </si>
  <si>
    <t>7e67b039</t>
  </si>
  <si>
    <t>Longitud de 3010mm</t>
  </si>
  <si>
    <t>9cdad6a1</t>
  </si>
  <si>
    <t>C3</t>
  </si>
  <si>
    <t>12336.431</t>
  </si>
  <si>
    <t>Indicación lineal en la junta longitudinal profundidad 1.74mm</t>
  </si>
  <si>
    <t>afcc5ff4</t>
  </si>
  <si>
    <t>12359.012</t>
  </si>
  <si>
    <t>b6cf9fd7</t>
  </si>
  <si>
    <t>12356.469</t>
  </si>
  <si>
    <t>232e2ed5</t>
  </si>
  <si>
    <t>12347.569</t>
  </si>
  <si>
    <t>18c297d5</t>
  </si>
  <si>
    <t>Zona sana inicio reparación Camisa tipo B  No 1</t>
  </si>
  <si>
    <t>(   54368,398  )/(  54368,488  )</t>
  </si>
  <si>
    <t>(   12,75  )/(  90  )</t>
  </si>
  <si>
    <t>ce081e17</t>
  </si>
  <si>
    <t>Metal base (zona abolladuras)</t>
  </si>
  <si>
    <t>(  54368,365   )/(  54369,865  )</t>
  </si>
  <si>
    <t>(   304  )/(  1500  )</t>
  </si>
  <si>
    <t>73622557</t>
  </si>
  <si>
    <t>(   54368,365  )/(  54369,865  )</t>
  </si>
  <si>
    <t>(  50   )/(  1500  )</t>
  </si>
  <si>
    <t>579bbcd0</t>
  </si>
  <si>
    <t>Zona sana fin corte</t>
  </si>
  <si>
    <t>27931,123 m hasta Dr 27931,603 m</t>
  </si>
  <si>
    <t>(690)/(480)</t>
  </si>
  <si>
    <t>12c9b5d2</t>
  </si>
  <si>
    <t>Zona sana inicio corte</t>
  </si>
  <si>
    <t>27437,959 m hasta DR 27438,439 m</t>
  </si>
  <si>
    <t>5a855fb1</t>
  </si>
  <si>
    <t>zona sana</t>
  </si>
  <si>
    <t>(    12 )/(  100  )</t>
  </si>
  <si>
    <t>(    12 )/( 100   )</t>
  </si>
  <si>
    <t>gritas interacción</t>
  </si>
  <si>
    <t>276a4fc5</t>
  </si>
  <si>
    <t>Zona sana inicio reparación camisa Sobre Anillos No1</t>
  </si>
  <si>
    <t>(   9393,443  )/(  9393,593  )</t>
  </si>
  <si>
    <t>(  24   )/(  150  )</t>
  </si>
  <si>
    <t>No se evidencian indicaciones relevantes.</t>
  </si>
  <si>
    <t>0b55aa9d</t>
  </si>
  <si>
    <t>Junta Circunferencial  JC # 8040</t>
  </si>
  <si>
    <t>9393,938</t>
  </si>
  <si>
    <t>(   24"  )/(  50  )</t>
  </si>
  <si>
    <t>b8680df6</t>
  </si>
  <si>
    <t>Zona sana fin reparación camisa Sobre Anillos No 2</t>
  </si>
  <si>
    <t>(  9394,793   )/(  9394,943  )</t>
  </si>
  <si>
    <t>(   24"  )/(  150  )</t>
  </si>
  <si>
    <t>8513ded7</t>
  </si>
  <si>
    <t>Zona sana fin reparación camisa Sobre Anillos No1</t>
  </si>
  <si>
    <t>(   9400,443  )/(  9400,593  )</t>
  </si>
  <si>
    <t>42479ebd</t>
  </si>
  <si>
    <t>Metal base zona curva proceso de construcción @10:10 a 2:30</t>
  </si>
  <si>
    <t>(   9396,438   )/(  9402,438  )</t>
  </si>
  <si>
    <t>(   691  )/(  6000  )</t>
  </si>
  <si>
    <t>b68eaca1</t>
  </si>
  <si>
    <t>Costura Longitudinal</t>
  </si>
  <si>
    <t>(  9393,938   )/(  9405,212  )</t>
  </si>
  <si>
    <t>e5a19723</t>
  </si>
  <si>
    <t>(   9393,438  )/(  9393,938  )</t>
  </si>
  <si>
    <t>a83035e1</t>
  </si>
  <si>
    <t>Junta circunferencial  JC# 8050</t>
  </si>
  <si>
    <t>9405,212</t>
  </si>
  <si>
    <t>4afdd710</t>
  </si>
  <si>
    <t>(   9393,938  )/(  9394,438  )</t>
  </si>
  <si>
    <t>(  24"   )/(  150  )</t>
  </si>
  <si>
    <t>3b129442</t>
  </si>
  <si>
    <t>Tramo de tuberia</t>
  </si>
  <si>
    <t>(  9090,4622   )/(  9102,768  )</t>
  </si>
  <si>
    <t>( 1030mm)/(1700mm)</t>
  </si>
  <si>
    <t>b5a4670b</t>
  </si>
  <si>
    <t>(  9102,458   )/(9102,578    )</t>
  </si>
  <si>
    <t>(  530 )/(100 )</t>
  </si>
  <si>
    <t>No evidencia indicaciones relevante</t>
  </si>
  <si>
    <t>c466507d</t>
  </si>
  <si>
    <t>(  9102,768   )/(9102,768    )</t>
  </si>
  <si>
    <t>(   530  )/(  100  )</t>
  </si>
  <si>
    <t>No evidencia indicaciones relevantes</t>
  </si>
  <si>
    <t>238c8f6d</t>
  </si>
  <si>
    <t>Zona sana fin de camisa</t>
  </si>
  <si>
    <t>(  9102,958   )/( 9103,078   )</t>
  </si>
  <si>
    <t>(  530   )/(  100  )</t>
  </si>
  <si>
    <t>2fcaaa94</t>
  </si>
  <si>
    <t>Tramo de tubería</t>
  </si>
  <si>
    <t>(  9102,768   )/( 9107,768   )</t>
  </si>
  <si>
    <t>( 530    )/( 5000   )</t>
  </si>
  <si>
    <t>No se evidenci indicaciones relevantes</t>
  </si>
  <si>
    <t>64017df9</t>
  </si>
  <si>
    <t>Junta longitudinal tubo 5</t>
  </si>
  <si>
    <t>()/(30079,759)</t>
  </si>
  <si>
    <t>(18)/(1000)</t>
  </si>
  <si>
    <t>70be846c</t>
  </si>
  <si>
    <t>Junta circunferencial JN 25560</t>
  </si>
  <si>
    <t>(     )/(30089,766)</t>
  </si>
  <si>
    <t>(18)/(100)</t>
  </si>
  <si>
    <t>04587bdb</t>
  </si>
  <si>
    <t>Junta circunferencial JC 25570</t>
  </si>
  <si>
    <t>(     )/(30101.955)</t>
  </si>
  <si>
    <t>88e58c53</t>
  </si>
  <si>
    <t>Junta circunferencial JC 25580</t>
  </si>
  <si>
    <t>(     )/(30113,501)</t>
  </si>
  <si>
    <t>48a3ae63</t>
  </si>
  <si>
    <t>Junta longitudinal tubo 8</t>
  </si>
  <si>
    <t>(     )/(30116,501)</t>
  </si>
  <si>
    <t>c314b4cf</t>
  </si>
  <si>
    <t>Junta circunferencial JC 25590</t>
  </si>
  <si>
    <t>(     )/(30125,685)</t>
  </si>
  <si>
    <t>8898a65c</t>
  </si>
  <si>
    <t>Junta longitudinal Tubo 9</t>
  </si>
  <si>
    <t>(     )/(30132,685)</t>
  </si>
  <si>
    <t>a42cec42</t>
  </si>
  <si>
    <t>Junta circunferencial JC 25600</t>
  </si>
  <si>
    <t>(     )/(30137,88)</t>
  </si>
  <si>
    <t>cb98485f</t>
  </si>
  <si>
    <t>Junta longitudinal tubo 10</t>
  </si>
  <si>
    <t>(     )/(30146,88)</t>
  </si>
  <si>
    <t>(18)/(2000)</t>
  </si>
  <si>
    <t>24723060</t>
  </si>
  <si>
    <t>Junta circunferencial JC 25610</t>
  </si>
  <si>
    <t>(     )/(30149,561)</t>
  </si>
  <si>
    <t>2e0ccbc7</t>
  </si>
  <si>
    <t>Zona sana Final Corte</t>
  </si>
  <si>
    <t>(     )/(30161,573)</t>
  </si>
  <si>
    <t>(18)/(150)</t>
  </si>
  <si>
    <t>e76b591c</t>
  </si>
  <si>
    <t>(     )/(70748.754)</t>
  </si>
  <si>
    <t>(14)/(100)</t>
  </si>
  <si>
    <t>1ef6bb5c</t>
  </si>
  <si>
    <t>Zona sana Fin de corte</t>
  </si>
  <si>
    <t>(     )/(70838.771)</t>
  </si>
  <si>
    <t>243c9d66</t>
  </si>
  <si>
    <t>Zona inicio de corte</t>
  </si>
  <si>
    <t>24261,138</t>
  </si>
  <si>
    <t>( 12 )/( 150)</t>
  </si>
  <si>
    <t>4ea91d47</t>
  </si>
  <si>
    <t>Zona sana camisa 1</t>
  </si>
  <si>
    <t>24263,138</t>
  </si>
  <si>
    <t>(  12   )/(100)</t>
  </si>
  <si>
    <t>35300380</t>
  </si>
  <si>
    <t>Zona sana camisa 2</t>
  </si>
  <si>
    <t>24264,068</t>
  </si>
  <si>
    <t>(  12  )/(  100  )</t>
  </si>
  <si>
    <t>48310a6b</t>
  </si>
  <si>
    <t>Zona sana camisa 3</t>
  </si>
  <si>
    <t>24265,418</t>
  </si>
  <si>
    <t>(  12   )/(  100  )</t>
  </si>
  <si>
    <t>32395fc0</t>
  </si>
  <si>
    <t>Junta longitudinal y anomalía con la que interactúa</t>
  </si>
  <si>
    <t>21263,538 a 21265,538</t>
  </si>
  <si>
    <t>( 2000 mm    )/( 50 mm   )</t>
  </si>
  <si>
    <t>5ed58288</t>
  </si>
  <si>
    <t>Anomalía A8</t>
  </si>
  <si>
    <t>24265,578</t>
  </si>
  <si>
    <t>(  928 mm   )/( 304 mm   )</t>
  </si>
  <si>
    <t>7fd7761c</t>
  </si>
  <si>
    <t>24261,538</t>
  </si>
  <si>
    <t>(  12   )/( 50   )</t>
  </si>
  <si>
    <t>No se videncia indicaciones nrelevantes</t>
  </si>
  <si>
    <t>d7833088</t>
  </si>
  <si>
    <t>24267,664</t>
  </si>
  <si>
    <t>(  12   )/(  50  )</t>
  </si>
  <si>
    <t>51eb0f09</t>
  </si>
  <si>
    <t>Zona final de corte</t>
  </si>
  <si>
    <t>24268,064</t>
  </si>
  <si>
    <t>(12)/(150)</t>
  </si>
  <si>
    <t>No se observa indicaciones relevantes</t>
  </si>
  <si>
    <t>b80711e1</t>
  </si>
  <si>
    <t>12961,348</t>
  </si>
  <si>
    <t>1440mm / 200mm</t>
  </si>
  <si>
    <t>952e29d8</t>
  </si>
  <si>
    <t>Zona sana tie in final</t>
  </si>
  <si>
    <t>12969,048</t>
  </si>
  <si>
    <t>1440 / 200</t>
  </si>
  <si>
    <t>989e532a</t>
  </si>
  <si>
    <t>DR  5238,569 m</t>
  </si>
  <si>
    <t>( Soldadura Longitudinal)/( 5238,569 m)</t>
  </si>
  <si>
    <t>( 8 )/(5016mm )</t>
  </si>
  <si>
    <t>36c9d307</t>
  </si>
  <si>
    <t>ZONA SANA - CAMISA #1 TIPO B  DR 5241,469 m</t>
  </si>
  <si>
    <t>( ZONA SANA 1 )/( DR 5241,419- DR 5241,519)</t>
  </si>
  <si>
    <t>( 8 )/( 690mm)</t>
  </si>
  <si>
    <t>5702236b</t>
  </si>
  <si>
    <t>ZONA SANA FINAL-CAMISA # 1 TIPO B DR 5241,969 m</t>
  </si>
  <si>
    <t>(ZONA SANA 2)/(DR 5241,919m - DR 5242,019m    )</t>
  </si>
  <si>
    <t>(   8  )/(690mm )</t>
  </si>
  <si>
    <t>2c92dcad</t>
  </si>
  <si>
    <t>ZONA SANA INICIO CAMISA # 2 TIPO B  DR 5242,449 m</t>
  </si>
  <si>
    <t>(ZONA SANA 1 )/(DR 5242,399 m- DR 5242,499 m)</t>
  </si>
  <si>
    <t>( 8 )/(690mm)</t>
  </si>
  <si>
    <t>390eb4ea</t>
  </si>
  <si>
    <t>ZONA SANA FINAL CAMISA # 2 DR 5242,949m</t>
  </si>
  <si>
    <t>(ZONA SANA FINAL 2)/(DR 5242,899-DR 5242,999m)</t>
  </si>
  <si>
    <t>(8 )/(690mm)</t>
  </si>
  <si>
    <t>848db27b</t>
  </si>
  <si>
    <t>ZONA SANA INICIO CAMISA # 3 SOBRE ANILLOS DR 5243,319 m</t>
  </si>
  <si>
    <t>(ZONA SANA INICIO)/(DR 5243,269 m- DR 5243.369 m)</t>
  </si>
  <si>
    <t>d8899741</t>
  </si>
  <si>
    <t>JUNTA CIRCUNFERENCIAL DR 5243,585 m</t>
  </si>
  <si>
    <t>( JUNTA CIRCUNFERENCIAL)/(5243,585 m)</t>
  </si>
  <si>
    <t>cfc7070b</t>
  </si>
  <si>
    <t>ZONA SANA FINAL CAMISA # 3 SOBRE ANILLOS   DR 5243,819</t>
  </si>
  <si>
    <t>( ZONA SANA FINAL )/(DR 5243,769m- 5243.819m )</t>
  </si>
  <si>
    <t>( 8)/(690mm)</t>
  </si>
  <si>
    <t>bc0581f0</t>
  </si>
  <si>
    <t>ZONA SANA INICIO CAMISA# 4 TIPO B DR 5245,135 m</t>
  </si>
  <si>
    <t>(ZONA SANA INICIO)/(DR 5245,085m- DR 5245,185m)</t>
  </si>
  <si>
    <t>( 8)/(960mm)</t>
  </si>
  <si>
    <t>13994850</t>
  </si>
  <si>
    <t>ZONA SANA FINAL CAMISA # 4 TIPO B DR</t>
  </si>
  <si>
    <t>(ZONA SANA FINAL)/(DR 5245,585m- DR 5245,685m)</t>
  </si>
  <si>
    <t>c666e7d7</t>
  </si>
  <si>
    <t>SOLDADURA LONGITUDINAL DR 5243,585 m-5247,985m</t>
  </si>
  <si>
    <t>( SOLDADURA LONGITUDINAL)/(DR 5243,585 m-5247,985m)</t>
  </si>
  <si>
    <t>(8 )/(4400mm)</t>
  </si>
  <si>
    <t>774aec17</t>
  </si>
  <si>
    <t>ANOMALIA REPORTADA CON EL ILI DR</t>
  </si>
  <si>
    <t>( TUBERIA 8")/(DR 5247,911 m)</t>
  </si>
  <si>
    <t>(8)/(690mm)</t>
  </si>
  <si>
    <t>60a4eb21</t>
  </si>
  <si>
    <t>8735,34 m</t>
  </si>
  <si>
    <t>(70)/(600)</t>
  </si>
  <si>
    <t>cab44317</t>
  </si>
  <si>
    <t>8735,515 m</t>
  </si>
  <si>
    <t>(690)/(150)</t>
  </si>
  <si>
    <t>f7a10f91</t>
  </si>
  <si>
    <t>8735,940 m</t>
  </si>
  <si>
    <t>(690)/(70)</t>
  </si>
  <si>
    <t>1af8688d</t>
  </si>
  <si>
    <t>(70)/(10500)</t>
  </si>
  <si>
    <t>Se evidencian grietas y daños mecánico en junta longitudinal</t>
  </si>
  <si>
    <t>e5d00f1e</t>
  </si>
  <si>
    <t>Daño mecanico 1 A1</t>
  </si>
  <si>
    <t>8735,987</t>
  </si>
  <si>
    <t>40/150</t>
  </si>
  <si>
    <t>81853f60</t>
  </si>
  <si>
    <t>Daño mecanico 2 A2</t>
  </si>
  <si>
    <t>8737,235</t>
  </si>
  <si>
    <t>46/190</t>
  </si>
  <si>
    <t>6381b762</t>
  </si>
  <si>
    <t>Zona sana inicio Camisa 1</t>
  </si>
  <si>
    <t>8738,290 m</t>
  </si>
  <si>
    <t>690/100</t>
  </si>
  <si>
    <t>db725299</t>
  </si>
  <si>
    <t>Daño mecánico 3 A3</t>
  </si>
  <si>
    <t>8738,550 m</t>
  </si>
  <si>
    <t>45/160</t>
  </si>
  <si>
    <t>4b7d7c65</t>
  </si>
  <si>
    <t>Daño Mecánico 4 A7</t>
  </si>
  <si>
    <t>8739,845</t>
  </si>
  <si>
    <t>48/200</t>
  </si>
  <si>
    <t>f9c72a26</t>
  </si>
  <si>
    <t>Zona sana fin camisa No 1</t>
  </si>
  <si>
    <t>8740,29</t>
  </si>
  <si>
    <t>834f3468</t>
  </si>
  <si>
    <t>Zona sana inicio camisa No2</t>
  </si>
  <si>
    <t>8740,965</t>
  </si>
  <si>
    <t>460efd85</t>
  </si>
  <si>
    <t>Daño mecánico 5 A8</t>
  </si>
  <si>
    <t>8741,220 m</t>
  </si>
  <si>
    <t>45/73</t>
  </si>
  <si>
    <t>c328b80d</t>
  </si>
  <si>
    <t>Daño mecánico 6 A10</t>
  </si>
  <si>
    <t>8742,529</t>
  </si>
  <si>
    <t>4c5d11ef</t>
  </si>
  <si>
    <t>Daño mecánico 7 A11</t>
  </si>
  <si>
    <t>8743,823</t>
  </si>
  <si>
    <t>56/82</t>
  </si>
  <si>
    <t>2879962a</t>
  </si>
  <si>
    <t>Daño mecánico 8 A12</t>
  </si>
  <si>
    <t>8744,715 m</t>
  </si>
  <si>
    <t>40/91</t>
  </si>
  <si>
    <t>d76c83fa</t>
  </si>
  <si>
    <t>Daño mecánico 8 A13</t>
  </si>
  <si>
    <t>8745,132</t>
  </si>
  <si>
    <t>38/77</t>
  </si>
  <si>
    <t>cc5c0fb3</t>
  </si>
  <si>
    <t>Spot antes del concreto</t>
  </si>
  <si>
    <t>8744,94</t>
  </si>
  <si>
    <t>(690)/(1500)</t>
  </si>
  <si>
    <t>56a6cec2</t>
  </si>
  <si>
    <t>Spot zona posterior al concreto</t>
  </si>
  <si>
    <t>8749,121</t>
  </si>
  <si>
    <t>(690)/(1150)</t>
  </si>
  <si>
    <t>Dentro del spot se incluye la zona de fin de corte</t>
  </si>
  <si>
    <t>1e0494a7</t>
  </si>
  <si>
    <t>( 37190,954)/( 37191,494)</t>
  </si>
  <si>
    <t>( 6 in )/( 540)</t>
  </si>
  <si>
    <t>9fb0b370</t>
  </si>
  <si>
    <t>Daño mecánico A1</t>
  </si>
  <si>
    <t>(37191,224)/( 37191,234)</t>
  </si>
  <si>
    <t>6b648ecc</t>
  </si>
  <si>
    <t>zona de abolladura</t>
  </si>
  <si>
    <t>(abolladura )/( 25350,475   )</t>
  </si>
  <si>
    <t>(  18   )/( 100   )</t>
  </si>
  <si>
    <t>d718c558</t>
  </si>
  <si>
    <t>Area instalación de facilidad</t>
  </si>
  <si>
    <t>(Area instalación de facilidad   )/( 25350,715-25350,865   )</t>
  </si>
  <si>
    <t>( 18    )/( 150   )</t>
  </si>
  <si>
    <t>4bf0ddce</t>
  </si>
  <si>
    <t>Zona de inicio de corte</t>
  </si>
  <si>
    <t>(  Zona de inicio de corte  )/(  25378,983 - 25379,133  )</t>
  </si>
  <si>
    <t>(18)/( 100   )</t>
  </si>
  <si>
    <t>cd62aa42</t>
  </si>
  <si>
    <t>Colonia de grietas 1</t>
  </si>
  <si>
    <t>( Colonia de grietas 1  )/( 25386,059-25386,159   )</t>
  </si>
  <si>
    <t>(  18   )/(100    )</t>
  </si>
  <si>
    <t>21e6a4f1</t>
  </si>
  <si>
    <t>( Junta circunferencial )/( 25386.609-25386,759   )</t>
  </si>
  <si>
    <t>bbcd1fd4</t>
  </si>
  <si>
    <t>Colonia de grietas 2</t>
  </si>
  <si>
    <t>(  Colonia de grietas 2   )/(  25388,306-25388,366  )</t>
  </si>
  <si>
    <t>(  18 )/( 100  )</t>
  </si>
  <si>
    <t>d403c929</t>
  </si>
  <si>
    <t>Colonia de grietas 3</t>
  </si>
  <si>
    <t>(  Colonia de grietas 3   )/( 25389,081-25389,181   )</t>
  </si>
  <si>
    <t>( 18  )/( 100  )</t>
  </si>
  <si>
    <t>b0953c08</t>
  </si>
  <si>
    <t>Colonia de grietas 4</t>
  </si>
  <si>
    <t>( Colonia de grietas 4  )/( 25389,919 -25389,929  )</t>
  </si>
  <si>
    <t>( 18 )/(  100  )</t>
  </si>
  <si>
    <t>bfcfa84e</t>
  </si>
  <si>
    <t>Colonia de grietas 5</t>
  </si>
  <si>
    <t>( Colonia de grietas 5  )/( 25390,119-25390,219   )</t>
  </si>
  <si>
    <t>940468a4</t>
  </si>
  <si>
    <t>Colonia de grietas 6</t>
  </si>
  <si>
    <t>( Colonia de grietas 6  )/( 25390,179-25390,279   )</t>
  </si>
  <si>
    <t>( 18    )/( 100   )</t>
  </si>
  <si>
    <t>2ff0e47b</t>
  </si>
  <si>
    <t>Colonia de grietas 7</t>
  </si>
  <si>
    <t>( Colonia de grietas 7 )/( 25390,272-25390,372   )</t>
  </si>
  <si>
    <t>(  18   )/(  100  )</t>
  </si>
  <si>
    <t>662c4e17</t>
  </si>
  <si>
    <t>Colonia de grietas 9</t>
  </si>
  <si>
    <t>( Colonia de grietas 9 )/(  25391,454-25391,554  )</t>
  </si>
  <si>
    <t>( 18 )/( 100   )</t>
  </si>
  <si>
    <t>a0dc2541</t>
  </si>
  <si>
    <t>( Junta circunferencial )/( 25399,632-25399,732   )</t>
  </si>
  <si>
    <t>708dc41e</t>
  </si>
  <si>
    <t>Zona sana fin de corte</t>
  </si>
  <si>
    <t>( Zona sana fin de corte    )/(  25400,092-25400,192       )</t>
  </si>
  <si>
    <t>(  18   )/( 100  )</t>
  </si>
  <si>
    <t>e4648d48</t>
  </si>
  <si>
    <t>Zona inicial de corte</t>
  </si>
  <si>
    <t>(12 in)/(150)</t>
  </si>
  <si>
    <t>50810229</t>
  </si>
  <si>
    <t>6d8fe525</t>
  </si>
  <si>
    <t>Spot de junta longitudinal</t>
  </si>
  <si>
    <t>(24267.664)/( 24269.164)</t>
  </si>
  <si>
    <t>(1500 mm)/(    )</t>
  </si>
  <si>
    <t>b131b918</t>
  </si>
  <si>
    <t>Zona sana para camisa</t>
  </si>
  <si>
    <t>(24268.149) y ( 24270.149)</t>
  </si>
  <si>
    <t>(12 in)/(100)</t>
  </si>
  <si>
    <t>785c7f33</t>
  </si>
  <si>
    <t>Anomalía reportada</t>
  </si>
  <si>
    <t>(24268,744)/( 24268,879)</t>
  </si>
  <si>
    <t>(135)/(85)</t>
  </si>
  <si>
    <t>e292a765</t>
  </si>
  <si>
    <t>(24271,097)/(    )</t>
  </si>
  <si>
    <t>(12 in)/( 1020 mm)</t>
  </si>
  <si>
    <t>5ca6c979</t>
  </si>
  <si>
    <t>(24271,697)/(    )</t>
  </si>
  <si>
    <t>716c39a2</t>
  </si>
  <si>
    <t>Zona sana inicial</t>
  </si>
  <si>
    <t>(90719,787) / (90719,987)</t>
  </si>
  <si>
    <t>( 407 mm)/(200 mm)</t>
  </si>
  <si>
    <t>0a5ea1fc</t>
  </si>
  <si>
    <t>Zona sana final</t>
  </si>
  <si>
    <t>(90731,787)/(90731,987)</t>
  </si>
  <si>
    <t>(407 mm)/(200 mm)</t>
  </si>
  <si>
    <t>ab1ad016</t>
  </si>
  <si>
    <t>(107713.120)/(107713.270)</t>
  </si>
  <si>
    <t>(407 mm)/(150)</t>
  </si>
  <si>
    <t>1f2bd231</t>
  </si>
  <si>
    <t>(107727.224)/(107727.374)</t>
  </si>
  <si>
    <t>(406 mm)/(150)</t>
  </si>
  <si>
    <t>3256ab7c</t>
  </si>
  <si>
    <t>Corrosión Externa A1</t>
  </si>
  <si>
    <t>( Corrosión Externa A1)/(DR  81388,748 m)</t>
  </si>
  <si>
    <t>(24 )/( 84X90)</t>
  </si>
  <si>
    <t>e286e64c</t>
  </si>
  <si>
    <t>Daño Mecánico # 1</t>
  </si>
  <si>
    <t>(  Daño Mecánico # 1)/( DR81388,983)</t>
  </si>
  <si>
    <t>(24)/(4x58)</t>
  </si>
  <si>
    <t>8657a879</t>
  </si>
  <si>
    <t>Daño Mecánico # 2</t>
  </si>
  <si>
    <t>(Daño Mecánico # 2)/(DR81388,988)</t>
  </si>
  <si>
    <t>( 24)/(5x75)</t>
  </si>
  <si>
    <t>9a51feb5</t>
  </si>
  <si>
    <t>Daño Mecanico # 3</t>
  </si>
  <si>
    <t>(Daño Mecanico # 3)/(DR81389,128)</t>
  </si>
  <si>
    <t>(24)/(12x195)</t>
  </si>
  <si>
    <t>c48c1752</t>
  </si>
  <si>
    <t>Daño Mecanico # 4.</t>
  </si>
  <si>
    <t>(Daño Mecanico # 5.)/(DR81389,143)</t>
  </si>
  <si>
    <t>(24)/(4x63)</t>
  </si>
  <si>
    <t>cb4d2950</t>
  </si>
  <si>
    <t>()/(41221.712)</t>
  </si>
  <si>
    <t>(100mm)/(10500)</t>
  </si>
  <si>
    <t>Se observa grieta axial de longitud 12 y profundidad &lt;1 mm</t>
  </si>
  <si>
    <t>c72ab451</t>
  </si>
  <si>
    <t>Inicio zona sana 1</t>
  </si>
  <si>
    <t>(     )/(41224.666)</t>
  </si>
  <si>
    <t>(12")/(120)</t>
  </si>
  <si>
    <t>Sin observaciones</t>
  </si>
  <si>
    <t>7b85eacc</t>
  </si>
  <si>
    <t>(  1021,458   )/(  1021,608  )</t>
  </si>
  <si>
    <t>(   18"  )/(  150  )</t>
  </si>
  <si>
    <t>22beef8a</t>
  </si>
  <si>
    <t>Junta Circunferencial  JC # 970</t>
  </si>
  <si>
    <t>1021,833</t>
  </si>
  <si>
    <t>(  18"   )/(  50  )</t>
  </si>
  <si>
    <t>bc267edb</t>
  </si>
  <si>
    <t>Costura longitudinal Tubo 1</t>
  </si>
  <si>
    <t>(  1021,833   )/(  1029,004  )</t>
  </si>
  <si>
    <t>(  50   )/(  7171  )</t>
  </si>
  <si>
    <t>35aa9377</t>
  </si>
  <si>
    <t>Zona sana fin reparación Camisa sobre anillos  No 1</t>
  </si>
  <si>
    <t>(  1022,083   )/(  1022,183  )</t>
  </si>
  <si>
    <t>(   18"  )/(  100  )</t>
  </si>
  <si>
    <t>09a5b4ae</t>
  </si>
  <si>
    <t>Zona sana inicio reparación Camisa tipo B  No 2</t>
  </si>
  <si>
    <t>(  1025,005   )/(  1025,105  )</t>
  </si>
  <si>
    <t>dd462420</t>
  </si>
  <si>
    <t>Zona sana inicio reparación Camisa tipo B  No 3</t>
  </si>
  <si>
    <t>(   1025,705  )/(  1025,805  )</t>
  </si>
  <si>
    <t>(  18"   )/(  100  )</t>
  </si>
  <si>
    <t>bf8b6b8e</t>
  </si>
  <si>
    <t>PDM A18 T1</t>
  </si>
  <si>
    <t>1027,340</t>
  </si>
  <si>
    <t>(  50  )/(  50  )</t>
  </si>
  <si>
    <t>d583e94e</t>
  </si>
  <si>
    <t>PDM A19 T1</t>
  </si>
  <si>
    <t>1027,478</t>
  </si>
  <si>
    <t>b2dc5c83</t>
  </si>
  <si>
    <t>Zona sana fin reparación Camisa tipo B No 2/ No 3</t>
  </si>
  <si>
    <t>(   1027,555  )/(  1027,655  )</t>
  </si>
  <si>
    <t>13586c45</t>
  </si>
  <si>
    <t>Zona sana inicio reparación Camisa Sobre Anillos  No 4</t>
  </si>
  <si>
    <t>(   1028,184  )/(  1028,284  )</t>
  </si>
  <si>
    <t>d39655ff</t>
  </si>
  <si>
    <t>Depósito de soldadura No 1</t>
  </si>
  <si>
    <t>1028,439</t>
  </si>
  <si>
    <t>e293e888</t>
  </si>
  <si>
    <t>Depósito de soldadura No 2</t>
  </si>
  <si>
    <t>1028,649</t>
  </si>
  <si>
    <t>db948666</t>
  </si>
  <si>
    <t>Junta Circunferencial  JC # 980</t>
  </si>
  <si>
    <t>1029,004</t>
  </si>
  <si>
    <t>276da8a9</t>
  </si>
  <si>
    <t>Costura longitudinal Tubo 2</t>
  </si>
  <si>
    <t>(  1029,004   )/(  1030,324  )</t>
  </si>
  <si>
    <t>(  50   )/(  1320  )</t>
  </si>
  <si>
    <t>c964b737</t>
  </si>
  <si>
    <t>Depósito de soldadura No 3</t>
  </si>
  <si>
    <t>1029,148</t>
  </si>
  <si>
    <t>1a0e8ef7</t>
  </si>
  <si>
    <t>Depósito de soldadura No 4</t>
  </si>
  <si>
    <t>1029,624</t>
  </si>
  <si>
    <t>e8bd1f95</t>
  </si>
  <si>
    <t>(   1030,944  )/(  1041,193  )</t>
  </si>
  <si>
    <t>(   50  )/(  10249  )</t>
  </si>
  <si>
    <t>af68b9a6</t>
  </si>
  <si>
    <t>PDM A3 T2</t>
  </si>
  <si>
    <t>1031,17</t>
  </si>
  <si>
    <t>(  50   )/( 100   )</t>
  </si>
  <si>
    <t>5b0749a8</t>
  </si>
  <si>
    <t>Zona sana inicio reparación Camisa tipo B  No 5</t>
  </si>
  <si>
    <t>(  1031,482   )/(  1031,582  )</t>
  </si>
  <si>
    <t>f62a3f7a</t>
  </si>
  <si>
    <t>PDM A5 T2</t>
  </si>
  <si>
    <t>1032,271</t>
  </si>
  <si>
    <t>d560d901</t>
  </si>
  <si>
    <t>PDM A6 T2</t>
  </si>
  <si>
    <t>1032,415</t>
  </si>
  <si>
    <t>aff21d32</t>
  </si>
  <si>
    <t>Zona sana fin reparación Camisa tipo B No 5</t>
  </si>
  <si>
    <t>(  1032,482   )/(  1032,582  )</t>
  </si>
  <si>
    <t>c764398f</t>
  </si>
  <si>
    <t>Zona sana inicio reparación Camisa tipo B  No 6</t>
  </si>
  <si>
    <t>(  1033,440   )/(  1033,540  )</t>
  </si>
  <si>
    <t>a1209ac0</t>
  </si>
  <si>
    <t>Zona sana fin reparación Camisa tipo B No 6</t>
  </si>
  <si>
    <t>(   1034,440  )/(  1034,540  )</t>
  </si>
  <si>
    <t>32c6b253</t>
  </si>
  <si>
    <t>Zona sana inicio reparación Camisa tipo B  No 7</t>
  </si>
  <si>
    <t>(  1035,179   )/(  1035,279  )</t>
  </si>
  <si>
    <t>b59f92b3</t>
  </si>
  <si>
    <t>Zona sana fin reparación Camisa tipo B No 7</t>
  </si>
  <si>
    <t>(   1036,179  )/(  1036,279  )</t>
  </si>
  <si>
    <t>0e59e402</t>
  </si>
  <si>
    <t>Zona sana inicio reparación Camisa tipo B  No 8</t>
  </si>
  <si>
    <t>(  1037,249   )/(  1037,349  )</t>
  </si>
  <si>
    <t>e863e186</t>
  </si>
  <si>
    <t>Zona sana fin reparación Camisa tipo B No 8</t>
  </si>
  <si>
    <t>(   1038,749  )/(  1038,849  )</t>
  </si>
  <si>
    <t>62df2338</t>
  </si>
  <si>
    <t>Zona sana inicio reparación Camisa Sobre Anillos  No 9</t>
  </si>
  <si>
    <t>(   1040,843  )/(  1040,943  )</t>
  </si>
  <si>
    <t>375d56be</t>
  </si>
  <si>
    <t>31</t>
  </si>
  <si>
    <t>Junta Circunferencial  JC # 990</t>
  </si>
  <si>
    <t>1041,193</t>
  </si>
  <si>
    <t>(   18"  )/(  50  )</t>
  </si>
  <si>
    <t>666fbcf3</t>
  </si>
  <si>
    <t>32</t>
  </si>
  <si>
    <t>Zona sana fin reparación cambio de tramo por C&amp;E/ Camisa sobre anillos reparación No 9</t>
  </si>
  <si>
    <t>(  1041,418   )/(  1041,568  )</t>
  </si>
  <si>
    <t>(  18"   )/(  150  )</t>
  </si>
  <si>
    <t>28a59511</t>
  </si>
  <si>
    <t>Anomalía A1</t>
  </si>
  <si>
    <t>(     )/(41224.873)</t>
  </si>
  <si>
    <t>(12)/(120)</t>
  </si>
  <si>
    <t>032b1269</t>
  </si>
  <si>
    <t>Anomalía A2</t>
  </si>
  <si>
    <t>(     )/(41224.927)</t>
  </si>
  <si>
    <t>65ca4279</t>
  </si>
  <si>
    <t>Anomalía A3</t>
  </si>
  <si>
    <t>(     )/(41226.11)</t>
  </si>
  <si>
    <t>d9d69af1</t>
  </si>
  <si>
    <t>(     )/(41231.927)</t>
  </si>
  <si>
    <t>5c89e699</t>
  </si>
  <si>
    <t>Fin zona sana 1</t>
  </si>
  <si>
    <t>(     )/(41226.866)</t>
  </si>
  <si>
    <t>bee15a83</t>
  </si>
  <si>
    <t>Inicio zona sana 2</t>
  </si>
  <si>
    <t>(     )/(41228.89)</t>
  </si>
  <si>
    <t>3eea7ac6</t>
  </si>
  <si>
    <t>Anomalía A7</t>
  </si>
  <si>
    <t>(100)/(100)</t>
  </si>
  <si>
    <t>ed779a8e</t>
  </si>
  <si>
    <t>Fin zona sana 2</t>
  </si>
  <si>
    <t>(     )/(41229.89)</t>
  </si>
  <si>
    <t>04fc48f3</t>
  </si>
  <si>
    <t>Inicio zona sana 3</t>
  </si>
  <si>
    <t>(     )/(41231.662)</t>
  </si>
  <si>
    <t>(12)/(120mm)</t>
  </si>
  <si>
    <t>928c79ac</t>
  </si>
  <si>
    <t>Cold weld - Protección catodica 1</t>
  </si>
  <si>
    <t>(     )/(41231.957)</t>
  </si>
  <si>
    <t>a4bef47d</t>
  </si>
  <si>
    <t>Junta 35150</t>
  </si>
  <si>
    <t>(     )/(41232.212)</t>
  </si>
  <si>
    <t>(12")/(100)</t>
  </si>
  <si>
    <t>25f7fdb5</t>
  </si>
  <si>
    <t>Cold weld - Protección catódica 2</t>
  </si>
  <si>
    <t>(     )/(41232.222)</t>
  </si>
  <si>
    <t>57b98daf</t>
  </si>
  <si>
    <t>Fin zona sana 3</t>
  </si>
  <si>
    <t>(     )/(41232.362)</t>
  </si>
  <si>
    <t>be7e34a8</t>
  </si>
  <si>
    <t>PMC A4 Tubo 2 Perdida de metal por corrosion externa 48,8%</t>
  </si>
  <si>
    <t>1031,631</t>
  </si>
  <si>
    <t>(  700   )/(  450  )</t>
  </si>
  <si>
    <t>cd299c61</t>
  </si>
  <si>
    <t>Zona sana inicio reparación Camisa tipo B  No 1 / No 2</t>
  </si>
  <si>
    <t>(   87599,288  )/(  87599,288  )</t>
  </si>
  <si>
    <t>(   6,625"  )/(  90  )</t>
  </si>
  <si>
    <t>ce32329e</t>
  </si>
  <si>
    <t>87599,470</t>
  </si>
  <si>
    <t>Grieta sentido circunferencial C1; L: 10 mm, A: 3 mm, @: 6:06</t>
  </si>
  <si>
    <t>561bf572</t>
  </si>
  <si>
    <t>87599,477</t>
  </si>
  <si>
    <t>Grieta sentido circunferencial C2; L: 9 mm, A: 2 mm, @: 5:36</t>
  </si>
  <si>
    <t>cf85166b</t>
  </si>
  <si>
    <t>87599,502</t>
  </si>
  <si>
    <t>Grieta sentido circunferencial C3; L: 20 mm, A: 4 mm, @: 5:55</t>
  </si>
  <si>
    <t>a37017c4</t>
  </si>
  <si>
    <t>87599,530</t>
  </si>
  <si>
    <t>Colonia de grietas sentido circunferencial C4; L: 17 mm, A: 17 mm, @: 6:03</t>
  </si>
  <si>
    <t>2a16860c</t>
  </si>
  <si>
    <t>87599,563</t>
  </si>
  <si>
    <t>Colonia de grietas sentido circunferencial C5; L: 26 mm, A: 30 mm, @: 5:52</t>
  </si>
  <si>
    <t>087ec620</t>
  </si>
  <si>
    <t>87599,627</t>
  </si>
  <si>
    <t>Grieta sentido circunferencial C6; L: 7 mm, A: 3 mm, @: 5:45</t>
  </si>
  <si>
    <t>02a8a49e</t>
  </si>
  <si>
    <t>87599,667</t>
  </si>
  <si>
    <t>Colonia de grietas sentido circunferencial C7; L: 15 mm, A: 8 mm, @: 6:04</t>
  </si>
  <si>
    <t>650f89e9</t>
  </si>
  <si>
    <t>87599,679</t>
  </si>
  <si>
    <t>Grieta sentido circunferencial C8; L: 7 mm, A: 3 mm, @: 5:36</t>
  </si>
  <si>
    <t>096f3a93</t>
  </si>
  <si>
    <t>87599,780</t>
  </si>
  <si>
    <t>Colonia de grietas sentido circunferencial C9; L: 15 mm, A: 12 mm, @: 6:59</t>
  </si>
  <si>
    <t>8f3dd788</t>
  </si>
  <si>
    <t>87599,797</t>
  </si>
  <si>
    <t>Colonia de grietas sentido circunferencial C10; L: 21 mm, A: 10 mm, @: 5:48</t>
  </si>
  <si>
    <t>ab8e03a8</t>
  </si>
  <si>
    <t>87599,813</t>
  </si>
  <si>
    <t>Colonia de grietas sentido circunferencial C11; L: 27 mm, A: 16 mm, @: 6:52</t>
  </si>
  <si>
    <t>ac57060f</t>
  </si>
  <si>
    <t>87599,827</t>
  </si>
  <si>
    <t>Colonia de grietas sentido circunferencial C12; L: 20 mm, A: 8 mm, @: 5:49</t>
  </si>
  <si>
    <t>abc2e16e</t>
  </si>
  <si>
    <t>87599,879</t>
  </si>
  <si>
    <t>(   50  )/(  100  )</t>
  </si>
  <si>
    <t>Colonia de grietas sentido circunferencial C13; L: 29 mm, A: 62 mm, @: 7:23</t>
  </si>
  <si>
    <t>357eedfc</t>
  </si>
  <si>
    <t>C14</t>
  </si>
  <si>
    <t>87599,909</t>
  </si>
  <si>
    <t>Colonia de grietas sentido circunferencial C14; L: 26 mm, A: 35 mm, @: 5:55</t>
  </si>
  <si>
    <t>3b2227c0</t>
  </si>
  <si>
    <t>C15</t>
  </si>
  <si>
    <t>87599,958</t>
  </si>
  <si>
    <t>(   100  )/(  100  )</t>
  </si>
  <si>
    <t>Colonia de grietas sentido circunferencial C15; L: 41 mm, A: 58 mm, @: 4:51</t>
  </si>
  <si>
    <t>75ceb2a8</t>
  </si>
  <si>
    <t>C16</t>
  </si>
  <si>
    <t>87599,964</t>
  </si>
  <si>
    <t>(   100  )/( 100   )</t>
  </si>
  <si>
    <t>Colonia de grietas sentido circunferencial C16; L: 74 mm, A: 51 mm, @: 6:14</t>
  </si>
  <si>
    <t>00f3fb25</t>
  </si>
  <si>
    <t>C17</t>
  </si>
  <si>
    <t>87600,043</t>
  </si>
  <si>
    <t>Colonia de grietas sentido circunferencial C17; L: 17 mm, A: 15 mm, @: 4:26</t>
  </si>
  <si>
    <t>2320b14c</t>
  </si>
  <si>
    <t>C18</t>
  </si>
  <si>
    <t>87600,089</t>
  </si>
  <si>
    <t>Grieta sentido circunferencial C18; L: 19 mm, A: 12 mm, @: 6:58</t>
  </si>
  <si>
    <t>3393757e</t>
  </si>
  <si>
    <t>C19</t>
  </si>
  <si>
    <t>87600,165</t>
  </si>
  <si>
    <t>Colonia de grietas sentido circunferencial C19; L: 14 mm, A: 15 mm, @: 6:14</t>
  </si>
  <si>
    <t>828098cf</t>
  </si>
  <si>
    <t>C20</t>
  </si>
  <si>
    <t>87600,190</t>
  </si>
  <si>
    <t>(  100   )/(  50  )</t>
  </si>
  <si>
    <t>Colonia de grietas sentido circunferencial C20; L: 42 mm, A: 31 mm, @: 5:25</t>
  </si>
  <si>
    <t>1404cf22</t>
  </si>
  <si>
    <t>C21</t>
  </si>
  <si>
    <t>87600,243</t>
  </si>
  <si>
    <t>Grieta sentido circunferencial C21; L: 9 mm, A: 4 mm, @: 5:54</t>
  </si>
  <si>
    <t>7b83a89b</t>
  </si>
  <si>
    <t>Zona sana fin  Camisa tipo B  reparación No 2</t>
  </si>
  <si>
    <t>(  87600,388   )/(  87600,478  )</t>
  </si>
  <si>
    <t>(  6,625"   )/(  90  )</t>
  </si>
  <si>
    <t>e3bf0c5a</t>
  </si>
  <si>
    <t>Zona sana inicio Camisa tipo B  reparación  No 3</t>
  </si>
  <si>
    <t>(  87600,658   )/(  87600,748  )</t>
  </si>
  <si>
    <t>5d68ba27</t>
  </si>
  <si>
    <t>C22</t>
  </si>
  <si>
    <t>87600,910</t>
  </si>
  <si>
    <t>Colonia de grietas sentido circunferencial C22; L: 39 mm, A: 22 mm, @: 5:30</t>
  </si>
  <si>
    <t>e16cf8fe</t>
  </si>
  <si>
    <t>C23</t>
  </si>
  <si>
    <t>87600,924</t>
  </si>
  <si>
    <t>Colonia de grietas sentido circunferencial C23; L: 18 mm, A: 10 mm, @: 7:51</t>
  </si>
  <si>
    <t>5d7674a0</t>
  </si>
  <si>
    <t>C24</t>
  </si>
  <si>
    <t>87600,947</t>
  </si>
  <si>
    <t>Colonia de grietas sentido circunferencial C24; L: 36 mm, A: 30 mm, @: 6:11</t>
  </si>
  <si>
    <t>20f3b5a3</t>
  </si>
  <si>
    <t>C25</t>
  </si>
  <si>
    <t>87600,993</t>
  </si>
  <si>
    <t>Colonia de grietas sentido circunferencial C25; L: 15 mm, A: 7 mm, @: 7:07</t>
  </si>
  <si>
    <t>e217e349</t>
  </si>
  <si>
    <t>C26</t>
  </si>
  <si>
    <t>87601,037</t>
  </si>
  <si>
    <t>Grieta sentido circunferencial C26; L: 5 mm, A: 3 mm, @: 6:40</t>
  </si>
  <si>
    <t>1f1f62d6</t>
  </si>
  <si>
    <t>Zona sana fin  Camisa tipo B  reparación No 1 / No 3</t>
  </si>
  <si>
    <t>(  87601,158   )/(  87601,248  )</t>
  </si>
  <si>
    <t>455f5041</t>
  </si>
  <si>
    <t>zona sana DR 63797,304</t>
  </si>
  <si>
    <t>(   63797,254  )/( 63797,354   )</t>
  </si>
  <si>
    <t>( 690 )/( 100 )</t>
  </si>
  <si>
    <t>RAVzoP1d4LWyVtjNTs4u0G</t>
  </si>
  <si>
    <t>1047a12f</t>
  </si>
  <si>
    <t>zona sana DR 63825,043</t>
  </si>
  <si>
    <t>( 63824,993    )/(  63825,093  )</t>
  </si>
  <si>
    <t>(   690  )/(  100  )</t>
  </si>
  <si>
    <t>US2rDWFKtCCze2Dy77EQPw</t>
  </si>
  <si>
    <t>f4f74ff0</t>
  </si>
  <si>
    <t>JC# 48910 DR 63797,504</t>
  </si>
  <si>
    <t>(  63797,454   )/(  63797,554  )</t>
  </si>
  <si>
    <t>UvvtZu1fdaHadXIbGh8NEV</t>
  </si>
  <si>
    <t>887c3808</t>
  </si>
  <si>
    <t>Zona sana DR 63811,603</t>
  </si>
  <si>
    <t>(  63811,553   )/( 63811,653   )</t>
  </si>
  <si>
    <t>( 690    )/(  100  )</t>
  </si>
  <si>
    <t>ji2rqR6cDd9lR7arXPGYpl</t>
  </si>
  <si>
    <t>4719bf80</t>
  </si>
  <si>
    <t>JC# 48920 DR 63811,403</t>
  </si>
  <si>
    <t>( 63811,353    )/(  63811,453  )</t>
  </si>
  <si>
    <t>pzY8xcQFsDALahp4vJ6eCb</t>
  </si>
  <si>
    <t>c89832b6</t>
  </si>
  <si>
    <t>Zona sana DR 3811,203</t>
  </si>
  <si>
    <t>( 3811,153    )/(  3811,253  )</t>
  </si>
  <si>
    <t>(  690   )/(  100  )</t>
  </si>
  <si>
    <t>WlQ1k8flhewxe40eTjBSrz</t>
  </si>
  <si>
    <t>cf8e7cd7</t>
  </si>
  <si>
    <t>Zona sana DR 63797,704</t>
  </si>
  <si>
    <t>(  63797,654 )/( 63797,754   )</t>
  </si>
  <si>
    <t>qYEFGZRnt2lVwV06CleFLh</t>
  </si>
  <si>
    <t>5f95312c</t>
  </si>
  <si>
    <t>Zona sana DR 63858,079</t>
  </si>
  <si>
    <t>( 63858,029    )/(  63858,129  )</t>
  </si>
  <si>
    <t>avUlEo5AVvMInDHzge1G0q</t>
  </si>
  <si>
    <t>3b9fd62a</t>
  </si>
  <si>
    <t>Zona sana DR 63838,184</t>
  </si>
  <si>
    <t>(  63838,134   )/(  63838,234 )</t>
  </si>
  <si>
    <t>8vq1ak6Yjhaoj8I7NRBh7m</t>
  </si>
  <si>
    <t>58f3d30c</t>
  </si>
  <si>
    <t>Daño mecánico DR 63838,016</t>
  </si>
  <si>
    <t>( DR 63838,016 )/(  )</t>
  </si>
  <si>
    <t>(  100   )/( 100   )</t>
  </si>
  <si>
    <t>6QQ0A6zRfbFkPCFsrC89Tk</t>
  </si>
  <si>
    <t>3c2af87f</t>
  </si>
  <si>
    <t>JC# 48940 DR 63837,984</t>
  </si>
  <si>
    <t>(   63837,934  )/( 63838,034   )</t>
  </si>
  <si>
    <t>(  690   )/(  100 )</t>
  </si>
  <si>
    <t>p8HsTqHWkh2KjtdkGQJTWc</t>
  </si>
  <si>
    <t>9a082bb4</t>
  </si>
  <si>
    <t>Zona sana DR 63825,443</t>
  </si>
  <si>
    <t>( 63825,393    )/(   63825,493 )</t>
  </si>
  <si>
    <t>wEwK4nuEuKDhTxLj53EG1x</t>
  </si>
  <si>
    <t>743e6c8a</t>
  </si>
  <si>
    <t>JC# 48930 DR 63825,243</t>
  </si>
  <si>
    <t>(  63825,193   )/(  63825,293  )</t>
  </si>
  <si>
    <t>(   690  )/( 100   )</t>
  </si>
  <si>
    <t>iPbqVW0z1DpUhYTSHArBL2</t>
  </si>
  <si>
    <t>156d604e</t>
  </si>
  <si>
    <t>Zona sana DR 63859,529</t>
  </si>
  <si>
    <t>(    63859,479  )/(   63859,579  )</t>
  </si>
  <si>
    <t>( 690    )/( 100   )</t>
  </si>
  <si>
    <t>oAwku5kmAVnPLhp5LCh342</t>
  </si>
  <si>
    <t>e6b80360</t>
  </si>
  <si>
    <t>Zona sana DR  63851,639</t>
  </si>
  <si>
    <t>(   63851,589   )/(  63851,689   )</t>
  </si>
  <si>
    <t>(  690   )/(   100 )</t>
  </si>
  <si>
    <t>200K2ICrZWBdRxc6ZbZ09P</t>
  </si>
  <si>
    <t>caa0e5f0</t>
  </si>
  <si>
    <t>Zona sana DR 63852,039</t>
  </si>
  <si>
    <t>(  63851,989   )/(  63852,089  )</t>
  </si>
  <si>
    <t>NhpKvGZyxhlmexPdkWZwOY</t>
  </si>
  <si>
    <t>2c4838a6</t>
  </si>
  <si>
    <t>JC# 48950 DR 63851,839</t>
  </si>
  <si>
    <t>(  63851,789   )/( 63851,889   )</t>
  </si>
  <si>
    <t>J9WUGJpzpWVzxeE4eyxAoa</t>
  </si>
  <si>
    <t>6e0efc09</t>
  </si>
  <si>
    <t>Zona sana DR 63837,784</t>
  </si>
  <si>
    <t>(   63837,734 )/( 63837,834   )</t>
  </si>
  <si>
    <t>gpMq6ckLXDYHWeWczIg0sz</t>
  </si>
  <si>
    <t>4b65ef51</t>
  </si>
  <si>
    <t>Daño mecánico DR 63872,22</t>
  </si>
  <si>
    <t>( 63872,22    )/(    )</t>
  </si>
  <si>
    <t>5IyTNn34I9YYAORzVjPAWV</t>
  </si>
  <si>
    <t>c49c1959</t>
  </si>
  <si>
    <t>Junta logitudinal DR 63857,679 m</t>
  </si>
  <si>
    <t>(  63857,679   )/( 63859,679   )</t>
  </si>
  <si>
    <t>( 100    )/(   2000 )</t>
  </si>
  <si>
    <t>nLZ2bbJT5msdPj0D1fotpP</t>
  </si>
  <si>
    <t>db75b17a</t>
  </si>
  <si>
    <t>Zona sana DR 63864,645</t>
  </si>
  <si>
    <t>(  63864,595   )/( 63864,695   )</t>
  </si>
  <si>
    <t>(  690   )/( 100   )</t>
  </si>
  <si>
    <t>K0VCfdsXwZcHqQq25XVRP5</t>
  </si>
  <si>
    <t>9f17888e</t>
  </si>
  <si>
    <t>Zona sana DR 63872,645</t>
  </si>
  <si>
    <t>(  63872,595 )/(  63872,695  )</t>
  </si>
  <si>
    <t>(  690   )/( 100  )</t>
  </si>
  <si>
    <t>qTgbna4FLwWaLtrIawAFUv</t>
  </si>
  <si>
    <t>3edceb21</t>
  </si>
  <si>
    <t>Zona sana DR 63865,645</t>
  </si>
  <si>
    <t>(   63865,595  )/(  63865,695  )</t>
  </si>
  <si>
    <t>Vbky792QmRTNk0HBCVGEwB</t>
  </si>
  <si>
    <t>de6a0796</t>
  </si>
  <si>
    <t>Zona sana DR 63872,095</t>
  </si>
  <si>
    <t>(  63872,045   )/(  63872,145  )</t>
  </si>
  <si>
    <t>QCUa5SxIK0tnNe2FRWTZAF</t>
  </si>
  <si>
    <t>11ea514b</t>
  </si>
  <si>
    <t>Daño mecánico DR 63865,495 m</t>
  </si>
  <si>
    <t>(  63865,495   )/(    )</t>
  </si>
  <si>
    <t>RjAOGAmLtU4C4Enek9cy4p</t>
  </si>
  <si>
    <t>0ac853d1</t>
  </si>
  <si>
    <t>JC# 48960 DR 63865,245</t>
  </si>
  <si>
    <t>(  63865,195   )/(  63865,295 )</t>
  </si>
  <si>
    <t>(   690  )/(  100 )</t>
  </si>
  <si>
    <t>X1vJWLKCr8JQJWOvzfMv6V</t>
  </si>
  <si>
    <t>b016bef5</t>
  </si>
  <si>
    <t>Zona sana DR 63876,545 m</t>
  </si>
  <si>
    <t>(  63876,495   )/( 63876,595   )</t>
  </si>
  <si>
    <t>(   690  )/( 100  )</t>
  </si>
  <si>
    <t>N35PxJLu7z0IMP0UOEW876</t>
  </si>
  <si>
    <t>d5df04b0</t>
  </si>
  <si>
    <t>Daño mecánico DR 63876,75</t>
  </si>
  <si>
    <t>(  63876,75   )/(    )</t>
  </si>
  <si>
    <t>9cbiiuUbj9JIh8j9r87ECG</t>
  </si>
  <si>
    <t>926c3bbe</t>
  </si>
  <si>
    <t>Zona sana DR 63876,895</t>
  </si>
  <si>
    <t>(   63876,845  )/(63876,945    )</t>
  </si>
  <si>
    <t>p8akhiHSVL4yvu7h6XlANP</t>
  </si>
  <si>
    <t>b700ce9a</t>
  </si>
  <si>
    <t>Zona sana DR 63877,645 m</t>
  </si>
  <si>
    <t>(  63877,595   )/(  63877,695  )</t>
  </si>
  <si>
    <t>X5jOrKkyJX4ymuYw4ShuL6</t>
  </si>
  <si>
    <t>3ecaad21</t>
  </si>
  <si>
    <t>Zona sana DR 63877,995</t>
  </si>
  <si>
    <t>( 63877,945    )/(  63878,045  )</t>
  </si>
  <si>
    <t>aDhvi89wVbSN2Kw3ogZvzj</t>
  </si>
  <si>
    <t>86f99e53</t>
  </si>
  <si>
    <t>Zona sana DR 63878,863</t>
  </si>
  <si>
    <t>(   63878,813  )/( 63878,913   )</t>
  </si>
  <si>
    <t>tsyCqpB39Xn8Dw1yaPQXqi</t>
  </si>
  <si>
    <t>dfdd2bf6</t>
  </si>
  <si>
    <t>33</t>
  </si>
  <si>
    <t>JC# 48970 DR 63879,063</t>
  </si>
  <si>
    <t>(  63879,063   )/(    )</t>
  </si>
  <si>
    <t>J6xiiBeNzeq5nrz1J5oB1Y</t>
  </si>
  <si>
    <t>489433ec</t>
  </si>
  <si>
    <t>34</t>
  </si>
  <si>
    <t>Zona sana DR 63879,263</t>
  </si>
  <si>
    <t>( 63879,213    )/(  63879,313  )</t>
  </si>
  <si>
    <t>roW5G5mvXBcQ0YKCTdcYnI</t>
  </si>
  <si>
    <t>77be8574</t>
  </si>
  <si>
    <t>35</t>
  </si>
  <si>
    <t>Zona sana DR 63886,013</t>
  </si>
  <si>
    <t>(   63885,963  )/( 63886,063   )</t>
  </si>
  <si>
    <t>lFQcQmroAx5MbU9bohEa1f</t>
  </si>
  <si>
    <t>b46b6b1f</t>
  </si>
  <si>
    <t>36</t>
  </si>
  <si>
    <t>Zona sana DR  63886,363</t>
  </si>
  <si>
    <t>(   63886,313   )/(   63886,413  )</t>
  </si>
  <si>
    <t>9rENqXmGPxvRrqaJAlbLod</t>
  </si>
  <si>
    <t>7030d1d3</t>
  </si>
  <si>
    <t>37</t>
  </si>
  <si>
    <t>Zona sana DR 63889,808</t>
  </si>
  <si>
    <t>(  63889,758   )/( 63889,858   )</t>
  </si>
  <si>
    <t>zHtX3eZvLKhvJswoPTb3TX</t>
  </si>
  <si>
    <t>aff35aa3</t>
  </si>
  <si>
    <t>38</t>
  </si>
  <si>
    <t>Daños mecánicos DR 63890,328 y DR 63890,356</t>
  </si>
  <si>
    <t>(  63890,328   )/(  63890,356  )</t>
  </si>
  <si>
    <t>rON68LtEQtszxcXursqQVx</t>
  </si>
  <si>
    <t>250b500a</t>
  </si>
  <si>
    <t>39</t>
  </si>
  <si>
    <t>Daño mecánico DR 63890,433</t>
  </si>
  <si>
    <t>(  63890,433   )/(    )</t>
  </si>
  <si>
    <t>(    100 )/(   100 )</t>
  </si>
  <si>
    <t>iKUXA2D7oprAF9cez9d0C3</t>
  </si>
  <si>
    <t>4b2f2c69</t>
  </si>
  <si>
    <t>40</t>
  </si>
  <si>
    <t>Daño mecánico DR 63890,728</t>
  </si>
  <si>
    <t>( 63890,728    )/(    )</t>
  </si>
  <si>
    <t>( 100    )/(  100  )</t>
  </si>
  <si>
    <t>2bjTkuS8r5deBJpRbFjEOY</t>
  </si>
  <si>
    <t>d1c7e278</t>
  </si>
  <si>
    <t>41</t>
  </si>
  <si>
    <t>Zona sana DR 63890,908</t>
  </si>
  <si>
    <t>( 63890,858    )/( 63890,958  )</t>
  </si>
  <si>
    <t>GHO29FyEjg8M0xyVKOmE9Q</t>
  </si>
  <si>
    <t>0d6bdd4d</t>
  </si>
  <si>
    <t>42</t>
  </si>
  <si>
    <t>Zona sana DR 63891,907</t>
  </si>
  <si>
    <t>(   63891,857   )/(  63891,957  )</t>
  </si>
  <si>
    <t>x87eIIJKVxAUoGLsXe2BtQ</t>
  </si>
  <si>
    <t>027b86f5</t>
  </si>
  <si>
    <t>43</t>
  </si>
  <si>
    <t>JC# 48980 DR 63892,257</t>
  </si>
  <si>
    <t>(  63892,257   )/(    )</t>
  </si>
  <si>
    <t>1LyZ6C6UL3zybjErZAAbR6</t>
  </si>
  <si>
    <t>72bfb3aa</t>
  </si>
  <si>
    <t>Zona sana DR 63893,607</t>
  </si>
  <si>
    <t>(  63893,557   )/(  63893,657  )</t>
  </si>
  <si>
    <t>I7lgIvZx3SpZ2otJ170hGP</t>
  </si>
  <si>
    <t>52068baa</t>
  </si>
  <si>
    <t>45</t>
  </si>
  <si>
    <t>Zona sana DR 63894,457</t>
  </si>
  <si>
    <t>( 63894,407    )/(  63894,507  )</t>
  </si>
  <si>
    <t>5I9oVmTMwfS3SyGJSYJWxr</t>
  </si>
  <si>
    <t>7a88ad0e</t>
  </si>
  <si>
    <t>46</t>
  </si>
  <si>
    <t>Daño mecánico DR 63894,587</t>
  </si>
  <si>
    <t>(  63894,587   )/(    )</t>
  </si>
  <si>
    <t>(  100   )/(  100 )</t>
  </si>
  <si>
    <t>9KC2umWUEgHRAvJNItneYf</t>
  </si>
  <si>
    <t>9468feef</t>
  </si>
  <si>
    <t>47</t>
  </si>
  <si>
    <t>Daño mecánico 63894,677</t>
  </si>
  <si>
    <t>(   63894,677  )/(    )</t>
  </si>
  <si>
    <t>DiY6FPZwgNvIcZ2CsXx0kM</t>
  </si>
  <si>
    <t>7c6e9c9d</t>
  </si>
  <si>
    <t>48</t>
  </si>
  <si>
    <t>Zona sana DR 63894,857</t>
  </si>
  <si>
    <t>(  63894,807   )/(   63894,907 )</t>
  </si>
  <si>
    <t>AKze1fPTQLD9PzvNespDkw</t>
  </si>
  <si>
    <t>7f7efc12</t>
  </si>
  <si>
    <t>49</t>
  </si>
  <si>
    <t>Zona sana DR 63897,907</t>
  </si>
  <si>
    <t>(  63897,857   )/(  63897,957  )</t>
  </si>
  <si>
    <t>zMtccxGh9ua6kBENMGWmuq</t>
  </si>
  <si>
    <t>92cd3d2b</t>
  </si>
  <si>
    <t>50</t>
  </si>
  <si>
    <t>Daño mecánico DR 63898,877</t>
  </si>
  <si>
    <t>( 63898,877    )/(    )</t>
  </si>
  <si>
    <t>nGt4CX8U7L4tKX1SFB3m8i</t>
  </si>
  <si>
    <t>f5f6462d</t>
  </si>
  <si>
    <t>51</t>
  </si>
  <si>
    <t>Zona sana DR DR 63899,607</t>
  </si>
  <si>
    <t>(  DR 63899,557    )/(  DR 63899,657   )</t>
  </si>
  <si>
    <t>atzaompxITTca2FSfdNRrI</t>
  </si>
  <si>
    <t>c60207f9</t>
  </si>
  <si>
    <t>52</t>
  </si>
  <si>
    <t>Zona sana DR  63902,657</t>
  </si>
  <si>
    <t>(   63902,607   )/(   63902,707  )</t>
  </si>
  <si>
    <t>isRTE66LFTFjZhtCqZ7J4B</t>
  </si>
  <si>
    <t>58ede473</t>
  </si>
  <si>
    <t>53</t>
  </si>
  <si>
    <t>Zona sana DR 63903,607</t>
  </si>
  <si>
    <t>( 63903,557 )/(63903,657  )</t>
  </si>
  <si>
    <t>rtWJjfNkQ8sasfxjoL4rfn</t>
  </si>
  <si>
    <t>5d3540dc</t>
  </si>
  <si>
    <t>54</t>
  </si>
  <si>
    <t>Zona sana DR  63905,909</t>
  </si>
  <si>
    <t>(   63905,859   )/(   63905,959  )</t>
  </si>
  <si>
    <t>rdPdT7JrJgdsRlmtIBrFpA</t>
  </si>
  <si>
    <t>610ce330</t>
  </si>
  <si>
    <t>55</t>
  </si>
  <si>
    <t>JC# 48990 DR 63906,109</t>
  </si>
  <si>
    <t>(   63906,109  )/(    )</t>
  </si>
  <si>
    <t>6T3G7bNtHGVqw0PYYizfvW</t>
  </si>
  <si>
    <t>391207a4</t>
  </si>
  <si>
    <t>56</t>
  </si>
  <si>
    <t>Zona sana DR 63906,309</t>
  </si>
  <si>
    <t>(  63906,259   )/( 63906,359   )</t>
  </si>
  <si>
    <t>iT3wmWtK0O34I4Pt7gwFZC</t>
  </si>
  <si>
    <t>eba8a26f</t>
  </si>
  <si>
    <t>57</t>
  </si>
  <si>
    <t>Zona sana DR 63913,259</t>
  </si>
  <si>
    <t>( 63913,209    )/(   63913,309 )</t>
  </si>
  <si>
    <t>4Pqyif51pHyoN9T73SQRay</t>
  </si>
  <si>
    <t>d1472b4c</t>
  </si>
  <si>
    <t>58</t>
  </si>
  <si>
    <t>Zona sana DR 63914,359</t>
  </si>
  <si>
    <t>(  63914,309   )/(  63914,409  )</t>
  </si>
  <si>
    <t>wzYZJIzxUm0UOwi7qUDZTu</t>
  </si>
  <si>
    <t>c25f3aef</t>
  </si>
  <si>
    <t>59</t>
  </si>
  <si>
    <t>Zona sana DR  63919,342</t>
  </si>
  <si>
    <t>(   63919,292   )/(  63919,392   )</t>
  </si>
  <si>
    <t>( 690  )/(  100  )</t>
  </si>
  <si>
    <t>u02J78fTGq96g3PkDZHThZ</t>
  </si>
  <si>
    <t>78e65a33</t>
  </si>
  <si>
    <t>No se evidencia indicaciones relevantes.</t>
  </si>
  <si>
    <t>b7df75f4</t>
  </si>
  <si>
    <t>60</t>
  </si>
  <si>
    <t>Daño mecánico DR 63919,412</t>
  </si>
  <si>
    <t>(  63919,412   )/(    )</t>
  </si>
  <si>
    <t>H7DDD6u5OSb3mOnahiGxuS</t>
  </si>
  <si>
    <t>47a4f8da</t>
  </si>
  <si>
    <t>( 12 )/(150)</t>
  </si>
  <si>
    <t>3ec9dbf8</t>
  </si>
  <si>
    <t>61</t>
  </si>
  <si>
    <t>JC# 49000 DR 63919,922</t>
  </si>
  <si>
    <t>(   63919,922  )/(    )</t>
  </si>
  <si>
    <t>bQFByN0mHykjWHWm9IvLqi</t>
  </si>
  <si>
    <t>7986cd06</t>
  </si>
  <si>
    <t>62</t>
  </si>
  <si>
    <t>Daño mecánico DR 63920,12</t>
  </si>
  <si>
    <t>(  63920,12   )/(    )</t>
  </si>
  <si>
    <t>NQ06eUjXqvC7aolsLZKT8N</t>
  </si>
  <si>
    <t>961c8bc5</t>
  </si>
  <si>
    <t>63</t>
  </si>
  <si>
    <t>Zona sana DR 63920,342</t>
  </si>
  <si>
    <t>(   63920,292  )/( 63920,392   )</t>
  </si>
  <si>
    <t>zzJOVugURucwhdnQpyIdEN</t>
  </si>
  <si>
    <t>dae75eb6</t>
  </si>
  <si>
    <t>64</t>
  </si>
  <si>
    <t>Zona sana DR 63933,463</t>
  </si>
  <si>
    <t>(   63933,413  )/( 63933,513   )</t>
  </si>
  <si>
    <t>xphUnx17j3B6Sp6sbCP5Yo</t>
  </si>
  <si>
    <t>1f20fd11</t>
  </si>
  <si>
    <t>65</t>
  </si>
  <si>
    <t>JC# 49010 DR 63933,663</t>
  </si>
  <si>
    <t>( 63933,663    )/(    )</t>
  </si>
  <si>
    <t>KitCewaq3Qg05dQO67qNRO</t>
  </si>
  <si>
    <t>b0e484fc</t>
  </si>
  <si>
    <t>66</t>
  </si>
  <si>
    <t>Zona sana DR 63933,863</t>
  </si>
  <si>
    <t>( 63933,813    )/(  63933,913  )</t>
  </si>
  <si>
    <t>mH2xvf6oV5l8ART8ISC3na</t>
  </si>
  <si>
    <t>233c24ea</t>
  </si>
  <si>
    <t>67</t>
  </si>
  <si>
    <t>Zona sana DR 63947,225</t>
  </si>
  <si>
    <t>(  63947,175   )/(  63947,275  )</t>
  </si>
  <si>
    <t>xeKy5Wj5gwd5WJq3vt4H4y</t>
  </si>
  <si>
    <t>7881cea0</t>
  </si>
  <si>
    <t>68</t>
  </si>
  <si>
    <t>JC# 49020 DR 63947,425</t>
  </si>
  <si>
    <t>(   63947,425  )/(    )</t>
  </si>
  <si>
    <t>( 690  )/( 100   )</t>
  </si>
  <si>
    <t>bcwsZwKXY5Eek6BxJ7iDu8</t>
  </si>
  <si>
    <t>54f136c1</t>
  </si>
  <si>
    <t>69</t>
  </si>
  <si>
    <t>Zona sana DR 63947,625</t>
  </si>
  <si>
    <t>(   63947,575  )/(  63947,675  )</t>
  </si>
  <si>
    <t>cOd6RVloavfwfRcy1tJLuM</t>
  </si>
  <si>
    <t>a7b653e7</t>
  </si>
  <si>
    <t>4.reg_fotografico_Images/a7b653e7.imagen.191447.jpg</t>
  </si>
  <si>
    <t>d777fb12</t>
  </si>
  <si>
    <t>4.reg_fotografico_Images/d777fb12.imagen.191451.jpg</t>
  </si>
  <si>
    <t>Prueba 2</t>
  </si>
  <si>
    <t>c7704601</t>
  </si>
  <si>
    <t>4.reg_fotografico_Images/c7704601.imagen.191456.jpg</t>
  </si>
  <si>
    <t>Prueba 4</t>
  </si>
  <si>
    <t>3f5b3464</t>
  </si>
  <si>
    <t>4.reg_fotografico_Images/3f5b3464.imagen.212146.png</t>
  </si>
  <si>
    <t>Prueba 16</t>
  </si>
  <si>
    <t>ebb87ba0</t>
  </si>
  <si>
    <t>4.reg_fotografico_Images/ebb87ba0.imagen.212150.png</t>
  </si>
  <si>
    <t>710796ac</t>
  </si>
  <si>
    <t>4.reg_fotografico_Images/710796ac.imagen.212155.png</t>
  </si>
  <si>
    <t>eae586f5</t>
  </si>
  <si>
    <t>4.reg_fotografico_Images/eae586f5.imagen.212200.png</t>
  </si>
  <si>
    <t>83778a12</t>
  </si>
  <si>
    <t>4.reg_fotografico_Images/83778a12.imagen.212206.png</t>
  </si>
  <si>
    <t>Prueba 3</t>
  </si>
  <si>
    <t>4b41999b</t>
  </si>
  <si>
    <t>4.reg_fotografico_Images/4b41999b.imagen.134806.png</t>
  </si>
  <si>
    <t>Medición de intensidad de luz UV</t>
  </si>
  <si>
    <t>ff64d2b0</t>
  </si>
  <si>
    <t>4.reg_fotografico_Images/ff64d2b0.imagen.135615.png</t>
  </si>
  <si>
    <t>Líneas de flujo</t>
  </si>
  <si>
    <t>95d47695</t>
  </si>
  <si>
    <t>4.reg_fotografico_Images/95d47695.imagen.201118.png</t>
  </si>
  <si>
    <t>Analisis de prueba</t>
  </si>
  <si>
    <t>60bd5b35</t>
  </si>
  <si>
    <t>4.reg_fotografico_Images/60bd5b35.imagen.132112.jpg</t>
  </si>
  <si>
    <t xml:space="preserve"> DR </t>
  </si>
  <si>
    <t>a512bb70</t>
  </si>
  <si>
    <t>4.reg_fotografico_Images/a512bb70.imagen.132528.jpg</t>
  </si>
  <si>
    <t xml:space="preserve">Gyy DR </t>
  </si>
  <si>
    <t>8b96b4d0</t>
  </si>
  <si>
    <t>4.reg_fotografico_Images/8b96b4d0.imagen.134323.jpg</t>
  </si>
  <si>
    <t>C1 Tubo 3 DR 54263.61</t>
  </si>
  <si>
    <t>764d50f6</t>
  </si>
  <si>
    <t>4.reg_fotografico_Images/764d50f6.imagen.134329.jpg</t>
  </si>
  <si>
    <t>Zona sana fin reparación camisa sobre anillos reparación No 1 DR 54251.95</t>
  </si>
  <si>
    <t>799ed08a</t>
  </si>
  <si>
    <t>4.reg_fotografico_Images/799ed08a.imagen.134333.jpg</t>
  </si>
  <si>
    <t>Zona sana fin camisa tipo B reparación No 2 DR 54261.3</t>
  </si>
  <si>
    <t>9bb65847</t>
  </si>
  <si>
    <t>4.reg_fotografico_Images/9bb65847.imagen.134337.jpg</t>
  </si>
  <si>
    <t>Zona sana inicio camisa tipo B reparación No 2 DR 54260.8</t>
  </si>
  <si>
    <t>649dcf8f</t>
  </si>
  <si>
    <t>4.reg_fotografico_Images/649dcf8f.imagen.134342.jpg</t>
  </si>
  <si>
    <t>Zona sana fin reparación cambio de tramo por C&amp;E/ Camisa sobre anillos reparación No 3 DR 54265.65</t>
  </si>
  <si>
    <t>f2d037fa</t>
  </si>
  <si>
    <t>4.reg_fotografico_Images/f2d037fa.imagen.134538.jpg</t>
  </si>
  <si>
    <t>Zona sana inicio camisa sobre anillos reparación No 3 DR 54263.25</t>
  </si>
  <si>
    <t>85fc841a</t>
  </si>
  <si>
    <t>4.reg_fotografico_Images/85fc841a.imagen.134543.jpg</t>
  </si>
  <si>
    <t>Metal base DR DR 54260.79</t>
  </si>
  <si>
    <t>90232bf4</t>
  </si>
  <si>
    <t>4.reg_fotografico_Images/90232bf4.imagen.134548.jpg</t>
  </si>
  <si>
    <t>798727db</t>
  </si>
  <si>
    <t>4.reg_fotografico_Images/798727db.imagen.134559.jpg</t>
  </si>
  <si>
    <t>0b72e7d8</t>
  </si>
  <si>
    <t>4.reg_fotografico_Images/0b72e7d8.imagen.134604.jpg</t>
  </si>
  <si>
    <t>Junta circunferencial JC # 46870 DR 54251.609</t>
  </si>
  <si>
    <t>60185456</t>
  </si>
  <si>
    <t>4.reg_fotografico_Images/60185456.imagen.134608.jpg</t>
  </si>
  <si>
    <t>Pérdida de metal por corrosión externa A1 Tubo 2 DR 54261</t>
  </si>
  <si>
    <t>3de2a8d3</t>
  </si>
  <si>
    <t>4.reg_fotografico_Images/3de2a8d3.imagen.134613.jpg</t>
  </si>
  <si>
    <t>Costura longitudinal DR 54251.6</t>
  </si>
  <si>
    <t>19350254</t>
  </si>
  <si>
    <t>4.reg_fotografico_Images/19350254.imagen.135444.jpg</t>
  </si>
  <si>
    <t>Zona sana inicio reparación Cambio de tramo (C&amp;E)/ Zona sana inicio reparación No 1 camisa sobre anillos DR 54251.25</t>
  </si>
  <si>
    <t>448dcdc5</t>
  </si>
  <si>
    <t>4.reg_fotografico_Images/448dcdc5.imagen.135448.jpg</t>
  </si>
  <si>
    <t>5d94b463</t>
  </si>
  <si>
    <t>4.reg_fotografico_Images/5d94b463.imagen.135452.jpg</t>
  </si>
  <si>
    <t>Depósito de soldadura Lado A DR 54251.6</t>
  </si>
  <si>
    <t>625a8686</t>
  </si>
  <si>
    <t>4.reg_fotografico_Images/625a8686.imagen.135457.jpg</t>
  </si>
  <si>
    <t>Depósito de soldadura DR 54251.62</t>
  </si>
  <si>
    <t>5a51513d</t>
  </si>
  <si>
    <t>4.reg_fotografico_Images/5a51513d.imagen.142354.jpg</t>
  </si>
  <si>
    <t>19ddf12e</t>
  </si>
  <si>
    <t>4.reg_fotografico_Images/19ddf12e.imagen.142400.jpg</t>
  </si>
  <si>
    <t>Costura longitudinal DR 54250.7</t>
  </si>
  <si>
    <t>c1f7dd28</t>
  </si>
  <si>
    <t>4.reg_fotografico_Images/c1f7dd28.imagen.142410.jpg</t>
  </si>
  <si>
    <t>f6bf0712</t>
  </si>
  <si>
    <t>4.reg_fotografico_Images/f6bf0712.imagen.211104.jpg</t>
  </si>
  <si>
    <t>Junta circunferencial inicial DR 8270.871</t>
  </si>
  <si>
    <t>507dc621</t>
  </si>
  <si>
    <t>4.reg_fotografico_Images/507dc621.imagen.211107.jpg</t>
  </si>
  <si>
    <t>Junta circunferencial 2 DR 8282.996</t>
  </si>
  <si>
    <t>5f64a449</t>
  </si>
  <si>
    <t>4.reg_fotografico_Images/5f64a449.imagen.211111.jpg</t>
  </si>
  <si>
    <t>Zona sana camisa 2 tipo B DR 8276.051</t>
  </si>
  <si>
    <t>dd18973b</t>
  </si>
  <si>
    <t>4.reg_fotografico_Images/dd18973b.imagen.211114.jpg</t>
  </si>
  <si>
    <t>Zona sana camisa 1 tipo sobre anillos DR 8270.551</t>
  </si>
  <si>
    <t>745f0ccc</t>
  </si>
  <si>
    <t>4.reg_fotografico_Images/745f0ccc.imagen.211117.jpg</t>
  </si>
  <si>
    <t>Zona sana camisa 3 DR 8279.861</t>
  </si>
  <si>
    <t>52be3b19</t>
  </si>
  <si>
    <t>4.reg_fotografico_Images/52be3b19.imagen.211120.jpg</t>
  </si>
  <si>
    <t>ANOMALIA 2 DR 8271.281</t>
  </si>
  <si>
    <t>b4555acd</t>
  </si>
  <si>
    <t>4.reg_fotografico_Images/b4555acd.imagen.211123.jpg</t>
  </si>
  <si>
    <t>ANOMALIA 4 DR 8280.146</t>
  </si>
  <si>
    <t>c5172b2d</t>
  </si>
  <si>
    <t>4.reg_fotografico_Images/c5172b2d.imagen.211125.jpg</t>
  </si>
  <si>
    <t>Soldadura longitudinal DR 8270.871</t>
  </si>
  <si>
    <t>7fac32f2</t>
  </si>
  <si>
    <t>4.reg_fotografico_Images/7fac32f2.imagen.211129.jpg</t>
  </si>
  <si>
    <t>ANOMALIA 1 DR 8271.056</t>
  </si>
  <si>
    <t>7b829da3</t>
  </si>
  <si>
    <t>4.reg_fotografico_Images/7b829da3.imagen.211132.jpg</t>
  </si>
  <si>
    <t>ANOMALIA 3 DR 8276.481</t>
  </si>
  <si>
    <t>a5b46221</t>
  </si>
  <si>
    <t>4.reg_fotografico_Images/a5b46221.imagen.124310.jpg</t>
  </si>
  <si>
    <t>92623765</t>
  </si>
  <si>
    <t>4.reg_fotografico_Images/92623765.imagen.125918.jpg</t>
  </si>
  <si>
    <t>9c468005</t>
  </si>
  <si>
    <t>4.reg_fotografico_Images/9c468005.imagen.125922.jpg</t>
  </si>
  <si>
    <t>75d8e15d</t>
  </si>
  <si>
    <t>4.reg_fotografico_Images/75d8e15d.imagen.125927.jpg</t>
  </si>
  <si>
    <t>8a6f261b</t>
  </si>
  <si>
    <t>4.reg_fotografico_Images/8a6f261b.imagen.125931.jpg</t>
  </si>
  <si>
    <t>e83cae04</t>
  </si>
  <si>
    <t>4.reg_fotografico_Images/e83cae04.imagen.171128.jpg</t>
  </si>
  <si>
    <t>Fin de corte DR (8)/(150)</t>
  </si>
  <si>
    <t>77744a39</t>
  </si>
  <si>
    <t>4.reg_fotografico_Images/77744a39.imagen.171133.jpg</t>
  </si>
  <si>
    <t>Inicio corte DR 70862.901</t>
  </si>
  <si>
    <t>https://www.appsheet.com/template/gettablefileurl?appName=particulas_magneticas-924373673&amp;tableName=4.reg_fotografico&amp;fileName=4.reg_fotografico_Images/7fac32f2.imagen.211129.jpg</t>
  </si>
  <si>
    <t>https://www.appsheet.com/template/gettablefileurl?appName=particulas_magneticas-924373673&amp;tableName=4.reg_fotografico&amp;fileName=4.reg_fotografico_Images/7b829da3.imagen.211132.jpg</t>
  </si>
  <si>
    <t>https://www.appsheet.com/template/gettablefileurl?appName=particulas_magneticas-924373673&amp;tableName=4.reg_fotografico&amp;fileName=4.reg_fotografico_Images/a5b46221.imagen.124310.jpg</t>
  </si>
  <si>
    <t>https://www.appsheet.com/template/gettablefileurl?appName=particulas_magneticas-924373673&amp;tableName=4.reg_fotografico&amp;fileName=4.reg_fotografico_Images/92623765.imagen.125918.jpg</t>
  </si>
  <si>
    <t>https://www.appsheet.com/template/gettablefileurl?appName=particulas_magneticas-924373673&amp;tableName=4.reg_fotografico&amp;fileName=4.reg_fotografico_Images/9c468005.imagen.125922.jpg</t>
  </si>
  <si>
    <t>https://www.appsheet.com/template/gettablefileurl?appName=particulas_magneticas-924373673&amp;tableName=4.reg_fotografico&amp;fileName=4.reg_fotografico_Images/75d8e15d.imagen.125927.jpg</t>
  </si>
  <si>
    <t>https://www.appsheet.com/template/gettablefileurl?appName=particulas_magneticas-924373673&amp;tableName=4.reg_fotografico&amp;fileName=4.reg_fotografico_Images/8a6f261b.imagen.125931.jpg</t>
  </si>
  <si>
    <t>1feff044</t>
  </si>
  <si>
    <t>4.reg_fotografico_Images/1feff044.imagen.183155.jpg</t>
  </si>
  <si>
    <t>SOLDADURA CIRCUNFERENCIAL  JC# 8830 DR DR 10290.334</t>
  </si>
  <si>
    <t>https://www.appsheet.com/template/gettablefileurl?appName=particulas_magneticas-924373673&amp;tableName=4.reg_fotografico&amp;fileName=4.reg_fotografico_Images/1feff044.imagen.183155.jpg</t>
  </si>
  <si>
    <t>d6025be6</t>
  </si>
  <si>
    <t>4.reg_fotografico_Images/d6025be6.imagen.194604.jpg</t>
  </si>
  <si>
    <t>SOLDADURA CIRCUNFERENCIAL  JC# 8820 DR DR 10278.07m</t>
  </si>
  <si>
    <t>https://www.appsheet.com/template/gettablefileurl?appName=particulas_magneticas-924373673&amp;tableName=4.reg_fotografico&amp;fileName=4.reg_fotografico_Images/d6025be6.imagen.194604.jpg</t>
  </si>
  <si>
    <t>f5e96244</t>
  </si>
  <si>
    <t>4.reg_fotografico_Images/f5e96244.imagen.123242.jpg</t>
  </si>
  <si>
    <t>SOLDADURA LONGITUDINAL TUBO 0 DR DR 10277.55</t>
  </si>
  <si>
    <t>https://www.appsheet.com/template/gettablefileurl?appName=particulas_magneticas-924373673&amp;tableName=4.reg_fotografico&amp;fileName=4.reg_fotografico_Images/f5e96244.imagen.123242.jpg</t>
  </si>
  <si>
    <t>bcc7c327</t>
  </si>
  <si>
    <t>4.reg_fotografico_Images/bcc7c327.imagen.222237.jpg</t>
  </si>
  <si>
    <t>SOLDADURA LONGITUDINAL TUBO 1 DR DR 10278.07</t>
  </si>
  <si>
    <t>https://www.appsheet.com/template/gettablefileurl?appName=particulas_magneticas-924373673&amp;tableName=4.reg_fotografico&amp;fileName=4.reg_fotografico_Images/bcc7c327.imagen.222237.jpg</t>
  </si>
  <si>
    <t>c63b4b68</t>
  </si>
  <si>
    <t>4.reg_fotografico_Images/c63b4b68.imagen.222241.jpg</t>
  </si>
  <si>
    <t>SOLDADURA LONGITUDINAL TUBO 3 DR DR 10290.334 mm</t>
  </si>
  <si>
    <t>https://www.appsheet.com/template/gettablefileurl?appName=particulas_magneticas-924373673&amp;tableName=4.reg_fotografico&amp;fileName=4.reg_fotografico_Images/c63b4b68.imagen.222241.jpg</t>
  </si>
  <si>
    <t>7b4441f7</t>
  </si>
  <si>
    <t>4.reg_fotografico_Images/7b4441f7.imagen.033522.jpg</t>
  </si>
  <si>
    <t>Junta longitudinal DR 183830,554</t>
  </si>
  <si>
    <t>eb95f4e4</t>
  </si>
  <si>
    <t>4.reg_fotografico_Images/eb95f4e4.imagen.033526.jpg</t>
  </si>
  <si>
    <t>Zona sana Inicio Corte DR 183830,707</t>
  </si>
  <si>
    <t>38c1a4c3</t>
  </si>
  <si>
    <t>4.reg_fotografico_Images/38c1a4c3.imagen.033529.jpg</t>
  </si>
  <si>
    <t>Junta circunferencial DR 183831,132</t>
  </si>
  <si>
    <t>20f9493a</t>
  </si>
  <si>
    <t>4.reg_fotografico_Images/20f9493a.imagen.033532.jpg</t>
  </si>
  <si>
    <t>Junta Longitudinal DR 183831,132</t>
  </si>
  <si>
    <t>43d0f1d4</t>
  </si>
  <si>
    <t>4.reg_fotografico_Images/43d0f1d4.imagen.033536.jpg</t>
  </si>
  <si>
    <t>59909ff0</t>
  </si>
  <si>
    <t>4.reg_fotografico_Images/59909ff0.imagen.033539.jpg</t>
  </si>
  <si>
    <t>faa9013e</t>
  </si>
  <si>
    <t>4.reg_fotografico_Images/faa9013e.imagen.033542.jpg</t>
  </si>
  <si>
    <t>a4df4260</t>
  </si>
  <si>
    <t>4.reg_fotografico_Images/a4df4260.imagen.033545.jpg</t>
  </si>
  <si>
    <t>Zona sana inicio camisa No1 DR 183838,368</t>
  </si>
  <si>
    <t>38575824</t>
  </si>
  <si>
    <t>4.reg_fotografico_Images/38575824.imagen.033548.jpg</t>
  </si>
  <si>
    <t>Zona sana fin camisa No1 DR 183839,368</t>
  </si>
  <si>
    <t>8a857b53</t>
  </si>
  <si>
    <t>4.reg_fotografico_Images/8a857b53.imagen.033551.jpg</t>
  </si>
  <si>
    <t>Zona sana Inicio Camisa No2 DR 183840,617</t>
  </si>
  <si>
    <t>9a79a6a4</t>
  </si>
  <si>
    <t>4.reg_fotografico_Images/9a79a6a4.imagen.033554.jpg</t>
  </si>
  <si>
    <t>Zona sana fin Camisa No2 DR 183841,217</t>
  </si>
  <si>
    <t>dd61796e</t>
  </si>
  <si>
    <t>4.reg_fotografico_Images/dd61796e.imagen.033559.jpg</t>
  </si>
  <si>
    <t>Anomalia A1 DR 183841,009</t>
  </si>
  <si>
    <t>06c25fd1</t>
  </si>
  <si>
    <t>4.reg_fotografico_Images/06c25fd1.imagen.033609.jpg</t>
  </si>
  <si>
    <t>Junta circunferencial DR 183843,095</t>
  </si>
  <si>
    <t>565f3412</t>
  </si>
  <si>
    <t>4.reg_fotografico_Images/565f3412.imagen.033616.jpg</t>
  </si>
  <si>
    <t>Junta longitudinal DR 183843,095</t>
  </si>
  <si>
    <t>14bd2b4b</t>
  </si>
  <si>
    <t>4.reg_fotografico_Images/14bd2b4b.imagen.033623.jpg</t>
  </si>
  <si>
    <t>Zona sana Fin Corte DR 183843,370</t>
  </si>
  <si>
    <t>b981e074</t>
  </si>
  <si>
    <t>4.reg_fotografico_Images/b981e074.imagen.012135.jpg</t>
  </si>
  <si>
    <t>Corrosiones DR (     )/(    )</t>
  </si>
  <si>
    <t>e24997bc</t>
  </si>
  <si>
    <t>4.reg_fotografico_Images/e24997bc.imagen.012141.jpg</t>
  </si>
  <si>
    <t>Jc 2 DR (     )/(    )</t>
  </si>
  <si>
    <t>f199cf37</t>
  </si>
  <si>
    <t>4.reg_fotografico_Images/f199cf37.imagen.012147.jpg</t>
  </si>
  <si>
    <t>Pmd tubo 2 DR (     )/(    )</t>
  </si>
  <si>
    <t>c43e3375</t>
  </si>
  <si>
    <t>4.reg_fotografico_Images/c43e3375.imagen.012633.jpg</t>
  </si>
  <si>
    <t>Fn tb 3 DR (     )/(    )</t>
  </si>
  <si>
    <t>bbc7ab6d</t>
  </si>
  <si>
    <t>4.reg_fotografico_Images/bbc7ab6d.imagen.012636.jpg</t>
  </si>
  <si>
    <t>Fin tipo B 4/6 DR (     )/(    )</t>
  </si>
  <si>
    <t>aeb796d4</t>
  </si>
  <si>
    <t>4.reg_fotografico_Images/aeb796d4.imagen.012639.jpg</t>
  </si>
  <si>
    <t>7b4bb483</t>
  </si>
  <si>
    <t>4.reg_fotografico_Images/7b4bb483.imagen.012643.jpg</t>
  </si>
  <si>
    <t>Costura longitudinal DR (     )/(    )</t>
  </si>
  <si>
    <t>49a82fcc</t>
  </si>
  <si>
    <t>4.reg_fotografico_Images/49a82fcc.imagen.012646.jpg</t>
  </si>
  <si>
    <t>Fn CTB 7 DR (     )/(    )</t>
  </si>
  <si>
    <t>2af1a769</t>
  </si>
  <si>
    <t>4.reg_fotografico_Images/2af1a769.imagen.012649.jpg</t>
  </si>
  <si>
    <t>Ini CSA 8 DR (     )/(    )</t>
  </si>
  <si>
    <t>bca20d73</t>
  </si>
  <si>
    <t>4.reg_fotografico_Images/bca20d73.imagen.012652.jpg</t>
  </si>
  <si>
    <t>Parche DR (     )/(    )</t>
  </si>
  <si>
    <t>73c0ac28</t>
  </si>
  <si>
    <t>4.reg_fotografico_Images/73c0ac28.imagen.012655.jpg</t>
  </si>
  <si>
    <t>79cfee3e</t>
  </si>
  <si>
    <t>4.reg_fotografico_Images/79cfee3e.imagen.012658.jpg</t>
  </si>
  <si>
    <t>Ini CTB N2 DR (     )/(    )</t>
  </si>
  <si>
    <t>7c0044a3</t>
  </si>
  <si>
    <t>4.reg_fotografico_Images/7c0044a3.imagen.012702.jpg</t>
  </si>
  <si>
    <t>Fn CTB 9 DR (     )/(    )</t>
  </si>
  <si>
    <t>638cb8fe</t>
  </si>
  <si>
    <t>4.reg_fotografico_Images/638cb8fe.imagen.012706.jpg</t>
  </si>
  <si>
    <t>Ini CB 7 DR (     )/(    )</t>
  </si>
  <si>
    <t>6883fa7b</t>
  </si>
  <si>
    <t>4.reg_fotografico_Images/6883fa7b.imagen.012712.jpg</t>
  </si>
  <si>
    <t>Ini tipo B 6 DR (     )/(    )</t>
  </si>
  <si>
    <t>6715cdd7</t>
  </si>
  <si>
    <t>4.reg_fotografico_Images/6715cdd7.imagen.012716.jpg</t>
  </si>
  <si>
    <t>Fn tipo B c5 DR (     )/(    )</t>
  </si>
  <si>
    <t>44b77eba</t>
  </si>
  <si>
    <t>4.reg_fotografico_Images/44b77eba.imagen.012804.jpg</t>
  </si>
  <si>
    <t>Pmd en jc DR (     )/(    )</t>
  </si>
  <si>
    <t>3c1922ae</t>
  </si>
  <si>
    <t>4.reg_fotografico_Images/3c1922ae.imagen.012811.jpg</t>
  </si>
  <si>
    <t>Ini CTB 9 DR (     )/(    )</t>
  </si>
  <si>
    <t>ae043d68</t>
  </si>
  <si>
    <t>4.reg_fotografico_Images/ae043d68.imagen.012815.jpg</t>
  </si>
  <si>
    <t>Ini Tip B 4/5 DR (     )/(    )</t>
  </si>
  <si>
    <t>155ee595</t>
  </si>
  <si>
    <t>4.reg_fotografico_Images/155ee595.imagen.012821.jpg</t>
  </si>
  <si>
    <t>Jc 1 DR (     )/(    )</t>
  </si>
  <si>
    <t>11ba64a3</t>
  </si>
  <si>
    <t>4.reg_fotografico_Images/11ba64a3.imagen.012830.jpg</t>
  </si>
  <si>
    <t>FN Zs TB n2 DR (     )/(    )</t>
  </si>
  <si>
    <t>98f2e16a</t>
  </si>
  <si>
    <t>4.reg_fotografico_Images/98f2e16a.imagen.012834.jpg</t>
  </si>
  <si>
    <t>FM Zs camisa SA N1 DR (     )/(    )</t>
  </si>
  <si>
    <t>bda15c63</t>
  </si>
  <si>
    <t>4.reg_fotografico_Images/bda15c63.imagen.012838.jpg</t>
  </si>
  <si>
    <t>Costura longitudinal tubo 3 DR (     )/(    )</t>
  </si>
  <si>
    <t>b4486484</t>
  </si>
  <si>
    <t>4.reg_fotografico_Images/b4486484.imagen.012843.jpg</t>
  </si>
  <si>
    <t>4c76c9f4</t>
  </si>
  <si>
    <t>4.reg_fotografico_Images/4c76c9f4.imagen.012850.jpg</t>
  </si>
  <si>
    <t>Fn CTB tubo 2 DR (     )/(    )</t>
  </si>
  <si>
    <t>e96b88f0</t>
  </si>
  <si>
    <t>4.reg_fotografico_Images/e96b88f0.imagen.012856.jpg</t>
  </si>
  <si>
    <t>Depósito DR (     )/(    )</t>
  </si>
  <si>
    <t>fec9dfc4</t>
  </si>
  <si>
    <t>4.reg_fotografico_Images/fec9dfc4.imagen.012902.jpg</t>
  </si>
  <si>
    <t>Pmd DR (     )/(    )</t>
  </si>
  <si>
    <t>9127e1ce</t>
  </si>
  <si>
    <t>4.reg_fotografico_Images/9127e1ce.imagen.012908.jpg</t>
  </si>
  <si>
    <t>Ini CTB tubo 2 DR (     )/(    )</t>
  </si>
  <si>
    <t>1b767b42</t>
  </si>
  <si>
    <t>4.reg_fotografico_Images/1b767b42.imagen.012916.jpg</t>
  </si>
  <si>
    <t>Zs ini C&amp;E DR (     )/(    )</t>
  </si>
  <si>
    <t>3172ef35</t>
  </si>
  <si>
    <t>4.reg_fotografico_Images/3172ef35.imagen.012921.jpg</t>
  </si>
  <si>
    <t>Ini tb 3 DR (     )/(    )</t>
  </si>
  <si>
    <t>6c5c808f</t>
  </si>
  <si>
    <t>4.reg_fotografico_Images/6c5c808f.imagen.012931.jpg</t>
  </si>
  <si>
    <t>Fn CSA 8 DR (     )/(    )</t>
  </si>
  <si>
    <t>33529c72</t>
  </si>
  <si>
    <t>4.reg_fotografico_Images/33529c72.imagen.012934.jpg</t>
  </si>
  <si>
    <t>bab3c813</t>
  </si>
  <si>
    <t>4.reg_fotografico_Images/bab3c813.imagen.012937.jpg</t>
  </si>
  <si>
    <t>21dfda20</t>
  </si>
  <si>
    <t>4.reg_fotografico_Images/21dfda20.imagen.162819.jpg</t>
  </si>
  <si>
    <t>Zona sana tie in inicial DR 100mm / 12308,487</t>
  </si>
  <si>
    <t>efbd0430</t>
  </si>
  <si>
    <t>4.reg_fotografico_Images/efbd0430.imagen.175059.jpg</t>
  </si>
  <si>
    <t>DR 14705,992 DR ( SOLDADURA LONGITUDINAL )/(  14705,992  )</t>
  </si>
  <si>
    <t>e93022f8</t>
  </si>
  <si>
    <t>4.reg_fotografico_Images/e93022f8.imagen.175103.jpg</t>
  </si>
  <si>
    <t>DR 14705,992- DR 14718,139 DR (  JUNTA LONGITUDINAL   )/(  DR 14705,992- DR 14718,139  )</t>
  </si>
  <si>
    <t>2a1b63df</t>
  </si>
  <si>
    <t>4.reg_fotografico_Images/2a1b63df.imagen.175108.jpg</t>
  </si>
  <si>
    <t>b80ff35c</t>
  </si>
  <si>
    <t>4.reg_fotografico_Images/b80ff35c.imagen.175111.jpg</t>
  </si>
  <si>
    <t>ZONA SANA DR (   ZONA SANA  )/( 14709,352- DR 14709,452)</t>
  </si>
  <si>
    <t>7ad02df3</t>
  </si>
  <si>
    <t>4.reg_fotografico_Images/7ad02df3.imagen.175115.jpg</t>
  </si>
  <si>
    <t>ZONA SANA 2-CAMISA TIPO B DR (   ZONA SANA  )/(  14709,952m - 14710,052m )</t>
  </si>
  <si>
    <t>86b1e61c</t>
  </si>
  <si>
    <t>4.reg_fotografico_Images/86b1e61c.imagen.212551.jpg</t>
  </si>
  <si>
    <t>CURVATURA DEL TUBO DR (CURVATURA DEL TUBO)/(DR 14713,492 m - DR 14714,492 m)</t>
  </si>
  <si>
    <t>936d7d39</t>
  </si>
  <si>
    <t>4.reg_fotografico_Images/936d7d39.imagen.212554.jpg</t>
  </si>
  <si>
    <t>ZONA SANA CAMISA TIPO ANILLO DR (  ZONA SANA 1)/(  DR 14713,547m - DR 14713,637m  )</t>
  </si>
  <si>
    <t>e84bcd81</t>
  </si>
  <si>
    <t>4.reg_fotografico_Images/e84bcd81.imagen.212558.jpg</t>
  </si>
  <si>
    <t>ZONA SANA 2-CAMISA TIPO ANILLO DR ( ZONA SANA 2)/( DR 14717,147m - DR 14717,237m)</t>
  </si>
  <si>
    <t>f83ba56a</t>
  </si>
  <si>
    <t>4.reg_fotografico_Images/f83ba56a.imagen.212601.jpg</t>
  </si>
  <si>
    <t>SOLDADURA CIRCUNFERENCIAL DR ( JUNTA CIRCUNFERENCIAL)/(14718,139m)</t>
  </si>
  <si>
    <t>5b0055ea</t>
  </si>
  <si>
    <t>4.reg_fotografico_Images/5b0055ea.imagen.212604.jpg</t>
  </si>
  <si>
    <t>CORROSIÓN G1-A1 DR ( AGRUPACIÓN DE CORROSIÓN   )/(DR 14709,392 m   )</t>
  </si>
  <si>
    <t>01e368f8</t>
  </si>
  <si>
    <t>4.reg_fotografico_Images/01e368f8.imagen.212608.jpg</t>
  </si>
  <si>
    <t>CORROSIÓN A2 DR (COROSIÓN A2)/( DR 14713,127 m   )</t>
  </si>
  <si>
    <t>707a813f</t>
  </si>
  <si>
    <t>4.reg_fotografico_Images/707a813f.imagen.212614.jpg</t>
  </si>
  <si>
    <t>CORROSIÓN G2-A3 DR ( CORROSIÓN G2-A3 )/( DR 14713,642 m )</t>
  </si>
  <si>
    <t>92f04b3f</t>
  </si>
  <si>
    <t>4.reg_fotografico_Images/92f04b3f.imagen.212616.jpg</t>
  </si>
  <si>
    <t>CORROSIÓN A4 DR (CORROSIÓN A4)/(DR 14713,692 m)</t>
  </si>
  <si>
    <t>d8dddfe2</t>
  </si>
  <si>
    <t>4.reg_fotografico_Images/d8dddfe2.imagen.212619.jpg</t>
  </si>
  <si>
    <t>CORROSIÓN A5 DR (CORROSIÓN A5)/(DR 14714,596 m)</t>
  </si>
  <si>
    <t>fae25c3c</t>
  </si>
  <si>
    <t>4.reg_fotografico_Images/fae25c3c.imagen.212623.jpg</t>
  </si>
  <si>
    <t>CORROSIÓN G3-A6 DR ( CORROSIÓN G3-A6)/(DR 14715,052 m)</t>
  </si>
  <si>
    <t>f69f290c</t>
  </si>
  <si>
    <t>4.reg_fotografico_Images/f69f290c.imagen.212626.jpg</t>
  </si>
  <si>
    <t>0a7aa944</t>
  </si>
  <si>
    <t>4.reg_fotografico_Images/0a7aa944.imagen.212629.jpg</t>
  </si>
  <si>
    <t>CORROSIÓN G4-A7 DR (CORROSIÓN G4-A7)/( DR 14716,162 m)</t>
  </si>
  <si>
    <t>70a968c1</t>
  </si>
  <si>
    <t>4.reg_fotografico_Images/70a968c1.imagen.212632.jpg</t>
  </si>
  <si>
    <t>77e0f128</t>
  </si>
  <si>
    <t>4.reg_fotografico_Images/77e0f128.imagen.212635.jpg</t>
  </si>
  <si>
    <t>ce25c1c8</t>
  </si>
  <si>
    <t>4.reg_fotografico_Images/ce25c1c8.imagen.212638.jpg</t>
  </si>
  <si>
    <t>0e6b6763</t>
  </si>
  <si>
    <t>4.reg_fotografico_Images/0e6b6763.imagen.235405.jpg</t>
  </si>
  <si>
    <t>Zona sana inicio de corte DR (100mm)/(205485,364m    )</t>
  </si>
  <si>
    <t>1d1ac1c2</t>
  </si>
  <si>
    <t>4.reg_fotografico_Images/1d1ac1c2.imagen.235409.jpg</t>
  </si>
  <si>
    <t>Junta circunferencial DR ( 50 mm    )/( 205485,764 m   )</t>
  </si>
  <si>
    <t>d2fa82bc</t>
  </si>
  <si>
    <t>4.reg_fotografico_Images/d2fa82bc.imagen.235745.jpg</t>
  </si>
  <si>
    <t>Daño mecánico 1 DR (  45 mm   )/(  205485,819  )</t>
  </si>
  <si>
    <t>79915766</t>
  </si>
  <si>
    <t>4.reg_fotografico_Images/79915766.imagen.002907.jpg</t>
  </si>
  <si>
    <t>Junta longitudinal DR 205485,764 al 205497,859</t>
  </si>
  <si>
    <t>415a323d</t>
  </si>
  <si>
    <t>4.reg_fotografico_Images/415a323d.imagen.002910.jpg</t>
  </si>
  <si>
    <t>Zona sana para camisa No 7 DR 205494,589 m</t>
  </si>
  <si>
    <t>bef92778</t>
  </si>
  <si>
    <t>4.reg_fotografico_Images/bef92778.imagen.002913.jpg</t>
  </si>
  <si>
    <t>Daños mecánicos reportados como grietas DR 205497,689 m</t>
  </si>
  <si>
    <t>f3de0a62</t>
  </si>
  <si>
    <t>4.reg_fotografico_Images/f3de0a62.imagen.002915.jpg</t>
  </si>
  <si>
    <t>Junta circunferencial DR 205497,859</t>
  </si>
  <si>
    <t>023b7c3d</t>
  </si>
  <si>
    <t>4.reg_fotografico_Images/023b7c3d.imagen.002917.jpg</t>
  </si>
  <si>
    <t>Zona sana fín de corte DR 205498,259</t>
  </si>
  <si>
    <t>b7c35deb</t>
  </si>
  <si>
    <t>4.reg_fotografico_Images/b7c35deb.imagen.030159.jpg</t>
  </si>
  <si>
    <t>Junta Longitudinal DR 15363,347</t>
  </si>
  <si>
    <t>d6d28d4e</t>
  </si>
  <si>
    <t>4.reg_fotografico_Images/d6d28d4e.imagen.030202.jpg</t>
  </si>
  <si>
    <t>Zona sana inicio camisa DR DR15364,042</t>
  </si>
  <si>
    <t>79fc7625</t>
  </si>
  <si>
    <t>4.reg_fotografico_Images/79fc7625.imagen.030207.jpg</t>
  </si>
  <si>
    <t>Daño menico A1 DR 15364,242</t>
  </si>
  <si>
    <t>876acb7a</t>
  </si>
  <si>
    <t>4.reg_fotografico_Images/876acb7a.imagen.030210.jpg</t>
  </si>
  <si>
    <t>Zona sana fin de Camisa DR 15364,482</t>
  </si>
  <si>
    <t>https://www.appsheet.com/template/gettablefileurl?appName=particulas_magneticas-924373673&amp;tableName=4.reg_fotografico&amp;fileName=4.reg_fotografico_Images/21dfda20.imagen.162819.jpg</t>
  </si>
  <si>
    <t>7cf50a7c</t>
  </si>
  <si>
    <t>4.reg_fotografico_Images/7cf50a7c.imagen.011706.jpg</t>
  </si>
  <si>
    <t>C13 DR 12371.416</t>
  </si>
  <si>
    <t>https://www.appsheet.com/template/gettablefileurl?appName=particulas_magneticas-924373673&amp;tableName=4.reg_fotografico&amp;fileName=4.reg_fotografico_Images/7cf50a7c.imagen.011706.jpg</t>
  </si>
  <si>
    <t>8c228ad7</t>
  </si>
  <si>
    <t>4.reg_fotografico_Images/8c228ad7.imagen.011712.jpg</t>
  </si>
  <si>
    <t>Fin zona sana camisa sobre anillos DR 12360.712</t>
  </si>
  <si>
    <t>https://www.appsheet.com/template/gettablefileurl?appName=particulas_magneticas-924373673&amp;tableName=4.reg_fotografico&amp;fileName=4.reg_fotografico_Images/8c228ad7.imagen.011712.jpg</t>
  </si>
  <si>
    <t>0fe5fb64</t>
  </si>
  <si>
    <t>4.reg_fotografico_Images/0fe5fb64.imagen.011717.jpg</t>
  </si>
  <si>
    <t>Fin zona sana camisa Tipo B DR 12355.069</t>
  </si>
  <si>
    <t>https://www.appsheet.com/template/gettablefileurl?appName=particulas_magneticas-924373673&amp;tableName=4.reg_fotografico&amp;fileName=4.reg_fotografico_Images/0fe5fb64.imagen.011717.jpg</t>
  </si>
  <si>
    <t>cda073bd</t>
  </si>
  <si>
    <t>4.reg_fotografico_Images/cda073bd.imagen.011721.jpg</t>
  </si>
  <si>
    <t>Junta longitudinal DR 12371.482</t>
  </si>
  <si>
    <t>https://www.appsheet.com/template/gettablefileurl?appName=particulas_magneticas-924373673&amp;tableName=4.reg_fotografico&amp;fileName=4.reg_fotografico_Images/cda073bd.imagen.011721.jpg</t>
  </si>
  <si>
    <t>ec9c864b</t>
  </si>
  <si>
    <t>4.reg_fotografico_Images/ec9c864b.imagen.011729.jpg</t>
  </si>
  <si>
    <t>Junta longitudinal DR 12347.869</t>
  </si>
  <si>
    <t>https://www.appsheet.com/template/gettablefileurl?appName=particulas_magneticas-924373673&amp;tableName=4.reg_fotografico&amp;fileName=4.reg_fotografico_Images/ec9c864b.imagen.011729.jpg</t>
  </si>
  <si>
    <t>050c2b26</t>
  </si>
  <si>
    <t>4.reg_fotografico_Images/050c2b26.imagen.011732.jpg</t>
  </si>
  <si>
    <t>Junta circunferencia DR 12336.271</t>
  </si>
  <si>
    <t>https://www.appsheet.com/template/gettablefileurl?appName=particulas_magneticas-924373673&amp;tableName=4.reg_fotografico&amp;fileName=4.reg_fotografico_Images/050c2b26.imagen.011732.jpg</t>
  </si>
  <si>
    <t>6fcfcc1b</t>
  </si>
  <si>
    <t>4.reg_fotografico_Images/6fcfcc1b.imagen.011735.jpg</t>
  </si>
  <si>
    <t>C11 DR 12366.412</t>
  </si>
  <si>
    <t>https://www.appsheet.com/template/gettablefileurl?appName=particulas_magneticas-924373673&amp;tableName=4.reg_fotografico&amp;fileName=4.reg_fotografico_Images/6fcfcc1b.imagen.011735.jpg</t>
  </si>
  <si>
    <t>d6a7e8a7</t>
  </si>
  <si>
    <t>4.reg_fotografico_Images/d6a7e8a7.imagen.011741.jpg</t>
  </si>
  <si>
    <t>Inicio zona sana camisa sobre anillos DR 12347.569</t>
  </si>
  <si>
    <t>https://www.appsheet.com/template/gettablefileurl?appName=particulas_magneticas-924373673&amp;tableName=4.reg_fotografico&amp;fileName=4.reg_fotografico_Images/d6a7e8a7.imagen.011741.jpg</t>
  </si>
  <si>
    <t>2cff36f8</t>
  </si>
  <si>
    <t>4.reg_fotografico_Images/2cff36f8.imagen.011744.jpg</t>
  </si>
  <si>
    <t>C4 DR 12338.721</t>
  </si>
  <si>
    <t>https://www.appsheet.com/template/gettablefileurl?appName=particulas_magneticas-924373673&amp;tableName=4.reg_fotografico&amp;fileName=4.reg_fotografico_Images/2cff36f8.imagen.011744.jpg</t>
  </si>
  <si>
    <t>cf6ef503</t>
  </si>
  <si>
    <t>4.reg_fotografico_Images/cf6ef503.imagen.011747.jpg</t>
  </si>
  <si>
    <t>C7 DR 12346.686</t>
  </si>
  <si>
    <t>https://www.appsheet.com/template/gettablefileurl?appName=particulas_magneticas-924373673&amp;tableName=4.reg_fotografico&amp;fileName=4.reg_fotografico_Images/cf6ef503.imagen.011747.jpg</t>
  </si>
  <si>
    <t>0fafbfa5</t>
  </si>
  <si>
    <t>4.reg_fotografico_Images/0fafbfa5.imagen.011750.jpg</t>
  </si>
  <si>
    <t>Inicio zona sana camisa Tipo B DR 12372.482</t>
  </si>
  <si>
    <t>https://www.appsheet.com/template/gettablefileurl?appName=particulas_magneticas-924373673&amp;tableName=4.reg_fotografico&amp;fileName=4.reg_fotografico_Images/0fafbfa5.imagen.011750.jpg</t>
  </si>
  <si>
    <t>162dee69</t>
  </si>
  <si>
    <t>4.reg_fotografico_Images/162dee69.imagen.011754.jpg</t>
  </si>
  <si>
    <t>Fin zona sana camisa Tipo B y tie in DR 12374.532</t>
  </si>
  <si>
    <t>https://www.appsheet.com/template/gettablefileurl?appName=particulas_magneticas-924373673&amp;tableName=4.reg_fotografico&amp;fileName=4.reg_fotografico_Images/162dee69.imagen.011754.jpg</t>
  </si>
  <si>
    <t>01d1f864</t>
  </si>
  <si>
    <t>4.reg_fotografico_Images/01d1f864.imagen.011759.jpg</t>
  </si>
  <si>
    <t>C2 DR 12333,745</t>
  </si>
  <si>
    <t>https://www.appsheet.com/template/gettablefileurl?appName=particulas_magneticas-924373673&amp;tableName=4.reg_fotografico&amp;fileName=4.reg_fotografico_Images/01d1f864.imagen.011759.jpg</t>
  </si>
  <si>
    <t>4665a896</t>
  </si>
  <si>
    <t>4.reg_fotografico_Images/4665a896.imagen.011803.jpg</t>
  </si>
  <si>
    <t>Inicio zona sana camisa sobre anillos DR 12359.012</t>
  </si>
  <si>
    <t>https://www.appsheet.com/template/gettablefileurl?appName=particulas_magneticas-924373673&amp;tableName=4.reg_fotografico&amp;fileName=4.reg_fotografico_Images/4665a896.imagen.011803.jpg</t>
  </si>
  <si>
    <t>d773f096</t>
  </si>
  <si>
    <t>4.reg_fotografico_Images/d773f096.imagen.011807.jpg</t>
  </si>
  <si>
    <t>Inicio zona sana camisa Tipo B DR 12356.469</t>
  </si>
  <si>
    <t>https://www.appsheet.com/template/gettablefileurl?appName=particulas_magneticas-924373673&amp;tableName=4.reg_fotografico&amp;fileName=4.reg_fotografico_Images/d773f096.imagen.011807.jpg</t>
  </si>
  <si>
    <t>4.reg_fotografico_Images/23213554.imagen.011810.jpg</t>
  </si>
  <si>
    <t>C12 DR 12371.383</t>
  </si>
  <si>
    <t>https://www.appsheet.com/template/gettablefileurl?appName=particulas_magneticas-924373673&amp;tableName=4.reg_fotografico&amp;fileName=4.reg_fotografico_Images/23213554.imagen.011810.jpg</t>
  </si>
  <si>
    <t>ab2751bc</t>
  </si>
  <si>
    <t>4.reg_fotografico_Images/ab2751bc.imagen.011813.jpg</t>
  </si>
  <si>
    <t>Junta longitudinal DR 12336.271</t>
  </si>
  <si>
    <t>https://www.appsheet.com/template/gettablefileurl?appName=particulas_magneticas-924373673&amp;tableName=4.reg_fotografico&amp;fileName=4.reg_fotografico_Images/ab2751bc.imagen.011813.jpg</t>
  </si>
  <si>
    <t>7bd50c76</t>
  </si>
  <si>
    <t>4.reg_fotografico_Images/7bd50c76.imagen.011817.jpg</t>
  </si>
  <si>
    <t>Junta longitudinal DR 12359.312</t>
  </si>
  <si>
    <t>https://www.appsheet.com/template/gettablefileurl?appName=particulas_magneticas-924373673&amp;tableName=4.reg_fotografico&amp;fileName=4.reg_fotografico_Images/7bd50c76.imagen.011817.jpg</t>
  </si>
  <si>
    <t>435d9efc</t>
  </si>
  <si>
    <t>4.reg_fotografico_Images/435d9efc.imagen.011820.jpg</t>
  </si>
  <si>
    <t>Inicio camisa sobre anillos DR 12347.569</t>
  </si>
  <si>
    <t>https://www.appsheet.com/template/gettablefileurl?appName=particulas_magneticas-924373673&amp;tableName=4.reg_fotografico&amp;fileName=4.reg_fotografico_Images/435d9efc.imagen.011820.jpg</t>
  </si>
  <si>
    <t>17d62e53</t>
  </si>
  <si>
    <t>4.reg_fotografico_Images/17d62e53.imagen.011826.jpg</t>
  </si>
  <si>
    <t>Inicio zona sana camisa sobre anillos DR 12366.262</t>
  </si>
  <si>
    <t>https://www.appsheet.com/template/gettablefileurl?appName=particulas_magneticas-924373673&amp;tableName=4.reg_fotografico&amp;fileName=4.reg_fotografico_Images/17d62e53.imagen.011826.jpg</t>
  </si>
  <si>
    <t>ad8fe7f7</t>
  </si>
  <si>
    <t>4.reg_fotografico_Images/ad8fe7f7.imagen.011829.jpg</t>
  </si>
  <si>
    <t>Junta circunferencias #10310 DR 12371.482</t>
  </si>
  <si>
    <t>https://www.appsheet.com/template/gettablefileurl?appName=particulas_magneticas-924373673&amp;tableName=4.reg_fotografico&amp;fileName=4.reg_fotografico_Images/ad8fe7f7.imagen.011829.jpg</t>
  </si>
  <si>
    <t>d2371160</t>
  </si>
  <si>
    <t>4.reg_fotografico_Images/d2371160.imagen.011832.jpg</t>
  </si>
  <si>
    <t>Fin zona sana camisa sobre anillos DR 12349.069</t>
  </si>
  <si>
    <t>https://www.appsheet.com/template/gettablefileurl?appName=particulas_magneticas-924373673&amp;tableName=4.reg_fotografico&amp;fileName=4.reg_fotografico_Images/d2371160.imagen.011832.jpg</t>
  </si>
  <si>
    <t>715c87c3</t>
  </si>
  <si>
    <t>4.reg_fotografico_Images/715c87c3.imagen.011835.jpg</t>
  </si>
  <si>
    <t>C5 DR 12342.691</t>
  </si>
  <si>
    <t>https://www.appsheet.com/template/gettablefileurl?appName=particulas_magneticas-924373673&amp;tableName=4.reg_fotografico&amp;fileName=4.reg_fotografico_Images/715c87c3.imagen.011835.jpg</t>
  </si>
  <si>
    <t>c000399a</t>
  </si>
  <si>
    <t>4.reg_fotografico_Images/c000399a.imagen.011840.jpg</t>
  </si>
  <si>
    <t>C8 DR 12346.696</t>
  </si>
  <si>
    <t>https://www.appsheet.com/template/gettablefileurl?appName=particulas_magneticas-924373673&amp;tableName=4.reg_fotografico&amp;fileName=4.reg_fotografico_Images/c000399a.imagen.011840.jpg</t>
  </si>
  <si>
    <t>badbf718</t>
  </si>
  <si>
    <t>4.reg_fotografico_Images/badbf718.imagen.011843.jpg</t>
  </si>
  <si>
    <t>Fin zona sana camisa sobre anillos DR 12365.412</t>
  </si>
  <si>
    <t>https://www.appsheet.com/template/gettablefileurl?appName=particulas_magneticas-924373673&amp;tableName=4.reg_fotografico&amp;fileName=4.reg_fotografico_Images/badbf718.imagen.011843.jpg</t>
  </si>
  <si>
    <t>e1ec95fb</t>
  </si>
  <si>
    <t>4.reg_fotografico_Images/e1ec95fb.imagen.011848.jpg</t>
  </si>
  <si>
    <t>C6 DR 12346.681</t>
  </si>
  <si>
    <t>https://www.appsheet.com/template/gettablefileurl?appName=particulas_magneticas-924373673&amp;tableName=4.reg_fotografico&amp;fileName=4.reg_fotografico_Images/e1ec95fb.imagen.011848.jpg</t>
  </si>
  <si>
    <t>8aacd2ec</t>
  </si>
  <si>
    <t>4.reg_fotografico_Images/8aacd2ec.imagen.011852.jpg</t>
  </si>
  <si>
    <t>Fin zona sana camisa Tipo B DR 12352.069</t>
  </si>
  <si>
    <t>https://www.appsheet.com/template/gettablefileurl?appName=particulas_magneticas-924373673&amp;tableName=4.reg_fotografico&amp;fileName=4.reg_fotografico_Images/8aacd2ec.imagen.011852.jpg</t>
  </si>
  <si>
    <t>f4917582</t>
  </si>
  <si>
    <t>4.reg_fotografico_Images/f4917582.imagen.011856.jpg</t>
  </si>
  <si>
    <t>Inicio zona sana camisa Tipo B DR 12361.262</t>
  </si>
  <si>
    <t>https://www.appsheet.com/template/gettablefileurl?appName=particulas_magneticas-924373673&amp;tableName=4.reg_fotografico&amp;fileName=4.reg_fotografico_Images/f4917582.imagen.011856.jpg</t>
  </si>
  <si>
    <t>41304ac6</t>
  </si>
  <si>
    <t>4.reg_fotografico_Images/41304ac6.imagen.011859.jpg</t>
  </si>
  <si>
    <t>C9 DR 12354.164</t>
  </si>
  <si>
    <t>https://www.appsheet.com/template/gettablefileurl?appName=particulas_magneticas-924373673&amp;tableName=4.reg_fotografico&amp;fileName=4.reg_fotografico_Images/41304ac6.imagen.011859.jpg</t>
  </si>
  <si>
    <t>3ce7f03b</t>
  </si>
  <si>
    <t>4.reg_fotografico_Images/3ce7f03b.imagen.011903.jpg</t>
  </si>
  <si>
    <t>Fin zona sana camisa Tipo B DR 12358.069</t>
  </si>
  <si>
    <t>https://www.appsheet.com/template/gettablefileurl?appName=particulas_magneticas-924373673&amp;tableName=4.reg_fotografico&amp;fileName=4.reg_fotografico_Images/3ce7f03b.imagen.011903.jpg</t>
  </si>
  <si>
    <t>4.reg_fotografico_Images/86377816.imagen.011907.jpg</t>
  </si>
  <si>
    <t>C1 DR 12333.721</t>
  </si>
  <si>
    <t>https://www.appsheet.com/template/gettablefileurl?appName=particulas_magneticas-924373673&amp;tableName=4.reg_fotografico&amp;fileName=4.reg_fotografico_Images/86377816.imagen.011907.jpg</t>
  </si>
  <si>
    <t>36aea831</t>
  </si>
  <si>
    <t>4.reg_fotografico_Images/36aea831.imagen.011910.jpg</t>
  </si>
  <si>
    <t>Fin zona sana camisa Tipo B DR 12365.412</t>
  </si>
  <si>
    <t>https://www.appsheet.com/template/gettablefileurl?appName=particulas_magneticas-924373673&amp;tableName=4.reg_fotografico&amp;fileName=4.reg_fotografico_Images/36aea831.imagen.011910.jpg</t>
  </si>
  <si>
    <t>4.reg_fotografico_Images/32625213.imagen.011913.jpg</t>
  </si>
  <si>
    <t>Junta circunferencias #10300 DR 12359.312</t>
  </si>
  <si>
    <t>https://www.appsheet.com/template/gettablefileurl?appName=particulas_magneticas-924373673&amp;tableName=4.reg_fotografico&amp;fileName=4.reg_fotografico_Images/32625213.imagen.011913.jpg</t>
  </si>
  <si>
    <t>8c5cb034</t>
  </si>
  <si>
    <t>4.reg_fotografico_Images/8c5cb034.imagen.011917.jpg</t>
  </si>
  <si>
    <t>12336.431 DR C3</t>
  </si>
  <si>
    <t>https://www.appsheet.com/template/gettablefileurl?appName=particulas_magneticas-924373673&amp;tableName=4.reg_fotografico&amp;fileName=4.reg_fotografico_Images/8c5cb034.imagen.011917.jpg</t>
  </si>
  <si>
    <t>eedfe2c4</t>
  </si>
  <si>
    <t>4.reg_fotografico_Images/eedfe2c4.imagen.011920.jpg</t>
  </si>
  <si>
    <t>Inicio zona sana camisa Tipo B DR 12353.869</t>
  </si>
  <si>
    <t>https://www.appsheet.com/template/gettablefileurl?appName=particulas_magneticas-924373673&amp;tableName=4.reg_fotografico&amp;fileName=4.reg_fotografico_Images/eedfe2c4.imagen.011920.jpg</t>
  </si>
  <si>
    <t>d0698d06</t>
  </si>
  <si>
    <t>4.reg_fotografico_Images/d0698d06.imagen.011923.jpg</t>
  </si>
  <si>
    <t>12351.269 DR Inicio zona sana camisa Tipo B</t>
  </si>
  <si>
    <t>https://www.appsheet.com/template/gettablefileurl?appName=particulas_magneticas-924373673&amp;tableName=4.reg_fotografico&amp;fileName=4.reg_fotografico_Images/d0698d06.imagen.011923.jpg</t>
  </si>
  <si>
    <t>ebca2ae9</t>
  </si>
  <si>
    <t>4.reg_fotografico_Images/ebca2ae9.imagen.011927.jpg</t>
  </si>
  <si>
    <t>https://www.appsheet.com/template/gettablefileurl?appName=particulas_magneticas-924373673&amp;tableName=4.reg_fotografico&amp;fileName=4.reg_fotografico_Images/ebca2ae9.imagen.011927.jpg</t>
  </si>
  <si>
    <t>e0091ddb</t>
  </si>
  <si>
    <t>4.reg_fotografico_Images/e0091ddb.imagen.121410.jpg</t>
  </si>
  <si>
    <t>Zona sana inicio reparación Camisa tipo B  No 1 DR (   54368,398  )/(  54368,488  )</t>
  </si>
  <si>
    <t>d257a409</t>
  </si>
  <si>
    <t>4.reg_fotografico_Images/d257a409.imagen.225856.png</t>
  </si>
  <si>
    <t>JC#:40320 DR 37.175.916,00</t>
  </si>
  <si>
    <t>311e5c60</t>
  </si>
  <si>
    <t>4.reg_fotografico_Images/311e5c60.imagen.225859.png</t>
  </si>
  <si>
    <t>JC#: 40330 DR 37.187.804,00</t>
  </si>
  <si>
    <t>d0d42275</t>
  </si>
  <si>
    <t>4.reg_fotografico_Images/d0d42275.imagen.225902.png</t>
  </si>
  <si>
    <t>JC#: 40360 DR 37.223.923,00</t>
  </si>
  <si>
    <t>ff39c038</t>
  </si>
  <si>
    <t>4.reg_fotografico_Images/ff39c038.imagen.225905.png</t>
  </si>
  <si>
    <t>JC#: 40380 DR 37.247.958,00</t>
  </si>
  <si>
    <t>448da10b</t>
  </si>
  <si>
    <t>4.reg_fotografico_Images/448da10b.imagen.225908.png</t>
  </si>
  <si>
    <t>JC#: 40390 DR 37.260.031,00</t>
  </si>
  <si>
    <t>18f1aaaf</t>
  </si>
  <si>
    <t>4.reg_fotografico_Images/18f1aaaf.imagen.225911.png</t>
  </si>
  <si>
    <t>JC#: 40400 DR 37.272.129,00</t>
  </si>
  <si>
    <t>d2a0fcaa</t>
  </si>
  <si>
    <t>4.reg_fotografico_Images/d2a0fcaa.imagen.225914.png</t>
  </si>
  <si>
    <t>JC#: 40410 DR 37.276.924,00</t>
  </si>
  <si>
    <t>addbb4df</t>
  </si>
  <si>
    <t>4.reg_fotografico_Images/addbb4df.imagen.225917.png</t>
  </si>
  <si>
    <t>JC#: 40420 DR 37.289.040,00</t>
  </si>
  <si>
    <t>9740134a</t>
  </si>
  <si>
    <t>4.reg_fotografico_Images/9740134a.imagen.225920.png</t>
  </si>
  <si>
    <t>JC# 40430 DR 37.301.192,00</t>
  </si>
  <si>
    <t>894fe1dd</t>
  </si>
  <si>
    <t>4.reg_fotografico_Images/894fe1dd.imagen.225923.png</t>
  </si>
  <si>
    <t>JC#: 40440 DR 37.312.255,00</t>
  </si>
  <si>
    <t>f1751890</t>
  </si>
  <si>
    <t>4.reg_fotografico_Images/f1751890.imagen.225927.png</t>
  </si>
  <si>
    <t>JC#: 40450 DR 37.324.414,00</t>
  </si>
  <si>
    <t>b866ef2c</t>
  </si>
  <si>
    <t>4.reg_fotografico_Images/b866ef2c.imagen.225935.png</t>
  </si>
  <si>
    <t>JC#: 40460 DR 37.325.892,00</t>
  </si>
  <si>
    <t>fab0e30f</t>
  </si>
  <si>
    <t>4.reg_fotografico_Images/fab0e30f.imagen.225938.png</t>
  </si>
  <si>
    <t>72+580 DR 37.187.704,00</t>
  </si>
  <si>
    <t>0b7629a5</t>
  </si>
  <si>
    <t>4.reg_fotografico_Images/0b7629a5.imagen.225941.png</t>
  </si>
  <si>
    <t>72+580 DR 37.187.904,00</t>
  </si>
  <si>
    <t>9654bfea</t>
  </si>
  <si>
    <t>4.reg_fotografico_Images/9654bfea.imagen.234605.jpg</t>
  </si>
  <si>
    <t>Metal base (zona abolladuras) DR (  54368,365   )/(  54369,865  )</t>
  </si>
  <si>
    <t>50baf50a</t>
  </si>
  <si>
    <t>4.reg_fotografico_Images/50baf50a.imagen.234609.jpg</t>
  </si>
  <si>
    <t>c53cf980</t>
  </si>
  <si>
    <t>4.reg_fotografico_Images/c53cf980.imagen.234612.jpg</t>
  </si>
  <si>
    <t>ddd8bd72</t>
  </si>
  <si>
    <t>4.reg_fotografico_Images/ddd8bd72.imagen.234615.jpg</t>
  </si>
  <si>
    <t>f09672b8</t>
  </si>
  <si>
    <t>4.reg_fotografico_Images/f09672b8.imagen.234618.jpg</t>
  </si>
  <si>
    <t>Costura longitudinal DR (   54368,365  )/(  54369,865  )</t>
  </si>
  <si>
    <t>b9459f2f</t>
  </si>
  <si>
    <t>4.reg_fotografico_Images/b9459f2f.imagen.151859.jpg</t>
  </si>
  <si>
    <t>Zona sana fin corte DR 27931,123 m hasta Dr 27931,603 m</t>
  </si>
  <si>
    <t>8ae7e510</t>
  </si>
  <si>
    <t>4.reg_fotografico_Images/8ae7e510.imagen.151903.jpg</t>
  </si>
  <si>
    <t>Zona sana inicio corte DR 27437,959</t>
  </si>
  <si>
    <t>6bb13907</t>
  </si>
  <si>
    <t>4.reg_fotografico_Images/6bb13907.imagen.190845.jpg</t>
  </si>
  <si>
    <t>zona sana DR (    12 )/(  100  )</t>
  </si>
  <si>
    <t>5f106fcc</t>
  </si>
  <si>
    <t>4.reg_fotografico_Images/5f106fcc.imagen.162420.jpg</t>
  </si>
  <si>
    <t>Zona sana fin reparación camisa Sobre Anillos No1 DR(   9400,443  )/(  9400,593  )</t>
  </si>
  <si>
    <t>e08e0746</t>
  </si>
  <si>
    <t>4.reg_fotografico_Images/e08e0746.imagen.162423.jpg</t>
  </si>
  <si>
    <t>Costura Longitudinal DR(   9393,938  )/(  9394,438  )</t>
  </si>
  <si>
    <t>b43deabd</t>
  </si>
  <si>
    <t>4.reg_fotografico_Images/b43deabd.imagen.162428.jpg</t>
  </si>
  <si>
    <t>Zona sana inicio reparación camisa Sobre Anillos No1 DR(   9393,443  )/(  9393,593  )</t>
  </si>
  <si>
    <t>afc97f13</t>
  </si>
  <si>
    <t>4.reg_fotografico_Images/afc97f13.imagen.162432.jpg</t>
  </si>
  <si>
    <t>Junta Circunferencial  JC # 8040 DR9393,938</t>
  </si>
  <si>
    <t>59972123</t>
  </si>
  <si>
    <t>4.reg_fotografico_Images/59972123.imagen.162436.jpg</t>
  </si>
  <si>
    <t>Costura Longitudinal DR(  9393,938   )/(  9405,212  )</t>
  </si>
  <si>
    <t>36f2862a</t>
  </si>
  <si>
    <t>4.reg_fotografico_Images/36f2862a.imagen.162440.jpg</t>
  </si>
  <si>
    <t>Junta circunferencial  JC# 8050 DR9405,212</t>
  </si>
  <si>
    <t>dcf70ab3</t>
  </si>
  <si>
    <t>4.reg_fotografico_Images/dcf70ab3.imagen.162444.jpg</t>
  </si>
  <si>
    <t>Metal base zona curva proceso de construcción @10:10 a 2:30 DR(   9396,438   )/(  9402,438  )</t>
  </si>
  <si>
    <t>df5678b5</t>
  </si>
  <si>
    <t>4.reg_fotografico_Images/df5678b5.imagen.162448.jpg</t>
  </si>
  <si>
    <t>Zona sana fin reparación camisa Sobre Anillos No 2 DR(  9394,793   )/(  9394,943  )</t>
  </si>
  <si>
    <t>01f2a14e</t>
  </si>
  <si>
    <t>4.reg_fotografico_Images/01f2a14e.imagen.162748.jpg</t>
  </si>
  <si>
    <t>Costura Longitudinal DR(   9393,438  )/(  9393,938  )</t>
  </si>
  <si>
    <t>e1cf1729</t>
  </si>
  <si>
    <t>4.reg_fotografico_Images/e1cf1729.imagen.202215.jpg</t>
  </si>
  <si>
    <t>Tramo de tuberia DR(     )/(    )</t>
  </si>
  <si>
    <t>8f303851</t>
  </si>
  <si>
    <t>4.reg_fotografico_Images/8f303851.imagen.202219.jpg</t>
  </si>
  <si>
    <t>Junta circunferencial DR(  9102,768   )/(9102,768    )</t>
  </si>
  <si>
    <t>a4e8036f</t>
  </si>
  <si>
    <t>4.reg_fotografico_Images/a4e8036f.imagen.202223.jpg</t>
  </si>
  <si>
    <t>Zona sana inicio camisa DR(  9102,458   )/(9102,578    )</t>
  </si>
  <si>
    <t>dce28762</t>
  </si>
  <si>
    <t>4.reg_fotografico_Images/dce28762.imagen.202226.jpg</t>
  </si>
  <si>
    <t>Zona sana fin de camisa DR(  9102,958   )/( 9103,078   )</t>
  </si>
  <si>
    <t>ecff98ed</t>
  </si>
  <si>
    <t>4.reg_fotografico_Images/ecff98ed.imagen.202230.jpg</t>
  </si>
  <si>
    <t>Tramo de tubería DR(  9102,768   )/( 9107,768   )</t>
  </si>
  <si>
    <t>cb686e55</t>
  </si>
  <si>
    <t>4.reg_fotografico_Images/cb686e55.imagen.213259.jpg</t>
  </si>
  <si>
    <t>04fc48c9</t>
  </si>
  <si>
    <t>4.reg_fotografico_Images/04fc48c9.imagen.142103.jpg</t>
  </si>
  <si>
    <t>Junta longitudinal tubo 5 DR()/(30079,759)</t>
  </si>
  <si>
    <t>7541e2ee</t>
  </si>
  <si>
    <t>4.reg_fotografico_Images/7541e2ee.imagen.142107.jpg</t>
  </si>
  <si>
    <t>Junta circunferencial JN 25560 DR(     )/(30089,766)</t>
  </si>
  <si>
    <t>65bd3621</t>
  </si>
  <si>
    <t>4.reg_fotografico_Images/65bd3621.imagen.142111.jpg</t>
  </si>
  <si>
    <t>Junta circunferencial JC 25570 DR(     )/(30113.501)</t>
  </si>
  <si>
    <t>4e22acad</t>
  </si>
  <si>
    <t>4.reg_fotografico_Images/4e22acad.imagen.142115.jpg</t>
  </si>
  <si>
    <t>Junta circunferencial JC 25580 DR(     )/(30113,501)</t>
  </si>
  <si>
    <t>88e98fc6</t>
  </si>
  <si>
    <t>4.reg_fotografico_Images/88e98fc6.imagen.142119.jpg</t>
  </si>
  <si>
    <t>Junta longitudinal tubo 8 DR(     )/(30116,501)</t>
  </si>
  <si>
    <t>4e28cb9d</t>
  </si>
  <si>
    <t>4.reg_fotografico_Images/4e28cb9d.imagen.142122.jpg</t>
  </si>
  <si>
    <t>Junta circunferencial JC 25590 DR(     )/(30125,685)</t>
  </si>
  <si>
    <t>c80168d3</t>
  </si>
  <si>
    <t>4.reg_fotografico_Images/c80168d3.imagen.142127.jpg</t>
  </si>
  <si>
    <t>Junta longitudinal Tubo 9 DR(     )/(30132,685)</t>
  </si>
  <si>
    <t>21758d86</t>
  </si>
  <si>
    <t>4.reg_fotografico_Images/21758d86.imagen.142129.jpg</t>
  </si>
  <si>
    <t>Junta circunferencial JC 25600 DR(     )/(30137,88)</t>
  </si>
  <si>
    <t>09da4d2c</t>
  </si>
  <si>
    <t>4.reg_fotografico_Images/09da4d2c.imagen.142133.jpg</t>
  </si>
  <si>
    <t>Junta longitudinal tubo 10 DR(     )/(30146,88)</t>
  </si>
  <si>
    <t>9716605a</t>
  </si>
  <si>
    <t>4.reg_fotografico_Images/9716605a.imagen.142136.jpg</t>
  </si>
  <si>
    <t>Junta circunferencial JC 25610 DR(     )/(30149,561)</t>
  </si>
  <si>
    <t>45b31027</t>
  </si>
  <si>
    <t>4.reg_fotografico_Images/45b31027.imagen.142139.jpg</t>
  </si>
  <si>
    <t>Zona sana Final Corte DR(     )/(30161,573)</t>
  </si>
  <si>
    <t>2e8d4df1</t>
  </si>
  <si>
    <t>4.reg_fotografico_Images/2e8d4df1.imagen.144636.jpg</t>
  </si>
  <si>
    <t>Zona sana inicio de corte DR(     )/(70748.754)</t>
  </si>
  <si>
    <t>fab392ac</t>
  </si>
  <si>
    <t>4.reg_fotografico_Images/fab392ac.imagen.144644.jpg</t>
  </si>
  <si>
    <t>Zona sana Fin de corte DR(     )/(70838.771)</t>
  </si>
  <si>
    <t>c38e80fc</t>
  </si>
  <si>
    <t>4.reg_fotografico_Images/c38e80fc.imagen.013248.jpg</t>
  </si>
  <si>
    <t>Zona inicio de corte DR24261,138</t>
  </si>
  <si>
    <t>222a27ee</t>
  </si>
  <si>
    <t>18e245a7</t>
  </si>
  <si>
    <t>4.reg_fotografico_Images/222a27ee.imagen.013251.jpg</t>
  </si>
  <si>
    <t>Zona camisa 1 DR24261,138</t>
  </si>
  <si>
    <t>12cc4e60</t>
  </si>
  <si>
    <t>4.reg_fotografico_Images/12cc4e60.imagen.013254.jpg</t>
  </si>
  <si>
    <t>Zona camisa 1 DR24263,138</t>
  </si>
  <si>
    <t>228284f5</t>
  </si>
  <si>
    <t>4.reg_fotografico_Images/228284f5.imagen.013257.jpg</t>
  </si>
  <si>
    <t>Zona sana camisa 2 DR24264,068</t>
  </si>
  <si>
    <t>c5503b33</t>
  </si>
  <si>
    <t>4.reg_fotografico_Images/c5503b33.imagen.013300.jpg</t>
  </si>
  <si>
    <t>Zona sana camisa 3 DR24265,418</t>
  </si>
  <si>
    <t>4c355e66</t>
  </si>
  <si>
    <t>4.reg_fotografico_Images/4c355e66.imagen.014245.jpg</t>
  </si>
  <si>
    <t>Junta longitudinal y anomalía con la que interactúa DR21263,538 a 21265,538</t>
  </si>
  <si>
    <t>fa3cc2db</t>
  </si>
  <si>
    <t>4.reg_fotografico_Images/fa3cc2db.imagen.014248.jpg</t>
  </si>
  <si>
    <t>Anomalía A8 DR24265,578</t>
  </si>
  <si>
    <t>77cd4a48</t>
  </si>
  <si>
    <t>4.reg_fotografico_Images/77cd4a48.imagen.014251.jpg</t>
  </si>
  <si>
    <t>Junta circunferencial DR24261,538</t>
  </si>
  <si>
    <t>26de4ae8</t>
  </si>
  <si>
    <t>4.reg_fotografico_Images/26de4ae8.imagen.015044.jpg</t>
  </si>
  <si>
    <t>Junta circunferencial DR24267,664</t>
  </si>
  <si>
    <t>7791d896</t>
  </si>
  <si>
    <t>4.reg_fotografico_Images/7791d896.imagen.015047.jpg</t>
  </si>
  <si>
    <t>Zona final de corte DR24268,064</t>
  </si>
  <si>
    <t>dfca8cdd</t>
  </si>
  <si>
    <t>4.reg_fotografico_Images/dfca8cdd.imagen.183130.jpg</t>
  </si>
  <si>
    <t>DR  5238,569 m DR( Soldadura Longitudinal)/( 5238,569 m)</t>
  </si>
  <si>
    <t>d97dadd5</t>
  </si>
  <si>
    <t>4.reg_fotografico_Images/d97dadd5.imagen.193554.jpg</t>
  </si>
  <si>
    <t>ZONA SANA - CAMISA TIPO B  DR 5241,469 m DR( ZONA SANA 1 )/( DR 5241,419- DR 5241,519)</t>
  </si>
  <si>
    <t>9b667742</t>
  </si>
  <si>
    <t>4.reg_fotografico_Images/9b667742.imagen.193557.jpg</t>
  </si>
  <si>
    <t>ZONA SANA FINAL-CAMISO TIPO B DR 5241,969 m DR(ZONA SANA 2)/(DR 5241,919m - DR 5242,019m    )</t>
  </si>
  <si>
    <t>abbc7488</t>
  </si>
  <si>
    <t>4.reg_fotografico_Images/abbc7488.imagen.193600.jpg</t>
  </si>
  <si>
    <t>ZONA SANA INICIO CAMISA # 2 TIPO B  DR 5242,449 m DR(ZONA SANA 1 )/(DR 5242,399 m- DR 5242,499 m)</t>
  </si>
  <si>
    <t>d9aece9e</t>
  </si>
  <si>
    <t>4.reg_fotografico_Images/d9aece9e.imagen.193604.jpg</t>
  </si>
  <si>
    <t>ZONA SANA FINAL CAMISA # 2 DR 5242,949m DR(ZONA SANA FINAL 2)/(DR 5242,899-DR 5242,999m)</t>
  </si>
  <si>
    <t>8e8591aa</t>
  </si>
  <si>
    <t>4.reg_fotografico_Images/8e8591aa.imagen.193607.jpg</t>
  </si>
  <si>
    <t>ZONA SANA INICIO CAMISA # 3 SOBRE ANILLOS DR 5243,319 m DR(ZONA SANA INICIO)/(DR 5243,269 m- DR 5243.369 m)</t>
  </si>
  <si>
    <t>a7ab5b15</t>
  </si>
  <si>
    <t>4.reg_fotografico_Images/a7ab5b15.imagen.193609.jpg</t>
  </si>
  <si>
    <t>JUNTA CIRCUNFERENCIAL DR 5243,585 m DR( JUNTA CIRCUNFERENCIAL)/(5243,585 m)</t>
  </si>
  <si>
    <t>7b33896f</t>
  </si>
  <si>
    <t>4.reg_fotografico_Images/7b33896f.imagen.193613.jpg</t>
  </si>
  <si>
    <t>ZONA SANA FINAL CAMISA # 3 SOBRE ANILLOS   DR 5243,819 DR( ZONA SANA FINAL )/(DR 5243,769m- 5243.819m )</t>
  </si>
  <si>
    <t>c3ec6623</t>
  </si>
  <si>
    <t>4.reg_fotografico_Images/c3ec6623.imagen.193616.jpg</t>
  </si>
  <si>
    <t>ZONA SANA INICIO CAMISA # 4 TIPO B DR 5245,135 m DR(ZONA SANA INICIO)/(DR 5245,085m- DR 5245,185m)</t>
  </si>
  <si>
    <t>6fb1bfd0</t>
  </si>
  <si>
    <t>4.reg_fotografico_Images/6fb1bfd0.imagen.193618.jpg</t>
  </si>
  <si>
    <t>ZONA SANA FINAL CAMISA # 4 TIPO B DR DR(ZONA SANA FINAL)/(DR 5245,585m- DR 5245,685m)</t>
  </si>
  <si>
    <t>7a75fc0b</t>
  </si>
  <si>
    <t>4.reg_fotografico_Images/7a75fc0b.imagen.193621.jpg</t>
  </si>
  <si>
    <t>SOLDADURA LONGITUDINAL DR 5243,585 m-5247,985m DR( SOLDADURA LONGITUDINAL)/(DR 5243,585 m-5247,985m)</t>
  </si>
  <si>
    <t>45bbdeea</t>
  </si>
  <si>
    <t>4.reg_fotografico_Images/45bbdeea.imagen.193625.jpg</t>
  </si>
  <si>
    <t>a1294405</t>
  </si>
  <si>
    <t>4.reg_fotografico_Images/a1294405.imagen.194041.jpg</t>
  </si>
  <si>
    <t>ANOMALIA REPORTADA CON EL ILI DR DR( TUBERIA 8")/(DR 5247,911 m)</t>
  </si>
  <si>
    <t>62a96eb7</t>
  </si>
  <si>
    <t>4.reg_fotografico_Images/62a96eb7.imagen.194044.jpg</t>
  </si>
  <si>
    <t>a16eb79e</t>
  </si>
  <si>
    <t>4.reg_fotografico_Images/a16eb79e.imagen.194048.jpg</t>
  </si>
  <si>
    <t>8d720a19</t>
  </si>
  <si>
    <t>4.reg_fotografico_Images/8d720a19.imagen.204013.jpg</t>
  </si>
  <si>
    <t>Junta longitudinal DR8735,34 m</t>
  </si>
  <si>
    <t>e9c98d7a</t>
  </si>
  <si>
    <t>4.reg_fotografico_Images/e9c98d7a.imagen.204019.jpg</t>
  </si>
  <si>
    <t>Zona sana inicio corte DR8735,515</t>
  </si>
  <si>
    <t>26d5f826</t>
  </si>
  <si>
    <t>4.reg_fotografico_Images/26d5f826.imagen.204026.jpg</t>
  </si>
  <si>
    <t>Junta circunferencial DR8735,940 m</t>
  </si>
  <si>
    <t>08da6d60</t>
  </si>
  <si>
    <t>4.reg_fotografico_Images/08da6d60.imagen.204033.jpg</t>
  </si>
  <si>
    <t>Junta longitudinal DR8735,940</t>
  </si>
  <si>
    <t>040cbc5e</t>
  </si>
  <si>
    <t>4.reg_fotografico_Images/040cbc5e.imagen.204038.jpg</t>
  </si>
  <si>
    <t>9f7b6731</t>
  </si>
  <si>
    <t>4.reg_fotografico_Images/9f7b6731.imagen.204043.jpg</t>
  </si>
  <si>
    <t>065b0776</t>
  </si>
  <si>
    <t>4.reg_fotografico_Images/065b0776.imagen.204048.jpg</t>
  </si>
  <si>
    <t>4911da9d</t>
  </si>
  <si>
    <t>4.reg_fotografico_Images/4911da9d.imagen.204054.jpg</t>
  </si>
  <si>
    <t>1129a0c1</t>
  </si>
  <si>
    <t>4.reg_fotografico_Images/1129a0c1.imagen.204102.jpg</t>
  </si>
  <si>
    <t>6427d026</t>
  </si>
  <si>
    <t>4.reg_fotografico_Images/6427d026.imagen.204107.jpg</t>
  </si>
  <si>
    <t>7bd8ca15</t>
  </si>
  <si>
    <t>4.reg_fotografico_Images/7bd8ca15.imagen.204112.jpg</t>
  </si>
  <si>
    <t>90a44e2b</t>
  </si>
  <si>
    <t>4.reg_fotografico_Images/90a44e2b.imagen.204117.jpg</t>
  </si>
  <si>
    <t>Daño mecanico 1 A1 DR8735,987</t>
  </si>
  <si>
    <t>d6f677eb</t>
  </si>
  <si>
    <t>4.reg_fotografico_Images/d6f677eb.imagen.204124.jpg</t>
  </si>
  <si>
    <t>Daño mecanico 2 A2 DR8737,235</t>
  </si>
  <si>
    <t>d2fb273a</t>
  </si>
  <si>
    <t>4.reg_fotografico_Images/d2fb273a.imagen.204131.jpg</t>
  </si>
  <si>
    <t>Zona sana inicio Camisa 1 DR8738,290 m</t>
  </si>
  <si>
    <t>636f9486</t>
  </si>
  <si>
    <t>4.reg_fotografico_Images/636f9486.imagen.204300.jpg</t>
  </si>
  <si>
    <t>Daño mecánico 3 A3 DR8738,550 m</t>
  </si>
  <si>
    <t>59d644f0</t>
  </si>
  <si>
    <t>4.reg_fotografico_Images/59d644f0.imagen.204349.jpg</t>
  </si>
  <si>
    <t>Daño Mecánico 4 A7 DR8739,845</t>
  </si>
  <si>
    <t>ea9a723c</t>
  </si>
  <si>
    <t>4.reg_fotografico_Images/ea9a723c.imagen.204351.jpg</t>
  </si>
  <si>
    <t>Zona sana fin camisa No 1 DR8740,29</t>
  </si>
  <si>
    <t>3be2d054</t>
  </si>
  <si>
    <t>4.reg_fotografico_Images/3be2d054.imagen.204355.jpg</t>
  </si>
  <si>
    <t xml:space="preserve"> DR8740,965</t>
  </si>
  <si>
    <t>aa88b997</t>
  </si>
  <si>
    <t>4.reg_fotografico_Images/aa88b997.imagen.204359.jpg</t>
  </si>
  <si>
    <t>Daño mecánico 5 A8 DR8741,220 m</t>
  </si>
  <si>
    <t>e78e874b</t>
  </si>
  <si>
    <t>4.reg_fotografico_Images/e78e874b.imagen.204402.jpg</t>
  </si>
  <si>
    <t>Daño mecánico 6 A10 DR8742,529</t>
  </si>
  <si>
    <t>ad8be256</t>
  </si>
  <si>
    <t>4.reg_fotografico_Images/ad8be256.imagen.204405.jpg</t>
  </si>
  <si>
    <t>Daño mecánico 7 A11 DR8743,823</t>
  </si>
  <si>
    <t>f890cc68</t>
  </si>
  <si>
    <t>4.reg_fotografico_Images/f890cc68.imagen.204408.jpg</t>
  </si>
  <si>
    <t>Daño mecánico 8 A12 DR8744,715 m</t>
  </si>
  <si>
    <t>4f113080</t>
  </si>
  <si>
    <t>4.reg_fotografico_Images/4f113080.imagen.204411.jpg</t>
  </si>
  <si>
    <t>Daño mecánico 8 A13 DR8745,132</t>
  </si>
  <si>
    <t>cc56d19f</t>
  </si>
  <si>
    <t>4.reg_fotografico_Images/cc56d19f.imagen.204415.jpg</t>
  </si>
  <si>
    <t>Spot antes del concreto DR8744,94</t>
  </si>
  <si>
    <t>b942e839</t>
  </si>
  <si>
    <t>4.reg_fotografico_Images/b942e839.imagen.204417.jpg</t>
  </si>
  <si>
    <t>5768147d</t>
  </si>
  <si>
    <t>4.reg_fotografico_Images/5768147d.imagen.204420.jpg</t>
  </si>
  <si>
    <t>Spot zona posterior al concreto DR8749,121</t>
  </si>
  <si>
    <t>e691823c</t>
  </si>
  <si>
    <t>4.reg_fotografico_Images/e691823c.imagen.024210.jpg</t>
  </si>
  <si>
    <t>Metal base DR( 37190,954)/( 37191,494)</t>
  </si>
  <si>
    <t>f43007d8</t>
  </si>
  <si>
    <t>4.reg_fotografico_Images/f43007d8.imagen.024638.jpg</t>
  </si>
  <si>
    <t>Daño mecánico A1 DR(37191,224)/( 37191,234)</t>
  </si>
  <si>
    <t>fc198405</t>
  </si>
  <si>
    <t>4.reg_fotografico_Images/fc198405.imagen.222953.jpg</t>
  </si>
  <si>
    <t>zona de abolladura DR(abolladura )/( 25350,475   )</t>
  </si>
  <si>
    <t>c8e1bb07</t>
  </si>
  <si>
    <t>4.reg_fotografico_Images/c8e1bb07.imagen.222955.jpg</t>
  </si>
  <si>
    <t>AREA DE HOT TAP DR(AREA DE HOT TAP     )/( 25350,715   )</t>
  </si>
  <si>
    <t>e5a224ae</t>
  </si>
  <si>
    <t>4.reg_fotografico_Images/e5a224ae.imagen.232313.jpg</t>
  </si>
  <si>
    <t>Zona de inicio de corte DR(  Zona de inicio de corte  )/(  25378,983 - 25379,133  )</t>
  </si>
  <si>
    <t>0a4aa788</t>
  </si>
  <si>
    <t>4.reg_fotografico_Images/0a4aa788.imagen.232316.jpg</t>
  </si>
  <si>
    <t>Colonia de grietas DR( Colonia de grietas   )/( 25386,059-25386,159   )</t>
  </si>
  <si>
    <t>b9d3adc3</t>
  </si>
  <si>
    <t>a6b44840</t>
  </si>
  <si>
    <t>4.reg_fotografico_Images/b9d3adc3.imagen.232319.jpg</t>
  </si>
  <si>
    <t>Colonia de grietas 2 DR( Colonia de grietas 2  )/( 25388,356-25388,456   )</t>
  </si>
  <si>
    <t>5318920f</t>
  </si>
  <si>
    <t>4.reg_fotografico_Images/5318920f.imagen.232322.jpg</t>
  </si>
  <si>
    <t>Junta circunferencial DR( Junta circunferencial )/( 25386.609-25386,759   )</t>
  </si>
  <si>
    <t>2a7b7600</t>
  </si>
  <si>
    <t>4.reg_fotografico_Images/2a7b7600.imagen.004447.jpg</t>
  </si>
  <si>
    <t>Colonia de grietas 2 DR(  Colonia de grietas 2   )/(  25388,306-25388,366  )</t>
  </si>
  <si>
    <t>debbeb37</t>
  </si>
  <si>
    <t>4.reg_fotografico_Images/debbeb37.imagen.004450.jpg</t>
  </si>
  <si>
    <t>Colonia de grietas 3 DR(  Colonia de grietas 3   )/( 25389,081-25389,181   )</t>
  </si>
  <si>
    <t>07950b12</t>
  </si>
  <si>
    <t>4.reg_fotografico_Images/07950b12.imagen.004454.jpg</t>
  </si>
  <si>
    <t>Colonia de grietas 4 DR( Colonia de grietas 4  )/( 25389,919 -25389,929  )</t>
  </si>
  <si>
    <t>73eeb96c</t>
  </si>
  <si>
    <t>4.reg_fotografico_Images/73eeb96c.imagen.004457.jpg</t>
  </si>
  <si>
    <t>Colonia de grietas 5 DR( Colonia de grietas 5  )/( 25390,119-25390,219   )</t>
  </si>
  <si>
    <t>0772636d</t>
  </si>
  <si>
    <t>4.reg_fotografico_Images/0772636d.imagen.004500.jpg</t>
  </si>
  <si>
    <t>Colonia de grietas 6 DR( Colonia de grietas 6  )/( 25390,229-25390,239   )</t>
  </si>
  <si>
    <t>79acbf16</t>
  </si>
  <si>
    <t>4.reg_fotografico_Images/79acbf16.imagen.004503.jpg</t>
  </si>
  <si>
    <t>Colonia de grietas 7 DR(     )/( 25390,272-25390,372   )</t>
  </si>
  <si>
    <t>b1943303</t>
  </si>
  <si>
    <t>4.reg_fotografico_Images/b1943303.imagen.004506.jpg</t>
  </si>
  <si>
    <t>Colonia de grietas 9 DR( Colonia de grietas 9 )/(  25391,454-25391,554  )</t>
  </si>
  <si>
    <t>39a57466</t>
  </si>
  <si>
    <t>4.reg_fotografico_Images/39a57466.imagen.004509.jpg</t>
  </si>
  <si>
    <t>Junta circunferencial DR( Junta circunferencial )/( 25399,632-25399,732   )</t>
  </si>
  <si>
    <t>2d8963fd</t>
  </si>
  <si>
    <t>4.reg_fotografico_Images/2d8963fd.imagen.004512.jpg</t>
  </si>
  <si>
    <t>Zona sana fin de corte DR( Zona sana fin de corte    )/(  25400,092-25400,192       )</t>
  </si>
  <si>
    <t>6f9b1e64</t>
  </si>
  <si>
    <t>4.reg_fotografico_Images/6f9b1e64.imagen.005141.jpg</t>
  </si>
  <si>
    <t>Zona inicial de corte DR(5602,979)</t>
  </si>
  <si>
    <t>9a8dcbef</t>
  </si>
  <si>
    <t>4.reg_fotografico_Images/9a8dcbef.imagen.005145.jpg</t>
  </si>
  <si>
    <t>Zona final de corte DR(5676,093)</t>
  </si>
  <si>
    <t>7e4a71f9</t>
  </si>
  <si>
    <t>4.reg_fotografico_Images/7e4a71f9.imagen.172822.jpg</t>
  </si>
  <si>
    <t>Spot de junta longitudinal DR(24267.664)/( 24269.164)</t>
  </si>
  <si>
    <t>00f6d590</t>
  </si>
  <si>
    <t>4.reg_fotografico_Images/00f6d590.imagen.172826.jpg</t>
  </si>
  <si>
    <t>Zona sana para camisa DR(24268.149) y ( 24270.149)</t>
  </si>
  <si>
    <t>621a926e</t>
  </si>
  <si>
    <t>4.reg_fotografico_Images/621a926e.imagen.172829.jpg</t>
  </si>
  <si>
    <t>Anomalía reportada DR(24268,744)/( 24268,879)</t>
  </si>
  <si>
    <t>a4f75372</t>
  </si>
  <si>
    <t>4.reg_fotografico_Images/a4f75372.imagen.172834.jpg</t>
  </si>
  <si>
    <t>Junta circunferencial DR(24271,097)/(    )</t>
  </si>
  <si>
    <t>0649e3e6</t>
  </si>
  <si>
    <t>4.reg_fotografico_Images/0649e3e6.imagen.172836.jpg</t>
  </si>
  <si>
    <t>Zona final de corte DR(24271,697)/(    )</t>
  </si>
  <si>
    <t>24baced4</t>
  </si>
  <si>
    <t>4.reg_fotografico_Images/24baced4.imagen.172639.jpg</t>
  </si>
  <si>
    <t>Zona sana inicial DR(90719,787) / (90719,987)</t>
  </si>
  <si>
    <t>8f8c0c8a</t>
  </si>
  <si>
    <t>4.reg_fotografico_Images/8f8c0c8a.imagen.172643.jpg</t>
  </si>
  <si>
    <t>Zona sana final DR(90731,787)/(90731,987)</t>
  </si>
  <si>
    <t>9a2ebbe6</t>
  </si>
  <si>
    <t>4.reg_fotografico_Images/9a2ebbe6.imagen.193443.jpg</t>
  </si>
  <si>
    <t>Zona sana inicial DR(107713.120)/(107713.270)</t>
  </si>
  <si>
    <t>a97178cf</t>
  </si>
  <si>
    <t>4.reg_fotografico_Images/a97178cf.imagen.023614.png</t>
  </si>
  <si>
    <t>Corrosión Externa A1 DR( Corrosión Externa A1)/(DR  81388,748 m)</t>
  </si>
  <si>
    <t>066d43c4</t>
  </si>
  <si>
    <t>4.reg_fotografico_Images/066d43c4.imagen.023620.jpg</t>
  </si>
  <si>
    <t>Daño Mecánico # 1 DR(  Daño Mecánico # 1)/( DR81388,983)</t>
  </si>
  <si>
    <t>53b7791b</t>
  </si>
  <si>
    <t>4.reg_fotografico_Images/53b7791b.imagen.023626.jpg</t>
  </si>
  <si>
    <t>Daño Mecánico # 2 DR(Daño Mecánico # 2)/(DR81388,988)</t>
  </si>
  <si>
    <t>c4566ec4</t>
  </si>
  <si>
    <t>4.reg_fotografico_Images/c4566ec4.imagen.023632.jpg</t>
  </si>
  <si>
    <t>Daño Mecanico # 3 DR(Daño Mecanico # 3)/(DR81389,128)</t>
  </si>
  <si>
    <t>61fd69f9</t>
  </si>
  <si>
    <t>4.reg_fotografico_Images/61fd69f9.imagen.023638.jpg</t>
  </si>
  <si>
    <t>Daño Mecanico # 5. DR(Daño Mecanico # 5.)/(DR81389,143)</t>
  </si>
  <si>
    <t>e26b6c1f</t>
  </si>
  <si>
    <t>4.reg_fotografico_Images/e26b6c1f.imagen.023644.jpg</t>
  </si>
  <si>
    <t>4a5566cb</t>
  </si>
  <si>
    <t>4.reg_fotografico_Images/4a5566cb.imagen.023651.jpg</t>
  </si>
  <si>
    <t>d5a12496</t>
  </si>
  <si>
    <t>4.reg_fotografico_Images/d5a12496.imagen.023657.jpg</t>
  </si>
  <si>
    <t>4d7dc839</t>
  </si>
  <si>
    <t>4.reg_fotografico_Images/4d7dc839.imagen.023702.jpg</t>
  </si>
  <si>
    <t>98a27ab8</t>
  </si>
  <si>
    <t>4.reg_fotografico_Images/98a27ab8.imagen.194807.jpg</t>
  </si>
  <si>
    <t xml:space="preserve"> DR()/(41221.712)</t>
  </si>
  <si>
    <t>37d3c5ba</t>
  </si>
  <si>
    <t>4.reg_fotografico_Images/37d3c5ba.imagen.200331.jpg</t>
  </si>
  <si>
    <t>Inicio zona sana 1 DR(     )/(41224.666)</t>
  </si>
  <si>
    <t>3c2c8b31</t>
  </si>
  <si>
    <t>4.reg_fotografico_Images/3c2c8b31.imagen.203323.jpg</t>
  </si>
  <si>
    <t>Anomalía A1 DR(     )/(41224.873)</t>
  </si>
  <si>
    <t>1c180cc6</t>
  </si>
  <si>
    <t>4.reg_fotografico_Images/1c180cc6.imagen.203326.jpg</t>
  </si>
  <si>
    <t>Anomalía A2 DR(     )/(41224.927)</t>
  </si>
  <si>
    <t>63cd5e54</t>
  </si>
  <si>
    <t>4.reg_fotografico_Images/63cd5e54.imagen.203329.jpg</t>
  </si>
  <si>
    <t>Anomalía A3 DR(     )/(41226.11)</t>
  </si>
  <si>
    <t>9b51fd4a</t>
  </si>
  <si>
    <t>4.reg_fotografico_Images/9b51fd4a.imagen.204529.jpg</t>
  </si>
  <si>
    <t>Anomalía 4 DR(     )/(    )</t>
  </si>
  <si>
    <t>c04c0f50</t>
  </si>
  <si>
    <t>4.reg_fotografico_Images/c04c0f50.imagen.203335.jpg</t>
  </si>
  <si>
    <t>Fin zona sana 1 DR(     )/(41226.866)</t>
  </si>
  <si>
    <t>d0dc800f</t>
  </si>
  <si>
    <t>4.reg_fotografico_Images/d0dc800f.imagen.203340.jpg</t>
  </si>
  <si>
    <t>Inicio zona sana 2 DR(     )/(41228.89)</t>
  </si>
  <si>
    <t>16f0a4fc</t>
  </si>
  <si>
    <t>4.reg_fotografico_Images/16f0a4fc.imagen.203343.jpg</t>
  </si>
  <si>
    <t>Anomalía A7 DR(     )/(41228.89)</t>
  </si>
  <si>
    <t>c3f1e9ec</t>
  </si>
  <si>
    <t>4.reg_fotografico_Images/c3f1e9ec.imagen.203346.jpg</t>
  </si>
  <si>
    <t>Fin zona sana 2 DR(     )/(41229.89)</t>
  </si>
  <si>
    <t>2be4ce0d</t>
  </si>
  <si>
    <t>4.reg_fotografico_Images/2be4ce0d.imagen.203349.jpg</t>
  </si>
  <si>
    <t>Inicio zona sana 3 DR(     )/(41231.662)</t>
  </si>
  <si>
    <t>35fc2dec</t>
  </si>
  <si>
    <t>4.reg_fotografico_Images/35fc2dec.imagen.203352.jpg</t>
  </si>
  <si>
    <t>Cold weld - Protección catodica 1 DR(     )/(41231.957)</t>
  </si>
  <si>
    <t>0b9c2024</t>
  </si>
  <si>
    <t>4.reg_fotografico_Images/0b9c2024.imagen.203356.jpg</t>
  </si>
  <si>
    <t>Junta 35150 DR(     )/(41232.212)</t>
  </si>
  <si>
    <t>faa9edcc</t>
  </si>
  <si>
    <t>4.reg_fotografico_Images/faa9edcc.imagen.203359.jpg</t>
  </si>
  <si>
    <t>Cold weld - Protección catódica 2 DR(     )/(41232.222)</t>
  </si>
  <si>
    <t>7df68333</t>
  </si>
  <si>
    <t>4.reg_fotografico_Images/7df68333.imagen.203403.jpg</t>
  </si>
  <si>
    <t>Fin zona sana 3 DR(     )/(41232.362)</t>
  </si>
  <si>
    <t>8fa95627</t>
  </si>
  <si>
    <t>4.reg_fotografico_Images/8fa95627.imagen.205001.jpg</t>
  </si>
  <si>
    <t>Zona sana fin reparación Camisa tipo B No 6 DR(   1034,440  )/(  1034,540  )</t>
  </si>
  <si>
    <t>93a97631</t>
  </si>
  <si>
    <t>4.reg_fotografico_Images/93a97631.imagen.205004.jpg</t>
  </si>
  <si>
    <t>Zona sana inicio reparación Camisa tipo B  No 5 DR(  1031,482   )/(  1031,582  )</t>
  </si>
  <si>
    <t>c1571b4a</t>
  </si>
  <si>
    <t>4.reg_fotografico_Images/c1571b4a.imagen.205007.jpg</t>
  </si>
  <si>
    <t>Zona sana fin reparación Camisa tipo B No 2/ No 3 DR(   1027,555  )/(  1027,655  )</t>
  </si>
  <si>
    <t>1b199f9a</t>
  </si>
  <si>
    <t>4.reg_fotografico_Images/1b199f9a.imagen.205010.jpg</t>
  </si>
  <si>
    <t>Depósito de soldadura No 4 DR1029,624</t>
  </si>
  <si>
    <t>9e491e29</t>
  </si>
  <si>
    <t>4.reg_fotografico_Images/9e491e29.imagen.205014.jpg</t>
  </si>
  <si>
    <t>Zona sana fin reparación Camisa tipo B No 8 DR(   1038,749  )/(  1038,849  )</t>
  </si>
  <si>
    <t>070ee24d</t>
  </si>
  <si>
    <t>4.reg_fotografico_Images/070ee24d.imagen.205018.jpg</t>
  </si>
  <si>
    <t>Zona sana inicio reparación Camisa tipo B  No 3 DR(   1025,705  )/(  1025,805  )</t>
  </si>
  <si>
    <t>1974f4af</t>
  </si>
  <si>
    <t>4.reg_fotografico_Images/1974f4af.imagen.205021.jpg</t>
  </si>
  <si>
    <t>Depósito de soldadura No 1 DR1028,439</t>
  </si>
  <si>
    <t>369e77fb</t>
  </si>
  <si>
    <t>4.reg_fotografico_Images/369e77fb.imagen.205024.jpg</t>
  </si>
  <si>
    <t>Zona sana inicio reparación Camisa tipo B  No 8 DR(  1037,249   )/(  1037,349  )</t>
  </si>
  <si>
    <t>957cfe61</t>
  </si>
  <si>
    <t>4.reg_fotografico_Images/957cfe61.imagen.205027.jpg</t>
  </si>
  <si>
    <t>PDM A19 T1 DR1027,478</t>
  </si>
  <si>
    <t>1635f33f</t>
  </si>
  <si>
    <t>4.reg_fotografico_Images/1635f33f.imagen.205030.jpg</t>
  </si>
  <si>
    <t>Costura longitudinal Tubo 2 DR(   1030,944  )/(  1041,193  )</t>
  </si>
  <si>
    <t>87047db7</t>
  </si>
  <si>
    <t>4.reg_fotografico_Images/87047db7.imagen.205033.jpg</t>
  </si>
  <si>
    <t>Junta Circunferencial  JC # 970 DR1021,833</t>
  </si>
  <si>
    <t>64660dbd</t>
  </si>
  <si>
    <t>4.reg_fotografico_Images/64660dbd.imagen.205036.jpg</t>
  </si>
  <si>
    <t>Zona sana inicio reparación Camisa tipo B  No 6 DR(  1033,440   )/(  1033,540  )</t>
  </si>
  <si>
    <t>01c11ab7</t>
  </si>
  <si>
    <t>4.reg_fotografico_Images/01c11ab7.imagen.205040.jpg</t>
  </si>
  <si>
    <t>Costura longitudinal Tubo 2 DR(  1029,004   )/(  1030,324  )</t>
  </si>
  <si>
    <t>ce1a5ae4</t>
  </si>
  <si>
    <t>4.reg_fotografico_Images/ce1a5ae4.imagen.205043.jpg</t>
  </si>
  <si>
    <t>Junta Circunferencial  JC # 980 DR1029,004</t>
  </si>
  <si>
    <t>c04d5b7c</t>
  </si>
  <si>
    <t>4.reg_fotografico_Images/c04d5b7c.imagen.205047.jpg</t>
  </si>
  <si>
    <t>PDM A6 T2 DR1032,415</t>
  </si>
  <si>
    <t>ae45a98c</t>
  </si>
  <si>
    <t>4.reg_fotografico_Images/ae45a98c.imagen.205051.jpg</t>
  </si>
  <si>
    <t>PDM A3 T2 DR1031,17</t>
  </si>
  <si>
    <t>48bf1301</t>
  </si>
  <si>
    <t>4.reg_fotografico_Images/48bf1301.imagen.205054.jpg</t>
  </si>
  <si>
    <t>Zona sana inicio reparación Camisa tipo B  No 7 DR(  1035,179   )/(  1035,279  )</t>
  </si>
  <si>
    <t>8ba7e222</t>
  </si>
  <si>
    <t>4.reg_fotografico_Images/8ba7e222.imagen.205057.jpg</t>
  </si>
  <si>
    <t>Depósito de soldadura No 3 DR1029,148</t>
  </si>
  <si>
    <t>22c85dfa</t>
  </si>
  <si>
    <t>4.reg_fotografico_Images/22c85dfa.imagen.205101.jpg</t>
  </si>
  <si>
    <t>PDM A5 T2 DR1032,271</t>
  </si>
  <si>
    <t>2f67e002</t>
  </si>
  <si>
    <t>4.reg_fotografico_Images/2f67e002.imagen.205104.jpg</t>
  </si>
  <si>
    <t>PMC A4 Tubo 2 Perdida de metal por corrosion externa 48,8% DR1031,631</t>
  </si>
  <si>
    <t>a0aaa70a</t>
  </si>
  <si>
    <t>4.reg_fotografico_Images/a0aaa70a.imagen.205107.jpg</t>
  </si>
  <si>
    <t>Zona sana fin reparación Camisa tipo B No 7 DR(   1036,179  )/(  1036,279  )</t>
  </si>
  <si>
    <t>0c00190b</t>
  </si>
  <si>
    <t>4.reg_fotografico_Images/0c00190b.imagen.205110.jpg</t>
  </si>
  <si>
    <t>Zona sana fin reparación cambio de tramo por C&amp;E/ Camisa sobre anillos reparación No 9 DR(  1041,418   )/(  1041,568  )</t>
  </si>
  <si>
    <t>e5937213</t>
  </si>
  <si>
    <t>4.reg_fotografico_Images/e5937213.imagen.205113.jpg</t>
  </si>
  <si>
    <t>Zona sana inicio reparación cambio de tramo por C&amp;E/ Camisa sobre anillos reparación No 1 DR(  1021,458   )/(  1021,608  )</t>
  </si>
  <si>
    <t>98ed217e</t>
  </si>
  <si>
    <t>4.reg_fotografico_Images/98ed217e.imagen.205117.jpg</t>
  </si>
  <si>
    <t>Zona sana inicio reparación Camisa Sobre Anillos  No 4 DR(   1028,184  )/(  1028,284  )</t>
  </si>
  <si>
    <t>9b32be67</t>
  </si>
  <si>
    <t>4.reg_fotografico_Images/9b32be67.imagen.205120.jpg</t>
  </si>
  <si>
    <t>Zona sana fin reparación Camisa sobre anillos  No 1 DR(  1022,083   )/(  1022,183  )</t>
  </si>
  <si>
    <t>d1765060</t>
  </si>
  <si>
    <t>4.reg_fotografico_Images/d1765060.imagen.205123.jpg</t>
  </si>
  <si>
    <t>Costura longitudinal Tubo 1 DR(  1021,833   )/(  1029,004  )</t>
  </si>
  <si>
    <t>39be53db</t>
  </si>
  <si>
    <t>4.reg_fotografico_Images/39be53db.imagen.205127.jpg</t>
  </si>
  <si>
    <t>Depósito de soldadura No 2 DR1028,649</t>
  </si>
  <si>
    <t>0e07f6c2</t>
  </si>
  <si>
    <t>4.reg_fotografico_Images/0e07f6c2.imagen.205130.jpg</t>
  </si>
  <si>
    <t>Zona sana fin reparación Camisa tipo B No 5 DR(  1032,482   )/(  1032,582  )</t>
  </si>
  <si>
    <t>cec8aa92</t>
  </si>
  <si>
    <t>4.reg_fotografico_Images/cec8aa92.imagen.205134.jpg</t>
  </si>
  <si>
    <t>3f07e2c0</t>
  </si>
  <si>
    <t>4.reg_fotografico_Images/3f07e2c0.imagen.205307.jpg</t>
  </si>
  <si>
    <t>Junta Circunferencial  JC # 990 DR1041,193</t>
  </si>
  <si>
    <t>10cb4873</t>
  </si>
  <si>
    <t>4.reg_fotografico_Images/10cb4873.imagen.205311.jpg</t>
  </si>
  <si>
    <t>Zona sana inicio reparación Camisa Sobre Anillos  No 9 DR(   1040,843  )/(  1040,943  )</t>
  </si>
  <si>
    <t>ce25fc43</t>
  </si>
  <si>
    <t>4.reg_fotografico_Images/ce25fc43.imagen.140747.jpg</t>
  </si>
  <si>
    <t>C2 DR87599,477</t>
  </si>
  <si>
    <t>ad00d92c</t>
  </si>
  <si>
    <t>4.reg_fotografico_Images/ad00d92c.imagen.140751.jpg</t>
  </si>
  <si>
    <t>C17 DR87600,043</t>
  </si>
  <si>
    <t>f0736f2e</t>
  </si>
  <si>
    <t>4.reg_fotografico_Images/f0736f2e.imagen.140754.jpg</t>
  </si>
  <si>
    <t>C16 DR87599,964</t>
  </si>
  <si>
    <t>8a48d54b</t>
  </si>
  <si>
    <t>4.reg_fotografico_Images/8a48d54b.imagen.140758.jpg</t>
  </si>
  <si>
    <t>C12 DR87599,827</t>
  </si>
  <si>
    <t>d2f628b8</t>
  </si>
  <si>
    <t>4.reg_fotografico_Images/d2f628b8.imagen.140802.jpg</t>
  </si>
  <si>
    <t>Zona sana fin  Camisa tipo B  reparación No 1 / No 3 DR(  87601,158   )/(  87601,248  )</t>
  </si>
  <si>
    <t>101e0c0f</t>
  </si>
  <si>
    <t>4.reg_fotografico_Images/101e0c0f.imagen.140806.jpg</t>
  </si>
  <si>
    <t>C14 DR87599,909</t>
  </si>
  <si>
    <t>f70a4cad</t>
  </si>
  <si>
    <t>4.reg_fotografico_Images/f70a4cad.imagen.140810.jpg</t>
  </si>
  <si>
    <t>C19 DR87600,165</t>
  </si>
  <si>
    <t>52fe5ec2</t>
  </si>
  <si>
    <t>4.reg_fotografico_Images/52fe5ec2.imagen.140816.jpg</t>
  </si>
  <si>
    <t>C18 DR87600,089</t>
  </si>
  <si>
    <t>ffdf7ef9</t>
  </si>
  <si>
    <t>4.reg_fotografico_Images/ffdf7ef9.imagen.140821.jpg</t>
  </si>
  <si>
    <t>Zona sana inicio Camisa tipo B  reparación  No 3 DR(  87600,658   )/(  87600,748  )</t>
  </si>
  <si>
    <t>9e34ddb7</t>
  </si>
  <si>
    <t>4.reg_fotografico_Images/9e34ddb7.imagen.140825.jpg</t>
  </si>
  <si>
    <t>C7 DR87599,667</t>
  </si>
  <si>
    <t>d799f51c</t>
  </si>
  <si>
    <t>4.reg_fotografico_Images/d799f51c.imagen.140829.jpg</t>
  </si>
  <si>
    <t>C3 DR87599,502</t>
  </si>
  <si>
    <t>62cf269b</t>
  </si>
  <si>
    <t>4.reg_fotografico_Images/62cf269b.imagen.140833.jpg</t>
  </si>
  <si>
    <t>C20 DR87600,190</t>
  </si>
  <si>
    <t>29d80d1d</t>
  </si>
  <si>
    <t>4.reg_fotografico_Images/29d80d1d.imagen.140837.jpg</t>
  </si>
  <si>
    <t>C8 DR87599,679</t>
  </si>
  <si>
    <t>98936277</t>
  </si>
  <si>
    <t>4.reg_fotografico_Images/98936277.imagen.140841.jpg</t>
  </si>
  <si>
    <t>C13 DR87599,879</t>
  </si>
  <si>
    <t>caf2af9e</t>
  </si>
  <si>
    <t>4.reg_fotografico_Images/caf2af9e.imagen.140847.jpg</t>
  </si>
  <si>
    <t>C10 DR87599,797</t>
  </si>
  <si>
    <t>ec4911c3</t>
  </si>
  <si>
    <t>4.reg_fotografico_Images/ec4911c3.imagen.140852.jpg</t>
  </si>
  <si>
    <t>C11 DR87599,813</t>
  </si>
  <si>
    <t>66cf7b70</t>
  </si>
  <si>
    <t>4.reg_fotografico_Images/66cf7b70.imagen.140856.jpg</t>
  </si>
  <si>
    <t>Zona sana inicio reparación Camisa tipo B  No 1 / No 2 DR(   87599,288  )/(  87599,288  )</t>
  </si>
  <si>
    <t>87ea4e8e</t>
  </si>
  <si>
    <t>4.reg_fotografico_Images/87ea4e8e.imagen.140901.jpg</t>
  </si>
  <si>
    <t>C6 DR87599,627</t>
  </si>
  <si>
    <t>3ef6863f</t>
  </si>
  <si>
    <t>4.reg_fotografico_Images/3ef6863f.imagen.140906.jpg</t>
  </si>
  <si>
    <t>Zona sana fin  Camisa tipo B  reparación No 2 DR(  87600,388   )/(  87600,478  )</t>
  </si>
  <si>
    <t>2b14ed87</t>
  </si>
  <si>
    <t>4.reg_fotografico_Images/2b14ed87.imagen.140910.jpg</t>
  </si>
  <si>
    <t>C1 DR87599,470</t>
  </si>
  <si>
    <t>91543908</t>
  </si>
  <si>
    <t>4.reg_fotografico_Images/91543908.imagen.140915.jpg</t>
  </si>
  <si>
    <t>C9 DR87599,780</t>
  </si>
  <si>
    <t>30fb266d</t>
  </si>
  <si>
    <t>4.reg_fotografico_Images/30fb266d.imagen.140922.jpg</t>
  </si>
  <si>
    <t>C15 DR87599,958</t>
  </si>
  <si>
    <t>19b381d1</t>
  </si>
  <si>
    <t>4.reg_fotografico_Images/19b381d1.imagen.140926.jpg</t>
  </si>
  <si>
    <t>C4 DR87599,530</t>
  </si>
  <si>
    <t>6f922830</t>
  </si>
  <si>
    <t>4.reg_fotografico_Images/6f922830.imagen.140931.jpg</t>
  </si>
  <si>
    <t>C5 DR87599,563</t>
  </si>
  <si>
    <t>282c8dc7</t>
  </si>
  <si>
    <t>4.reg_fotografico_Images/282c8dc7.imagen.140959.jpg</t>
  </si>
  <si>
    <t>C26 DR87601,037</t>
  </si>
  <si>
    <t>d736b79e</t>
  </si>
  <si>
    <t>4.reg_fotografico_Images/d736b79e.imagen.141003.jpg</t>
  </si>
  <si>
    <t>C25 DR87600,993</t>
  </si>
  <si>
    <t>fa9e1ab7</t>
  </si>
  <si>
    <t>4.reg_fotografico_Images/fa9e1ab7.imagen.141006.jpg</t>
  </si>
  <si>
    <t>C22 DR87600,910</t>
  </si>
  <si>
    <t>da9ca65f</t>
  </si>
  <si>
    <t>4.reg_fotografico_Images/da9ca65f.imagen.141009.jpg</t>
  </si>
  <si>
    <t>C21 DR87600,243</t>
  </si>
  <si>
    <t>13825ff1</t>
  </si>
  <si>
    <t>4.reg_fotografico_Images/13825ff1.imagen.141015.jpg</t>
  </si>
  <si>
    <t>C23 DR87600,924</t>
  </si>
  <si>
    <t>70d912c5</t>
  </si>
  <si>
    <t>4.reg_fotografico_Images/70d912c5.imagen.141019.jpg</t>
  </si>
  <si>
    <t>f7e30579</t>
  </si>
  <si>
    <t>4.reg_fotografico_Images/f7e30579.imagen.141024.jpg</t>
  </si>
  <si>
    <t>C24 DR87600,947</t>
  </si>
  <si>
    <t>75fce583</t>
  </si>
  <si>
    <t>4.reg_fotografico_Images/75fce583.imagen.004444.jpg</t>
  </si>
  <si>
    <t>zona sana DR 63797,304 DR (   63797,254  )/( 63797,354   )</t>
  </si>
  <si>
    <t>01cb0294</t>
  </si>
  <si>
    <t>4.reg_fotografico_Images/01cb0294.imagen.004744.jpg</t>
  </si>
  <si>
    <t>Zona sana DR 3811,203 DR ( 3811,153    )/(  3811,253  )</t>
  </si>
  <si>
    <t>6bd72419</t>
  </si>
  <si>
    <t>4.reg_fotografico_Images/6bd72419.imagen.005544.jpg</t>
  </si>
  <si>
    <t>JC# 48910 DR 63797,504 DR (  63797,454   )/(  63797,554  )</t>
  </si>
  <si>
    <t>67ecb5fe</t>
  </si>
  <si>
    <t>4.reg_fotografico_Images/67ecb5fe.imagen.005847.jpg</t>
  </si>
  <si>
    <t>Zona sana DR 63797,704 DR (  63797,654 )/( 63797,754   )</t>
  </si>
  <si>
    <t>d4f2127f</t>
  </si>
  <si>
    <t>4.reg_fotografico_Images/d4f2127f.imagen.005853.jpg</t>
  </si>
  <si>
    <t>zona sana DR 63825,043 DR ( 63824,993    )/(  63825,093  )</t>
  </si>
  <si>
    <t>71d80afe</t>
  </si>
  <si>
    <t>4.reg_fotografico_Images/71d80afe.imagen.005856.jpg</t>
  </si>
  <si>
    <t>JC# 48920 DR 63811,403 DR ( 63811,353    )/(  63811,453  )</t>
  </si>
  <si>
    <t>391f59c7</t>
  </si>
  <si>
    <t>4.reg_fotografico_Images/391f59c7.imagen.005859.jpg</t>
  </si>
  <si>
    <t>JC# 48950 DR 63851,839 DR (  63851,789   )/( 63851,889   )</t>
  </si>
  <si>
    <t>2e5912f6</t>
  </si>
  <si>
    <t>4.reg_fotografico_Images/2e5912f6.imagen.005902.jpg</t>
  </si>
  <si>
    <t>Zona sana DR 63852,039 DR (  63851,989   )/(  63852,089  )</t>
  </si>
  <si>
    <t>81bd7bcb</t>
  </si>
  <si>
    <t>4.reg_fotografico_Images/81bd7bcb.imagen.005906.jpg</t>
  </si>
  <si>
    <t>Zona sana DR  63851,639 DR (   63851,589   )/(  63851,689   )</t>
  </si>
  <si>
    <t>90f19413</t>
  </si>
  <si>
    <t>4.reg_fotografico_Images/90f19413.imagen.005910.jpg</t>
  </si>
  <si>
    <t>Zona sana DR 63858,079 DR ( 63858,029    )/(  63858,129  )</t>
  </si>
  <si>
    <t>bdb8a594</t>
  </si>
  <si>
    <t>4.reg_fotografico_Images/bdb8a594.imagen.005913.jpg</t>
  </si>
  <si>
    <t>Zona sana DR 63811,603 DR (  63811,553   )/( 63811,653   )</t>
  </si>
  <si>
    <t>7d284ccf</t>
  </si>
  <si>
    <t>4.reg_fotografico_Images/7d284ccf.imagen.005917.jpg</t>
  </si>
  <si>
    <t>Zona sana DR 63837,784 DR (   63837,734 )/( 63837,834   )</t>
  </si>
  <si>
    <t>bedbbcff</t>
  </si>
  <si>
    <t>4.reg_fotografico_Images/bedbbcff.imagen.005920.jpg</t>
  </si>
  <si>
    <t>Zona sana DR 63838,184 DR (  63838,134   )/(  63838,234 )</t>
  </si>
  <si>
    <t>da1a3ce9</t>
  </si>
  <si>
    <t>4.reg_fotografico_Images/da1a3ce9.imagen.005923.jpg</t>
  </si>
  <si>
    <t>JC# 48940 DR 63837,984 DR (   63837,934  )/( 63838,034   )</t>
  </si>
  <si>
    <t>8059f2a7</t>
  </si>
  <si>
    <t>4.reg_fotografico_Images/8059f2a7.imagen.005926.jpg</t>
  </si>
  <si>
    <t>Zona sana DR 63825,443 DR ( 63825,393    )/(   63825,493 )</t>
  </si>
  <si>
    <t>f6108159</t>
  </si>
  <si>
    <t>4.reg_fotografico_Images/f6108159.imagen.005929.jpg</t>
  </si>
  <si>
    <t>JC# 48930 DR 63825,243 DR (  63825,193   )/(  63825,293  )</t>
  </si>
  <si>
    <t>aae9eabe</t>
  </si>
  <si>
    <t>4.reg_fotografico_Images/aae9eabe.imagen.005932.jpg</t>
  </si>
  <si>
    <t>Daño mecánico DR 63838,016 DR ( DR 63838,016 )/(  )</t>
  </si>
  <si>
    <t>8209d145</t>
  </si>
  <si>
    <t>4.reg_fotografico_Images/8209d145.imagen.005935.jpg</t>
  </si>
  <si>
    <t>Zona sana DR 63859,529 DR (    63859,479  )/(   63859,579  )</t>
  </si>
  <si>
    <t>f023e0c7</t>
  </si>
  <si>
    <t>4.reg_fotografico_Images/f023e0c7.imagen.005938.jpg</t>
  </si>
  <si>
    <t>Zona sana DR 63872,645 DR (  63872,595 )/(  63872,695  )</t>
  </si>
  <si>
    <t>a810b13e</t>
  </si>
  <si>
    <t>4.reg_fotografico_Images/a810b13e.imagen.005942.jpg</t>
  </si>
  <si>
    <t>Daño mecánico DR 63872,22 DR ( 63872,22    )/(    )</t>
  </si>
  <si>
    <t>7417ba9b</t>
  </si>
  <si>
    <t>4.reg_fotografico_Images/7417ba9b.imagen.005945.jpg</t>
  </si>
  <si>
    <t>JC# 48960 DR 63865,245 DR (  63865,195   )/(  63865,295 )</t>
  </si>
  <si>
    <t>68755291</t>
  </si>
  <si>
    <t>4.reg_fotografico_Images/68755291.imagen.005948.jpg</t>
  </si>
  <si>
    <t>Zona sana DR 63865,645 DR (   63865,595  )/(  63865,695  )</t>
  </si>
  <si>
    <t>d92ac454</t>
  </si>
  <si>
    <t>4.reg_fotografico_Images/d92ac454.imagen.005951.jpg</t>
  </si>
  <si>
    <t>Zona sana DR 63872,095 DR (  63872,045   )/(  63872,145  )</t>
  </si>
  <si>
    <t>1b0f2139</t>
  </si>
  <si>
    <t>4.reg_fotografico_Images/1b0f2139.imagen.005954.jpg</t>
  </si>
  <si>
    <t>Daño mecánico DR 63865,495 m DR (  63865,495   )/(    )</t>
  </si>
  <si>
    <t>3b943224</t>
  </si>
  <si>
    <t>4.reg_fotografico_Images/3b943224.imagen.005958.jpg</t>
  </si>
  <si>
    <t>Zona sana DR 63864,645 DR (  63864,595   )/( 63864,695   )</t>
  </si>
  <si>
    <t>1dc7af2c</t>
  </si>
  <si>
    <t>4.reg_fotografico_Images/1dc7af2c.imagen.010003.jpg</t>
  </si>
  <si>
    <t>Junta logitudinal DR 63857,679 m DR (  63857,679   )/( 63859,679   )</t>
  </si>
  <si>
    <t>7a48ef9b</t>
  </si>
  <si>
    <t>4.reg_fotografico_Images/7a48ef9b.imagen.032036.jpg</t>
  </si>
  <si>
    <t>Zona inicial de corte DR(8195,901)</t>
  </si>
  <si>
    <t>9af9fa4d</t>
  </si>
  <si>
    <t>4.reg_fotografico_Images/9af9fa4d.imagen.032048.jpg</t>
  </si>
  <si>
    <t>Zona final de corte DR(8283,199)</t>
  </si>
  <si>
    <t>902d9d71</t>
  </si>
  <si>
    <t>4.reg_fotografico_Images/902d9d71.imagen.032053.jpg</t>
  </si>
  <si>
    <t>Zona sana DR 63876,545 m DR (  63876,495   )/( 63876,595   )</t>
  </si>
  <si>
    <t>d395fdf7</t>
  </si>
  <si>
    <t>4.reg_fotografico_Images/d395fdf7.imagen.032058.jpg</t>
  </si>
  <si>
    <t>Daño mecánico DR 63876,75 DR (  63876,75   )/(    )</t>
  </si>
  <si>
    <t>d254e393</t>
  </si>
  <si>
    <t>4.reg_fotografico_Images/d254e393.imagen.032104.jpg</t>
  </si>
  <si>
    <t>Zona sana DR 63876,895 DR (   63876,845  )/(63876,945    )</t>
  </si>
  <si>
    <t>86e458fc</t>
  </si>
  <si>
    <t>4.reg_fotografico_Images/86e458fc.imagen.032344.jpg</t>
  </si>
  <si>
    <t>Zona sana DR 63877,645 m DR (  63877,595   )/(  63877,695  )</t>
  </si>
  <si>
    <t>55b871f1</t>
  </si>
  <si>
    <t>4.reg_fotografico_Images/55b871f1.imagen.032644.jpg</t>
  </si>
  <si>
    <t>Zona sana DR 63877,995 DR ( 63877,945    )/(  63878,045  )</t>
  </si>
  <si>
    <t>dd003ffb</t>
  </si>
  <si>
    <t>4.reg_fotografico_Images/dd003ffb.imagen.032944.jpg</t>
  </si>
  <si>
    <t>Zona sana DR 63878,863 DR (   63878,813  )/( 63878,913   )</t>
  </si>
  <si>
    <t>08a76a67</t>
  </si>
  <si>
    <t>4.reg_fotografico_Images/08a76a67.imagen.033039.jpg</t>
  </si>
  <si>
    <t>JC# 48970 DR 63879,063 DR (  63879,063   )/(    )</t>
  </si>
  <si>
    <t>5b3d62b4</t>
  </si>
  <si>
    <t>4.reg_fotografico_Images/5b3d62b4.imagen.033042.jpg</t>
  </si>
  <si>
    <t>Zona sana DR 63879,263 DR ( 63879,213    )/(  63879,313  )</t>
  </si>
  <si>
    <t>4128aac5</t>
  </si>
  <si>
    <t>4.reg_fotografico_Images/4128aac5.imagen.033045.jpg</t>
  </si>
  <si>
    <t>Zona sana DR 63886,013 DR (   63885,963  )/( 63886,063   )</t>
  </si>
  <si>
    <t>6c586bf6</t>
  </si>
  <si>
    <t>4.reg_fotografico_Images/6c586bf6.imagen.033048.jpg</t>
  </si>
  <si>
    <t>Zona sana DR  63886,363 DR (   63886,313   )/(   63886,413  )</t>
  </si>
  <si>
    <t>6b7171be</t>
  </si>
  <si>
    <t>4.reg_fotografico_Images/6b7171be.imagen.033051.jpg</t>
  </si>
  <si>
    <t>Zona sana DR 63889,808 DR (  63889,758   )/( 63889,858   )</t>
  </si>
  <si>
    <t>2337614f</t>
  </si>
  <si>
    <t>4.reg_fotografico_Images/2337614f.imagen.033055.jpg</t>
  </si>
  <si>
    <t>Daños mecánicos DR 63890,328 y DR 63890,356 DR (  63890,328   )/(  63890,356  )</t>
  </si>
  <si>
    <t>4e7fd679</t>
  </si>
  <si>
    <t>4.2.reg_calidad_Images/4e7fd679.imagen.171105.jpg</t>
  </si>
  <si>
    <t>1. Verificación de magnetismo residual.</t>
  </si>
  <si>
    <t>2d3ac1b3</t>
  </si>
  <si>
    <t>4.2.reg_calidad_Images/2d3ac1b3.imagen.171110.jpg</t>
  </si>
  <si>
    <t>3.  Verificación de líneas de campo magnético.</t>
  </si>
  <si>
    <t>0b152d5e</t>
  </si>
  <si>
    <t>4.2.reg_calidad_Images/0b152d5e.imagen.171119.jpg</t>
  </si>
  <si>
    <t>2. Verificación de medición luz UV.</t>
  </si>
  <si>
    <t>e67fe48d</t>
  </si>
  <si>
    <t>4.2.reg_calidad_Images/e67fe48d.imagen.175322.jpg</t>
  </si>
  <si>
    <t>https://www.appsheet.com/template/gettablefileurl?appName=particulas_magneticas-924373673&amp;tableName=4.reg_fotografico&amp;fileName=4.2.reg_calidad_Images/e67fe48d.imagen.175322.jpg</t>
  </si>
  <si>
    <t>f09973a3</t>
  </si>
  <si>
    <t>4.2.reg_calidad_Images/f09973a3.imagen.175326.jpg</t>
  </si>
  <si>
    <t>https://www.appsheet.com/template/gettablefileurl?appName=particulas_magneticas-924373673&amp;tableName=4.reg_fotografico&amp;fileName=4.2.reg_calidad_Images/f09973a3.imagen.175326.jpg</t>
  </si>
  <si>
    <t>4ab4336e</t>
  </si>
  <si>
    <t>4.2.reg_calidad_Images/4ab4336e.imagen.175330.jpg</t>
  </si>
  <si>
    <t>d4101285</t>
  </si>
  <si>
    <t>4.2.reg_calidad_Images/d4101285.imagen.011137.jpg</t>
  </si>
  <si>
    <t>4. Verificación de medicion de Luz día.</t>
  </si>
  <si>
    <t>ec238c7c</t>
  </si>
  <si>
    <t>4.2.reg_calidad_Images/ec238c7c.imagen.011144.jpg</t>
  </si>
  <si>
    <t>5. Verificacion de peso muerto.</t>
  </si>
  <si>
    <t>235aff0b</t>
  </si>
  <si>
    <t>4.2.reg_calidad_Images/235aff0b.imagen.220120.jpg</t>
  </si>
  <si>
    <t>204ed4b0</t>
  </si>
  <si>
    <t>4.2.reg_calidad_Images/204ed4b0.imagen.220123.jpg</t>
  </si>
  <si>
    <t>d0eb98c7</t>
  </si>
  <si>
    <t>4.2.reg_calidad_Images/d0eb98c7.imagen.220125.jpg</t>
  </si>
  <si>
    <t>470eba82</t>
  </si>
  <si>
    <t>4.2.reg_calidad_Images/470eba82.imagen.220130.jpg</t>
  </si>
  <si>
    <t>2a8a7315</t>
  </si>
  <si>
    <t>4.2.reg_calidad_Images/2a8a7315.imagen.233431.jpg</t>
  </si>
  <si>
    <t>d27dc781</t>
  </si>
  <si>
    <t>4.2.reg_calidad_Images/d27dc781.imagen.033454.jpg</t>
  </si>
  <si>
    <t>24c7338b</t>
  </si>
  <si>
    <t>4.2.reg_calidad_Images/24c7338b.imagen.033457.jpg</t>
  </si>
  <si>
    <t>d0a561dd</t>
  </si>
  <si>
    <t>4.2.reg_calidad_Images/d0a561dd.imagen.033500.jpg</t>
  </si>
  <si>
    <t>0c08d85e</t>
  </si>
  <si>
    <t>4.2.reg_calidad_Images/0c08d85e.imagen.033503.jpg</t>
  </si>
  <si>
    <t>561c59eb</t>
  </si>
  <si>
    <t>4.2.reg_calidad_Images/561c59eb.imagen.033506.jpg</t>
  </si>
  <si>
    <t>39bd8126</t>
  </si>
  <si>
    <t>4.2.reg_calidad_Images/39bd8126.imagen.005227.jpg</t>
  </si>
  <si>
    <t>6be4ca8b</t>
  </si>
  <si>
    <t>4.2.reg_calidad_Images/6be4ca8b.imagen.005332.jpg</t>
  </si>
  <si>
    <t>654d1f75</t>
  </si>
  <si>
    <t>4.2.reg_calidad_Images/654d1f75.imagen.005336.jpg</t>
  </si>
  <si>
    <t>831f5690</t>
  </si>
  <si>
    <t>4.2.reg_calidad_Images/831f5690.imagen.005339.jpg</t>
  </si>
  <si>
    <t>8498207d</t>
  </si>
  <si>
    <t>4.2.reg_calidad_Images/8498207d.imagen.005342.jpg</t>
  </si>
  <si>
    <t>8d8fee56</t>
  </si>
  <si>
    <t>4.2.reg_calidad_Images/8d8fee56.imagen.162802.jpg</t>
  </si>
  <si>
    <t>40db845e</t>
  </si>
  <si>
    <t>4.2.reg_calidad_Images/40db845e.imagen.162806.jpg</t>
  </si>
  <si>
    <t>de33e8d2</t>
  </si>
  <si>
    <t>4.2.reg_calidad_Images/de33e8d2.imagen.162809.jpg</t>
  </si>
  <si>
    <t>5556fdcc</t>
  </si>
  <si>
    <t>4.2.reg_calidad_Images/5556fdcc.imagen.162813.jpg</t>
  </si>
  <si>
    <t>bfeb010c</t>
  </si>
  <si>
    <t>4.2.reg_calidad_Images/bfeb010c.imagen.162817.jpg</t>
  </si>
  <si>
    <t>3b6deb00</t>
  </si>
  <si>
    <t>4.2.reg_calidad_Images/3b6deb00.imagen.175038.jpg</t>
  </si>
  <si>
    <t>62800f8c</t>
  </si>
  <si>
    <t>4.2.reg_calidad_Images/62800f8c.imagen.175042.jpg</t>
  </si>
  <si>
    <t>1656c229</t>
  </si>
  <si>
    <t>4.2.reg_calidad_Images/1656c229.imagen.175045.jpg</t>
  </si>
  <si>
    <t>ab237c9d</t>
  </si>
  <si>
    <t>4.2.reg_calidad_Images/ab237c9d.imagen.175050.png</t>
  </si>
  <si>
    <t>3d187c15</t>
  </si>
  <si>
    <t>4.2.reg_calidad_Images/3d187c15.imagen.212642.png</t>
  </si>
  <si>
    <t>c64317ea</t>
  </si>
  <si>
    <t>4.2.reg_calidad_Images/c64317ea.imagen.030138.jpg</t>
  </si>
  <si>
    <t>9a3f6157</t>
  </si>
  <si>
    <t>4.2.reg_calidad_Images/9a3f6157.imagen.030141.jpg</t>
  </si>
  <si>
    <t>9a8a0946</t>
  </si>
  <si>
    <t>4.2.reg_calidad_Images/9a8a0946.imagen.030144.jpg</t>
  </si>
  <si>
    <t>78610859</t>
  </si>
  <si>
    <t>4.2.reg_calidad_Images/78610859.imagen.030147.jpg</t>
  </si>
  <si>
    <t>ed88d11c</t>
  </si>
  <si>
    <t>4.2.reg_calidad_Images/ed88d11c.imagen.030151.jpg</t>
  </si>
  <si>
    <t>0a974b2b</t>
  </si>
  <si>
    <t>4.2.reg_calidad_Images/0a974b2b.imagen.032315.jpg</t>
  </si>
  <si>
    <t>1491d8c2</t>
  </si>
  <si>
    <t>4.2.reg_calidad_Images/1491d8c2.imagen.032318.jpg</t>
  </si>
  <si>
    <t>c69c58e9</t>
  </si>
  <si>
    <t>4.2.reg_calidad_Images/c69c58e9.imagen.032322.jpg</t>
  </si>
  <si>
    <t>22081aca</t>
  </si>
  <si>
    <t>4.2.reg_calidad_Images/22081aca.imagen.032326.jpg</t>
  </si>
  <si>
    <t>a8c1caed</t>
  </si>
  <si>
    <t>4.2.reg_calidad_Images/a8c1caed.imagen.032330.jpg</t>
  </si>
  <si>
    <t>b36d8400</t>
  </si>
  <si>
    <t>4.2.reg_calidad_Images/b36d8400.imagen.225944.png</t>
  </si>
  <si>
    <t>55eeba61</t>
  </si>
  <si>
    <t>4.2.reg_calidad_Images/55eeba61.imagen.225948.png</t>
  </si>
  <si>
    <t>dd9af31e</t>
  </si>
  <si>
    <t>4.2.reg_calidad_Images/dd9af31e.imagen.225951.png</t>
  </si>
  <si>
    <t>4d414eb3</t>
  </si>
  <si>
    <t>4.2.reg_calidad_Images/4d414eb3.imagen.225954.png</t>
  </si>
  <si>
    <t>90e6806b</t>
  </si>
  <si>
    <t>4.2.reg_calidad_Images/90e6806b.imagen.151833.jpg</t>
  </si>
  <si>
    <t>c1c8e199</t>
  </si>
  <si>
    <t>4.2.reg_calidad_Images/c1c8e199.imagen.151839.jpg</t>
  </si>
  <si>
    <t>c140c144</t>
  </si>
  <si>
    <t>4.2.reg_calidad_Images/c140c144.imagen.151845.jpg</t>
  </si>
  <si>
    <t>1b56297d</t>
  </si>
  <si>
    <t>4.2.reg_calidad_Images/1b56297d.imagen.151851.jpg</t>
  </si>
  <si>
    <t>cb933dd2</t>
  </si>
  <si>
    <t>4.2.reg_calidad_Images/cb933dd2.imagen.151854.jpg</t>
  </si>
  <si>
    <t>671fee5f</t>
  </si>
  <si>
    <t>4.2.reg_calidad_Images/671fee5f.imagen.190835.jpg</t>
  </si>
  <si>
    <t>3fa151c3</t>
  </si>
  <si>
    <t>4.2.reg_calidad_Images/3fa151c3.imagen.190839.jpg</t>
  </si>
  <si>
    <t>db1b93da</t>
  </si>
  <si>
    <t>4.2.reg_calidad_Images/db1b93da.imagen.154333.jpg</t>
  </si>
  <si>
    <t>38642b3f</t>
  </si>
  <si>
    <t>4.2.reg_calidad_Images/38642b3f.imagen.154337.jpg</t>
  </si>
  <si>
    <t>c9ae8b43</t>
  </si>
  <si>
    <t>4.2.reg_calidad_Images/c9ae8b43.imagen.154342.jpg</t>
  </si>
  <si>
    <t>e32c8e41</t>
  </si>
  <si>
    <t>4.2.reg_calidad_Images/e32c8e41.imagen.154346.jpg</t>
  </si>
  <si>
    <t>bde207d4</t>
  </si>
  <si>
    <t>4.2.reg_calidad_Images/bde207d4.imagen.154349.jpg</t>
  </si>
  <si>
    <t>de42e8d0</t>
  </si>
  <si>
    <t>4.2.reg_calidad_Images/de42e8d0.imagen.192935.jpg</t>
  </si>
  <si>
    <t>5da35d44</t>
  </si>
  <si>
    <t>4.2.reg_calidad_Images/5da35d44.imagen.192939.jpg</t>
  </si>
  <si>
    <t>7df71cc1</t>
  </si>
  <si>
    <t>4.2.reg_calidad_Images/7df71cc1.imagen.193234.jpg</t>
  </si>
  <si>
    <t>fa6c21cf</t>
  </si>
  <si>
    <t>4.2.reg_calidad_Images/fa6c21cf.imagen.193238.jpg</t>
  </si>
  <si>
    <t>b3781aa7</t>
  </si>
  <si>
    <t>4.2.reg_calidad_Images/b3781aa7.imagen.142019.jpg</t>
  </si>
  <si>
    <t>d7fda3e9</t>
  </si>
  <si>
    <t>4.2.reg_calidad_Images/d7fda3e9.imagen.142029.jpg</t>
  </si>
  <si>
    <t>b4355fe3</t>
  </si>
  <si>
    <t>4.2.reg_calidad_Images/b4355fe3.imagen.142032.jpg</t>
  </si>
  <si>
    <t>e49f29a7</t>
  </si>
  <si>
    <t>4.2.reg_calidad_Images/e49f29a7.imagen.142035.jpg</t>
  </si>
  <si>
    <t>83b08c40</t>
  </si>
  <si>
    <t>4.2.reg_calidad_Images/83b08c40.imagen.142039.jpg</t>
  </si>
  <si>
    <t>3900cd72</t>
  </si>
  <si>
    <t>4.2.reg_calidad_Images/3900cd72.imagen.144606.jpg</t>
  </si>
  <si>
    <t>87ec66f0</t>
  </si>
  <si>
    <t>4.2.reg_calidad_Images/87ec66f0.imagen.144613.jpg</t>
  </si>
  <si>
    <t>041eb661</t>
  </si>
  <si>
    <t>4.2.reg_calidad_Images/041eb661.imagen.144619.jpg</t>
  </si>
  <si>
    <t>2d535510</t>
  </si>
  <si>
    <t>4.2.reg_calidad_Images/2d535510.imagen.144626.jpg</t>
  </si>
  <si>
    <t>b5517ed5</t>
  </si>
  <si>
    <t>4.2.reg_calidad_Images/b5517ed5.imagen.004234.jpg</t>
  </si>
  <si>
    <t>9b40269a</t>
  </si>
  <si>
    <t>4.2.reg_calidad_Images/9b40269a.imagen.004238.jpg</t>
  </si>
  <si>
    <t>a82107df</t>
  </si>
  <si>
    <t>4.2.reg_calidad_Images/a82107df.imagen.004241.jpg</t>
  </si>
  <si>
    <t>8c060be4</t>
  </si>
  <si>
    <t>4.2.reg_calidad_Images/8c060be4.imagen.004244.jpg</t>
  </si>
  <si>
    <t>bf0dbb1e</t>
  </si>
  <si>
    <t>4.2.reg_calidad_Images/bf0dbb1e.imagen.002702.jpg</t>
  </si>
  <si>
    <t>https://www.appsheet.com/template/gettablefileurl?appName=particulas_magneticas-924373673&amp;tableName=4.reg_fotografico&amp;fileName=4.2.reg_calidad_Images/bf0dbb1e.imagen.002702.jpg</t>
  </si>
  <si>
    <t>3fce11de</t>
  </si>
  <si>
    <t>4.2.reg_calidad_Images/3fce11de.imagen.002706.jpg</t>
  </si>
  <si>
    <t>https://www.appsheet.com/template/gettablefileurl?appName=particulas_magneticas-924373673&amp;tableName=4.reg_fotografico&amp;fileName=4.2.reg_calidad_Images/3fce11de.imagen.002706.jpg</t>
  </si>
  <si>
    <t>f4e961fe</t>
  </si>
  <si>
    <t>4.2.reg_calidad_Images/f4e961fe.imagen.002709.jpg</t>
  </si>
  <si>
    <t>https://www.appsheet.com/template/gettablefileurl?appName=particulas_magneticas-924373673&amp;tableName=4.reg_fotografico&amp;fileName=4.2.reg_calidad_Images/f4e961fe.imagen.002709.jpg</t>
  </si>
  <si>
    <t>bcbf43ed</t>
  </si>
  <si>
    <t>4.2.reg_calidad_Images/bcbf43ed.imagen.002714.jpg</t>
  </si>
  <si>
    <t>https://www.appsheet.com/template/gettablefileurl?appName=particulas_magneticas-924373673&amp;tableName=4.reg_fotografico&amp;fileName=4.2.reg_calidad_Images/bcbf43ed.imagen.002714.jpg</t>
  </si>
  <si>
    <t>7b8d1d98</t>
  </si>
  <si>
    <t>4.2.reg_calidad_Images/7b8d1d98.imagen.002719.jpg</t>
  </si>
  <si>
    <t>https://www.appsheet.com/template/gettablefileurl?appName=particulas_magneticas-924373673&amp;tableName=4.reg_fotografico&amp;fileName=4.2.reg_calidad_Images/7b8d1d98.imagen.002719.jpg</t>
  </si>
  <si>
    <t>c71fb46b</t>
  </si>
  <si>
    <t>4.2.reg_calidad_Images/c71fb46b.imagen.181054.jpg</t>
  </si>
  <si>
    <t>fe029ffd</t>
  </si>
  <si>
    <t>4.2.reg_calidad_Images/fe029ffd.imagen.181058.jpg</t>
  </si>
  <si>
    <t>640c25da</t>
  </si>
  <si>
    <t>4.2.reg_calidad_Images/640c25da.imagen.181102.jpg</t>
  </si>
  <si>
    <t>56f286e3</t>
  </si>
  <si>
    <t>4.2.reg_calidad_Images/56f286e3.imagen.181106.jpg</t>
  </si>
  <si>
    <t>b0077113</t>
  </si>
  <si>
    <t>4.2.reg_calidad_Images/b0077113.imagen.181109.jpg</t>
  </si>
  <si>
    <t>f9dc9447</t>
  </si>
  <si>
    <t>4.2.reg_calidad_Images/f9dc9447.imagen.200016.jpg</t>
  </si>
  <si>
    <t>0fb20a41</t>
  </si>
  <si>
    <t>4.2.reg_calidad_Images/0fb20a41.imagen.185006.jpg</t>
  </si>
  <si>
    <t>6c0f4ccb</t>
  </si>
  <si>
    <t>4.2.reg_calidad_Images/6c0f4ccb.imagen.185009.jpg</t>
  </si>
  <si>
    <t>c589cce3</t>
  </si>
  <si>
    <t>4.2.reg_calidad_Images/c589cce3.imagen.185013.jpg</t>
  </si>
  <si>
    <t>60b84e26</t>
  </si>
  <si>
    <t>4.2.reg_calidad_Images/60b84e26.imagen.185017.jpg</t>
  </si>
  <si>
    <t>0cc0bb4c</t>
  </si>
  <si>
    <t>4.2.reg_calidad_Images/0cc0bb4c.imagen.023304.jpg</t>
  </si>
  <si>
    <t>9fe5a76f</t>
  </si>
  <si>
    <t>4.2.reg_calidad_Images/9fe5a76f.imagen.023440.jpg</t>
  </si>
  <si>
    <t>d5e226e7</t>
  </si>
  <si>
    <t>4.2.reg_calidad_Images/d5e226e7.imagen.023456.jpg</t>
  </si>
  <si>
    <t>64a81f1c</t>
  </si>
  <si>
    <t>4.2.reg_calidad_Images/64a81f1c.imagen.023459.jpg</t>
  </si>
  <si>
    <t>369eb63f</t>
  </si>
  <si>
    <t>4.2.reg_calidad_Images/369eb63f.imagen.133854.jpg</t>
  </si>
  <si>
    <t>8a19757e</t>
  </si>
  <si>
    <t>4.2.reg_calidad_Images/8a19757e.imagen.195826.jpg</t>
  </si>
  <si>
    <t>ce066b91</t>
  </si>
  <si>
    <t>4.2.reg_calidad_Images/ce066b91.imagen.195829.jpg</t>
  </si>
  <si>
    <t>36eb8237</t>
  </si>
  <si>
    <t>4.2.reg_calidad_Images/36eb8237.imagen.195832.jpg</t>
  </si>
  <si>
    <t>66c8c033</t>
  </si>
  <si>
    <t>4.2.reg_calidad_Images/66c8c033.imagen.195836.jpg</t>
  </si>
  <si>
    <t>dfb3375a</t>
  </si>
  <si>
    <t>4.2.reg_calidad_Images/dfb3375a.imagen.195840.jpg</t>
  </si>
  <si>
    <t>aaa46fc7</t>
  </si>
  <si>
    <t>4.2.reg_calidad_Images/aaa46fc7.imagen.005114.jpg</t>
  </si>
  <si>
    <t>a7c30127</t>
  </si>
  <si>
    <t>4.2.reg_calidad_Images/a7c30127.imagen.005122.jpg</t>
  </si>
  <si>
    <t>4dc0cf00</t>
  </si>
  <si>
    <t>4.2.reg_calidad_Images/4dc0cf00.imagen.005127.jpg</t>
  </si>
  <si>
    <t>9927cd89</t>
  </si>
  <si>
    <t>4.2.reg_calidad_Images/9927cd89.imagen.005132.jpg</t>
  </si>
  <si>
    <t>2f650cbb</t>
  </si>
  <si>
    <t>4.2.reg_calidad_Images/2f650cbb.imagen.005348.jpg</t>
  </si>
  <si>
    <t>aafc10bc</t>
  </si>
  <si>
    <t>4.2.reg_calidad_Images/aafc10bc.imagen.172745.jpg</t>
  </si>
  <si>
    <t>52e8de21</t>
  </si>
  <si>
    <t>4.2.reg_calidad_Images/52e8de21.imagen.172748.jpg</t>
  </si>
  <si>
    <t>59ca5f4e</t>
  </si>
  <si>
    <t>4.2.reg_calidad_Images/59ca5f4e.imagen.172804.jpg</t>
  </si>
  <si>
    <t>b6804992</t>
  </si>
  <si>
    <t>4.2.reg_calidad_Images/b6804992.imagen.172808.jpg</t>
  </si>
  <si>
    <t>ba817662</t>
  </si>
  <si>
    <t>4.2.reg_calidad_Images/ba817662.imagen.172811.jpg</t>
  </si>
  <si>
    <t>c7043079</t>
  </si>
  <si>
    <t>4.2.reg_calidad_Images/c7043079.imagen.172622.jpg</t>
  </si>
  <si>
    <t>bfea67fe</t>
  </si>
  <si>
    <t>4.2.reg_calidad_Images/bfea67fe.imagen.172625.jpg</t>
  </si>
  <si>
    <t>4dd386f8</t>
  </si>
  <si>
    <t>4.2.reg_calidad_Images/4dd386f8.imagen.172628.jpg</t>
  </si>
  <si>
    <t>91be6bf9</t>
  </si>
  <si>
    <t>4.2.reg_calidad_Images/91be6bf9.imagen.172631.jpg</t>
  </si>
  <si>
    <t>c175a560</t>
  </si>
  <si>
    <t>4.2.reg_calidad_Images/c175a560.imagen.172634.jpg</t>
  </si>
  <si>
    <t>fbd64581</t>
  </si>
  <si>
    <t>4.2.reg_calidad_Images/fbd64581.imagen.180818.jpg</t>
  </si>
  <si>
    <t>0c36d816</t>
  </si>
  <si>
    <t>4.2.reg_calidad_Images/0c36d816.imagen.180821.jpg</t>
  </si>
  <si>
    <t>9ed4a43c</t>
  </si>
  <si>
    <t>4.2.reg_calidad_Images/9ed4a43c.imagen.180824.jpg</t>
  </si>
  <si>
    <t>e2a10cfd</t>
  </si>
  <si>
    <t>4.2.reg_calidad_Images/e2a10cfd.imagen.193433.jpg</t>
  </si>
  <si>
    <t>48b47f97</t>
  </si>
  <si>
    <t>4.2.reg_calidad_Images/48b47f97.imagen.193439.jpg</t>
  </si>
  <si>
    <t>12fe98bc</t>
  </si>
  <si>
    <t>4.2.reg_calidad_Images/12fe98bc.imagen.021214.jpg</t>
  </si>
  <si>
    <t>b38df833</t>
  </si>
  <si>
    <t>4.2.reg_calidad_Images/b38df833.imagen.021218.jpg</t>
  </si>
  <si>
    <t>a2d394bb</t>
  </si>
  <si>
    <t>4.2.reg_calidad_Images/a2d394bb.imagen.021221.jpg</t>
  </si>
  <si>
    <t>8cd64497</t>
  </si>
  <si>
    <t>4.2.reg_calidad_Images/8cd64497.imagen.021224.jpg</t>
  </si>
  <si>
    <t>99e5ae44</t>
  </si>
  <si>
    <t>4.2.reg_calidad_Images/99e5ae44.imagen.021227.jpg</t>
  </si>
  <si>
    <t>2e2f5a3a</t>
  </si>
  <si>
    <t>4.2.reg_calidad_Images/2e2f5a3a.imagen.131416.jpg</t>
  </si>
  <si>
    <t>b7ac2b24</t>
  </si>
  <si>
    <t>4.2.reg_calidad_Images/b7ac2b24.imagen.131420.jpg</t>
  </si>
  <si>
    <t>1df7f0fd</t>
  </si>
  <si>
    <t>4.2.reg_calidad_Images/1df7f0fd.imagen.131423.jpg</t>
  </si>
  <si>
    <t>138198cd</t>
  </si>
  <si>
    <t>4.2.reg_calidad_Images/138198cd.imagen.131429.jpg</t>
  </si>
  <si>
    <t>29510d90</t>
  </si>
  <si>
    <t>4.2.reg_calidad_Images/29510d90.imagen.131433.jpg</t>
  </si>
  <si>
    <t>10d9a5ee</t>
  </si>
  <si>
    <t>4.2.reg_calidad_Images/10d9a5ee.imagen.191101.jpg</t>
  </si>
  <si>
    <t>b8a80f36</t>
  </si>
  <si>
    <t>4.2.reg_calidad_Images/b8a80f36.imagen.191105.jpg</t>
  </si>
  <si>
    <t>c93172ac</t>
  </si>
  <si>
    <t>4.2.reg_calidad_Images/c93172ac.imagen.191108.jpg</t>
  </si>
  <si>
    <t>cc32bac2</t>
  </si>
  <si>
    <t>4.2.reg_calidad_Images/cc32bac2.imagen.191113.jpg</t>
  </si>
  <si>
    <t>c41ce9f5</t>
  </si>
  <si>
    <t>4.2.reg_calidad_Images/c41ce9f5.imagen.191117.png</t>
  </si>
  <si>
    <t>24292460</t>
  </si>
  <si>
    <t>4.2.reg_calidad_Images/24292460.imagen.193039.jpg</t>
  </si>
  <si>
    <t>d54dc63a</t>
  </si>
  <si>
    <t>4.2.reg_calidad_Images/d54dc63a.imagen.193043.jpg</t>
  </si>
  <si>
    <t>7c1e5ca2</t>
  </si>
  <si>
    <t>4.2.reg_calidad_Images/7c1e5ca2.imagen.193046.jpg</t>
  </si>
  <si>
    <t>2923389e</t>
  </si>
  <si>
    <t>4.2.reg_calidad_Images/2923389e.imagen.055945.jpg</t>
  </si>
  <si>
    <t>ad9e0500</t>
  </si>
  <si>
    <t>4.2.reg_calidad_Images/ad9e0500.imagen.055949.jpg</t>
  </si>
  <si>
    <t>f51b3105</t>
  </si>
  <si>
    <t>4.2.reg_calidad_Images/f51b3105.imagen.055952.jpg</t>
  </si>
  <si>
    <t>a03da2ff</t>
  </si>
  <si>
    <t>4.2.reg_calidad_Images/a03da2ff.imagen.055955.jpg</t>
  </si>
  <si>
    <t>c281cc3e</t>
  </si>
  <si>
    <t>4.2.reg_calidad_Images/c281cc3e.imagen.003723.jpg</t>
  </si>
  <si>
    <t>b1cad793</t>
  </si>
  <si>
    <t>4.2.reg_calidad_Images/b1cad793.imagen.031257.jpg</t>
  </si>
  <si>
    <t>17ba245c</t>
  </si>
  <si>
    <t>4.2.reg_calidad_Images/17ba245c.imagen.031302.jpg</t>
  </si>
  <si>
    <t>eb5dcff8</t>
  </si>
  <si>
    <t>4.2.reg_calidad_Images/eb5dcff8.imagen.031304.jpg</t>
  </si>
  <si>
    <t>de9f5556</t>
  </si>
  <si>
    <t>4.2.reg_calidad_Images/de9f5556.imagen.031307.jpg</t>
  </si>
  <si>
    <t>1a6a273a</t>
  </si>
  <si>
    <t>4.2.reg_calidad_Images/1a6a273a.imagen.031310.jpg</t>
  </si>
  <si>
    <t>ea884308</t>
  </si>
  <si>
    <t>Falta de Fusión / Penetración</t>
  </si>
  <si>
    <t>785ebcec</t>
  </si>
  <si>
    <t>Quemadura</t>
  </si>
  <si>
    <t>563ce540</t>
  </si>
  <si>
    <t>Grieta (Crack)</t>
  </si>
  <si>
    <t>f6009960</t>
  </si>
  <si>
    <t>Porosidad</t>
  </si>
  <si>
    <t>8611d6c9</t>
  </si>
  <si>
    <t>Indicación Irrelevante</t>
  </si>
  <si>
    <t>c3b75171</t>
  </si>
  <si>
    <t>Inclusión de Escoria</t>
  </si>
  <si>
    <t>1f44133e</t>
  </si>
  <si>
    <t>f9a66e28</t>
  </si>
  <si>
    <t>Inclusión</t>
  </si>
  <si>
    <t>2997d8a9</t>
  </si>
  <si>
    <t>b0c34a8e</t>
  </si>
  <si>
    <t>crack</t>
  </si>
  <si>
    <t>ade87e04</t>
  </si>
  <si>
    <t>ddd</t>
  </si>
  <si>
    <t>8061136b</t>
  </si>
  <si>
    <t>dsdd</t>
  </si>
  <si>
    <t>dd564f03</t>
  </si>
  <si>
    <t>sdsd</t>
  </si>
  <si>
    <t>e2c966bf</t>
  </si>
  <si>
    <t>Inherente fabricación</t>
  </si>
  <si>
    <t>f5569b00</t>
  </si>
  <si>
    <t>Colonia de grietas circunferenciales Dr 183840,972 m</t>
  </si>
  <si>
    <t>2bdd335f</t>
  </si>
  <si>
    <t>Colonia de grietas circunferenciales Dr 183838,947 m</t>
  </si>
  <si>
    <t>e093abb7</t>
  </si>
  <si>
    <t>Colonia de Grietas Circunferenciales Dr 183838,632 m</t>
  </si>
  <si>
    <t>c3cd28df</t>
  </si>
  <si>
    <t>Grieta axial</t>
  </si>
  <si>
    <t>fe118dab</t>
  </si>
  <si>
    <t>ca360dd6</t>
  </si>
  <si>
    <t>Indicación lineal inherente fabricacion</t>
  </si>
  <si>
    <t>153fcd4a</t>
  </si>
  <si>
    <t>3729f79b</t>
  </si>
  <si>
    <t>Indicación lineal</t>
  </si>
  <si>
    <t>06e4db17</t>
  </si>
  <si>
    <t>Indicación lineal por proceso</t>
  </si>
  <si>
    <t>4eedf54f</t>
  </si>
  <si>
    <t>Indicación lineal daño mecanico</t>
  </si>
  <si>
    <t>27d52474</t>
  </si>
  <si>
    <t>e9ba980b</t>
  </si>
  <si>
    <t>b41f5e28</t>
  </si>
  <si>
    <t>962bc02c</t>
  </si>
  <si>
    <t xml:space="preserve"> </t>
  </si>
  <si>
    <t>eeca7666</t>
  </si>
  <si>
    <t>9dcafc80</t>
  </si>
  <si>
    <t>53d24bea</t>
  </si>
  <si>
    <t>daño mecánico</t>
  </si>
  <si>
    <t>060de52f</t>
  </si>
  <si>
    <t>grieta</t>
  </si>
  <si>
    <t>44cbe653</t>
  </si>
  <si>
    <t>821debac</t>
  </si>
  <si>
    <t>Colonia de grietas C3</t>
  </si>
  <si>
    <t>16dbf4f6</t>
  </si>
  <si>
    <t>Colonia de grietas C4</t>
  </si>
  <si>
    <t>d8578afe</t>
  </si>
  <si>
    <t>Grieta axial C5</t>
  </si>
  <si>
    <t>dd37f746</t>
  </si>
  <si>
    <t>Colonia de grietas C6</t>
  </si>
  <si>
    <t>8c13afd9</t>
  </si>
  <si>
    <t>Colonia de Grietas C7</t>
  </si>
  <si>
    <t>5df86fbd</t>
  </si>
  <si>
    <t>Colonia de grieta C8</t>
  </si>
  <si>
    <t>dff38882</t>
  </si>
  <si>
    <t>Grieta Axial C10</t>
  </si>
  <si>
    <t>3dcba76a</t>
  </si>
  <si>
    <t>3dbec8bb</t>
  </si>
  <si>
    <t>Colonia de grieta C4</t>
  </si>
  <si>
    <t>cf4cb5c3</t>
  </si>
  <si>
    <t>0005d80d</t>
  </si>
  <si>
    <t>19c0d289</t>
  </si>
  <si>
    <t>Colonia de grietas C7</t>
  </si>
  <si>
    <t>9ca75b50</t>
  </si>
  <si>
    <t>d995170b</t>
  </si>
  <si>
    <t>Grieta Axial C9</t>
  </si>
  <si>
    <t>350d5e4a</t>
  </si>
  <si>
    <t>Grieta</t>
  </si>
  <si>
    <t>e72fc3b1</t>
  </si>
  <si>
    <t>Grieta circunferencial</t>
  </si>
  <si>
    <t>348e9cb1</t>
  </si>
  <si>
    <t>Grieta Circunferencial</t>
  </si>
  <si>
    <t>9907ef23</t>
  </si>
  <si>
    <t>a74df666</t>
  </si>
  <si>
    <t>Col grieta circunferencial</t>
  </si>
  <si>
    <t>4083d6d2</t>
  </si>
  <si>
    <t>COL. grieta</t>
  </si>
  <si>
    <t>e12f7cc4</t>
  </si>
  <si>
    <t>Col. Grieta</t>
  </si>
  <si>
    <t>38ea6851</t>
  </si>
  <si>
    <t>52e0aec5</t>
  </si>
  <si>
    <t>Col. Grietas</t>
  </si>
  <si>
    <t>ff69d922</t>
  </si>
  <si>
    <t>5dd6a1f7</t>
  </si>
  <si>
    <t>5dab66c3</t>
  </si>
  <si>
    <t>bf4facdd</t>
  </si>
  <si>
    <t>d4b97933</t>
  </si>
  <si>
    <t>Col. grieta</t>
  </si>
  <si>
    <t>49f84c37</t>
  </si>
  <si>
    <t>26234ac8</t>
  </si>
  <si>
    <t>601960ef</t>
  </si>
  <si>
    <t>79dca2ac</t>
  </si>
  <si>
    <t>2a9905fb</t>
  </si>
  <si>
    <t>561edd06</t>
  </si>
  <si>
    <t>8dbfee3e</t>
  </si>
  <si>
    <t>8cd3d017</t>
  </si>
  <si>
    <t>6f124991</t>
  </si>
  <si>
    <t>29538bec</t>
  </si>
  <si>
    <t>9684b118</t>
  </si>
  <si>
    <t>8740c368</t>
  </si>
  <si>
    <t>LINEA</t>
  </si>
  <si>
    <t>Troncal</t>
  </si>
  <si>
    <t>SISTEMA</t>
  </si>
  <si>
    <t>CORREDOR</t>
  </si>
  <si>
    <t>DIÁMETRO (IN)</t>
  </si>
  <si>
    <t>Abreviatura</t>
  </si>
  <si>
    <t>DIÁMETRO (IN)2</t>
  </si>
  <si>
    <t>MATERIAL</t>
  </si>
  <si>
    <t>CLIENTES</t>
  </si>
  <si>
    <t>CODIGO</t>
  </si>
  <si>
    <t>ITEM</t>
  </si>
  <si>
    <t>GRUPO</t>
  </si>
  <si>
    <t>DESCRIPCION GENERAL</t>
  </si>
  <si>
    <t>NOMBRE DEL EQUIPO</t>
  </si>
  <si>
    <t>MARCA</t>
  </si>
  <si>
    <t>MODELO</t>
  </si>
  <si>
    <t>N° SERIE</t>
  </si>
  <si>
    <t>Alban - Mansilla 10</t>
  </si>
  <si>
    <t>ANDINA</t>
  </si>
  <si>
    <t>POLIDUCTO SALGAR - MANSILLA</t>
  </si>
  <si>
    <t>CORREDOR ALBAN - MANSILLA</t>
  </si>
  <si>
    <t>ALBMAN10</t>
  </si>
  <si>
    <t>ADEMINSA PERU</t>
  </si>
  <si>
    <t>ADPEN</t>
  </si>
  <si>
    <t>ADC023</t>
  </si>
  <si>
    <t>A40</t>
  </si>
  <si>
    <t>MEDIDOR DE LUZ DIA</t>
  </si>
  <si>
    <t>MEDIDOR DIGITAL LUZ DÍA</t>
  </si>
  <si>
    <t>F-21414</t>
  </si>
  <si>
    <t>P/N:622338
 S/N:130402578</t>
  </si>
  <si>
    <t>Alban - Mansilla 6</t>
  </si>
  <si>
    <t>ALBMAN6</t>
  </si>
  <si>
    <t>API 5L X46</t>
  </si>
  <si>
    <t>ADEMINSA PTO RICO</t>
  </si>
  <si>
    <t>ADEMINCOL</t>
  </si>
  <si>
    <t>P-OPE-C-02 , PROCEDIMEINTO DE PARTICULAS MAGANETICAS</t>
  </si>
  <si>
    <t>ADC304</t>
  </si>
  <si>
    <t>PM6612L</t>
  </si>
  <si>
    <t>H11H-H48945</t>
  </si>
  <si>
    <t>Alisales – El paramo</t>
  </si>
  <si>
    <t>Oleoducto Orito – Tumaco</t>
  </si>
  <si>
    <t>18 y 14</t>
  </si>
  <si>
    <t>ALIPAR</t>
  </si>
  <si>
    <t>MASS GROUP</t>
  </si>
  <si>
    <t>ADC342</t>
  </si>
  <si>
    <t>H11H-J07835</t>
  </si>
  <si>
    <t>Altos del Porvenir - El Porvenir 24"</t>
  </si>
  <si>
    <t>LLANOS</t>
  </si>
  <si>
    <t>Oleoducto Apiay – El Porvenir 20</t>
  </si>
  <si>
    <t>ALPELP24</t>
  </si>
  <si>
    <t>ADC343</t>
  </si>
  <si>
    <t>H11H-J07834</t>
  </si>
  <si>
    <t>Apiay-Monterrey 20</t>
  </si>
  <si>
    <t>Oleoducto Apiay – Monterrey 20</t>
  </si>
  <si>
    <t>APIMON20</t>
  </si>
  <si>
    <t>ADC344</t>
  </si>
  <si>
    <t>H11H-J07855</t>
  </si>
  <si>
    <t>Apiay-Monterrey 30</t>
  </si>
  <si>
    <t>Oleoducto Apiay – Monterrey 30</t>
  </si>
  <si>
    <t>APIMON30</t>
  </si>
  <si>
    <t>STEPAN</t>
  </si>
  <si>
    <t>ADC345</t>
  </si>
  <si>
    <t>H11H-K18482</t>
  </si>
  <si>
    <t>Araguaney - El Porvenir</t>
  </si>
  <si>
    <t>ARAGUANEY - EL PORVENIR</t>
  </si>
  <si>
    <t>CORREDOR ARAGUANEY - PORVENIR</t>
  </si>
  <si>
    <t>14 y 12</t>
  </si>
  <si>
    <t>ARAPOR1214</t>
  </si>
  <si>
    <t>API 5L X70</t>
  </si>
  <si>
    <t>ADC346</t>
  </si>
  <si>
    <t>H11H-J07872</t>
  </si>
  <si>
    <t>OLEODUCTO CAÑO LIMÓN - COVEÑAS</t>
  </si>
  <si>
    <t>CORREDOR AYACUCHO - COVEÑAS</t>
  </si>
  <si>
    <t>AYACOV24</t>
  </si>
  <si>
    <t>TELMACOM</t>
  </si>
  <si>
    <t>ADC347</t>
  </si>
  <si>
    <t>H11H-J07876</t>
  </si>
  <si>
    <t>Ayacucho - Galán (PPG) 14"</t>
  </si>
  <si>
    <t>CARIBE</t>
  </si>
  <si>
    <t>AYAGALPPG14</t>
  </si>
  <si>
    <t>ADC348</t>
  </si>
  <si>
    <t>H11H-J07847</t>
  </si>
  <si>
    <t>OLEODUCTO AYACUCHO - GALÁN 8</t>
  </si>
  <si>
    <t>CORREDOR AYACUCHO - RIO LEBRIJA PK117</t>
  </si>
  <si>
    <t>AYAGAL8</t>
  </si>
  <si>
    <t>BAKER HUGHES</t>
  </si>
  <si>
    <t>ADC1082</t>
  </si>
  <si>
    <t>TASI</t>
  </si>
  <si>
    <t>TA8121</t>
  </si>
  <si>
    <t>CORREDOR AYACUCHO - KM 84 V. INDIA</t>
  </si>
  <si>
    <t>AYARET16</t>
  </si>
  <si>
    <t>ADC1083</t>
  </si>
  <si>
    <t>Ayacucho-Galán 14"</t>
  </si>
  <si>
    <t>AYAGAL14</t>
  </si>
  <si>
    <t>MAGNEX</t>
  </si>
  <si>
    <t>ADC1084</t>
  </si>
  <si>
    <t>Banadia-Samore</t>
  </si>
  <si>
    <t>CAÑO LIMÓN</t>
  </si>
  <si>
    <t>BANSAM</t>
  </si>
  <si>
    <t>CEMEX</t>
  </si>
  <si>
    <t>ADC1085</t>
  </si>
  <si>
    <t>BUENAVENTURA - GALLINEROS</t>
  </si>
  <si>
    <t>BUEGAL08</t>
  </si>
  <si>
    <t>MONTAJES Y CALDERAS</t>
  </si>
  <si>
    <t>ADC1086</t>
  </si>
  <si>
    <t>Caño Limón - Banadia</t>
  </si>
  <si>
    <t>CLMBAN</t>
  </si>
  <si>
    <t>SGS</t>
  </si>
  <si>
    <t>ADC024</t>
  </si>
  <si>
    <t>A40,1</t>
  </si>
  <si>
    <t>MEDIDOR DE LUZ UV</t>
  </si>
  <si>
    <t>UV-A</t>
  </si>
  <si>
    <t>P/N:625024
 S/N:134252</t>
  </si>
  <si>
    <t>POLIDUCTO CARTAGENA - BARANOA</t>
  </si>
  <si>
    <t>CORREDOR CARTAGENA - BARANOA</t>
  </si>
  <si>
    <t>CARBAR12</t>
  </si>
  <si>
    <t>ADC630</t>
  </si>
  <si>
    <t>TM-213</t>
  </si>
  <si>
    <t>CARTAGO - YUMBO</t>
  </si>
  <si>
    <t>CARYUM10</t>
  </si>
  <si>
    <t>ADC631</t>
  </si>
  <si>
    <t>Cartago-Zarzal 10"</t>
  </si>
  <si>
    <t>CARZAR10</t>
  </si>
  <si>
    <t>ADC632</t>
  </si>
  <si>
    <t>Castilla-Apiay 16"</t>
  </si>
  <si>
    <t>Oleoducto Castilla Apiay 16"</t>
  </si>
  <si>
    <t>CASAPI16</t>
  </si>
  <si>
    <t>ADC633</t>
  </si>
  <si>
    <t>Chichimene - Apiay 10"</t>
  </si>
  <si>
    <t>Naftaducto Apiay – Chichimene 10"</t>
  </si>
  <si>
    <t>CHIAPI16</t>
  </si>
  <si>
    <t>MAC POLLO</t>
  </si>
  <si>
    <t>ADC634</t>
  </si>
  <si>
    <t>Churuyaco – Orito</t>
  </si>
  <si>
    <t>Oleoducto Churuyaco – Orito</t>
  </si>
  <si>
    <t>CHUORI6</t>
  </si>
  <si>
    <t>HYDRATICA</t>
  </si>
  <si>
    <t>ADC656</t>
  </si>
  <si>
    <t>Colón - Lago Agrio</t>
  </si>
  <si>
    <t>Oleoducto San Miguel - Orito</t>
  </si>
  <si>
    <t>12 y 10</t>
  </si>
  <si>
    <t>COLAGR11</t>
  </si>
  <si>
    <t>ADC657</t>
  </si>
  <si>
    <t>COLORI</t>
  </si>
  <si>
    <t>ADC658</t>
  </si>
  <si>
    <t>CORREDOR COVENAS - CARTAGENA</t>
  </si>
  <si>
    <t>COVCAR18</t>
  </si>
  <si>
    <t>ADC659</t>
  </si>
  <si>
    <t>Cune - Villeta 8"</t>
  </si>
  <si>
    <t>CORREDOR CUNE - VILLETA - CUNE</t>
  </si>
  <si>
    <t>CORREDOR CUNE - VILLETA</t>
  </si>
  <si>
    <t>CUNVIL8</t>
  </si>
  <si>
    <t>ADC660</t>
  </si>
  <si>
    <t>Dagua - Mulalo 12"</t>
  </si>
  <si>
    <t>DAGUA - MULALO</t>
  </si>
  <si>
    <t>DAGMUL12</t>
  </si>
  <si>
    <t>MANSERVIS</t>
  </si>
  <si>
    <t>ADC1078</t>
  </si>
  <si>
    <t>El Alto (Amarillo) – Guabo</t>
  </si>
  <si>
    <t>AMAGUA10</t>
  </si>
  <si>
    <t>MORENO VARGAS</t>
  </si>
  <si>
    <t>ADC1079</t>
  </si>
  <si>
    <t>El Copey - Ayacucho 14"</t>
  </si>
  <si>
    <t>CPYAYA</t>
  </si>
  <si>
    <t>SOUTH 32</t>
  </si>
  <si>
    <t>ADC1080</t>
  </si>
  <si>
    <t>El páramo – El Alto (Amarillo)</t>
  </si>
  <si>
    <t>PARAMA14</t>
  </si>
  <si>
    <t>8 y 6</t>
  </si>
  <si>
    <t>TFI</t>
  </si>
  <si>
    <t>ADC1081</t>
  </si>
  <si>
    <t>El Viento - Cusiana</t>
  </si>
  <si>
    <t>Oleoducto El Viento - Cusiana</t>
  </si>
  <si>
    <t>EVICUS</t>
  </si>
  <si>
    <t>LINDE</t>
  </si>
  <si>
    <t>ADC025</t>
  </si>
  <si>
    <t>A40,3</t>
  </si>
  <si>
    <t>YOKE</t>
  </si>
  <si>
    <t>YOKE MAGNETICO</t>
  </si>
  <si>
    <t>Est. Cisneros Antigua - Medellín 12"</t>
  </si>
  <si>
    <t>CISNEROS ANTIGUA - MEDELLÍN</t>
  </si>
  <si>
    <t>CIVMED1012</t>
  </si>
  <si>
    <t>6 y 8</t>
  </si>
  <si>
    <t>ADC056</t>
  </si>
  <si>
    <t>DA-400</t>
  </si>
  <si>
    <t>Est. Cisneros Nueva - Est. Cisneros Antigua 12"</t>
  </si>
  <si>
    <t>CISNEROS NVA - CISNEROS ANT.</t>
  </si>
  <si>
    <t>ADC161</t>
  </si>
  <si>
    <t>WE-7</t>
  </si>
  <si>
    <t>3798K</t>
  </si>
  <si>
    <t>CORREDOR FRESNO - HERVEO</t>
  </si>
  <si>
    <t>FREHER68</t>
  </si>
  <si>
    <t>EQUIPROCESS</t>
  </si>
  <si>
    <t>ADC162</t>
  </si>
  <si>
    <t>OLEODUCTO AYACUCHO - GALÁN 14</t>
  </si>
  <si>
    <t>GALAYA14</t>
  </si>
  <si>
    <t>ADC163</t>
  </si>
  <si>
    <t>3799K</t>
  </si>
  <si>
    <t>GALAYA18</t>
  </si>
  <si>
    <t>ADC164</t>
  </si>
  <si>
    <t>3781K</t>
  </si>
  <si>
    <t>Galán-Lizama</t>
  </si>
  <si>
    <t>MAGDALENA MEDIO</t>
  </si>
  <si>
    <t>POLIDUCTO GALAN CHIMITA</t>
  </si>
  <si>
    <t>GALAN - LIZAMA</t>
  </si>
  <si>
    <t>GALLIZ12</t>
  </si>
  <si>
    <t>ISMOCOL</t>
  </si>
  <si>
    <t>ADC165</t>
  </si>
  <si>
    <t>Galán-Sebastopol 12”</t>
  </si>
  <si>
    <t>POLIDUCTO GALAN - SALGAR DE 12"</t>
  </si>
  <si>
    <t>GALAN - SEBASTOPOL</t>
  </si>
  <si>
    <t>GALSEB12</t>
  </si>
  <si>
    <t>ADC283</t>
  </si>
  <si>
    <t>Galán-Sebastopol 16</t>
  </si>
  <si>
    <t>GALAN - SALGAR</t>
  </si>
  <si>
    <t>GALSEB16</t>
  </si>
  <si>
    <t>ADC380</t>
  </si>
  <si>
    <t>Galán-Sebastopol 8”</t>
  </si>
  <si>
    <t>PROPANODUCTO GALAN - SALGAR DE 8"</t>
  </si>
  <si>
    <t>CORREDOR GALAN - SEBASTOPOL</t>
  </si>
  <si>
    <t>GALSEB8</t>
  </si>
  <si>
    <t>ADC381</t>
  </si>
  <si>
    <t>3979K</t>
  </si>
  <si>
    <t>Gallineros -Dagua 12"</t>
  </si>
  <si>
    <t>GALLINEROS - DAGUA</t>
  </si>
  <si>
    <t>GALDAG12</t>
  </si>
  <si>
    <t>ADC386</t>
  </si>
  <si>
    <t>Guabo – Junín</t>
  </si>
  <si>
    <t>GUAJUN14</t>
  </si>
  <si>
    <t>ADEMINSA</t>
  </si>
  <si>
    <t>ADC387</t>
  </si>
  <si>
    <t>Guacari-Yumbo 6"_8"</t>
  </si>
  <si>
    <t>GUAYUM68</t>
  </si>
  <si>
    <t>ADC388</t>
  </si>
  <si>
    <t>Guaduero - Villeta 10</t>
  </si>
  <si>
    <t>CORREDOR GUADUERO - VILLETA</t>
  </si>
  <si>
    <t>GUAVIL10</t>
  </si>
  <si>
    <t>METALPAR</t>
  </si>
  <si>
    <t>ADC673</t>
  </si>
  <si>
    <t>Gualanday - Neiva 8/6</t>
  </si>
  <si>
    <t>POLIDUCTO SALGAR - NEIVA</t>
  </si>
  <si>
    <t>CORREDOR GUALANDAY - NEIVA</t>
  </si>
  <si>
    <t>GUANEI68</t>
  </si>
  <si>
    <t>SOLETANCHE-BACHY</t>
  </si>
  <si>
    <t>ADC674</t>
  </si>
  <si>
    <t>GUAALI</t>
  </si>
  <si>
    <t>HOPE INGENIERIA SAS</t>
  </si>
  <si>
    <t>ADC713</t>
  </si>
  <si>
    <t>ARDOX</t>
  </si>
  <si>
    <t>Guayacana - Tumaco</t>
  </si>
  <si>
    <t>GUATUM14</t>
  </si>
  <si>
    <t>ADC922</t>
  </si>
  <si>
    <t>Herveo - Manizales 6"_8"</t>
  </si>
  <si>
    <t>CORREDOR HERVEO - MANIZALES</t>
  </si>
  <si>
    <t>HERMAN68</t>
  </si>
  <si>
    <t>ADC1001</t>
  </si>
  <si>
    <t>Y 6</t>
  </si>
  <si>
    <t>Junín – Guayacana</t>
  </si>
  <si>
    <t>JUNGUA14</t>
  </si>
  <si>
    <t>ADC1090</t>
  </si>
  <si>
    <t>Y8</t>
  </si>
  <si>
    <t>LA FELISA - CARTAGO</t>
  </si>
  <si>
    <t>FELCAR10</t>
  </si>
  <si>
    <t>ADC1091</t>
  </si>
  <si>
    <t>P2</t>
  </si>
  <si>
    <t>Linea Muelle de 14”</t>
  </si>
  <si>
    <t>SIERRACOL</t>
  </si>
  <si>
    <t>Lizama-Trampa Tienda Nueva</t>
  </si>
  <si>
    <t>POLIDUCTO GALAN - CHIMITA</t>
  </si>
  <si>
    <t>CORREDOR LIZAMA - TIENDA NUEVA</t>
  </si>
  <si>
    <t>LIZTIE6</t>
  </si>
  <si>
    <t>METALPETROL</t>
  </si>
  <si>
    <t>Lucerna-Guacari 8"_10"</t>
  </si>
  <si>
    <t>LUCGUA108</t>
  </si>
  <si>
    <t>CORREDOR MANIZALES - CARTAGO</t>
  </si>
  <si>
    <t>MANCAR68</t>
  </si>
  <si>
    <t>Mansilla - Mondoñedo 8"</t>
  </si>
  <si>
    <t>INGCONS</t>
  </si>
  <si>
    <t>Mansilla - Pte. Aranda</t>
  </si>
  <si>
    <t>CORREDOR MANSILLA - PUENTE ARANDA</t>
  </si>
  <si>
    <t>MANARA10</t>
  </si>
  <si>
    <t>ESSITY</t>
  </si>
  <si>
    <t>Mansilla - Vista Hermosa 6"</t>
  </si>
  <si>
    <t>MANSILLA - VISTA HERMOSA</t>
  </si>
  <si>
    <t>CORREDOR MANSILLA - VISTA HERMOSA</t>
  </si>
  <si>
    <t>MANMON8</t>
  </si>
  <si>
    <t>LAPS</t>
  </si>
  <si>
    <t>MASSAN</t>
  </si>
  <si>
    <t>EMAC</t>
  </si>
  <si>
    <t>Mariquita - Fresno 6"_8"</t>
  </si>
  <si>
    <t>CORREDOR MARIQUITA - FRESNO</t>
  </si>
  <si>
    <t>MARFRE68</t>
  </si>
  <si>
    <t>INGETECNOLOGY</t>
  </si>
  <si>
    <t>MEDELLÍN - LA FELISA</t>
  </si>
  <si>
    <t>MEDFEL</t>
  </si>
  <si>
    <t>Miraflores - Monterrey 12"</t>
  </si>
  <si>
    <t>POLIANDINO</t>
  </si>
  <si>
    <t>CORREDOR MIRAFLORES - MONTERREY</t>
  </si>
  <si>
    <t>MIRMON12</t>
  </si>
  <si>
    <t>Monterrey - Altos del Porvenir 20"</t>
  </si>
  <si>
    <t>MONTERREY - ALTOS PORVENIR</t>
  </si>
  <si>
    <t>CORREDOR MONTERREY - ALTOS PORVENIR</t>
  </si>
  <si>
    <t>MONALT20</t>
  </si>
  <si>
    <t>TIM</t>
  </si>
  <si>
    <t>Monterrey - El Porvenir 10</t>
  </si>
  <si>
    <t>Oleoducto Santiago - El Porvenir 10</t>
  </si>
  <si>
    <t>MONPOR10</t>
  </si>
  <si>
    <t>Monterrey - El Porvenir 12</t>
  </si>
  <si>
    <t>MONTERREY - PORVENIR</t>
  </si>
  <si>
    <t>CORREDOR MONTERREY - PORVENIR</t>
  </si>
  <si>
    <t>MONPOR12</t>
  </si>
  <si>
    <t>Monterrey- Apiay 16</t>
  </si>
  <si>
    <t>CORREDOR MONTERREY - APIAY</t>
  </si>
  <si>
    <t>MONAPI16</t>
  </si>
  <si>
    <t>Mulalo - Yumbo 6"</t>
  </si>
  <si>
    <t>MULALO - YUMBO</t>
  </si>
  <si>
    <t>MULYUM6</t>
  </si>
  <si>
    <t>Orito – Guamuez</t>
  </si>
  <si>
    <t>ORIGUA14</t>
  </si>
  <si>
    <t>FRONTERA</t>
  </si>
  <si>
    <t>Oru - Ayacucho</t>
  </si>
  <si>
    <t>ORUAYA</t>
  </si>
  <si>
    <t>Pozos Colorados - El Copey 14"</t>
  </si>
  <si>
    <t>POZOS COLORADOS - GALÁN</t>
  </si>
  <si>
    <t>POZCOP14</t>
  </si>
  <si>
    <t>Pte. Aranda – El Dorado</t>
  </si>
  <si>
    <t>JETDUCTO PUENTE ARANDA - EL DORADO</t>
  </si>
  <si>
    <t>CORREDOR PTE ARANDA-EL DORADO</t>
  </si>
  <si>
    <t>PTEDOR6</t>
  </si>
  <si>
    <t>Retiro - Covenas 16"</t>
  </si>
  <si>
    <t>AYACUCHO - COVEÑAS</t>
  </si>
  <si>
    <t>RETCOV16</t>
  </si>
  <si>
    <t>Rio Zulia - Oru</t>
  </si>
  <si>
    <t>RZULORU</t>
  </si>
  <si>
    <t>Rubiales - Monterrey</t>
  </si>
  <si>
    <t>Oleoducto Rubiales - Monterrey</t>
  </si>
  <si>
    <t>RUBMON</t>
  </si>
  <si>
    <t>Salgar - Alban 8</t>
  </si>
  <si>
    <t>PROPANODUCTO SALGAR - VISTA HERMOSA</t>
  </si>
  <si>
    <t>CORREDOR SALGAR - ALBAN</t>
  </si>
  <si>
    <t>SALALB8</t>
  </si>
  <si>
    <t>Salgar - Guaduero 10</t>
  </si>
  <si>
    <t>CORREDOR SALGAR - GUADUERO</t>
  </si>
  <si>
    <t>SALGUA10</t>
  </si>
  <si>
    <t>Salgar - Gualanday 12</t>
  </si>
  <si>
    <t>CORREDOR SALGAR - GUALANDAY</t>
  </si>
  <si>
    <t>SALGUA12</t>
  </si>
  <si>
    <t>Salgar - La Dorada 8"</t>
  </si>
  <si>
    <t>SALGAR - LA DORADA</t>
  </si>
  <si>
    <t>CORREDOR SALGAR - LA DORADA</t>
  </si>
  <si>
    <t>SALDOR8</t>
  </si>
  <si>
    <t>CORREDOR SALGAR - MARIQUITA</t>
  </si>
  <si>
    <t>SALMAR08</t>
  </si>
  <si>
    <t>Samore - Toledo</t>
  </si>
  <si>
    <t>CORREDOR SAMORE - TOLEDO</t>
  </si>
  <si>
    <t>SAMTOL20</t>
  </si>
  <si>
    <t>San Jose del Nus - Est. Cisneros Nueva 12"</t>
  </si>
  <si>
    <t>S. JOSÉ DEL NUS - CISNEROS NVA</t>
  </si>
  <si>
    <t>SJNCIS12</t>
  </si>
  <si>
    <t>Santa Rosa – Sutamarchan</t>
  </si>
  <si>
    <t>POLIDUCTO DE ORIENTE</t>
  </si>
  <si>
    <t>CORREDOR SANTA ROSA - SUTAMARCHAN</t>
  </si>
  <si>
    <t>SANSUT16</t>
  </si>
  <si>
    <t>SANYAR6</t>
  </si>
  <si>
    <t>Santiago - Monterrey 10</t>
  </si>
  <si>
    <t>CORREDOR SANTIAGO - MONTERREY</t>
  </si>
  <si>
    <t>SANMON10</t>
  </si>
  <si>
    <t>Sebastopol - Salgar 8"</t>
  </si>
  <si>
    <t>CORREDOR SEBASTOPOL - SALGAR</t>
  </si>
  <si>
    <t>SEBSAL8</t>
  </si>
  <si>
    <t>Sebastopol - Salgar 12 "</t>
  </si>
  <si>
    <t>SEBSAL12</t>
  </si>
  <si>
    <t>Sebastopol - Salgar 16 "</t>
  </si>
  <si>
    <t>POLIDUCTO GALAN - SALGAR DE 16"</t>
  </si>
  <si>
    <t>SEBSAL16</t>
  </si>
  <si>
    <t>SEBASTOPOL - SAN JOSÉ DEL NUS</t>
  </si>
  <si>
    <t>SEBSJSNUS</t>
  </si>
  <si>
    <t>Sebastopol - SantaRosa</t>
  </si>
  <si>
    <t>CORREDOR SEBASTOPOL - SANTA ROSA</t>
  </si>
  <si>
    <t>SEBROS20</t>
  </si>
  <si>
    <t>Sutamarchan – Miraflores</t>
  </si>
  <si>
    <t>Poliducto de Oriente.</t>
  </si>
  <si>
    <t>SUTTOC16</t>
  </si>
  <si>
    <t>Sutamarchan - Tocancipa</t>
  </si>
  <si>
    <t>CORREDOR SUTAMARCHAN - TOCANCIPA</t>
  </si>
  <si>
    <t>Tello – Dina 10"</t>
  </si>
  <si>
    <t>Oleoducto Tello-Dina-Tenay</t>
  </si>
  <si>
    <t>TELDIN10</t>
  </si>
  <si>
    <t>Toldado - Gualanday 10"</t>
  </si>
  <si>
    <t>Oleoducto Toldado-Gualanday</t>
  </si>
  <si>
    <t>TOLGUA10</t>
  </si>
  <si>
    <t>Toledo - Río Zulia 18"</t>
  </si>
  <si>
    <t>CORREDOR TOLEDO - RIO ZULIA</t>
  </si>
  <si>
    <t>TOLZUL18</t>
  </si>
  <si>
    <t>Trampa Guayacan - Chimita</t>
  </si>
  <si>
    <t>CORREDOR GUAYACAN - CHIMITA</t>
  </si>
  <si>
    <t>GUACHI6</t>
  </si>
  <si>
    <t>Trampa Tienda Nueva – Trampa Guayacan</t>
  </si>
  <si>
    <t>GALAN - CHIMITA</t>
  </si>
  <si>
    <t>TIEGUA12</t>
  </si>
  <si>
    <t>Vasconia - Caucasia</t>
  </si>
  <si>
    <t>VASCONIA</t>
  </si>
  <si>
    <t>VASCSIA</t>
  </si>
  <si>
    <t>Vasconia - CIB 20"</t>
  </si>
  <si>
    <t>VASCONIA - CIB</t>
  </si>
  <si>
    <t>CORREDOR VASCONIA - CIB</t>
  </si>
  <si>
    <t>VASCIB20</t>
  </si>
  <si>
    <t>Vasconia - Velásquez 12"</t>
  </si>
  <si>
    <t>VASVLQZ12</t>
  </si>
  <si>
    <t>Villeta - Alban 10</t>
  </si>
  <si>
    <t>CORREDOR VILLETA -ALBAN</t>
  </si>
  <si>
    <t>VILALB10</t>
  </si>
  <si>
    <t>YAGTEN8</t>
  </si>
  <si>
    <t>ZARLUC6</t>
  </si>
  <si>
    <t>FORMATO</t>
  </si>
  <si>
    <t>F-OPE-AP-50</t>
  </si>
  <si>
    <t>REPORTE DE INSPECCIÓN PARTÍCULAS MAGNÉTICAS</t>
  </si>
  <si>
    <t>Versión:</t>
  </si>
  <si>
    <t>Fecha:</t>
  </si>
  <si>
    <t>1. DESCRIPCIÓN DEL CLIENTE</t>
  </si>
  <si>
    <t>CLIENTE</t>
  </si>
  <si>
    <t>CONTRATO N°</t>
  </si>
  <si>
    <t>OT</t>
  </si>
  <si>
    <t>Fecha actividad</t>
  </si>
  <si>
    <t>ZONA</t>
  </si>
  <si>
    <t>SUBSISTEMA O LÍNEA</t>
  </si>
  <si>
    <t>DEPARTAMENTO</t>
  </si>
  <si>
    <t>MUNICIPIO</t>
  </si>
  <si>
    <t>PK DEL SISTEMA</t>
  </si>
  <si>
    <t>DISTANCIA REGISTRO [m]</t>
  </si>
  <si>
    <t>2. DATOS DEL EQUIPO INSPECCIONADO</t>
  </si>
  <si>
    <t xml:space="preserve">DESCRIPCIÓN DEL ELEMENTO: </t>
  </si>
  <si>
    <t xml:space="preserve">ACABADO SUPERFICIAL: </t>
  </si>
  <si>
    <t>MATERIAL:</t>
  </si>
  <si>
    <t>ESPESOR:</t>
  </si>
  <si>
    <t>DIÁMETRO:</t>
  </si>
  <si>
    <t>CANTIDAD INSPECCIONADA:</t>
  </si>
  <si>
    <t xml:space="preserve">PLANO / REFERENCIAS: </t>
  </si>
  <si>
    <t>3. INFORMACIÓN DE LA INSPECCIÓN.</t>
  </si>
  <si>
    <t xml:space="preserve">PROCEDIMIENTO N°: </t>
  </si>
  <si>
    <t xml:space="preserve">REVISIÓN: </t>
  </si>
  <si>
    <t>NORMA  O CODIGO DE REFERENCIA:</t>
  </si>
  <si>
    <t xml:space="preserve">TÉCNICA DE MAGNETIZACIÓN: </t>
  </si>
  <si>
    <t xml:space="preserve">FUERZA DE CAMPO MAGNÉTICO: </t>
  </si>
  <si>
    <t xml:space="preserve">DIRECCIÓN DEL CAMPO: </t>
  </si>
  <si>
    <t xml:space="preserve">TÉCNICA DE DES MAGNETIZACIÓN: </t>
  </si>
  <si>
    <t>4. EQUIPOS, DESCRIPCIÓN DE LAS PARTÍCULAS MAGNÉTICAS</t>
  </si>
  <si>
    <t xml:space="preserve">TIPO DE PARTÍCULAS: </t>
  </si>
  <si>
    <t xml:space="preserve">MÉTODO DE APLICACIÓN: </t>
  </si>
  <si>
    <t>COLOR DE PARTÍCULAS:</t>
  </si>
  <si>
    <t xml:space="preserve">TIPO DE LUZ NEGRA: </t>
  </si>
  <si>
    <t xml:space="preserve">MARCA DE EQUIPO: </t>
  </si>
  <si>
    <t xml:space="preserve">CÓDIGO DEL EQUIPO: </t>
  </si>
  <si>
    <t>MARCA DE  LAS PARTÍCULAS:</t>
  </si>
  <si>
    <t>CÓDIGO DE LAS PARTÍCULAS:</t>
  </si>
  <si>
    <t>INTENSIDAD DE LUZ BLANCA (LUX):</t>
  </si>
  <si>
    <t xml:space="preserve">INTENSIDAD DE LUZ NEGRA (µW/cm2): </t>
  </si>
  <si>
    <t>TIPO DE CORRIENTE</t>
  </si>
  <si>
    <t>EQUIPO UTILIZADO MEDICIÓN LUZ</t>
  </si>
  <si>
    <t>SN</t>
  </si>
  <si>
    <t>5. RESULTADO DE LA INSPECCION.</t>
  </si>
  <si>
    <t>COMPONENTE/ ÁREA INSPECCIONADA</t>
  </si>
  <si>
    <t>INDICACIÓN 1</t>
  </si>
  <si>
    <t>INDICACIÓN 2</t>
  </si>
  <si>
    <t>INDICACIÓN 3</t>
  </si>
  <si>
    <t>EVALUACION</t>
  </si>
  <si>
    <t>OBSERVACIONES</t>
  </si>
  <si>
    <t>ÍTEM</t>
  </si>
  <si>
    <t xml:space="preserve">IDENTIFICACIÓN </t>
  </si>
  <si>
    <t>ZONA INSP. / DISTANCIA AL REGISTRO (m)</t>
  </si>
  <si>
    <t>DIÁM / LONG</t>
  </si>
  <si>
    <t>TIPO</t>
  </si>
  <si>
    <t>LONG</t>
  </si>
  <si>
    <t>6. ESQUEMA DE INSPECCIÓN</t>
  </si>
  <si>
    <t>6. REGISTRO FOTOGRAFICO</t>
  </si>
  <si>
    <t xml:space="preserve">OBSERVACIONES : </t>
  </si>
  <si>
    <t>INSPECTOR</t>
  </si>
  <si>
    <t>REVISADO POR</t>
  </si>
  <si>
    <t>APROBÓ</t>
  </si>
  <si>
    <t xml:space="preserve">NOMBRE: </t>
  </si>
  <si>
    <t>NOMBRE:</t>
  </si>
  <si>
    <t>CERTIFICADO NIVEL II N° :</t>
  </si>
  <si>
    <t>CARGO:</t>
  </si>
  <si>
    <t>FIRMA</t>
  </si>
  <si>
    <t>FECHA: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</si>
</sst>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d/mm/yyyy h:mm:ss"/>
    <numFmt numFmtId="166" formatCode="d/m/yyyy"/>
    <numFmt numFmtId="167" formatCode="d/m/yyyy h:mm:ss"/>
    <numFmt numFmtId="168" formatCode="d, m, yy"/>
    <numFmt numFmtId="169" formatCode="d, m"/>
    <numFmt numFmtId="170" formatCode="###.###\ &quot;mm&quot;"/>
    <numFmt numFmtId="171" formatCode="####.###\ &quot;Pulg&quot;"/>
  </numFmts>
  <fonts count="3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rgb="FF434343"/>
      <name val="Roboto"/>
    </font>
    <font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Arial"/>
    </font>
    <font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u/>
      <color rgb="FF0000FF"/>
      <name val="Roboto"/>
    </font>
    <font>
      <u/>
      <color rgb="FF434343"/>
      <name val="Roboto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b/>
      <sz val="11.0"/>
      <color rgb="FF000000"/>
      <name val="Calibri"/>
    </font>
    <font>
      <b/>
      <sz val="12.0"/>
      <color rgb="FF000000"/>
      <name val="Calibri"/>
    </font>
    <font>
      <b/>
      <sz val="8.0"/>
      <color rgb="FFFFFFFF"/>
      <name val="&quot;Aptos Narrow&quot;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9C0006"/>
      <name val="Calibri"/>
    </font>
    <font>
      <sz val="10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0.0"/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0.0"/>
      <color theme="1"/>
      <name val="Arial Narrow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BE5014"/>
        <bgColor rgb="FFBE5014"/>
      </patternFill>
    </fill>
    <fill>
      <patternFill patternType="solid">
        <fgColor rgb="FFE2EFDA"/>
        <bgColor rgb="FFE2EFDA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6A6A6"/>
        <bgColor rgb="FFA6A6A6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44B3E1"/>
      </bottom>
    </border>
    <border>
      <top style="thin">
        <color rgb="FF000000"/>
      </top>
      <bottom style="thin">
        <color rgb="FF000000"/>
      </bottom>
    </border>
    <border>
      <left style="thin">
        <color rgb="FF44B3E1"/>
      </left>
    </border>
    <border>
      <left style="thin">
        <color rgb="FF000000"/>
      </left>
    </border>
    <border>
      <left style="thin">
        <color rgb="FF000000"/>
      </left>
      <bottom style="thin">
        <color rgb="FF44B3E1"/>
      </bottom>
    </border>
    <border>
      <bottom style="thin">
        <color rgb="FF44B3E1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top/>
      <bottom/>
    </border>
    <border>
      <right/>
      <top/>
      <bottom/>
    </border>
    <border>
      <left/>
      <top/>
      <bottom/>
    </border>
    <border>
      <top/>
      <bottom/>
    </border>
    <border>
      <left/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right style="thin">
        <color rgb="FF000000"/>
      </right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1" fillId="3" fontId="3" numFmtId="0" xfId="0" applyAlignment="1" applyBorder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quotePrefix="1" borderId="2" fillId="3" fontId="4" numFmtId="0" xfId="0" applyAlignment="1" applyBorder="1" applyFont="1">
      <alignment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3" fillId="3" fontId="4" numFmtId="0" xfId="0" applyAlignment="1" applyBorder="1" applyFont="1">
      <alignment shrinkToFit="0" vertical="center" wrapText="0"/>
    </xf>
    <xf borderId="2" fillId="3" fontId="1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3" fontId="4" numFmtId="164" xfId="0" applyAlignment="1" applyBorder="1" applyFont="1" applyNumberFormat="1">
      <alignment horizontal="right" shrinkToFit="0" vertical="center" wrapText="0"/>
    </xf>
    <xf borderId="2" fillId="3" fontId="4" numFmtId="0" xfId="0" applyAlignment="1" applyBorder="1" applyFont="1">
      <alignment horizontal="right" shrinkToFit="0" vertical="center" wrapText="0"/>
    </xf>
    <xf borderId="2" fillId="3" fontId="7" numFmtId="0" xfId="0" applyAlignment="1" applyBorder="1" applyFont="1">
      <alignment shrinkToFit="0" vertical="center" wrapText="0"/>
    </xf>
    <xf borderId="2" fillId="3" fontId="4" numFmtId="165" xfId="0" applyAlignment="1" applyBorder="1" applyFont="1" applyNumberFormat="1">
      <alignment horizontal="right" shrinkToFit="0" vertical="center" wrapText="0"/>
    </xf>
    <xf borderId="4" fillId="3" fontId="1" numFmtId="0" xfId="0" applyAlignment="1" applyBorder="1" applyFont="1">
      <alignment shrinkToFit="0" vertical="center" wrapText="0"/>
    </xf>
    <xf borderId="5" fillId="3" fontId="8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165" xfId="0" applyAlignment="1" applyFont="1" applyNumberFormat="1">
      <alignment readingOrder="0" shrinkToFit="0" vertical="bottom" wrapText="0"/>
    </xf>
    <xf quotePrefix="1"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3" fillId="3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quotePrefix="1" borderId="2" fillId="3" fontId="4" numFmtId="0" xfId="0" applyAlignment="1" applyBorder="1" applyFont="1">
      <alignment shrinkToFit="0" vertical="center" wrapText="0"/>
    </xf>
    <xf borderId="5" fillId="3" fontId="1" numFmtId="0" xfId="0" applyAlignment="1" applyBorder="1" applyFont="1">
      <alignment shrinkToFit="0" vertical="center" wrapText="0"/>
    </xf>
    <xf borderId="6" fillId="2" fontId="4" numFmtId="0" xfId="0" applyAlignment="1" applyBorder="1" applyFont="1">
      <alignment shrinkToFit="0" vertical="center" wrapText="0"/>
    </xf>
    <xf borderId="7" fillId="2" fontId="4" numFmtId="0" xfId="0" applyAlignment="1" applyBorder="1" applyFont="1">
      <alignment shrinkToFit="0" vertical="center" wrapText="0"/>
    </xf>
    <xf quotePrefix="1" borderId="7" fillId="2" fontId="4" numFmtId="0" xfId="0" applyAlignment="1" applyBorder="1" applyFont="1">
      <alignment shrinkToFit="0" vertical="center" wrapText="0"/>
    </xf>
    <xf borderId="8" fillId="2" fontId="1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quotePrefix="1" borderId="3" fillId="3" fontId="4" numFmtId="0" xfId="0" applyAlignment="1" applyBorder="1" applyFont="1">
      <alignment shrinkToFit="0" vertical="center" wrapText="0"/>
    </xf>
    <xf borderId="0" fillId="0" fontId="2" numFmtId="20" xfId="0" applyAlignment="1" applyFont="1" applyNumberFormat="1">
      <alignment readingOrder="0"/>
    </xf>
    <xf borderId="0" fillId="0" fontId="12" numFmtId="0" xfId="0" applyAlignment="1" applyFont="1">
      <alignment shrinkToFit="0" vertical="center" wrapText="0"/>
    </xf>
    <xf borderId="2" fillId="3" fontId="13" numFmtId="0" xfId="0" applyAlignment="1" applyBorder="1" applyFont="1">
      <alignment shrinkToFit="0" vertical="center" wrapText="0"/>
    </xf>
    <xf borderId="0" fillId="0" fontId="14" numFmtId="0" xfId="0" applyFont="1"/>
    <xf borderId="0" fillId="0" fontId="2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vertical="bottom"/>
    </xf>
    <xf quotePrefix="1"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9" fillId="0" fontId="18" numFmtId="0" xfId="0" applyAlignment="1" applyBorder="1" applyFont="1">
      <alignment horizontal="center" readingOrder="0" shrinkToFit="0" wrapText="0"/>
    </xf>
    <xf borderId="10" fillId="0" fontId="18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 shrinkToFit="0" wrapText="0"/>
    </xf>
    <xf borderId="1" fillId="0" fontId="10" numFmtId="0" xfId="0" applyAlignment="1" applyBorder="1" applyFont="1">
      <alignment readingOrder="0"/>
    </xf>
    <xf borderId="11" fillId="4" fontId="20" numFmtId="0" xfId="0" applyAlignment="1" applyBorder="1" applyFill="1" applyFont="1">
      <alignment horizontal="center" readingOrder="0"/>
    </xf>
    <xf borderId="12" fillId="4" fontId="20" numFmtId="0" xfId="0" applyAlignment="1" applyBorder="1" applyFont="1">
      <alignment horizontal="center" readingOrder="0"/>
    </xf>
    <xf borderId="13" fillId="4" fontId="20" numFmtId="0" xfId="0" applyAlignment="1" applyBorder="1" applyFont="1">
      <alignment horizontal="center" readingOrder="0"/>
    </xf>
    <xf borderId="13" fillId="4" fontId="20" numFmtId="0" xfId="0" applyAlignment="1" applyBorder="1" applyFont="1">
      <alignment readingOrder="0"/>
    </xf>
    <xf borderId="9" fillId="0" fontId="21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/>
    </xf>
    <xf borderId="10" fillId="0" fontId="21" numFmtId="0" xfId="0" applyAlignment="1" applyBorder="1" applyFont="1">
      <alignment horizontal="center" readingOrder="0" shrinkToFit="0" wrapText="0"/>
    </xf>
    <xf borderId="0" fillId="0" fontId="21" numFmtId="0" xfId="0" applyAlignment="1" applyFont="1">
      <alignment horizontal="center" readingOrder="0" shrinkToFit="0" wrapText="0"/>
    </xf>
    <xf borderId="1" fillId="5" fontId="21" numFmtId="0" xfId="0" applyAlignment="1" applyBorder="1" applyFill="1" applyFont="1">
      <alignment readingOrder="0" shrinkToFit="0" vertical="bottom" wrapText="0"/>
    </xf>
    <xf borderId="14" fillId="6" fontId="22" numFmtId="0" xfId="0" applyAlignment="1" applyBorder="1" applyFill="1" applyFont="1">
      <alignment horizontal="center" readingOrder="0" shrinkToFit="0" vertical="bottom" wrapText="0"/>
    </xf>
    <xf borderId="0" fillId="6" fontId="22" numFmtId="0" xfId="0" applyAlignment="1" applyFont="1">
      <alignment horizontal="center" readingOrder="0" shrinkToFit="0" vertical="bottom" wrapText="0"/>
    </xf>
    <xf borderId="0" fillId="6" fontId="22" numFmtId="0" xfId="0" applyAlignment="1" applyFont="1">
      <alignment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14" fillId="0" fontId="22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1" fillId="0" fontId="21" numFmtId="0" xfId="0" applyAlignment="1" applyBorder="1" applyFont="1">
      <alignment horizontal="center" shrinkToFit="0" wrapText="0"/>
    </xf>
    <xf borderId="14" fillId="7" fontId="22" numFmtId="0" xfId="0" applyAlignment="1" applyBorder="1" applyFill="1" applyFont="1">
      <alignment horizontal="center" readingOrder="0" shrinkToFit="0" vertical="bottom" wrapText="0"/>
    </xf>
    <xf borderId="15" fillId="0" fontId="22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wrapText="0"/>
    </xf>
    <xf borderId="15" fillId="7" fontId="22" numFmtId="0" xfId="0" applyAlignment="1" applyBorder="1" applyFont="1">
      <alignment horizontal="center" readingOrder="0" shrinkToFit="0" vertical="bottom" wrapText="0"/>
    </xf>
    <xf borderId="0" fillId="6" fontId="22" numFmtId="0" xfId="0" applyAlignment="1" applyFont="1">
      <alignment horizontal="center" readingOrder="0" shrinkToFit="0" wrapText="0"/>
    </xf>
    <xf borderId="1" fillId="0" fontId="21" numFmtId="0" xfId="0" applyAlignment="1" applyBorder="1" applyFont="1">
      <alignment horizontal="center"/>
    </xf>
    <xf borderId="16" fillId="6" fontId="22" numFmtId="0" xfId="0" applyAlignment="1" applyBorder="1" applyFont="1">
      <alignment horizontal="center" readingOrder="0" shrinkToFit="0" vertical="bottom" wrapText="0"/>
    </xf>
    <xf borderId="17" fillId="6" fontId="22" numFmtId="0" xfId="0" applyAlignment="1" applyBorder="1" applyFont="1">
      <alignment horizontal="center" readingOrder="0" shrinkToFit="0" wrapText="0"/>
    </xf>
    <xf borderId="17" fillId="6" fontId="22" numFmtId="0" xfId="0" applyAlignment="1" applyBorder="1" applyFont="1">
      <alignment readingOrder="0" shrinkToFit="0" vertical="bottom" wrapText="0"/>
    </xf>
    <xf borderId="17" fillId="6" fontId="22" numFmtId="0" xfId="0" applyAlignment="1" applyBorder="1" applyFont="1">
      <alignment horizontal="center" readingOrder="0" shrinkToFit="0" vertical="bottom" wrapText="0"/>
    </xf>
    <xf borderId="1" fillId="0" fontId="21" numFmtId="168" xfId="0" applyAlignment="1" applyBorder="1" applyFont="1" applyNumberFormat="1">
      <alignment horizontal="center" readingOrder="0" shrinkToFit="0" wrapText="0"/>
    </xf>
    <xf borderId="16" fillId="0" fontId="22" numFmtId="0" xfId="0" applyAlignment="1" applyBorder="1" applyFont="1">
      <alignment horizontal="center" readingOrder="0" shrinkToFit="0" vertical="bottom" wrapText="0"/>
    </xf>
    <xf borderId="17" fillId="0" fontId="22" numFmtId="0" xfId="0" applyAlignment="1" applyBorder="1" applyFont="1">
      <alignment horizontal="center" readingOrder="0" shrinkToFit="0" wrapText="0"/>
    </xf>
    <xf borderId="17" fillId="0" fontId="22" numFmtId="0" xfId="0" applyAlignment="1" applyBorder="1" applyFont="1">
      <alignment readingOrder="0" shrinkToFit="0" vertical="bottom" wrapText="0"/>
    </xf>
    <xf borderId="17" fillId="0" fontId="22" numFmtId="0" xfId="0" applyAlignment="1" applyBorder="1" applyFont="1">
      <alignment horizontal="center" readingOrder="0" shrinkToFit="0" vertical="bottom" wrapText="0"/>
    </xf>
    <xf borderId="15" fillId="6" fontId="22" numFmtId="0" xfId="0" applyAlignment="1" applyBorder="1" applyFont="1">
      <alignment horizontal="center" readingOrder="0" shrinkToFit="0" vertical="bottom" wrapText="0"/>
    </xf>
    <xf borderId="0" fillId="6" fontId="22" numFmtId="0" xfId="0" applyAlignment="1" applyFont="1">
      <alignment shrinkToFit="0" vertical="bottom" wrapText="0"/>
    </xf>
    <xf borderId="1" fillId="8" fontId="23" numFmtId="0" xfId="0" applyAlignment="1" applyBorder="1" applyFill="1" applyFont="1">
      <alignment horizontal="center" readingOrder="0" shrinkToFit="0" wrapText="0"/>
    </xf>
    <xf borderId="9" fillId="0" fontId="21" numFmtId="0" xfId="0" applyAlignment="1" applyBorder="1" applyFont="1">
      <alignment horizontal="center" readingOrder="0"/>
    </xf>
    <xf borderId="0" fillId="7" fontId="22" numFmtId="0" xfId="0" applyAlignment="1" applyFont="1">
      <alignment horizontal="center" readingOrder="0" shrinkToFit="0" vertical="bottom" wrapText="0"/>
    </xf>
    <xf borderId="0" fillId="7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shrinkToFit="0" vertical="bottom" wrapText="0"/>
    </xf>
    <xf borderId="1" fillId="0" fontId="21" numFmtId="169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18" fillId="9" fontId="24" numFmtId="0" xfId="0" applyAlignment="1" applyBorder="1" applyFill="1" applyFont="1">
      <alignment horizontal="center" shrinkToFit="0" vertical="center" wrapText="1"/>
    </xf>
    <xf borderId="19" fillId="0" fontId="25" numFmtId="0" xfId="0" applyBorder="1" applyFont="1"/>
    <xf borderId="20" fillId="0" fontId="25" numFmtId="0" xfId="0" applyBorder="1" applyFont="1"/>
    <xf borderId="11" fillId="10" fontId="26" numFmtId="0" xfId="0" applyAlignment="1" applyBorder="1" applyFill="1" applyFont="1">
      <alignment horizontal="center" shrinkToFit="0" vertical="center" wrapText="1"/>
    </xf>
    <xf borderId="13" fillId="0" fontId="25" numFmtId="0" xfId="0" applyBorder="1" applyFont="1"/>
    <xf borderId="21" fillId="0" fontId="25" numFmtId="0" xfId="0" applyBorder="1" applyFont="1"/>
    <xf borderId="15" fillId="0" fontId="25" numFmtId="0" xfId="0" applyBorder="1" applyFont="1"/>
    <xf borderId="22" fillId="0" fontId="25" numFmtId="0" xfId="0" applyBorder="1" applyFont="1"/>
    <xf borderId="18" fillId="9" fontId="27" numFmtId="0" xfId="0" applyAlignment="1" applyBorder="1" applyFont="1">
      <alignment horizontal="center" shrinkToFit="0" vertical="center" wrapText="1"/>
    </xf>
    <xf borderId="1" fillId="10" fontId="28" numFmtId="0" xfId="0" applyAlignment="1" applyBorder="1" applyFont="1">
      <alignment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23" fillId="0" fontId="25" numFmtId="0" xfId="0" applyBorder="1" applyFont="1"/>
    <xf borderId="10" fillId="0" fontId="25" numFmtId="0" xfId="0" applyBorder="1" applyFont="1"/>
    <xf borderId="9" fillId="0" fontId="25" numFmtId="0" xfId="0" applyBorder="1" applyFont="1"/>
    <xf borderId="1" fillId="0" fontId="24" numFmtId="14" xfId="0" applyAlignment="1" applyBorder="1" applyFont="1" applyNumberFormat="1">
      <alignment horizontal="center" readingOrder="0" shrinkToFit="0" vertical="center" wrapText="1"/>
    </xf>
    <xf borderId="24" fillId="9" fontId="29" numFmtId="0" xfId="0" applyAlignment="1" applyBorder="1" applyFont="1">
      <alignment horizontal="center" shrinkToFit="0" vertical="center" wrapText="1"/>
    </xf>
    <xf borderId="25" fillId="9" fontId="29" numFmtId="0" xfId="0" applyAlignment="1" applyBorder="1" applyFont="1">
      <alignment horizontal="center" shrinkToFit="0" vertical="center" wrapText="1"/>
    </xf>
    <xf borderId="25" fillId="9" fontId="30" numFmtId="0" xfId="0" applyAlignment="1" applyBorder="1" applyFont="1">
      <alignment horizontal="center" shrinkToFit="0" vertical="center" wrapText="1"/>
    </xf>
    <xf borderId="26" fillId="9" fontId="30" numFmtId="0" xfId="0" applyAlignment="1" applyBorder="1" applyFont="1">
      <alignment horizontal="center" shrinkToFit="0" vertical="center" wrapText="1"/>
    </xf>
    <xf borderId="11" fillId="11" fontId="31" numFmtId="0" xfId="0" applyAlignment="1" applyBorder="1" applyFill="1" applyFont="1">
      <alignment horizontal="center" readingOrder="0" vertical="center"/>
    </xf>
    <xf borderId="13" fillId="11" fontId="31" numFmtId="0" xfId="0" applyAlignment="1" applyBorder="1" applyFont="1">
      <alignment horizontal="center" readingOrder="0" vertical="center"/>
    </xf>
    <xf borderId="27" fillId="10" fontId="28" numFmtId="0" xfId="0" applyAlignment="1" applyBorder="1" applyFont="1">
      <alignment horizontal="center" shrinkToFit="0" vertical="center" wrapText="1"/>
    </xf>
    <xf borderId="28" fillId="10" fontId="28" numFmtId="0" xfId="0" applyAlignment="1" applyBorder="1" applyFont="1">
      <alignment horizontal="center" shrinkToFit="0" vertical="center" wrapText="1"/>
    </xf>
    <xf borderId="29" fillId="10" fontId="28" numFmtId="0" xfId="0" applyAlignment="1" applyBorder="1" applyFont="1">
      <alignment horizontal="center" shrinkToFit="0" vertical="center" wrapText="1"/>
    </xf>
    <xf borderId="30" fillId="10" fontId="32" numFmtId="0" xfId="0" applyAlignment="1" applyBorder="1" applyFont="1">
      <alignment horizontal="left" shrinkToFit="0" vertical="center" wrapText="1"/>
    </xf>
    <xf borderId="31" fillId="0" fontId="25" numFmtId="0" xfId="0" applyBorder="1" applyFont="1"/>
    <xf borderId="32" fillId="9" fontId="28" numFmtId="0" xfId="0" applyAlignment="1" applyBorder="1" applyFont="1">
      <alignment horizontal="center" shrinkToFit="0" vertical="center" wrapText="1"/>
    </xf>
    <xf borderId="33" fillId="0" fontId="25" numFmtId="0" xfId="0" applyBorder="1" applyFont="1"/>
    <xf borderId="32" fillId="10" fontId="32" numFmtId="0" xfId="0" applyAlignment="1" applyBorder="1" applyFont="1">
      <alignment horizontal="center" shrinkToFit="0" vertical="center" wrapText="1"/>
    </xf>
    <xf borderId="34" fillId="10" fontId="32" numFmtId="0" xfId="0" applyAlignment="1" applyBorder="1" applyFont="1">
      <alignment horizontal="center" vertical="center"/>
    </xf>
    <xf borderId="0" fillId="0" fontId="28" numFmtId="0" xfId="0" applyAlignment="1" applyFont="1">
      <alignment horizontal="center" shrinkToFit="0" vertical="center" wrapText="1"/>
    </xf>
    <xf borderId="34" fillId="10" fontId="32" numFmtId="0" xfId="0" applyAlignment="1" applyBorder="1" applyFont="1">
      <alignment horizontal="center" shrinkToFit="0" vertical="center" wrapText="1"/>
    </xf>
    <xf borderId="32" fillId="9" fontId="28" numFmtId="14" xfId="0" applyAlignment="1" applyBorder="1" applyFont="1" applyNumberFormat="1">
      <alignment horizontal="center" shrinkToFit="0" vertical="center" wrapText="1"/>
    </xf>
    <xf borderId="32" fillId="12" fontId="32" numFmtId="0" xfId="0" applyAlignment="1" applyBorder="1" applyFill="1" applyFont="1">
      <alignment horizontal="center" shrinkToFit="0" vertical="center" wrapText="1"/>
    </xf>
    <xf borderId="35" fillId="0" fontId="25" numFmtId="0" xfId="0" applyBorder="1" applyFont="1"/>
    <xf borderId="36" fillId="10" fontId="28" numFmtId="0" xfId="0" applyAlignment="1" applyBorder="1" applyFont="1">
      <alignment horizontal="center" shrinkToFit="0" vertical="center" wrapText="1"/>
    </xf>
    <xf borderId="34" fillId="10" fontId="28" numFmtId="0" xfId="0" applyAlignment="1" applyBorder="1" applyFont="1">
      <alignment horizontal="center" shrinkToFit="0" vertical="center" wrapText="1"/>
    </xf>
    <xf borderId="37" fillId="10" fontId="28" numFmtId="0" xfId="0" applyAlignment="1" applyBorder="1" applyFont="1">
      <alignment horizontal="center" shrinkToFit="0" vertical="center" wrapText="1"/>
    </xf>
    <xf borderId="32" fillId="9" fontId="28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30" fillId="10" fontId="32" numFmtId="0" xfId="0" applyAlignment="1" applyBorder="1" applyFont="1">
      <alignment horizontal="center" shrinkToFit="0" vertical="center" wrapText="1"/>
    </xf>
    <xf borderId="11" fillId="11" fontId="31" numFmtId="0" xfId="0" applyAlignment="1" applyBorder="1" applyFont="1">
      <alignment horizontal="center" vertical="center"/>
    </xf>
    <xf borderId="30" fillId="13" fontId="33" numFmtId="0" xfId="0" applyAlignment="1" applyBorder="1" applyFill="1" applyFont="1">
      <alignment horizontal="left" shrinkToFit="0" vertical="center" wrapText="1"/>
    </xf>
    <xf borderId="0" fillId="0" fontId="33" numFmtId="0" xfId="0" applyAlignment="1" applyFont="1">
      <alignment horizontal="center" shrinkToFit="0" vertical="center" wrapText="1"/>
    </xf>
    <xf borderId="32" fillId="13" fontId="33" numFmtId="0" xfId="0" applyAlignment="1" applyBorder="1" applyFont="1">
      <alignment horizontal="left" shrinkToFit="0" vertical="center" wrapText="1"/>
    </xf>
    <xf borderId="0" fillId="0" fontId="24" numFmtId="0" xfId="0" applyAlignment="1" applyFont="1">
      <alignment horizontal="center" shrinkToFit="0" vertical="center" wrapText="1"/>
    </xf>
    <xf borderId="32" fillId="9" fontId="24" numFmtId="0" xfId="0" applyAlignment="1" applyBorder="1" applyFont="1">
      <alignment horizontal="center" shrinkToFit="0" vertical="center" wrapText="1"/>
    </xf>
    <xf borderId="34" fillId="13" fontId="33" numFmtId="0" xfId="0" applyAlignment="1" applyBorder="1" applyFont="1">
      <alignment horizontal="left" vertical="center"/>
    </xf>
    <xf borderId="0" fillId="0" fontId="24" numFmtId="170" xfId="0" applyAlignment="1" applyFont="1" applyNumberFormat="1">
      <alignment horizontal="center" vertical="center"/>
    </xf>
    <xf borderId="32" fillId="9" fontId="24" numFmtId="171" xfId="0" applyAlignment="1" applyBorder="1" applyFont="1" applyNumberFormat="1">
      <alignment horizontal="center" shrinkToFit="0" vertical="center" wrapText="1"/>
    </xf>
    <xf borderId="38" fillId="13" fontId="33" numFmtId="0" xfId="0" applyAlignment="1" applyBorder="1" applyFont="1">
      <alignment horizontal="left" shrinkToFit="0" vertical="center" wrapText="1"/>
    </xf>
    <xf borderId="39" fillId="0" fontId="25" numFmtId="0" xfId="0" applyBorder="1" applyFont="1"/>
    <xf borderId="40" fillId="0" fontId="25" numFmtId="0" xfId="0" applyBorder="1" applyFont="1"/>
    <xf borderId="38" fillId="9" fontId="24" numFmtId="0" xfId="0" applyAlignment="1" applyBorder="1" applyFont="1">
      <alignment horizontal="center" shrinkToFit="0" vertical="center" wrapText="1"/>
    </xf>
    <xf borderId="41" fillId="0" fontId="25" numFmtId="0" xfId="0" applyBorder="1" applyFont="1"/>
    <xf borderId="42" fillId="0" fontId="25" numFmtId="0" xfId="0" applyBorder="1" applyFont="1"/>
    <xf borderId="43" fillId="0" fontId="25" numFmtId="0" xfId="0" applyBorder="1" applyFont="1"/>
    <xf borderId="30" fillId="13" fontId="33" numFmtId="0" xfId="0" applyAlignment="1" applyBorder="1" applyFont="1">
      <alignment horizontal="left" vertical="center"/>
    </xf>
    <xf borderId="44" fillId="0" fontId="25" numFmtId="0" xfId="0" applyBorder="1" applyFont="1"/>
    <xf borderId="45" fillId="0" fontId="25" numFmtId="0" xfId="0" applyBorder="1" applyFont="1"/>
    <xf borderId="46" fillId="0" fontId="25" numFmtId="0" xfId="0" applyBorder="1" applyFont="1"/>
    <xf borderId="47" fillId="0" fontId="25" numFmtId="0" xfId="0" applyBorder="1" applyFont="1"/>
    <xf borderId="32" fillId="3" fontId="24" numFmtId="0" xfId="0" applyAlignment="1" applyBorder="1" applyFont="1">
      <alignment horizontal="center" shrinkToFit="0" vertical="center" wrapText="1"/>
    </xf>
    <xf borderId="32" fillId="3" fontId="24" numFmtId="0" xfId="0" applyAlignment="1" applyBorder="1" applyFont="1">
      <alignment horizontal="center" vertical="center"/>
    </xf>
    <xf borderId="32" fillId="13" fontId="33" numFmtId="0" xfId="0" applyAlignment="1" applyBorder="1" applyFont="1">
      <alignment horizontal="left" vertical="center"/>
    </xf>
    <xf borderId="32" fillId="10" fontId="28" numFmtId="0" xfId="0" applyAlignment="1" applyBorder="1" applyFont="1">
      <alignment horizontal="center" shrinkToFit="0" vertical="center" wrapText="1"/>
    </xf>
    <xf borderId="30" fillId="10" fontId="28" numFmtId="0" xfId="0" applyAlignment="1" applyBorder="1" applyFont="1">
      <alignment horizontal="center" shrinkToFit="0" vertical="center" wrapText="1"/>
    </xf>
    <xf borderId="32" fillId="9" fontId="24" numFmtId="0" xfId="0" applyAlignment="1" applyBorder="1" applyFont="1">
      <alignment horizontal="center" vertical="center"/>
    </xf>
    <xf borderId="34" fillId="3" fontId="24" numFmtId="0" xfId="0" applyAlignment="1" applyBorder="1" applyFont="1">
      <alignment horizontal="center" vertical="center"/>
    </xf>
    <xf borderId="37" fillId="9" fontId="24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left" vertical="center"/>
    </xf>
    <xf borderId="32" fillId="3" fontId="34" numFmtId="0" xfId="0" applyAlignment="1" applyBorder="1" applyFont="1">
      <alignment horizontal="left" vertical="center"/>
    </xf>
    <xf borderId="32" fillId="3" fontId="34" numFmtId="0" xfId="0" applyAlignment="1" applyBorder="1" applyFont="1">
      <alignment horizontal="center" vertical="center"/>
    </xf>
    <xf borderId="32" fillId="9" fontId="24" numFmtId="0" xfId="0" applyAlignment="1" applyBorder="1" applyFont="1">
      <alignment shrinkToFit="0" vertical="center" wrapText="1"/>
    </xf>
    <xf borderId="34" fillId="13" fontId="33" numFmtId="0" xfId="0" applyAlignment="1" applyBorder="1" applyFont="1">
      <alignment horizontal="left" shrinkToFit="0" vertical="center" wrapText="1"/>
    </xf>
    <xf borderId="48" fillId="11" fontId="31" numFmtId="0" xfId="0" applyAlignment="1" applyBorder="1" applyFont="1">
      <alignment horizontal="center" vertical="center"/>
    </xf>
    <xf borderId="49" fillId="0" fontId="25" numFmtId="0" xfId="0" applyBorder="1" applyFont="1"/>
    <xf borderId="50" fillId="0" fontId="25" numFmtId="0" xfId="0" applyBorder="1" applyFont="1"/>
    <xf borderId="11" fillId="13" fontId="24" numFmtId="0" xfId="0" applyAlignment="1" applyBorder="1" applyFont="1">
      <alignment horizontal="center" vertical="center"/>
    </xf>
    <xf borderId="11" fillId="13" fontId="24" numFmtId="0" xfId="0" applyAlignment="1" applyBorder="1" applyFont="1">
      <alignment horizontal="center" shrinkToFit="0" vertical="center" wrapText="1"/>
    </xf>
    <xf borderId="18" fillId="13" fontId="24" numFmtId="0" xfId="0" applyAlignment="1" applyBorder="1" applyFont="1">
      <alignment vertical="center"/>
    </xf>
    <xf borderId="18" fillId="13" fontId="24" numFmtId="0" xfId="0" applyAlignment="1" applyBorder="1" applyFont="1">
      <alignment horizontal="center" vertical="center"/>
    </xf>
    <xf borderId="1" fillId="13" fontId="24" numFmtId="0" xfId="0" applyAlignment="1" applyBorder="1" applyFont="1">
      <alignment horizontal="center" vertical="center"/>
    </xf>
    <xf borderId="51" fillId="13" fontId="24" numFmtId="0" xfId="0" applyAlignment="1" applyBorder="1" applyFont="1">
      <alignment horizontal="center" shrinkToFit="0" vertical="center" wrapText="1"/>
    </xf>
    <xf borderId="1" fillId="13" fontId="24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vertical="center"/>
    </xf>
    <xf borderId="11" fillId="9" fontId="24" numFmtId="0" xfId="0" applyAlignment="1" applyBorder="1" applyFont="1">
      <alignment horizontal="center"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1" fillId="0" fontId="24" numFmtId="0" xfId="0" applyAlignment="1" applyBorder="1" applyFont="1">
      <alignment horizontal="center" vertical="center"/>
    </xf>
    <xf borderId="11" fillId="0" fontId="24" numFmtId="0" xfId="0" applyAlignment="1" applyBorder="1" applyFont="1">
      <alignment shrinkToFit="0" vertical="center" wrapText="1"/>
    </xf>
    <xf borderId="11" fillId="0" fontId="24" numFmtId="0" xfId="0" applyAlignment="1" applyBorder="1" applyFont="1">
      <alignment horizontal="center"/>
    </xf>
    <xf borderId="48" fillId="11" fontId="31" numFmtId="0" xfId="0" applyAlignment="1" applyBorder="1" applyFont="1">
      <alignment horizontal="center" readingOrder="0"/>
    </xf>
    <xf borderId="11" fillId="3" fontId="1" numFmtId="0" xfId="0" applyBorder="1" applyFont="1"/>
    <xf borderId="52" fillId="3" fontId="35" numFmtId="0" xfId="0" applyAlignment="1" applyBorder="1" applyFont="1">
      <alignment horizontal="center" shrinkToFit="0" wrapText="1"/>
    </xf>
    <xf borderId="19" fillId="3" fontId="35" numFmtId="0" xfId="0" applyAlignment="1" applyBorder="1" applyFont="1">
      <alignment horizontal="center" shrinkToFit="0" wrapText="1"/>
    </xf>
    <xf borderId="18" fillId="3" fontId="35" numFmtId="0" xfId="0" applyAlignment="1" applyBorder="1" applyFont="1">
      <alignment horizontal="center" shrinkToFit="0" wrapText="1"/>
    </xf>
    <xf borderId="48" fillId="11" fontId="31" numFmtId="0" xfId="0" applyAlignment="1" applyBorder="1" applyFont="1">
      <alignment horizontal="center"/>
    </xf>
    <xf borderId="11" fillId="0" fontId="28" numFmtId="0" xfId="0" applyAlignment="1" applyBorder="1" applyFont="1">
      <alignment horizontal="center" shrinkToFit="0" vertical="center" wrapText="1"/>
    </xf>
    <xf borderId="11" fillId="0" fontId="24" numFmtId="0" xfId="0" applyAlignment="1" applyBorder="1" applyFont="1">
      <alignment horizontal="left" shrinkToFit="0" vertical="top" wrapText="1"/>
    </xf>
    <xf borderId="11" fillId="9" fontId="28" numFmtId="0" xfId="0" applyAlignment="1" applyBorder="1" applyFont="1">
      <alignment horizontal="center" vertical="center"/>
    </xf>
    <xf borderId="11" fillId="9" fontId="32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1.m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.map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.map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.map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.map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.general_particulas_magnet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.resultados_inspec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.reg_fotograf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.2.reg_calida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52</xdr:row>
      <xdr:rowOff>0</xdr:rowOff>
    </xdr:from>
    <xdr:ext cx="304800" cy="304800"/>
    <xdr:sp>
      <xdr:nvSpPr>
        <xdr:cNvPr descr="blob:https://web.whatsapp.com/6a849df5-4345-4314-9a96-097dc2a1c701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133350</xdr:rowOff>
    </xdr:from>
    <xdr:ext cx="153352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561975" cy="3429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4" displayName="particulas_magneticas_pt_general" name="particulas_magneticas_pt_general" id="1">
  <tableColumns count="4">
    <tableColumn name="Nombre de la Columna" id="1"/>
    <tableColumn name="Descripción" id="2"/>
    <tableColumn name="celda" id="3"/>
    <tableColumn name="Columna 1" id="4"/>
  </tableColumns>
  <tableStyleInfo name="1.map-style" showColumnStripes="0" showFirstColumn="1" showLastColumn="1" showRowStripes="1"/>
</table>
</file>

<file path=xl/tables/table2.xml><?xml version="1.0" encoding="utf-8"?>
<table xmlns="http://schemas.openxmlformats.org/spreadsheetml/2006/main" ref="G4:I18" displayName="particulas_resultados" name="particulas_resultados" id="2">
  <tableColumns count="3">
    <tableColumn name="Nombre de la Columna" id="1"/>
    <tableColumn name="Descripción" id="2"/>
    <tableColumn name="celda" id="3"/>
  </tableColumns>
  <tableStyleInfo name="1.map-style 2" showColumnStripes="0" showFirstColumn="1" showLastColumn="1" showRowStripes="1"/>
</table>
</file>

<file path=xl/tables/table3.xml><?xml version="1.0" encoding="utf-8"?>
<table xmlns="http://schemas.openxmlformats.org/spreadsheetml/2006/main" ref="G22:I28" displayName="registro_fotografico" name="registro_fotografico" id="3">
  <tableColumns count="3">
    <tableColumn name="Nombre de la Columna" id="1"/>
    <tableColumn name="Descripción" id="2"/>
    <tableColumn name="celda" id="3"/>
  </tableColumns>
  <tableStyleInfo name="1.map-style 3" showColumnStripes="0" showFirstColumn="1" showLastColumn="1" showRowStripes="1"/>
</table>
</file>

<file path=xl/tables/table4.xml><?xml version="1.0" encoding="utf-8"?>
<table xmlns="http://schemas.openxmlformats.org/spreadsheetml/2006/main" ref="A121:C127" displayName="Tabla_1" name="Tabla_1" id="4">
  <tableColumns count="3">
    <tableColumn name="Nombre de la Columna" id="1"/>
    <tableColumn name="Descripción" id="2"/>
    <tableColumn name="celda" id="3"/>
  </tableColumns>
  <tableStyleInfo name="1.map-style 4" showColumnStripes="0" showFirstColumn="1" showLastColumn="1" showRowStripes="1"/>
</table>
</file>

<file path=xl/tables/table5.xml><?xml version="1.0" encoding="utf-8"?>
<table xmlns="http://schemas.openxmlformats.org/spreadsheetml/2006/main" ref="A131:C137" displayName="Tabla_2" name="Tabla_2" id="5">
  <tableColumns count="3">
    <tableColumn name="Nombre de la Columna" id="1"/>
    <tableColumn name="Descripción" id="2"/>
    <tableColumn name="celda" id="3"/>
  </tableColumns>
  <tableStyleInfo name="1.map-style 5" showColumnStripes="0" showFirstColumn="1" showLastColumn="1" showRowStripes="1"/>
</table>
</file>

<file path=xl/tables/table6.xml><?xml version="1.0" encoding="utf-8"?>
<table xmlns="http://schemas.openxmlformats.org/spreadsheetml/2006/main" ref="A1:AX999" displayName="general_particulas" name="general_particulas" id="6">
  <tableColumns count="50">
    <tableColumn name="id_informe" id="1"/>
    <tableColumn name="nombre_supervisor" id="2"/>
    <tableColumn name="cod_supervisor" id="3"/>
    <tableColumn name="cliente" id="4"/>
    <tableColumn name="contrato" id="5"/>
    <tableColumn name="ot" id="6"/>
    <tableColumn name="fecha_actividad" id="7"/>
    <tableColumn name="reporte_n" id="8"/>
    <tableColumn name="zona" id="9"/>
    <tableColumn name="sistema" id="10"/>
    <tableColumn name="subsistema_linea" id="11"/>
    <tableColumn name="departamento" id="12"/>
    <tableColumn name="municipio" id="13"/>
    <tableColumn name="pk_sistema" id="14"/>
    <tableColumn name="distancia_registro" id="15"/>
    <tableColumn name="descripcion_elemento" id="16"/>
    <tableColumn name="acabado_superficial" id="17"/>
    <tableColumn name="material" id="18"/>
    <tableColumn name="espesor" id="19"/>
    <tableColumn name="diametro" id="20"/>
    <tableColumn name="cantidad_inspeccionada" id="21"/>
    <tableColumn name="plano_referencia" id="22"/>
    <tableColumn name="procedimiento_n" id="23"/>
    <tableColumn name="revision" id="24"/>
    <tableColumn name="norma_codigo_ref" id="25"/>
    <tableColumn name="tecnica_magnetizacion" id="26"/>
    <tableColumn name="fuerza_campo" id="27"/>
    <tableColumn name="direccion_campo" id="28"/>
    <tableColumn name="tecnica_desmagnetizacion" id="29"/>
    <tableColumn name="tipo_particulas" id="30"/>
    <tableColumn name="metodo_aplicacion" id="31"/>
    <tableColumn name="color_particulas" id="32"/>
    <tableColumn name="tipo_luz_negra" id="33"/>
    <tableColumn name="codigo equipo" id="34"/>
    <tableColumn name="marca_equipo" id="35"/>
    <tableColumn name="codigo_equipo" id="36"/>
    <tableColumn name="marca_particulas" id="37"/>
    <tableColumn name="codigo_particulas" id="38"/>
    <tableColumn name="intensidad_luz_blanca" id="39"/>
    <tableColumn name="intensidad_luz_negra" id="40"/>
    <tableColumn name="tipo_corriente" id="41"/>
    <tableColumn name="equipo_medicion_luz" id="42"/>
    <tableColumn name="equipo_luz_sn" id="43"/>
    <tableColumn name="nombre" id="44"/>
    <tableColumn name="firma" id="45"/>
    <tableColumn name="firma_link" id="46"/>
    <tableColumn name="fecha" id="47"/>
    <tableColumn name="observaciones " id="48"/>
    <tableColumn name="certificado" id="49"/>
    <tableColumn name="link_reporte" id="50"/>
  </tableColumns>
  <tableStyleInfo name="2.general_particulas_magneticas-style" showColumnStripes="0" showFirstColumn="1" showLastColumn="1" showRowStripes="1"/>
</table>
</file>

<file path=xl/tables/table7.xml><?xml version="1.0" encoding="utf-8"?>
<table xmlns="http://schemas.openxmlformats.org/spreadsheetml/2006/main" ref="A1:H999" displayName="resultados" name="resultados" id="7">
  <tableColumns count="8">
    <tableColumn name="id_resultado" id="1"/>
    <tableColumn name="id_informe_fk" id="2"/>
    <tableColumn name="item" id="3"/>
    <tableColumn name="identificacion" id="4"/>
    <tableColumn name="zona_insp_distancia" id="5"/>
    <tableColumn name="diam_long" id="6"/>
    <tableColumn name="evaluacion" id="7"/>
    <tableColumn name="observaciones" id="8"/>
  </tableColumns>
  <tableStyleInfo name="3.resultados_inspeccion-style" showColumnStripes="0" showFirstColumn="1" showLastColumn="1" showRowStripes="1"/>
</table>
</file>

<file path=xl/tables/table8.xml><?xml version="1.0" encoding="utf-8"?>
<table xmlns="http://schemas.openxmlformats.org/spreadsheetml/2006/main" ref="A1:F1000" displayName="reg_fotos" name="reg_fotos" id="8">
  <tableColumns count="6">
    <tableColumn name="id_foto" id="1"/>
    <tableColumn name="id_resultado_fk" id="2"/>
    <tableColumn name="imagen" id="3"/>
    <tableColumn name="descripcion" id="4"/>
    <tableColumn name="link" id="5"/>
    <tableColumn name="visual_photo" id="6"/>
  </tableColumns>
  <tableStyleInfo name="4.reg_fotografico-style" showColumnStripes="0" showFirstColumn="1" showLastColumn="1" showRowStripes="1"/>
</table>
</file>

<file path=xl/tables/table9.xml><?xml version="1.0" encoding="utf-8"?>
<table xmlns="http://schemas.openxmlformats.org/spreadsheetml/2006/main" headerRowCount="0" ref="A1:F1" displayName="tabla_calidad" name="tabla_calidad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4.2.reg_calida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JbCFi-WB_NOtscBtfCJjG2Tti4Nb23fhmruNhhDMN1g/edit" TargetMode="External"/><Relationship Id="rId22" Type="http://schemas.openxmlformats.org/officeDocument/2006/relationships/hyperlink" Target="https://docs.google.com/spreadsheets/d/1rYR7_xnzAFYI0xvDlMpgHRcCbR_l5i_4Mulz5qdYIIw/edit" TargetMode="External"/><Relationship Id="rId21" Type="http://schemas.openxmlformats.org/officeDocument/2006/relationships/hyperlink" Target="https://www.appsheet.com/template/gettablefileurl?appName=particulas_magneticas-924373673&amp;tableName=4.reg_fotografico&amp;fileName=2.general_particulas_magneticas_Images/Report_PV_23824fc8.firma.002659.png" TargetMode="External"/><Relationship Id="rId24" Type="http://schemas.openxmlformats.org/officeDocument/2006/relationships/hyperlink" Target="https://docs.google.com/spreadsheets/d/1qbP9TlY9hDqS3NcTBCB4FwUOW7Zmfk1ulNy0u90m_TU/edit" TargetMode="External"/><Relationship Id="rId23" Type="http://schemas.openxmlformats.org/officeDocument/2006/relationships/hyperlink" Target="https://docs.google.com/spreadsheets/d/1oZRSDOpcfXAwDgxFebpknP7k_2NS_zkvj_PR4nEPjpw/edit" TargetMode="External"/><Relationship Id="rId1" Type="http://schemas.openxmlformats.org/officeDocument/2006/relationships/hyperlink" Target="https://docs.google.com/spreadsheets/d/1JGdQLeJYH3FuPwsGniUnNxLCmNBat55TGg5nLzzcvGM/edit" TargetMode="External"/><Relationship Id="rId2" Type="http://schemas.openxmlformats.org/officeDocument/2006/relationships/hyperlink" Target="https://docs.google.com/spreadsheets/d/1aLlGavV6ZNJzrECge5iCWI2Ig1JfQnrM6tKFYwaP-KQ/edit" TargetMode="External"/><Relationship Id="rId3" Type="http://schemas.openxmlformats.org/officeDocument/2006/relationships/hyperlink" Target="https://docs.google.com/spreadsheets/d/102u98mwU862oVLiKhL-1KBoCn_kwSgzenvRFgkoZCtA/edit" TargetMode="External"/><Relationship Id="rId4" Type="http://schemas.openxmlformats.org/officeDocument/2006/relationships/hyperlink" Target="https://docs.google.com/spreadsheets/d/1u8oS5Ip0xc871HQ0E0aBs8zIOSW4P_jDuX5lZoc_hYs/edit" TargetMode="External"/><Relationship Id="rId9" Type="http://schemas.openxmlformats.org/officeDocument/2006/relationships/hyperlink" Target="https://www.appsheet.com/template/gettablefileurl?appName=particulas_magneticas-924373673&amp;tableName=4.reg_fotografico&amp;fileName=2.general_particulas_magneticas_Images/Report_PV_e465f226.firma.175317.png" TargetMode="External"/><Relationship Id="rId26" Type="http://schemas.openxmlformats.org/officeDocument/2006/relationships/hyperlink" Target="https://docs.google.com/spreadsheets/d/1EXjlv5bvIfCVWp3O-wbdTymR6nW04m_y3VMcZZOKVsE/edit" TargetMode="External"/><Relationship Id="rId25" Type="http://schemas.openxmlformats.org/officeDocument/2006/relationships/hyperlink" Target="https://docs.google.com/spreadsheets/d/1Le-y5XnCqxgazm2BhiIajyD9PJkFuw4vJL14KYoFy7k/edit" TargetMode="External"/><Relationship Id="rId28" Type="http://schemas.openxmlformats.org/officeDocument/2006/relationships/hyperlink" Target="https://docs.google.com/spreadsheets/d/1XvGhHu-bJXfuuHfN7GkWFd4szPLplUFtE3NWB6_SIZk/edit" TargetMode="External"/><Relationship Id="rId27" Type="http://schemas.openxmlformats.org/officeDocument/2006/relationships/hyperlink" Target="https://docs.google.com/spreadsheets/d/1bIixK9VYv8kRvfqaZFXRUooYESXw2fOxTzG5bI8pwKw/edit" TargetMode="External"/><Relationship Id="rId5" Type="http://schemas.openxmlformats.org/officeDocument/2006/relationships/hyperlink" Target="https://docs.google.com/spreadsheets/d/1vlBMNjXidLQBqzOKSQ53mTU7kM9Uzj4EHw5t0SlEHU0/edit" TargetMode="External"/><Relationship Id="rId6" Type="http://schemas.openxmlformats.org/officeDocument/2006/relationships/hyperlink" Target="https://docs.google.com/spreadsheets/d/1lIg1TS-kj1UvAS6Y90pOJTBYEiS0POPj39oGuQc8rAM/edit" TargetMode="External"/><Relationship Id="rId29" Type="http://schemas.openxmlformats.org/officeDocument/2006/relationships/hyperlink" Target="https://docs.google.com/spreadsheets/d/1rjfmkgwTMabVaEUrzFXt1EEW64QD28t3tVJBqh2987E/edit" TargetMode="External"/><Relationship Id="rId7" Type="http://schemas.openxmlformats.org/officeDocument/2006/relationships/hyperlink" Target="https://docs.google.com/spreadsheets/d/1CaeF00SSuwbNKoPbVFvgPg8x0S43qbXAxRbR93inF2A/edit" TargetMode="External"/><Relationship Id="rId8" Type="http://schemas.openxmlformats.org/officeDocument/2006/relationships/hyperlink" Target="https://docs.google.com/spreadsheets/d/1nuNWI21loLGuBzm4lsS_Jky24z3aqeOsp0YExuUFTFQ/edit" TargetMode="External"/><Relationship Id="rId31" Type="http://schemas.openxmlformats.org/officeDocument/2006/relationships/hyperlink" Target="https://docs.google.com/spreadsheets/d/1XGScSgcjRtQJowR8bYyEXdoTCJBG1qk5XWlVvJWzI1s/edit" TargetMode="External"/><Relationship Id="rId30" Type="http://schemas.openxmlformats.org/officeDocument/2006/relationships/hyperlink" Target="https://docs.google.com/spreadsheets/d/1Zp5BSYUc2tiC4byfX2es3AtlZj8OoaoSlHGvC2GEJ00/edit" TargetMode="External"/><Relationship Id="rId11" Type="http://schemas.openxmlformats.org/officeDocument/2006/relationships/hyperlink" Target="https://docs.google.com/spreadsheets/d/14R5uSXbZPDubwBoj9Htu96NZHj5vHwAIYTh161nnOwo/edit" TargetMode="External"/><Relationship Id="rId33" Type="http://schemas.openxmlformats.org/officeDocument/2006/relationships/hyperlink" Target="https://docs.google.com/spreadsheets/d/1yBVoyU-aZCa1QF37FvM0Or-V6tNttlgN1vjRxHwt7fA/edit" TargetMode="External"/><Relationship Id="rId10" Type="http://schemas.openxmlformats.org/officeDocument/2006/relationships/hyperlink" Target="https://docs.google.com/spreadsheets/d/1Eq1NdVKwFW2QbtteSnmFKNSoC0QyZpV8kw6NeVrIQN4/edit" TargetMode="External"/><Relationship Id="rId32" Type="http://schemas.openxmlformats.org/officeDocument/2006/relationships/hyperlink" Target="https://docs.google.com/spreadsheets/d/12WAJRs1ulqP-LjmDqeHvjqC8M95qlhxq1eJP1OtU7Kk/edit" TargetMode="External"/><Relationship Id="rId13" Type="http://schemas.openxmlformats.org/officeDocument/2006/relationships/hyperlink" Target="https://docs.google.com/spreadsheets/d/1pvyU6JlKnlu_rpZ8xOChM2m9y1ArAH04lGnUgSLOwcY/edit" TargetMode="External"/><Relationship Id="rId35" Type="http://schemas.openxmlformats.org/officeDocument/2006/relationships/hyperlink" Target="https://docs.google.com/spreadsheets/d/1pjP_a5BfSJCA8axKPbUisrt2Nwmu-LYOH9tKlNTSkOw/edit" TargetMode="External"/><Relationship Id="rId12" Type="http://schemas.openxmlformats.org/officeDocument/2006/relationships/hyperlink" Target="https://docs.google.com/spreadsheets/d/1c428Td5MbhbDl_sEcKdhhP8MfCXjnDfwiLJdB14GXVA/edit" TargetMode="External"/><Relationship Id="rId34" Type="http://schemas.openxmlformats.org/officeDocument/2006/relationships/hyperlink" Target="https://docs.google.com/spreadsheets/d/161n7dkKpBkqeterTVo5OvhlMqqOVWZe1dLfwv6Z0oow/edit" TargetMode="External"/><Relationship Id="rId15" Type="http://schemas.openxmlformats.org/officeDocument/2006/relationships/hyperlink" Target="https://docs.google.com/spreadsheets/d/1GQe_8jz9RLjSUUBMi7q6FMliOq0FkNEnaHQz604h3FM/edit" TargetMode="External"/><Relationship Id="rId37" Type="http://schemas.openxmlformats.org/officeDocument/2006/relationships/drawing" Target="../drawings/drawing2.xml"/><Relationship Id="rId14" Type="http://schemas.openxmlformats.org/officeDocument/2006/relationships/hyperlink" Target="https://docs.google.com/spreadsheets/d/1aipoy_ysowl2J4bSAGCag3HWrRmPyWGSvCkeGwPbhrg/edit" TargetMode="External"/><Relationship Id="rId36" Type="http://schemas.openxmlformats.org/officeDocument/2006/relationships/hyperlink" Target="https://docs.google.com/spreadsheets/d/1o5tZABDSI9DcAJYsUfvelg9vg_bCI04WlW4N7YpkyRA/edit" TargetMode="External"/><Relationship Id="rId17" Type="http://schemas.openxmlformats.org/officeDocument/2006/relationships/hyperlink" Target="https://docs.google.com/spreadsheets/d/1ytdLRu9fCdRLWYCj9KpPmQOmCOswOmE2h0oAEWAkB3w/edit" TargetMode="External"/><Relationship Id="rId39" Type="http://schemas.openxmlformats.org/officeDocument/2006/relationships/table" Target="../tables/table6.xml"/><Relationship Id="rId16" Type="http://schemas.openxmlformats.org/officeDocument/2006/relationships/hyperlink" Target="https://docs.google.com/spreadsheets/d/116m_PLUTC9lt6K5ZtF0bEf21-BIzusjXdH5exCw409Y/edit" TargetMode="External"/><Relationship Id="rId19" Type="http://schemas.openxmlformats.org/officeDocument/2006/relationships/hyperlink" Target="https://docs.google.com/spreadsheets/d/1ReBklYvN7vNuWcS-gFbyvkEiKKp290-e6CxU1RutH9o/edit" TargetMode="External"/><Relationship Id="rId18" Type="http://schemas.openxmlformats.org/officeDocument/2006/relationships/hyperlink" Target="https://docs.google.com/spreadsheets/d/1eVI9tqL_BDz0Yu7zKB-yLLulG09aNYAeW0338J8oKug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ppsheet.com/template/gettablefileurl?appName=particulas_magneticas-924373673&amp;tableName=4.reg_fotografico&amp;fileName=4.reg_fotografico_Images/8aacd2ec.imagen.011852.jpg" TargetMode="External"/><Relationship Id="rId42" Type="http://schemas.openxmlformats.org/officeDocument/2006/relationships/hyperlink" Target="https://www.appsheet.com/template/gettablefileurl?appName=particulas_magneticas-924373673&amp;tableName=4.reg_fotografico&amp;fileName=4.reg_fotografico_Images/41304ac6.imagen.011859.jpg" TargetMode="External"/><Relationship Id="rId41" Type="http://schemas.openxmlformats.org/officeDocument/2006/relationships/hyperlink" Target="https://www.appsheet.com/template/gettablefileurl?appName=particulas_magneticas-924373673&amp;tableName=4.reg_fotografico&amp;fileName=4.reg_fotografico_Images/f4917582.imagen.011856.jpg" TargetMode="External"/><Relationship Id="rId44" Type="http://schemas.openxmlformats.org/officeDocument/2006/relationships/hyperlink" Target="https://www.appsheet.com/template/gettablefileurl?appName=particulas_magneticas-924373673&amp;tableName=4.reg_fotografico&amp;fileName=4.reg_fotografico_Images/86377816.imagen.011907.jpg" TargetMode="External"/><Relationship Id="rId43" Type="http://schemas.openxmlformats.org/officeDocument/2006/relationships/hyperlink" Target="https://www.appsheet.com/template/gettablefileurl?appName=particulas_magneticas-924373673&amp;tableName=4.reg_fotografico&amp;fileName=4.reg_fotografico_Images/3ce7f03b.imagen.011903.jpg" TargetMode="External"/><Relationship Id="rId46" Type="http://schemas.openxmlformats.org/officeDocument/2006/relationships/hyperlink" Target="https://www.appsheet.com/template/gettablefileurl?appName=particulas_magneticas-924373673&amp;tableName=4.reg_fotografico&amp;fileName=4.reg_fotografico_Images/32625213.imagen.011913.jpg" TargetMode="External"/><Relationship Id="rId45" Type="http://schemas.openxmlformats.org/officeDocument/2006/relationships/hyperlink" Target="https://www.appsheet.com/template/gettablefileurl?appName=particulas_magneticas-924373673&amp;tableName=4.reg_fotografico&amp;fileName=4.reg_fotografico_Images/36aea831.imagen.011910.jpg" TargetMode="External"/><Relationship Id="rId1" Type="http://schemas.openxmlformats.org/officeDocument/2006/relationships/hyperlink" Target="https://www.appsheet.com/template/gettablefileurl?appName=particulas_magneticas-924373673&amp;tableName=4.reg_fotografico&amp;fileName=4.reg_fotografico_Images/7fac32f2.imagen.211129.jpg" TargetMode="External"/><Relationship Id="rId2" Type="http://schemas.openxmlformats.org/officeDocument/2006/relationships/hyperlink" Target="https://www.appsheet.com/template/gettablefileurl?appName=particulas_magneticas-924373673&amp;tableName=4.reg_fotografico&amp;fileName=4.reg_fotografico_Images/7b829da3.imagen.211132.jpg" TargetMode="External"/><Relationship Id="rId3" Type="http://schemas.openxmlformats.org/officeDocument/2006/relationships/hyperlink" Target="https://www.appsheet.com/template/gettablefileurl?appName=particulas_magneticas-924373673&amp;tableName=4.reg_fotografico&amp;fileName=4.reg_fotografico_Images/a5b46221.imagen.124310.jpg" TargetMode="External"/><Relationship Id="rId4" Type="http://schemas.openxmlformats.org/officeDocument/2006/relationships/hyperlink" Target="https://www.appsheet.com/template/gettablefileurl?appName=particulas_magneticas-924373673&amp;tableName=4.reg_fotografico&amp;fileName=4.reg_fotografico_Images/92623765.imagen.125918.jpg" TargetMode="External"/><Relationship Id="rId9" Type="http://schemas.openxmlformats.org/officeDocument/2006/relationships/hyperlink" Target="https://www.appsheet.com/template/gettablefileurl?appName=particulas_magneticas-924373673&amp;tableName=4.reg_fotografico&amp;fileName=4.reg_fotografico_Images/d6025be6.imagen.194604.jpg" TargetMode="External"/><Relationship Id="rId48" Type="http://schemas.openxmlformats.org/officeDocument/2006/relationships/hyperlink" Target="https://www.appsheet.com/template/gettablefileurl?appName=particulas_magneticas-924373673&amp;tableName=4.reg_fotografico&amp;fileName=4.reg_fotografico_Images/eedfe2c4.imagen.011920.jpg" TargetMode="External"/><Relationship Id="rId47" Type="http://schemas.openxmlformats.org/officeDocument/2006/relationships/hyperlink" Target="https://www.appsheet.com/template/gettablefileurl?appName=particulas_magneticas-924373673&amp;tableName=4.reg_fotografico&amp;fileName=4.reg_fotografico_Images/8c5cb034.imagen.011917.jpg" TargetMode="External"/><Relationship Id="rId49" Type="http://schemas.openxmlformats.org/officeDocument/2006/relationships/hyperlink" Target="https://www.appsheet.com/template/gettablefileurl?appName=particulas_magneticas-924373673&amp;tableName=4.reg_fotografico&amp;fileName=4.reg_fotografico_Images/d0698d06.imagen.011923.jpg" TargetMode="External"/><Relationship Id="rId5" Type="http://schemas.openxmlformats.org/officeDocument/2006/relationships/hyperlink" Target="https://www.appsheet.com/template/gettablefileurl?appName=particulas_magneticas-924373673&amp;tableName=4.reg_fotografico&amp;fileName=4.reg_fotografico_Images/9c468005.imagen.125922.jpg" TargetMode="External"/><Relationship Id="rId6" Type="http://schemas.openxmlformats.org/officeDocument/2006/relationships/hyperlink" Target="https://www.appsheet.com/template/gettablefileurl?appName=particulas_magneticas-924373673&amp;tableName=4.reg_fotografico&amp;fileName=4.reg_fotografico_Images/75d8e15d.imagen.125927.jpg" TargetMode="External"/><Relationship Id="rId7" Type="http://schemas.openxmlformats.org/officeDocument/2006/relationships/hyperlink" Target="https://www.appsheet.com/template/gettablefileurl?appName=particulas_magneticas-924373673&amp;tableName=4.reg_fotografico&amp;fileName=4.reg_fotografico_Images/8a6f261b.imagen.125931.jpg" TargetMode="External"/><Relationship Id="rId8" Type="http://schemas.openxmlformats.org/officeDocument/2006/relationships/hyperlink" Target="https://www.appsheet.com/template/gettablefileurl?appName=particulas_magneticas-924373673&amp;tableName=4.reg_fotografico&amp;fileName=4.reg_fotografico_Images/1feff044.imagen.183155.jpg" TargetMode="External"/><Relationship Id="rId31" Type="http://schemas.openxmlformats.org/officeDocument/2006/relationships/hyperlink" Target="https://www.appsheet.com/template/gettablefileurl?appName=particulas_magneticas-924373673&amp;tableName=4.reg_fotografico&amp;fileName=4.reg_fotografico_Images/7bd50c76.imagen.011817.jpg" TargetMode="External"/><Relationship Id="rId30" Type="http://schemas.openxmlformats.org/officeDocument/2006/relationships/hyperlink" Target="https://www.appsheet.com/template/gettablefileurl?appName=particulas_magneticas-924373673&amp;tableName=4.reg_fotografico&amp;fileName=4.reg_fotografico_Images/ab2751bc.imagen.011813.jpg" TargetMode="External"/><Relationship Id="rId33" Type="http://schemas.openxmlformats.org/officeDocument/2006/relationships/hyperlink" Target="https://www.appsheet.com/template/gettablefileurl?appName=particulas_magneticas-924373673&amp;tableName=4.reg_fotografico&amp;fileName=4.reg_fotografico_Images/17d62e53.imagen.011826.jpg" TargetMode="External"/><Relationship Id="rId32" Type="http://schemas.openxmlformats.org/officeDocument/2006/relationships/hyperlink" Target="https://www.appsheet.com/template/gettablefileurl?appName=particulas_magneticas-924373673&amp;tableName=4.reg_fotografico&amp;fileName=4.reg_fotografico_Images/435d9efc.imagen.011820.jpg" TargetMode="External"/><Relationship Id="rId35" Type="http://schemas.openxmlformats.org/officeDocument/2006/relationships/hyperlink" Target="https://www.appsheet.com/template/gettablefileurl?appName=particulas_magneticas-924373673&amp;tableName=4.reg_fotografico&amp;fileName=4.reg_fotografico_Images/d2371160.imagen.011832.jpg" TargetMode="External"/><Relationship Id="rId34" Type="http://schemas.openxmlformats.org/officeDocument/2006/relationships/hyperlink" Target="https://www.appsheet.com/template/gettablefileurl?appName=particulas_magneticas-924373673&amp;tableName=4.reg_fotografico&amp;fileName=4.reg_fotografico_Images/ad8fe7f7.imagen.011829.jpg" TargetMode="External"/><Relationship Id="rId37" Type="http://schemas.openxmlformats.org/officeDocument/2006/relationships/hyperlink" Target="https://www.appsheet.com/template/gettablefileurl?appName=particulas_magneticas-924373673&amp;tableName=4.reg_fotografico&amp;fileName=4.reg_fotografico_Images/c000399a.imagen.011840.jpg" TargetMode="External"/><Relationship Id="rId36" Type="http://schemas.openxmlformats.org/officeDocument/2006/relationships/hyperlink" Target="https://www.appsheet.com/template/gettablefileurl?appName=particulas_magneticas-924373673&amp;tableName=4.reg_fotografico&amp;fileName=4.reg_fotografico_Images/715c87c3.imagen.011835.jpg" TargetMode="External"/><Relationship Id="rId39" Type="http://schemas.openxmlformats.org/officeDocument/2006/relationships/hyperlink" Target="https://www.appsheet.com/template/gettablefileurl?appName=particulas_magneticas-924373673&amp;tableName=4.reg_fotografico&amp;fileName=4.reg_fotografico_Images/e1ec95fb.imagen.011848.jpg" TargetMode="External"/><Relationship Id="rId38" Type="http://schemas.openxmlformats.org/officeDocument/2006/relationships/hyperlink" Target="https://www.appsheet.com/template/gettablefileurl?appName=particulas_magneticas-924373673&amp;tableName=4.reg_fotografico&amp;fileName=4.reg_fotografico_Images/badbf718.imagen.011843.jpg" TargetMode="External"/><Relationship Id="rId20" Type="http://schemas.openxmlformats.org/officeDocument/2006/relationships/hyperlink" Target="https://www.appsheet.com/template/gettablefileurl?appName=particulas_magneticas-924373673&amp;tableName=4.reg_fotografico&amp;fileName=4.reg_fotografico_Images/6fcfcc1b.imagen.011735.jpg" TargetMode="External"/><Relationship Id="rId22" Type="http://schemas.openxmlformats.org/officeDocument/2006/relationships/hyperlink" Target="https://www.appsheet.com/template/gettablefileurl?appName=particulas_magneticas-924373673&amp;tableName=4.reg_fotografico&amp;fileName=4.reg_fotografico_Images/2cff36f8.imagen.011744.jpg" TargetMode="External"/><Relationship Id="rId21" Type="http://schemas.openxmlformats.org/officeDocument/2006/relationships/hyperlink" Target="https://www.appsheet.com/template/gettablefileurl?appName=particulas_magneticas-924373673&amp;tableName=4.reg_fotografico&amp;fileName=4.reg_fotografico_Images/d6a7e8a7.imagen.011741.jpg" TargetMode="External"/><Relationship Id="rId24" Type="http://schemas.openxmlformats.org/officeDocument/2006/relationships/hyperlink" Target="https://www.appsheet.com/template/gettablefileurl?appName=particulas_magneticas-924373673&amp;tableName=4.reg_fotografico&amp;fileName=4.reg_fotografico_Images/0fafbfa5.imagen.011750.jpg" TargetMode="External"/><Relationship Id="rId23" Type="http://schemas.openxmlformats.org/officeDocument/2006/relationships/hyperlink" Target="https://www.appsheet.com/template/gettablefileurl?appName=particulas_magneticas-924373673&amp;tableName=4.reg_fotografico&amp;fileName=4.reg_fotografico_Images/cf6ef503.imagen.011747.jpg" TargetMode="External"/><Relationship Id="rId26" Type="http://schemas.openxmlformats.org/officeDocument/2006/relationships/hyperlink" Target="https://www.appsheet.com/template/gettablefileurl?appName=particulas_magneticas-924373673&amp;tableName=4.reg_fotografico&amp;fileName=4.reg_fotografico_Images/01d1f864.imagen.011759.jpg" TargetMode="External"/><Relationship Id="rId25" Type="http://schemas.openxmlformats.org/officeDocument/2006/relationships/hyperlink" Target="https://www.appsheet.com/template/gettablefileurl?appName=particulas_magneticas-924373673&amp;tableName=4.reg_fotografico&amp;fileName=4.reg_fotografico_Images/162dee69.imagen.011754.jpg" TargetMode="External"/><Relationship Id="rId28" Type="http://schemas.openxmlformats.org/officeDocument/2006/relationships/hyperlink" Target="https://www.appsheet.com/template/gettablefileurl?appName=particulas_magneticas-924373673&amp;tableName=4.reg_fotografico&amp;fileName=4.reg_fotografico_Images/d773f096.imagen.011807.jpg" TargetMode="External"/><Relationship Id="rId27" Type="http://schemas.openxmlformats.org/officeDocument/2006/relationships/hyperlink" Target="https://www.appsheet.com/template/gettablefileurl?appName=particulas_magneticas-924373673&amp;tableName=4.reg_fotografico&amp;fileName=4.reg_fotografico_Images/4665a896.imagen.011803.jpg" TargetMode="External"/><Relationship Id="rId29" Type="http://schemas.openxmlformats.org/officeDocument/2006/relationships/hyperlink" Target="https://www.appsheet.com/template/gettablefileurl?appName=particulas_magneticas-924373673&amp;tableName=4.reg_fotografico&amp;fileName=4.reg_fotografico_Images/23213554.imagen.011810.jpg" TargetMode="External"/><Relationship Id="rId51" Type="http://schemas.openxmlformats.org/officeDocument/2006/relationships/drawing" Target="../drawings/drawing4.xml"/><Relationship Id="rId50" Type="http://schemas.openxmlformats.org/officeDocument/2006/relationships/hyperlink" Target="https://www.appsheet.com/template/gettablefileurl?appName=particulas_magneticas-924373673&amp;tableName=4.reg_fotografico&amp;fileName=4.reg_fotografico_Images/ebca2ae9.imagen.011927.jpg" TargetMode="External"/><Relationship Id="rId53" Type="http://schemas.openxmlformats.org/officeDocument/2006/relationships/table" Target="../tables/table8.xml"/><Relationship Id="rId11" Type="http://schemas.openxmlformats.org/officeDocument/2006/relationships/hyperlink" Target="https://www.appsheet.com/template/gettablefileurl?appName=particulas_magneticas-924373673&amp;tableName=4.reg_fotografico&amp;fileName=4.reg_fotografico_Images/bcc7c327.imagen.222237.jpg" TargetMode="External"/><Relationship Id="rId10" Type="http://schemas.openxmlformats.org/officeDocument/2006/relationships/hyperlink" Target="https://www.appsheet.com/template/gettablefileurl?appName=particulas_magneticas-924373673&amp;tableName=4.reg_fotografico&amp;fileName=4.reg_fotografico_Images/f5e96244.imagen.123242.jpg" TargetMode="External"/><Relationship Id="rId13" Type="http://schemas.openxmlformats.org/officeDocument/2006/relationships/hyperlink" Target="https://www.appsheet.com/template/gettablefileurl?appName=particulas_magneticas-924373673&amp;tableName=4.reg_fotografico&amp;fileName=4.reg_fotografico_Images/21dfda20.imagen.162819.jpg" TargetMode="External"/><Relationship Id="rId12" Type="http://schemas.openxmlformats.org/officeDocument/2006/relationships/hyperlink" Target="https://www.appsheet.com/template/gettablefileurl?appName=particulas_magneticas-924373673&amp;tableName=4.reg_fotografico&amp;fileName=4.reg_fotografico_Images/c63b4b68.imagen.222241.jpg" TargetMode="External"/><Relationship Id="rId15" Type="http://schemas.openxmlformats.org/officeDocument/2006/relationships/hyperlink" Target="https://www.appsheet.com/template/gettablefileurl?appName=particulas_magneticas-924373673&amp;tableName=4.reg_fotografico&amp;fileName=4.reg_fotografico_Images/8c228ad7.imagen.011712.jpg" TargetMode="External"/><Relationship Id="rId14" Type="http://schemas.openxmlformats.org/officeDocument/2006/relationships/hyperlink" Target="https://www.appsheet.com/template/gettablefileurl?appName=particulas_magneticas-924373673&amp;tableName=4.reg_fotografico&amp;fileName=4.reg_fotografico_Images/7cf50a7c.imagen.011706.jpg" TargetMode="External"/><Relationship Id="rId17" Type="http://schemas.openxmlformats.org/officeDocument/2006/relationships/hyperlink" Target="https://www.appsheet.com/template/gettablefileurl?appName=particulas_magneticas-924373673&amp;tableName=4.reg_fotografico&amp;fileName=4.reg_fotografico_Images/cda073bd.imagen.011721.jpg" TargetMode="External"/><Relationship Id="rId16" Type="http://schemas.openxmlformats.org/officeDocument/2006/relationships/hyperlink" Target="https://www.appsheet.com/template/gettablefileurl?appName=particulas_magneticas-924373673&amp;tableName=4.reg_fotografico&amp;fileName=4.reg_fotografico_Images/0fe5fb64.imagen.011717.jpg" TargetMode="External"/><Relationship Id="rId19" Type="http://schemas.openxmlformats.org/officeDocument/2006/relationships/hyperlink" Target="https://www.appsheet.com/template/gettablefileurl?appName=particulas_magneticas-924373673&amp;tableName=4.reg_fotografico&amp;fileName=4.reg_fotografico_Images/050c2b26.imagen.011732.jpg" TargetMode="External"/><Relationship Id="rId18" Type="http://schemas.openxmlformats.org/officeDocument/2006/relationships/hyperlink" Target="https://www.appsheet.com/template/gettablefileurl?appName=particulas_magneticas-924373673&amp;tableName=4.reg_fotografico&amp;fileName=4.reg_fotografico_Images/ec9c864b.imagen.011729.jp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psheet.com/template/gettablefileurl?appName=particulas_magneticas-924373673&amp;tableName=4.reg_fotografico&amp;fileName=4.2.reg_calidad_Images/e67fe48d.imagen.175322.jpg" TargetMode="External"/><Relationship Id="rId2" Type="http://schemas.openxmlformats.org/officeDocument/2006/relationships/hyperlink" Target="https://www.appsheet.com/template/gettablefileurl?appName=particulas_magneticas-924373673&amp;tableName=4.reg_fotografico&amp;fileName=4.2.reg_calidad_Images/f09973a3.imagen.175326.jpg" TargetMode="External"/><Relationship Id="rId3" Type="http://schemas.openxmlformats.org/officeDocument/2006/relationships/hyperlink" Target="https://www.appsheet.com/template/gettablefileurl?appName=particulas_magneticas-924373673&amp;tableName=4.reg_fotografico&amp;fileName=4.2.reg_calidad_Images/bf0dbb1e.imagen.002702.jpg" TargetMode="External"/><Relationship Id="rId4" Type="http://schemas.openxmlformats.org/officeDocument/2006/relationships/hyperlink" Target="https://www.appsheet.com/template/gettablefileurl?appName=particulas_magneticas-924373673&amp;tableName=4.reg_fotografico&amp;fileName=4.2.reg_calidad_Images/3fce11de.imagen.002706.jpg" TargetMode="External"/><Relationship Id="rId5" Type="http://schemas.openxmlformats.org/officeDocument/2006/relationships/hyperlink" Target="https://www.appsheet.com/template/gettablefileurl?appName=particulas_magneticas-924373673&amp;tableName=4.reg_fotografico&amp;fileName=4.2.reg_calidad_Images/f4e961fe.imagen.002709.jpg" TargetMode="External"/><Relationship Id="rId6" Type="http://schemas.openxmlformats.org/officeDocument/2006/relationships/hyperlink" Target="https://www.appsheet.com/template/gettablefileurl?appName=particulas_magneticas-924373673&amp;tableName=4.reg_fotografico&amp;fileName=4.2.reg_calidad_Images/bcbf43ed.imagen.002714.jpg" TargetMode="External"/><Relationship Id="rId7" Type="http://schemas.openxmlformats.org/officeDocument/2006/relationships/hyperlink" Target="https://www.appsheet.com/template/gettablefileurl?appName=particulas_magneticas-924373673&amp;tableName=4.reg_fotografico&amp;fileName=4.2.reg_calidad_Images/7b8d1d98.imagen.002719.jpg" TargetMode="External"/><Relationship Id="rId8" Type="http://schemas.openxmlformats.org/officeDocument/2006/relationships/drawing" Target="../drawings/drawing5.xml"/><Relationship Id="rId10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2.38"/>
    <col customWidth="1" min="7" max="7" width="22.63"/>
    <col customWidth="1" min="8" max="8" width="59.13"/>
    <col customWidth="1" min="9" max="9" width="17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5"/>
      <c r="J1" s="4"/>
      <c r="K1" s="4"/>
      <c r="L1" s="4"/>
    </row>
    <row r="2" ht="22.5" customHeight="1">
      <c r="A2" s="6" t="s">
        <v>4</v>
      </c>
      <c r="B2" s="6" t="s">
        <v>5</v>
      </c>
      <c r="C2" s="7"/>
      <c r="D2" s="8"/>
      <c r="E2" s="4"/>
      <c r="F2" s="4"/>
      <c r="G2" s="4"/>
      <c r="H2" s="4"/>
      <c r="I2" s="5"/>
      <c r="J2" s="4"/>
      <c r="K2" s="4"/>
      <c r="L2" s="4"/>
    </row>
    <row r="3" ht="22.5" customHeight="1">
      <c r="A3" s="6" t="s">
        <v>6</v>
      </c>
      <c r="B3" s="6" t="s">
        <v>7</v>
      </c>
      <c r="C3" s="9" t="s">
        <v>8</v>
      </c>
      <c r="D3" s="10" t="s">
        <v>9</v>
      </c>
      <c r="E3" s="4"/>
      <c r="F3" s="4"/>
      <c r="G3" s="4"/>
      <c r="H3" s="4"/>
      <c r="I3" s="5"/>
      <c r="J3" s="4"/>
      <c r="K3" s="4"/>
      <c r="L3" s="4"/>
    </row>
    <row r="4" ht="22.5" customHeight="1">
      <c r="A4" s="6" t="s">
        <v>10</v>
      </c>
      <c r="B4" s="6" t="s">
        <v>11</v>
      </c>
      <c r="C4" s="11" t="s">
        <v>12</v>
      </c>
      <c r="D4" s="12"/>
      <c r="E4" s="4"/>
      <c r="F4" s="4"/>
      <c r="G4" s="1" t="s">
        <v>0</v>
      </c>
      <c r="H4" s="1" t="s">
        <v>1</v>
      </c>
      <c r="I4" s="13" t="s">
        <v>2</v>
      </c>
      <c r="J4" s="4"/>
      <c r="K4" s="4"/>
      <c r="L4" s="4"/>
    </row>
    <row r="5" ht="22.5" customHeight="1">
      <c r="A5" s="6" t="s">
        <v>13</v>
      </c>
      <c r="B5" s="6" t="s">
        <v>14</v>
      </c>
      <c r="C5" s="9" t="s">
        <v>15</v>
      </c>
      <c r="D5" s="14"/>
      <c r="E5" s="4"/>
      <c r="F5" s="4"/>
      <c r="G5" s="6" t="s">
        <v>16</v>
      </c>
      <c r="H5" s="6" t="s">
        <v>17</v>
      </c>
      <c r="I5" s="15"/>
      <c r="J5" s="4"/>
      <c r="K5" s="4"/>
      <c r="L5" s="4"/>
    </row>
    <row r="6" ht="22.5" customHeight="1">
      <c r="A6" s="6" t="s">
        <v>18</v>
      </c>
      <c r="B6" s="6" t="s">
        <v>19</v>
      </c>
      <c r="C6" s="11" t="s">
        <v>20</v>
      </c>
      <c r="D6" s="12"/>
      <c r="E6" s="4"/>
      <c r="F6" s="4"/>
      <c r="G6" s="6" t="s">
        <v>21</v>
      </c>
      <c r="H6" s="6" t="s">
        <v>22</v>
      </c>
      <c r="I6" s="15"/>
      <c r="J6" s="4"/>
      <c r="K6" s="4"/>
      <c r="L6" s="4"/>
    </row>
    <row r="7" ht="22.5" customHeight="1">
      <c r="A7" s="6" t="s">
        <v>23</v>
      </c>
      <c r="B7" s="6" t="s">
        <v>24</v>
      </c>
      <c r="C7" s="9" t="s">
        <v>25</v>
      </c>
      <c r="D7" s="14"/>
      <c r="E7" s="4"/>
      <c r="F7" s="4"/>
      <c r="G7" s="6" t="s">
        <v>26</v>
      </c>
      <c r="H7" s="6" t="s">
        <v>27</v>
      </c>
      <c r="I7" s="16" t="s">
        <v>28</v>
      </c>
      <c r="J7" s="4"/>
      <c r="K7" s="4"/>
      <c r="L7" s="4"/>
    </row>
    <row r="8" ht="22.5" customHeight="1">
      <c r="A8" s="6" t="s">
        <v>29</v>
      </c>
      <c r="B8" s="6" t="s">
        <v>30</v>
      </c>
      <c r="C8" s="17" t="s">
        <v>31</v>
      </c>
      <c r="D8" s="18" t="s">
        <v>9</v>
      </c>
      <c r="E8" s="4"/>
      <c r="F8" s="4"/>
      <c r="G8" s="6" t="s">
        <v>32</v>
      </c>
      <c r="H8" s="6" t="s">
        <v>33</v>
      </c>
      <c r="I8" s="16" t="s">
        <v>34</v>
      </c>
      <c r="J8" s="4"/>
      <c r="K8" s="4"/>
      <c r="L8" s="4"/>
    </row>
    <row r="9" ht="22.5" customHeight="1">
      <c r="A9" s="6" t="s">
        <v>35</v>
      </c>
      <c r="B9" s="6" t="s">
        <v>36</v>
      </c>
      <c r="C9" s="19" t="s">
        <v>37</v>
      </c>
      <c r="D9" s="20" t="s">
        <v>9</v>
      </c>
      <c r="E9" s="4"/>
      <c r="F9" s="4"/>
      <c r="G9" s="6" t="s">
        <v>38</v>
      </c>
      <c r="H9" s="6" t="s">
        <v>39</v>
      </c>
      <c r="I9" s="16" t="s">
        <v>40</v>
      </c>
      <c r="J9" s="4"/>
      <c r="K9" s="4"/>
      <c r="L9" s="4"/>
    </row>
    <row r="10" ht="22.5" customHeight="1">
      <c r="A10" s="6" t="s">
        <v>41</v>
      </c>
      <c r="B10" s="6" t="s">
        <v>42</v>
      </c>
      <c r="C10" s="17" t="s">
        <v>43</v>
      </c>
      <c r="D10" s="18" t="s">
        <v>9</v>
      </c>
      <c r="E10" s="4"/>
      <c r="F10" s="4"/>
      <c r="G10" s="6" t="s">
        <v>44</v>
      </c>
      <c r="H10" s="6" t="s">
        <v>45</v>
      </c>
      <c r="I10" s="16" t="s">
        <v>46</v>
      </c>
      <c r="J10" s="4"/>
      <c r="K10" s="4"/>
      <c r="L10" s="4"/>
    </row>
    <row r="11" ht="22.5" customHeight="1">
      <c r="A11" s="6" t="s">
        <v>47</v>
      </c>
      <c r="B11" s="6" t="s">
        <v>48</v>
      </c>
      <c r="C11" s="19" t="s">
        <v>49</v>
      </c>
      <c r="D11" s="21"/>
      <c r="E11" s="4"/>
      <c r="F11" s="4"/>
      <c r="G11" s="6" t="s">
        <v>50</v>
      </c>
      <c r="H11" s="6" t="s">
        <v>51</v>
      </c>
      <c r="I11" s="16" t="s">
        <v>52</v>
      </c>
      <c r="J11" s="4"/>
      <c r="K11" s="4"/>
      <c r="L11" s="4"/>
    </row>
    <row r="12" ht="22.5" customHeight="1">
      <c r="A12" s="6" t="s">
        <v>53</v>
      </c>
      <c r="B12" s="6" t="s">
        <v>54</v>
      </c>
      <c r="C12" s="17" t="s">
        <v>55</v>
      </c>
      <c r="D12" s="22"/>
      <c r="E12" s="4"/>
      <c r="F12" s="4"/>
      <c r="G12" s="6" t="s">
        <v>56</v>
      </c>
      <c r="H12" s="6" t="s">
        <v>57</v>
      </c>
      <c r="I12" s="16" t="s">
        <v>58</v>
      </c>
      <c r="J12" s="4"/>
      <c r="K12" s="4"/>
      <c r="L12" s="4"/>
    </row>
    <row r="13" ht="22.5" customHeight="1">
      <c r="A13" s="6" t="s">
        <v>59</v>
      </c>
      <c r="B13" s="6" t="s">
        <v>60</v>
      </c>
      <c r="C13" s="19" t="s">
        <v>61</v>
      </c>
      <c r="D13" s="21"/>
      <c r="E13" s="4"/>
      <c r="F13" s="4"/>
      <c r="G13" s="6" t="s">
        <v>62</v>
      </c>
      <c r="H13" s="6" t="s">
        <v>63</v>
      </c>
      <c r="I13" s="16" t="s">
        <v>64</v>
      </c>
      <c r="J13" s="4"/>
      <c r="K13" s="4"/>
      <c r="L13" s="4"/>
    </row>
    <row r="14" ht="22.5" customHeight="1">
      <c r="A14" s="6" t="s">
        <v>65</v>
      </c>
      <c r="B14" s="6" t="s">
        <v>66</v>
      </c>
      <c r="C14" s="17" t="s">
        <v>67</v>
      </c>
      <c r="D14" s="22"/>
      <c r="E14" s="4"/>
      <c r="F14" s="4"/>
      <c r="G14" s="6" t="s">
        <v>68</v>
      </c>
      <c r="H14" s="6" t="s">
        <v>69</v>
      </c>
      <c r="I14" s="16" t="s">
        <v>70</v>
      </c>
      <c r="J14" s="4"/>
      <c r="K14" s="4"/>
      <c r="L14" s="4"/>
    </row>
    <row r="15" ht="22.5" customHeight="1">
      <c r="A15" s="6" t="s">
        <v>71</v>
      </c>
      <c r="B15" s="6" t="s">
        <v>72</v>
      </c>
      <c r="C15" s="23" t="s">
        <v>73</v>
      </c>
      <c r="D15" s="24"/>
      <c r="E15" s="4"/>
      <c r="F15" s="4"/>
      <c r="G15" s="6" t="s">
        <v>74</v>
      </c>
      <c r="H15" s="6" t="s">
        <v>75</v>
      </c>
      <c r="I15" s="16" t="s">
        <v>76</v>
      </c>
      <c r="J15" s="4"/>
      <c r="K15" s="4"/>
      <c r="L15" s="4"/>
    </row>
    <row r="16" ht="22.5" customHeight="1">
      <c r="A16" s="6" t="s">
        <v>77</v>
      </c>
      <c r="B16" s="6" t="s">
        <v>78</v>
      </c>
      <c r="C16" s="23" t="s">
        <v>79</v>
      </c>
      <c r="D16" s="24"/>
      <c r="E16" s="4"/>
      <c r="F16" s="4"/>
      <c r="G16" s="6" t="s">
        <v>80</v>
      </c>
      <c r="H16" s="6" t="s">
        <v>81</v>
      </c>
      <c r="I16" s="16" t="s">
        <v>82</v>
      </c>
      <c r="J16" s="4"/>
      <c r="K16" s="4"/>
      <c r="L16" s="4"/>
    </row>
    <row r="17" ht="22.5" customHeight="1">
      <c r="A17" s="6" t="s">
        <v>83</v>
      </c>
      <c r="B17" s="6" t="s">
        <v>84</v>
      </c>
      <c r="C17" s="23" t="s">
        <v>85</v>
      </c>
      <c r="D17" s="25" t="s">
        <v>9</v>
      </c>
      <c r="E17" s="4"/>
      <c r="F17" s="4"/>
      <c r="G17" s="6" t="s">
        <v>86</v>
      </c>
      <c r="H17" s="6" t="s">
        <v>87</v>
      </c>
      <c r="I17" s="16" t="s">
        <v>88</v>
      </c>
      <c r="J17" s="4"/>
      <c r="K17" s="4"/>
      <c r="L17" s="4"/>
    </row>
    <row r="18" ht="22.5" customHeight="1">
      <c r="A18" s="6" t="s">
        <v>89</v>
      </c>
      <c r="B18" s="6" t="s">
        <v>90</v>
      </c>
      <c r="C18" s="23" t="s">
        <v>91</v>
      </c>
      <c r="D18" s="24"/>
      <c r="E18" s="4"/>
      <c r="F18" s="4"/>
      <c r="G18" s="6" t="s">
        <v>92</v>
      </c>
      <c r="H18" s="6" t="s">
        <v>93</v>
      </c>
      <c r="I18" s="16" t="s">
        <v>94</v>
      </c>
      <c r="J18" s="4"/>
      <c r="K18" s="4"/>
      <c r="L18" s="4"/>
    </row>
    <row r="19" ht="22.5" customHeight="1">
      <c r="A19" s="6" t="s">
        <v>95</v>
      </c>
      <c r="B19" s="6" t="s">
        <v>96</v>
      </c>
      <c r="C19" s="23" t="s">
        <v>97</v>
      </c>
      <c r="D19" s="25" t="s">
        <v>9</v>
      </c>
      <c r="E19" s="4"/>
      <c r="F19" s="4"/>
      <c r="G19" s="4"/>
      <c r="H19" s="4"/>
      <c r="I19" s="5"/>
      <c r="J19" s="4"/>
      <c r="K19" s="4"/>
      <c r="L19" s="4"/>
    </row>
    <row r="20" ht="22.5" customHeight="1">
      <c r="A20" s="6" t="s">
        <v>98</v>
      </c>
      <c r="B20" s="6" t="s">
        <v>99</v>
      </c>
      <c r="C20" s="23" t="s">
        <v>100</v>
      </c>
      <c r="D20" s="24"/>
      <c r="E20" s="4"/>
      <c r="F20" s="4"/>
      <c r="G20" s="4"/>
      <c r="H20" s="4"/>
      <c r="I20" s="5"/>
      <c r="J20" s="4"/>
      <c r="K20" s="4"/>
      <c r="L20" s="4"/>
    </row>
    <row r="21" ht="22.5" customHeight="1">
      <c r="A21" s="6" t="s">
        <v>101</v>
      </c>
      <c r="B21" s="6" t="s">
        <v>102</v>
      </c>
      <c r="C21" s="23" t="s">
        <v>103</v>
      </c>
      <c r="D21" s="24"/>
      <c r="E21" s="4"/>
      <c r="F21" s="4"/>
      <c r="G21" s="4"/>
      <c r="H21" s="4"/>
      <c r="I21" s="5"/>
      <c r="J21" s="4"/>
      <c r="K21" s="4"/>
      <c r="L21" s="4"/>
    </row>
    <row r="22" ht="22.5" customHeight="1">
      <c r="A22" s="6" t="s">
        <v>104</v>
      </c>
      <c r="B22" s="6" t="s">
        <v>105</v>
      </c>
      <c r="C22" s="23" t="s">
        <v>106</v>
      </c>
      <c r="D22" s="25" t="s">
        <v>107</v>
      </c>
      <c r="E22" s="4"/>
      <c r="F22" s="4"/>
      <c r="G22" s="1" t="s">
        <v>0</v>
      </c>
      <c r="H22" s="1" t="s">
        <v>1</v>
      </c>
      <c r="I22" s="13" t="s">
        <v>2</v>
      </c>
      <c r="J22" s="4"/>
      <c r="K22" s="4"/>
      <c r="L22" s="4"/>
    </row>
    <row r="23" ht="22.5" customHeight="1">
      <c r="A23" s="6" t="s">
        <v>108</v>
      </c>
      <c r="B23" s="6" t="s">
        <v>109</v>
      </c>
      <c r="C23" s="23" t="s">
        <v>110</v>
      </c>
      <c r="D23" s="24"/>
      <c r="E23" s="4"/>
      <c r="F23" s="4"/>
      <c r="G23" s="6" t="s">
        <v>111</v>
      </c>
      <c r="H23" s="6" t="s">
        <v>112</v>
      </c>
      <c r="I23" s="15"/>
      <c r="J23" s="4"/>
      <c r="K23" s="4"/>
      <c r="L23" s="4"/>
    </row>
    <row r="24" ht="22.5" customHeight="1">
      <c r="A24" s="6" t="s">
        <v>113</v>
      </c>
      <c r="B24" s="6" t="s">
        <v>114</v>
      </c>
      <c r="C24" s="23" t="s">
        <v>115</v>
      </c>
      <c r="D24" s="25" t="s">
        <v>9</v>
      </c>
      <c r="E24" s="4"/>
      <c r="F24" s="4"/>
      <c r="G24" s="6" t="s">
        <v>116</v>
      </c>
      <c r="H24" s="6" t="s">
        <v>117</v>
      </c>
      <c r="I24" s="15"/>
      <c r="J24" s="4"/>
      <c r="K24" s="4"/>
      <c r="L24" s="4"/>
    </row>
    <row r="25" ht="22.5" customHeight="1">
      <c r="A25" s="6" t="s">
        <v>118</v>
      </c>
      <c r="B25" s="6" t="s">
        <v>119</v>
      </c>
      <c r="C25" s="23" t="s">
        <v>120</v>
      </c>
      <c r="D25" s="24"/>
      <c r="E25" s="26"/>
      <c r="F25" s="4"/>
      <c r="G25" s="6" t="s">
        <v>121</v>
      </c>
      <c r="H25" s="6" t="s">
        <v>122</v>
      </c>
      <c r="I25" s="15"/>
      <c r="J25" s="4"/>
      <c r="K25" s="4"/>
      <c r="L25" s="4"/>
    </row>
    <row r="26" ht="22.5" customHeight="1">
      <c r="A26" s="6" t="s">
        <v>123</v>
      </c>
      <c r="B26" s="6" t="s">
        <v>124</v>
      </c>
      <c r="C26" s="23" t="s">
        <v>125</v>
      </c>
      <c r="D26" s="24"/>
      <c r="E26" s="4"/>
      <c r="F26" s="4"/>
      <c r="G26" s="6" t="s">
        <v>126</v>
      </c>
      <c r="H26" s="6" t="s">
        <v>127</v>
      </c>
      <c r="I26" s="16" t="s">
        <v>128</v>
      </c>
      <c r="J26" s="4"/>
      <c r="K26" s="4"/>
      <c r="L26" s="4"/>
    </row>
    <row r="27" ht="22.5" customHeight="1">
      <c r="A27" s="6" t="s">
        <v>129</v>
      </c>
      <c r="B27" s="6" t="s">
        <v>130</v>
      </c>
      <c r="C27" s="23" t="s">
        <v>131</v>
      </c>
      <c r="D27" s="24"/>
      <c r="E27" s="4"/>
      <c r="F27" s="4"/>
      <c r="G27" s="6" t="s">
        <v>132</v>
      </c>
      <c r="H27" s="6" t="s">
        <v>133</v>
      </c>
      <c r="I27" s="16" t="s">
        <v>134</v>
      </c>
      <c r="J27" s="4"/>
      <c r="K27" s="4"/>
      <c r="L27" s="4"/>
    </row>
    <row r="28" ht="22.5" customHeight="1">
      <c r="A28" s="6" t="s">
        <v>135</v>
      </c>
      <c r="B28" s="6" t="s">
        <v>136</v>
      </c>
      <c r="C28" s="23" t="s">
        <v>137</v>
      </c>
      <c r="D28" s="24"/>
      <c r="E28" s="4"/>
      <c r="F28" s="4"/>
      <c r="G28" s="6" t="s">
        <v>138</v>
      </c>
      <c r="H28" s="6" t="s">
        <v>139</v>
      </c>
      <c r="I28" s="15"/>
      <c r="J28" s="4"/>
      <c r="K28" s="4"/>
      <c r="L28" s="4"/>
    </row>
    <row r="29" ht="22.5" customHeight="1">
      <c r="A29" s="6" t="s">
        <v>140</v>
      </c>
      <c r="B29" s="6" t="s">
        <v>141</v>
      </c>
      <c r="C29" s="23" t="s">
        <v>142</v>
      </c>
      <c r="D29" s="24"/>
      <c r="E29" s="4"/>
      <c r="F29" s="4"/>
      <c r="G29" s="4"/>
      <c r="H29" s="4"/>
      <c r="I29" s="5"/>
      <c r="J29" s="4"/>
      <c r="K29" s="4"/>
      <c r="L29" s="4"/>
    </row>
    <row r="30" ht="22.5" customHeight="1">
      <c r="A30" s="6" t="s">
        <v>143</v>
      </c>
      <c r="B30" s="6" t="s">
        <v>144</v>
      </c>
      <c r="C30" s="23" t="s">
        <v>145</v>
      </c>
      <c r="D30" s="24"/>
      <c r="E30" s="4"/>
      <c r="F30" s="4"/>
      <c r="G30" s="4"/>
      <c r="H30" s="4"/>
      <c r="I30" s="5"/>
      <c r="J30" s="4"/>
      <c r="K30" s="4"/>
      <c r="L30" s="4"/>
    </row>
    <row r="31" ht="22.5" customHeight="1">
      <c r="A31" s="6" t="s">
        <v>146</v>
      </c>
      <c r="B31" s="6" t="s">
        <v>147</v>
      </c>
      <c r="C31" s="23" t="s">
        <v>148</v>
      </c>
      <c r="D31" s="24"/>
      <c r="E31" s="4"/>
      <c r="F31" s="4"/>
      <c r="G31" s="4"/>
      <c r="H31" s="4"/>
      <c r="I31" s="5"/>
      <c r="J31" s="4"/>
      <c r="K31" s="4"/>
      <c r="L31" s="4"/>
    </row>
    <row r="32" ht="22.5" customHeight="1">
      <c r="A32" s="6" t="s">
        <v>149</v>
      </c>
      <c r="B32" s="6" t="s">
        <v>150</v>
      </c>
      <c r="C32" s="23" t="s">
        <v>151</v>
      </c>
      <c r="D32" s="24"/>
      <c r="E32" s="4"/>
      <c r="F32" s="4"/>
      <c r="G32" s="4"/>
      <c r="H32" s="4"/>
      <c r="I32" s="5"/>
      <c r="J32" s="4"/>
      <c r="K32" s="4"/>
      <c r="L32" s="4"/>
    </row>
    <row r="33" ht="22.5" customHeight="1">
      <c r="A33" s="6" t="s">
        <v>152</v>
      </c>
      <c r="B33" s="6" t="s">
        <v>153</v>
      </c>
      <c r="C33" s="23" t="s">
        <v>154</v>
      </c>
      <c r="D33" s="24"/>
      <c r="E33" s="4"/>
      <c r="F33" s="4"/>
      <c r="G33" s="4"/>
      <c r="H33" s="4"/>
      <c r="I33" s="5"/>
      <c r="J33" s="4"/>
      <c r="K33" s="4"/>
      <c r="L33" s="4"/>
    </row>
    <row r="34" ht="22.5" customHeight="1">
      <c r="A34" s="6" t="s">
        <v>155</v>
      </c>
      <c r="B34" s="6" t="s">
        <v>156</v>
      </c>
      <c r="C34" s="23" t="s">
        <v>157</v>
      </c>
      <c r="D34" s="24"/>
      <c r="E34" s="4"/>
      <c r="F34" s="4"/>
      <c r="G34" s="4"/>
      <c r="H34" s="4"/>
      <c r="I34" s="5"/>
      <c r="J34" s="4"/>
      <c r="K34" s="4"/>
      <c r="L34" s="4"/>
    </row>
    <row r="35" ht="22.5" customHeight="1">
      <c r="A35" s="6" t="s">
        <v>158</v>
      </c>
      <c r="B35" s="6" t="s">
        <v>159</v>
      </c>
      <c r="C35" s="23" t="s">
        <v>160</v>
      </c>
      <c r="D35" s="24"/>
      <c r="E35" s="4"/>
      <c r="F35" s="4"/>
      <c r="G35" s="4"/>
      <c r="H35" s="4"/>
      <c r="I35" s="5"/>
      <c r="J35" s="4"/>
      <c r="K35" s="4"/>
      <c r="L35" s="4"/>
    </row>
    <row r="36" ht="22.5" customHeight="1">
      <c r="A36" s="6" t="s">
        <v>161</v>
      </c>
      <c r="B36" s="6" t="s">
        <v>162</v>
      </c>
      <c r="C36" s="23" t="s">
        <v>163</v>
      </c>
      <c r="D36" s="24"/>
      <c r="E36" s="4"/>
      <c r="F36" s="4"/>
      <c r="G36" s="4"/>
      <c r="H36" s="4"/>
      <c r="I36" s="5"/>
      <c r="J36" s="4"/>
      <c r="K36" s="4"/>
      <c r="L36" s="4"/>
    </row>
    <row r="37" ht="22.5" customHeight="1">
      <c r="A37" s="6" t="s">
        <v>164</v>
      </c>
      <c r="B37" s="6" t="s">
        <v>165</v>
      </c>
      <c r="C37" s="23" t="s">
        <v>166</v>
      </c>
      <c r="D37" s="24"/>
      <c r="E37" s="4"/>
      <c r="F37" s="4"/>
      <c r="G37" s="4"/>
      <c r="H37" s="4"/>
      <c r="I37" s="5"/>
      <c r="J37" s="4"/>
      <c r="K37" s="4"/>
      <c r="L37" s="4"/>
    </row>
    <row r="38" ht="22.5" customHeight="1">
      <c r="A38" s="6" t="s">
        <v>167</v>
      </c>
      <c r="B38" s="6" t="s">
        <v>168</v>
      </c>
      <c r="C38" s="23" t="s">
        <v>169</v>
      </c>
      <c r="D38" s="24"/>
      <c r="E38" s="4"/>
      <c r="F38" s="4"/>
      <c r="G38" s="4"/>
      <c r="H38" s="4"/>
      <c r="I38" s="5"/>
      <c r="J38" s="4"/>
      <c r="K38" s="4"/>
      <c r="L38" s="4"/>
    </row>
    <row r="39" ht="22.5" customHeight="1">
      <c r="A39" s="6" t="s">
        <v>170</v>
      </c>
      <c r="B39" s="6" t="s">
        <v>171</v>
      </c>
      <c r="C39" s="23" t="s">
        <v>172</v>
      </c>
      <c r="D39" s="24"/>
      <c r="E39" s="4"/>
      <c r="F39" s="4"/>
      <c r="G39" s="4"/>
      <c r="H39" s="4"/>
      <c r="I39" s="5"/>
      <c r="J39" s="4"/>
      <c r="K39" s="4"/>
      <c r="L39" s="4"/>
    </row>
    <row r="40" ht="22.5" customHeight="1">
      <c r="A40" s="6" t="s">
        <v>173</v>
      </c>
      <c r="B40" s="6" t="s">
        <v>174</v>
      </c>
      <c r="C40" s="23" t="s">
        <v>175</v>
      </c>
      <c r="D40" s="24"/>
      <c r="E40" s="4"/>
      <c r="F40" s="4"/>
      <c r="G40" s="4"/>
      <c r="H40" s="4"/>
      <c r="I40" s="5"/>
      <c r="J40" s="4"/>
      <c r="K40" s="4"/>
      <c r="L40" s="4"/>
    </row>
    <row r="41" ht="22.5" customHeight="1">
      <c r="A41" s="6" t="s">
        <v>176</v>
      </c>
      <c r="B41" s="6" t="s">
        <v>177</v>
      </c>
      <c r="C41" s="23" t="s">
        <v>178</v>
      </c>
      <c r="D41" s="24"/>
      <c r="E41" s="4"/>
      <c r="F41" s="4"/>
      <c r="G41" s="4"/>
      <c r="H41" s="4"/>
      <c r="I41" s="5"/>
      <c r="J41" s="4"/>
      <c r="K41" s="4"/>
      <c r="L41" s="4"/>
    </row>
    <row r="42" ht="22.5" customHeight="1">
      <c r="A42" s="27" t="s">
        <v>179</v>
      </c>
      <c r="B42" s="28"/>
      <c r="C42" s="23" t="s">
        <v>180</v>
      </c>
      <c r="D42" s="24"/>
      <c r="E42" s="4"/>
      <c r="F42" s="4"/>
      <c r="G42" s="4"/>
      <c r="H42" s="4"/>
      <c r="I42" s="5"/>
      <c r="J42" s="4"/>
      <c r="K42" s="4"/>
      <c r="L42" s="4"/>
    </row>
    <row r="43" ht="22.5" customHeight="1">
      <c r="A43" s="27" t="s">
        <v>181</v>
      </c>
      <c r="B43" s="28"/>
      <c r="C43" s="23" t="s">
        <v>182</v>
      </c>
      <c r="D43" s="24"/>
      <c r="E43" s="4"/>
      <c r="F43" s="4"/>
      <c r="G43" s="4"/>
      <c r="H43" s="4"/>
      <c r="I43" s="5"/>
      <c r="J43" s="4"/>
      <c r="K43" s="4"/>
      <c r="L43" s="4"/>
    </row>
    <row r="44" ht="22.5" customHeight="1">
      <c r="A44" s="27" t="s">
        <v>183</v>
      </c>
      <c r="B44" s="28"/>
      <c r="C44" s="23" t="s">
        <v>184</v>
      </c>
      <c r="D44" s="24"/>
      <c r="E44" s="4"/>
      <c r="F44" s="4"/>
      <c r="G44" s="4"/>
      <c r="H44" s="4"/>
      <c r="I44" s="5"/>
      <c r="J44" s="4"/>
      <c r="K44" s="4"/>
      <c r="L44" s="4"/>
    </row>
    <row r="45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</row>
    <row r="46">
      <c r="I46" s="29"/>
    </row>
    <row r="47">
      <c r="I47" s="29"/>
    </row>
    <row r="48">
      <c r="I48" s="29"/>
    </row>
    <row r="49">
      <c r="I49" s="29"/>
    </row>
    <row r="50">
      <c r="I50" s="29"/>
    </row>
    <row r="51">
      <c r="I51" s="29"/>
    </row>
    <row r="52">
      <c r="A52" s="26" t="s">
        <v>185</v>
      </c>
      <c r="B52" s="4"/>
      <c r="C52" s="4"/>
      <c r="D52" s="4"/>
      <c r="E52" s="4"/>
      <c r="I52" s="29"/>
    </row>
    <row r="53">
      <c r="A53" s="4" t="s">
        <v>186</v>
      </c>
      <c r="B53" s="4" t="s">
        <v>187</v>
      </c>
      <c r="C53" s="4" t="s">
        <v>188</v>
      </c>
      <c r="D53" s="4" t="s">
        <v>189</v>
      </c>
      <c r="E53" s="4" t="s">
        <v>2</v>
      </c>
      <c r="I53" s="29"/>
    </row>
    <row r="54">
      <c r="A54" s="4" t="s">
        <v>4</v>
      </c>
      <c r="B54" s="4" t="s">
        <v>190</v>
      </c>
      <c r="C54" s="4" t="s">
        <v>191</v>
      </c>
      <c r="D54" s="4" t="s">
        <v>192</v>
      </c>
      <c r="E54" s="4" t="s">
        <v>192</v>
      </c>
      <c r="I54" s="29"/>
    </row>
    <row r="55">
      <c r="A55" s="4" t="s">
        <v>6</v>
      </c>
      <c r="B55" s="4" t="s">
        <v>193</v>
      </c>
      <c r="C55" s="4" t="s">
        <v>191</v>
      </c>
      <c r="D55" s="4" t="s">
        <v>192</v>
      </c>
      <c r="E55" s="4" t="s">
        <v>8</v>
      </c>
      <c r="I55" s="29"/>
    </row>
    <row r="56">
      <c r="A56" s="4" t="s">
        <v>10</v>
      </c>
      <c r="B56" s="4" t="s">
        <v>194</v>
      </c>
      <c r="C56" s="4" t="s">
        <v>191</v>
      </c>
      <c r="D56" s="4" t="s">
        <v>192</v>
      </c>
      <c r="E56" s="4" t="s">
        <v>12</v>
      </c>
      <c r="I56" s="29"/>
    </row>
    <row r="57">
      <c r="A57" s="4" t="s">
        <v>13</v>
      </c>
      <c r="B57" s="4" t="s">
        <v>195</v>
      </c>
      <c r="C57" s="4" t="s">
        <v>191</v>
      </c>
      <c r="D57" s="4" t="s">
        <v>192</v>
      </c>
      <c r="E57" s="4" t="s">
        <v>196</v>
      </c>
      <c r="I57" s="29"/>
    </row>
    <row r="58">
      <c r="A58" s="4" t="s">
        <v>18</v>
      </c>
      <c r="B58" s="4" t="s">
        <v>197</v>
      </c>
      <c r="C58" s="4" t="s">
        <v>198</v>
      </c>
      <c r="D58" s="4" t="s">
        <v>192</v>
      </c>
      <c r="E58" s="4" t="s">
        <v>199</v>
      </c>
      <c r="I58" s="29"/>
    </row>
    <row r="59">
      <c r="A59" s="4" t="s">
        <v>23</v>
      </c>
      <c r="B59" s="4" t="s">
        <v>200</v>
      </c>
      <c r="C59" s="4" t="s">
        <v>191</v>
      </c>
      <c r="D59" s="4" t="s">
        <v>192</v>
      </c>
      <c r="E59" s="4" t="s">
        <v>25</v>
      </c>
      <c r="I59" s="29"/>
    </row>
    <row r="60">
      <c r="A60" s="4" t="s">
        <v>29</v>
      </c>
      <c r="B60" s="4" t="s">
        <v>201</v>
      </c>
      <c r="C60" s="4" t="s">
        <v>191</v>
      </c>
      <c r="D60" s="4" t="s">
        <v>192</v>
      </c>
      <c r="E60" s="4" t="s">
        <v>31</v>
      </c>
      <c r="I60" s="29"/>
    </row>
    <row r="61">
      <c r="A61" s="4" t="s">
        <v>35</v>
      </c>
      <c r="B61" s="4" t="s">
        <v>202</v>
      </c>
      <c r="C61" s="4" t="s">
        <v>191</v>
      </c>
      <c r="D61" s="4" t="s">
        <v>192</v>
      </c>
      <c r="E61" s="4" t="s">
        <v>37</v>
      </c>
      <c r="I61" s="29"/>
    </row>
    <row r="62">
      <c r="A62" s="4" t="s">
        <v>41</v>
      </c>
      <c r="B62" s="4" t="s">
        <v>203</v>
      </c>
      <c r="C62" s="4" t="s">
        <v>191</v>
      </c>
      <c r="D62" s="4" t="s">
        <v>192</v>
      </c>
      <c r="E62" s="4" t="s">
        <v>43</v>
      </c>
      <c r="I62" s="29"/>
    </row>
    <row r="63">
      <c r="A63" s="4" t="s">
        <v>47</v>
      </c>
      <c r="B63" s="4" t="s">
        <v>204</v>
      </c>
      <c r="C63" s="4" t="s">
        <v>191</v>
      </c>
      <c r="D63" s="4" t="s">
        <v>192</v>
      </c>
      <c r="E63" s="4" t="s">
        <v>49</v>
      </c>
      <c r="I63" s="29"/>
    </row>
    <row r="64">
      <c r="A64" s="4" t="s">
        <v>53</v>
      </c>
      <c r="B64" s="4" t="s">
        <v>205</v>
      </c>
      <c r="C64" s="4" t="s">
        <v>191</v>
      </c>
      <c r="D64" s="4" t="s">
        <v>192</v>
      </c>
      <c r="E64" s="4" t="s">
        <v>55</v>
      </c>
      <c r="I64" s="29"/>
    </row>
    <row r="65">
      <c r="A65" s="4" t="s">
        <v>59</v>
      </c>
      <c r="B65" s="4" t="s">
        <v>206</v>
      </c>
      <c r="C65" s="4" t="s">
        <v>191</v>
      </c>
      <c r="D65" s="4" t="s">
        <v>192</v>
      </c>
      <c r="E65" s="4" t="s">
        <v>61</v>
      </c>
      <c r="I65" s="29"/>
    </row>
    <row r="66">
      <c r="A66" s="4" t="s">
        <v>65</v>
      </c>
      <c r="B66" s="4" t="s">
        <v>207</v>
      </c>
      <c r="C66" s="4" t="s">
        <v>208</v>
      </c>
      <c r="D66" s="4" t="s">
        <v>192</v>
      </c>
      <c r="E66" s="4" t="s">
        <v>67</v>
      </c>
      <c r="I66" s="29"/>
    </row>
    <row r="67">
      <c r="A67" s="4" t="s">
        <v>71</v>
      </c>
      <c r="B67" s="4" t="s">
        <v>209</v>
      </c>
      <c r="C67" s="4" t="s">
        <v>191</v>
      </c>
      <c r="D67" s="4" t="s">
        <v>192</v>
      </c>
      <c r="E67" s="4" t="s">
        <v>73</v>
      </c>
      <c r="I67" s="29"/>
    </row>
    <row r="68">
      <c r="A68" s="4" t="s">
        <v>77</v>
      </c>
      <c r="B68" s="4" t="s">
        <v>210</v>
      </c>
      <c r="C68" s="4" t="s">
        <v>191</v>
      </c>
      <c r="D68" s="4" t="s">
        <v>192</v>
      </c>
      <c r="E68" s="4" t="s">
        <v>79</v>
      </c>
      <c r="I68" s="29"/>
    </row>
    <row r="69">
      <c r="A69" s="4" t="s">
        <v>83</v>
      </c>
      <c r="B69" s="4" t="s">
        <v>211</v>
      </c>
      <c r="C69" s="4" t="s">
        <v>191</v>
      </c>
      <c r="D69" s="4" t="s">
        <v>192</v>
      </c>
      <c r="E69" s="4" t="s">
        <v>85</v>
      </c>
      <c r="I69" s="29"/>
    </row>
    <row r="70">
      <c r="A70" s="4" t="s">
        <v>89</v>
      </c>
      <c r="B70" s="4" t="s">
        <v>212</v>
      </c>
      <c r="C70" s="4" t="s">
        <v>208</v>
      </c>
      <c r="D70" s="4" t="s">
        <v>192</v>
      </c>
      <c r="E70" s="4" t="s">
        <v>91</v>
      </c>
      <c r="I70" s="29"/>
    </row>
    <row r="71">
      <c r="A71" s="4" t="s">
        <v>95</v>
      </c>
      <c r="B71" s="4" t="s">
        <v>213</v>
      </c>
      <c r="C71" s="4" t="s">
        <v>208</v>
      </c>
      <c r="D71" s="4" t="s">
        <v>192</v>
      </c>
      <c r="E71" s="4" t="s">
        <v>97</v>
      </c>
      <c r="I71" s="29"/>
    </row>
    <row r="72">
      <c r="A72" s="4" t="s">
        <v>98</v>
      </c>
      <c r="B72" s="4" t="s">
        <v>214</v>
      </c>
      <c r="C72" s="4" t="s">
        <v>215</v>
      </c>
      <c r="D72" s="4" t="s">
        <v>192</v>
      </c>
      <c r="E72" s="4" t="s">
        <v>100</v>
      </c>
      <c r="I72" s="29"/>
    </row>
    <row r="73">
      <c r="A73" s="4" t="s">
        <v>101</v>
      </c>
      <c r="B73" s="4" t="s">
        <v>216</v>
      </c>
      <c r="C73" s="4" t="s">
        <v>191</v>
      </c>
      <c r="D73" s="4" t="s">
        <v>192</v>
      </c>
      <c r="E73" s="4" t="s">
        <v>103</v>
      </c>
      <c r="I73" s="29"/>
    </row>
    <row r="74">
      <c r="A74" s="4" t="s">
        <v>104</v>
      </c>
      <c r="B74" s="4" t="s">
        <v>217</v>
      </c>
      <c r="C74" s="4" t="s">
        <v>191</v>
      </c>
      <c r="D74" s="4" t="s">
        <v>192</v>
      </c>
      <c r="E74" s="4" t="s">
        <v>106</v>
      </c>
      <c r="I74" s="29"/>
    </row>
    <row r="75">
      <c r="A75" s="4" t="s">
        <v>108</v>
      </c>
      <c r="B75" s="4" t="s">
        <v>218</v>
      </c>
      <c r="C75" s="4" t="s">
        <v>191</v>
      </c>
      <c r="D75" s="4" t="s">
        <v>192</v>
      </c>
      <c r="E75" s="4" t="s">
        <v>110</v>
      </c>
      <c r="I75" s="29"/>
    </row>
    <row r="76">
      <c r="A76" s="4" t="s">
        <v>113</v>
      </c>
      <c r="B76" s="4" t="s">
        <v>219</v>
      </c>
      <c r="C76" s="4" t="s">
        <v>191</v>
      </c>
      <c r="D76" s="4" t="s">
        <v>192</v>
      </c>
      <c r="E76" s="4" t="s">
        <v>115</v>
      </c>
      <c r="I76" s="29"/>
    </row>
    <row r="77">
      <c r="A77" s="4" t="s">
        <v>118</v>
      </c>
      <c r="B77" s="4" t="s">
        <v>220</v>
      </c>
      <c r="C77" s="4" t="s">
        <v>191</v>
      </c>
      <c r="D77" s="4" t="s">
        <v>192</v>
      </c>
      <c r="E77" s="4" t="s">
        <v>120</v>
      </c>
      <c r="I77" s="29"/>
    </row>
    <row r="78">
      <c r="A78" s="4" t="s">
        <v>123</v>
      </c>
      <c r="B78" s="4" t="s">
        <v>221</v>
      </c>
      <c r="C78" s="4" t="s">
        <v>208</v>
      </c>
      <c r="D78" s="4" t="s">
        <v>192</v>
      </c>
      <c r="E78" s="4" t="s">
        <v>125</v>
      </c>
      <c r="I78" s="29"/>
    </row>
    <row r="79">
      <c r="A79" s="4" t="s">
        <v>129</v>
      </c>
      <c r="B79" s="4" t="s">
        <v>222</v>
      </c>
      <c r="C79" s="4" t="s">
        <v>191</v>
      </c>
      <c r="D79" s="4" t="s">
        <v>192</v>
      </c>
      <c r="E79" s="4" t="s">
        <v>131</v>
      </c>
      <c r="I79" s="29"/>
    </row>
    <row r="80">
      <c r="A80" s="4" t="s">
        <v>135</v>
      </c>
      <c r="B80" s="4" t="s">
        <v>223</v>
      </c>
      <c r="C80" s="4" t="s">
        <v>191</v>
      </c>
      <c r="D80" s="4" t="s">
        <v>192</v>
      </c>
      <c r="E80" s="4" t="s">
        <v>137</v>
      </c>
      <c r="I80" s="29"/>
    </row>
    <row r="81">
      <c r="A81" s="4" t="s">
        <v>140</v>
      </c>
      <c r="B81" s="4" t="s">
        <v>224</v>
      </c>
      <c r="C81" s="4" t="s">
        <v>191</v>
      </c>
      <c r="D81" s="4" t="s">
        <v>192</v>
      </c>
      <c r="E81" s="4" t="s">
        <v>142</v>
      </c>
      <c r="I81" s="29"/>
    </row>
    <row r="82">
      <c r="A82" s="4" t="s">
        <v>143</v>
      </c>
      <c r="B82" s="4" t="s">
        <v>225</v>
      </c>
      <c r="C82" s="4" t="s">
        <v>191</v>
      </c>
      <c r="D82" s="4" t="s">
        <v>192</v>
      </c>
      <c r="E82" s="4" t="s">
        <v>145</v>
      </c>
      <c r="I82" s="29"/>
    </row>
    <row r="83">
      <c r="A83" s="4" t="s">
        <v>146</v>
      </c>
      <c r="B83" s="4" t="s">
        <v>226</v>
      </c>
      <c r="C83" s="4" t="s">
        <v>191</v>
      </c>
      <c r="D83" s="4" t="s">
        <v>192</v>
      </c>
      <c r="E83" s="4" t="s">
        <v>148</v>
      </c>
      <c r="I83" s="29"/>
    </row>
    <row r="84">
      <c r="A84" s="4" t="s">
        <v>149</v>
      </c>
      <c r="B84" s="4" t="s">
        <v>227</v>
      </c>
      <c r="C84" s="4" t="s">
        <v>191</v>
      </c>
      <c r="D84" s="4" t="s">
        <v>192</v>
      </c>
      <c r="E84" s="4" t="s">
        <v>151</v>
      </c>
      <c r="I84" s="29"/>
    </row>
    <row r="85">
      <c r="A85" s="4" t="s">
        <v>152</v>
      </c>
      <c r="B85" s="4" t="s">
        <v>228</v>
      </c>
      <c r="C85" s="4" t="s">
        <v>191</v>
      </c>
      <c r="D85" s="4" t="s">
        <v>192</v>
      </c>
      <c r="E85" s="4" t="s">
        <v>154</v>
      </c>
      <c r="I85" s="29"/>
    </row>
    <row r="86">
      <c r="A86" s="4" t="s">
        <v>155</v>
      </c>
      <c r="B86" s="4" t="s">
        <v>229</v>
      </c>
      <c r="C86" s="4" t="s">
        <v>191</v>
      </c>
      <c r="D86" s="4" t="s">
        <v>192</v>
      </c>
      <c r="E86" s="4" t="s">
        <v>157</v>
      </c>
      <c r="I86" s="29"/>
    </row>
    <row r="87">
      <c r="A87" s="4" t="s">
        <v>158</v>
      </c>
      <c r="B87" s="4" t="s">
        <v>230</v>
      </c>
      <c r="C87" s="4" t="s">
        <v>191</v>
      </c>
      <c r="D87" s="4" t="s">
        <v>192</v>
      </c>
      <c r="E87" s="4" t="s">
        <v>160</v>
      </c>
      <c r="I87" s="29"/>
    </row>
    <row r="88">
      <c r="A88" s="4" t="s">
        <v>161</v>
      </c>
      <c r="B88" s="4" t="s">
        <v>231</v>
      </c>
      <c r="C88" s="4" t="s">
        <v>191</v>
      </c>
      <c r="D88" s="4" t="s">
        <v>192</v>
      </c>
      <c r="E88" s="4" t="s">
        <v>163</v>
      </c>
      <c r="I88" s="29"/>
    </row>
    <row r="89">
      <c r="A89" s="4" t="s">
        <v>164</v>
      </c>
      <c r="B89" s="4" t="s">
        <v>232</v>
      </c>
      <c r="C89" s="4" t="s">
        <v>208</v>
      </c>
      <c r="D89" s="4" t="s">
        <v>192</v>
      </c>
      <c r="E89" s="4" t="s">
        <v>166</v>
      </c>
      <c r="I89" s="29"/>
    </row>
    <row r="90">
      <c r="A90" s="4" t="s">
        <v>167</v>
      </c>
      <c r="B90" s="4" t="s">
        <v>233</v>
      </c>
      <c r="C90" s="4" t="s">
        <v>208</v>
      </c>
      <c r="D90" s="4" t="s">
        <v>192</v>
      </c>
      <c r="E90" s="4" t="s">
        <v>169</v>
      </c>
      <c r="I90" s="29"/>
    </row>
    <row r="91">
      <c r="A91" s="4" t="s">
        <v>170</v>
      </c>
      <c r="B91" s="4" t="s">
        <v>234</v>
      </c>
      <c r="C91" s="4" t="s">
        <v>191</v>
      </c>
      <c r="D91" s="4" t="s">
        <v>192</v>
      </c>
      <c r="E91" s="4" t="s">
        <v>172</v>
      </c>
      <c r="I91" s="29"/>
    </row>
    <row r="92">
      <c r="A92" s="4" t="s">
        <v>173</v>
      </c>
      <c r="B92" s="4" t="s">
        <v>235</v>
      </c>
      <c r="C92" s="4" t="s">
        <v>191</v>
      </c>
      <c r="D92" s="4" t="s">
        <v>192</v>
      </c>
      <c r="E92" s="4" t="s">
        <v>175</v>
      </c>
      <c r="I92" s="29"/>
    </row>
    <row r="93">
      <c r="A93" s="4" t="s">
        <v>176</v>
      </c>
      <c r="B93" s="4" t="s">
        <v>236</v>
      </c>
      <c r="C93" s="4" t="s">
        <v>191</v>
      </c>
      <c r="D93" s="4" t="s">
        <v>192</v>
      </c>
      <c r="E93" s="4" t="s">
        <v>178</v>
      </c>
      <c r="I93" s="29"/>
    </row>
    <row r="94">
      <c r="A94" s="4" t="s">
        <v>179</v>
      </c>
      <c r="B94" s="4" t="s">
        <v>237</v>
      </c>
      <c r="C94" s="4" t="s">
        <v>238</v>
      </c>
      <c r="D94" s="4" t="s">
        <v>192</v>
      </c>
      <c r="E94" s="26" t="s">
        <v>239</v>
      </c>
      <c r="I94" s="29"/>
    </row>
    <row r="95">
      <c r="A95" s="4" t="s">
        <v>181</v>
      </c>
      <c r="B95" s="4" t="s">
        <v>240</v>
      </c>
      <c r="C95" s="4" t="s">
        <v>241</v>
      </c>
      <c r="D95" s="4" t="s">
        <v>192</v>
      </c>
      <c r="E95" s="26" t="s">
        <v>242</v>
      </c>
      <c r="I95" s="29"/>
    </row>
    <row r="96">
      <c r="A96" s="4" t="s">
        <v>183</v>
      </c>
      <c r="B96" s="4" t="s">
        <v>243</v>
      </c>
      <c r="C96" s="4" t="s">
        <v>198</v>
      </c>
      <c r="D96" s="4" t="s">
        <v>192</v>
      </c>
      <c r="E96" s="26" t="s">
        <v>244</v>
      </c>
      <c r="I96" s="29"/>
    </row>
    <row r="97">
      <c r="A97" s="4"/>
      <c r="B97" s="4"/>
      <c r="C97" s="4"/>
      <c r="D97" s="4"/>
      <c r="E97" s="4"/>
      <c r="I97" s="29"/>
    </row>
    <row r="98">
      <c r="A98" s="26" t="s">
        <v>245</v>
      </c>
      <c r="B98" s="4"/>
      <c r="C98" s="4"/>
      <c r="D98" s="4"/>
      <c r="E98" s="4"/>
      <c r="I98" s="29"/>
    </row>
    <row r="99">
      <c r="A99" s="4"/>
      <c r="B99" s="4"/>
      <c r="C99" s="4"/>
      <c r="D99" s="4"/>
      <c r="E99" s="4"/>
      <c r="I99" s="29"/>
    </row>
    <row r="100">
      <c r="A100" s="4" t="s">
        <v>186</v>
      </c>
      <c r="B100" s="4" t="s">
        <v>187</v>
      </c>
      <c r="C100" s="4" t="s">
        <v>188</v>
      </c>
      <c r="D100" s="4" t="s">
        <v>189</v>
      </c>
      <c r="E100" s="4" t="s">
        <v>2</v>
      </c>
      <c r="I100" s="29"/>
    </row>
    <row r="101">
      <c r="A101" s="4" t="s">
        <v>16</v>
      </c>
      <c r="B101" s="4" t="s">
        <v>246</v>
      </c>
      <c r="C101" s="4" t="s">
        <v>191</v>
      </c>
      <c r="D101" s="4" t="s">
        <v>192</v>
      </c>
      <c r="E101" s="4" t="s">
        <v>192</v>
      </c>
      <c r="I101" s="29"/>
    </row>
    <row r="102">
      <c r="A102" s="4" t="s">
        <v>4</v>
      </c>
      <c r="B102" s="4" t="s">
        <v>190</v>
      </c>
      <c r="C102" s="4" t="s">
        <v>247</v>
      </c>
      <c r="D102" s="4" t="s">
        <v>192</v>
      </c>
      <c r="E102" s="4" t="s">
        <v>192</v>
      </c>
      <c r="I102" s="29"/>
    </row>
    <row r="103">
      <c r="A103" s="4" t="s">
        <v>26</v>
      </c>
      <c r="B103" s="4" t="s">
        <v>248</v>
      </c>
      <c r="C103" s="4" t="s">
        <v>191</v>
      </c>
      <c r="D103" s="4" t="s">
        <v>192</v>
      </c>
      <c r="E103" s="4" t="s">
        <v>28</v>
      </c>
      <c r="I103" s="29"/>
    </row>
    <row r="104">
      <c r="A104" s="4" t="s">
        <v>32</v>
      </c>
      <c r="B104" s="4" t="s">
        <v>249</v>
      </c>
      <c r="C104" s="4" t="s">
        <v>191</v>
      </c>
      <c r="D104" s="4" t="s">
        <v>192</v>
      </c>
      <c r="E104" s="4" t="s">
        <v>34</v>
      </c>
      <c r="I104" s="29"/>
    </row>
    <row r="105">
      <c r="A105" s="4" t="s">
        <v>38</v>
      </c>
      <c r="B105" s="4" t="s">
        <v>250</v>
      </c>
      <c r="C105" s="4" t="s">
        <v>191</v>
      </c>
      <c r="D105" s="4" t="s">
        <v>192</v>
      </c>
      <c r="E105" s="4" t="s">
        <v>40</v>
      </c>
      <c r="I105" s="29"/>
    </row>
    <row r="106">
      <c r="A106" s="4" t="s">
        <v>44</v>
      </c>
      <c r="B106" s="4" t="s">
        <v>251</v>
      </c>
      <c r="C106" s="4" t="s">
        <v>208</v>
      </c>
      <c r="D106" s="4" t="s">
        <v>192</v>
      </c>
      <c r="E106" s="4" t="s">
        <v>46</v>
      </c>
      <c r="I106" s="29"/>
    </row>
    <row r="107">
      <c r="A107" s="4" t="s">
        <v>86</v>
      </c>
      <c r="B107" s="4" t="s">
        <v>252</v>
      </c>
      <c r="C107" s="4" t="s">
        <v>191</v>
      </c>
      <c r="D107" s="4" t="s">
        <v>192</v>
      </c>
      <c r="E107" s="4" t="s">
        <v>88</v>
      </c>
      <c r="I107" s="29"/>
    </row>
    <row r="108">
      <c r="A108" s="4" t="s">
        <v>92</v>
      </c>
      <c r="B108" s="4" t="s">
        <v>253</v>
      </c>
      <c r="C108" s="4" t="s">
        <v>254</v>
      </c>
      <c r="D108" s="4" t="s">
        <v>192</v>
      </c>
      <c r="E108" s="4" t="s">
        <v>94</v>
      </c>
      <c r="I108" s="29"/>
    </row>
    <row r="109">
      <c r="A109" s="4"/>
      <c r="B109" s="4"/>
      <c r="C109" s="4"/>
      <c r="D109" s="4"/>
      <c r="E109" s="4"/>
      <c r="I109" s="29"/>
    </row>
    <row r="110">
      <c r="I110" s="29"/>
    </row>
    <row r="111">
      <c r="B111" s="30" t="s">
        <v>255</v>
      </c>
      <c r="I111" s="29"/>
    </row>
    <row r="112">
      <c r="A112" s="30" t="s">
        <v>256</v>
      </c>
      <c r="I112" s="29"/>
    </row>
    <row r="113">
      <c r="A113" s="4" t="s">
        <v>186</v>
      </c>
      <c r="B113" s="4" t="s">
        <v>187</v>
      </c>
      <c r="C113" s="4" t="s">
        <v>188</v>
      </c>
      <c r="D113" s="4" t="s">
        <v>189</v>
      </c>
      <c r="E113" s="4" t="s">
        <v>2</v>
      </c>
      <c r="I113" s="29"/>
    </row>
    <row r="114">
      <c r="A114" s="4" t="s">
        <v>257</v>
      </c>
      <c r="B114" s="4" t="s">
        <v>258</v>
      </c>
      <c r="C114" s="4" t="s">
        <v>191</v>
      </c>
      <c r="D114" s="4" t="s">
        <v>192</v>
      </c>
      <c r="E114" s="4" t="s">
        <v>192</v>
      </c>
      <c r="I114" s="29"/>
    </row>
    <row r="115">
      <c r="A115" s="4" t="s">
        <v>16</v>
      </c>
      <c r="B115" s="4" t="s">
        <v>246</v>
      </c>
      <c r="C115" s="4" t="s">
        <v>247</v>
      </c>
      <c r="D115" s="4" t="s">
        <v>192</v>
      </c>
      <c r="E115" s="4" t="s">
        <v>192</v>
      </c>
      <c r="I115" s="29"/>
    </row>
    <row r="116">
      <c r="A116" s="4" t="s">
        <v>259</v>
      </c>
      <c r="B116" s="4" t="s">
        <v>260</v>
      </c>
      <c r="C116" s="4" t="s">
        <v>191</v>
      </c>
      <c r="D116" s="4" t="s">
        <v>192</v>
      </c>
      <c r="E116" s="4" t="s">
        <v>261</v>
      </c>
      <c r="I116" s="29"/>
    </row>
    <row r="117">
      <c r="A117" s="4" t="s">
        <v>262</v>
      </c>
      <c r="B117" s="4" t="s">
        <v>263</v>
      </c>
      <c r="C117" s="4" t="s">
        <v>208</v>
      </c>
      <c r="D117" s="4" t="s">
        <v>192</v>
      </c>
      <c r="E117" s="4" t="s">
        <v>264</v>
      </c>
      <c r="I117" s="29"/>
    </row>
    <row r="118">
      <c r="I118" s="29"/>
    </row>
    <row r="119">
      <c r="I119" s="29"/>
    </row>
    <row r="120">
      <c r="B120" s="30" t="s">
        <v>265</v>
      </c>
      <c r="I120" s="29"/>
    </row>
    <row r="121" ht="22.5" customHeight="1">
      <c r="A121" s="1" t="s">
        <v>0</v>
      </c>
      <c r="B121" s="1" t="s">
        <v>1</v>
      </c>
      <c r="C121" s="13" t="s">
        <v>2</v>
      </c>
      <c r="I121" s="29"/>
    </row>
    <row r="122" ht="22.5" customHeight="1">
      <c r="A122" s="6" t="s">
        <v>111</v>
      </c>
      <c r="B122" s="6" t="s">
        <v>112</v>
      </c>
      <c r="C122" s="15"/>
      <c r="I122" s="29"/>
    </row>
    <row r="123" ht="22.5" customHeight="1">
      <c r="A123" s="6" t="s">
        <v>116</v>
      </c>
      <c r="B123" s="6" t="s">
        <v>117</v>
      </c>
      <c r="C123" s="15"/>
      <c r="I123" s="29"/>
    </row>
    <row r="124" ht="22.5" customHeight="1">
      <c r="A124" s="6" t="s">
        <v>121</v>
      </c>
      <c r="B124" s="6" t="s">
        <v>122</v>
      </c>
      <c r="C124" s="15"/>
      <c r="I124" s="29"/>
    </row>
    <row r="125" ht="22.5" customHeight="1">
      <c r="A125" s="6" t="s">
        <v>126</v>
      </c>
      <c r="B125" s="6" t="s">
        <v>127</v>
      </c>
      <c r="C125" s="16" t="s">
        <v>266</v>
      </c>
      <c r="I125" s="29"/>
    </row>
    <row r="126" ht="22.5" customHeight="1">
      <c r="A126" s="6" t="s">
        <v>132</v>
      </c>
      <c r="B126" s="6" t="s">
        <v>133</v>
      </c>
      <c r="C126" s="16" t="s">
        <v>267</v>
      </c>
      <c r="I126" s="29"/>
    </row>
    <row r="127" ht="22.5" customHeight="1">
      <c r="A127" s="6" t="s">
        <v>138</v>
      </c>
      <c r="B127" s="6" t="s">
        <v>139</v>
      </c>
      <c r="C127" s="15"/>
      <c r="I127" s="29"/>
    </row>
    <row r="128">
      <c r="I128" s="29"/>
    </row>
    <row r="129">
      <c r="I129" s="29"/>
    </row>
    <row r="130">
      <c r="B130" s="30" t="s">
        <v>268</v>
      </c>
      <c r="I130" s="29"/>
    </row>
    <row r="131" ht="22.5" customHeight="1">
      <c r="A131" s="1" t="s">
        <v>0</v>
      </c>
      <c r="B131" s="1" t="s">
        <v>1</v>
      </c>
      <c r="C131" s="13" t="s">
        <v>2</v>
      </c>
      <c r="I131" s="29"/>
    </row>
    <row r="132" ht="22.5" customHeight="1">
      <c r="A132" s="6" t="s">
        <v>111</v>
      </c>
      <c r="B132" s="6" t="s">
        <v>112</v>
      </c>
      <c r="C132" s="15"/>
      <c r="I132" s="29"/>
    </row>
    <row r="133" ht="22.5" customHeight="1">
      <c r="A133" s="31" t="s">
        <v>269</v>
      </c>
      <c r="B133" s="6" t="s">
        <v>117</v>
      </c>
      <c r="C133" s="15"/>
      <c r="I133" s="29"/>
    </row>
    <row r="134" ht="22.5" customHeight="1">
      <c r="A134" s="6" t="s">
        <v>121</v>
      </c>
      <c r="B134" s="6" t="s">
        <v>122</v>
      </c>
      <c r="C134" s="15"/>
      <c r="I134" s="29"/>
    </row>
    <row r="135" ht="22.5" customHeight="1">
      <c r="A135" s="6" t="s">
        <v>126</v>
      </c>
      <c r="B135" s="6" t="s">
        <v>127</v>
      </c>
      <c r="C135" s="16" t="s">
        <v>266</v>
      </c>
      <c r="I135" s="29"/>
    </row>
    <row r="136" ht="22.5" customHeight="1">
      <c r="A136" s="6" t="s">
        <v>132</v>
      </c>
      <c r="B136" s="6" t="s">
        <v>133</v>
      </c>
      <c r="C136" s="16" t="s">
        <v>267</v>
      </c>
      <c r="I136" s="29"/>
    </row>
    <row r="137" ht="22.5" customHeight="1">
      <c r="A137" s="6" t="s">
        <v>138</v>
      </c>
      <c r="B137" s="6" t="s">
        <v>139</v>
      </c>
      <c r="C137" s="15"/>
      <c r="I137" s="29"/>
    </row>
    <row r="138">
      <c r="I138" s="29"/>
    </row>
    <row r="139">
      <c r="I139" s="29"/>
    </row>
    <row r="140">
      <c r="I140" s="29"/>
    </row>
    <row r="141">
      <c r="I141" s="29"/>
    </row>
    <row r="142">
      <c r="I142" s="29"/>
    </row>
    <row r="143">
      <c r="I143" s="29"/>
    </row>
    <row r="144">
      <c r="I144" s="29"/>
    </row>
    <row r="145">
      <c r="I145" s="29"/>
    </row>
    <row r="146">
      <c r="I146" s="29"/>
    </row>
    <row r="147">
      <c r="I147" s="29"/>
    </row>
    <row r="148">
      <c r="I148" s="29"/>
    </row>
    <row r="149">
      <c r="I149" s="29"/>
    </row>
    <row r="150">
      <c r="I150" s="29"/>
    </row>
    <row r="151">
      <c r="I151" s="29"/>
    </row>
    <row r="152">
      <c r="I152" s="29"/>
    </row>
    <row r="153">
      <c r="I153" s="29"/>
    </row>
    <row r="154">
      <c r="I154" s="29"/>
    </row>
    <row r="155">
      <c r="I155" s="29"/>
    </row>
    <row r="156">
      <c r="I156" s="29"/>
    </row>
    <row r="157">
      <c r="I157" s="29"/>
    </row>
    <row r="158">
      <c r="I158" s="29"/>
    </row>
    <row r="159">
      <c r="I159" s="29"/>
    </row>
    <row r="160">
      <c r="I160" s="29"/>
    </row>
    <row r="161">
      <c r="I161" s="29"/>
    </row>
    <row r="162">
      <c r="I162" s="29"/>
    </row>
    <row r="163">
      <c r="I163" s="29"/>
    </row>
    <row r="164">
      <c r="I164" s="29"/>
    </row>
    <row r="165">
      <c r="I165" s="29"/>
    </row>
    <row r="166">
      <c r="I166" s="29"/>
    </row>
    <row r="167">
      <c r="I167" s="29"/>
    </row>
    <row r="168">
      <c r="I168" s="29"/>
    </row>
    <row r="169">
      <c r="I169" s="29"/>
    </row>
    <row r="170">
      <c r="I170" s="29"/>
    </row>
    <row r="171">
      <c r="I171" s="29"/>
    </row>
    <row r="172">
      <c r="I172" s="29"/>
    </row>
    <row r="173">
      <c r="I173" s="29"/>
    </row>
    <row r="174">
      <c r="I174" s="29"/>
    </row>
    <row r="175">
      <c r="I175" s="29"/>
    </row>
    <row r="176">
      <c r="I176" s="29"/>
    </row>
    <row r="177">
      <c r="I177" s="29"/>
    </row>
    <row r="178">
      <c r="I178" s="29"/>
    </row>
    <row r="179">
      <c r="I179" s="29"/>
    </row>
    <row r="180">
      <c r="I180" s="29"/>
    </row>
    <row r="181">
      <c r="I181" s="29"/>
    </row>
    <row r="182">
      <c r="I182" s="29"/>
    </row>
    <row r="183">
      <c r="I183" s="29"/>
    </row>
    <row r="184">
      <c r="I184" s="29"/>
    </row>
    <row r="185">
      <c r="I185" s="29"/>
    </row>
    <row r="186">
      <c r="I186" s="29"/>
    </row>
    <row r="187">
      <c r="I187" s="29"/>
    </row>
    <row r="188">
      <c r="I188" s="29"/>
    </row>
    <row r="189">
      <c r="I189" s="29"/>
    </row>
    <row r="190">
      <c r="I190" s="29"/>
    </row>
    <row r="191">
      <c r="I191" s="29"/>
    </row>
    <row r="192">
      <c r="I192" s="29"/>
    </row>
    <row r="193">
      <c r="I193" s="29"/>
    </row>
    <row r="194">
      <c r="I194" s="29"/>
    </row>
    <row r="195">
      <c r="I195" s="29"/>
    </row>
    <row r="196">
      <c r="I196" s="29"/>
    </row>
    <row r="197">
      <c r="I197" s="29"/>
    </row>
    <row r="198">
      <c r="I198" s="29"/>
    </row>
    <row r="199">
      <c r="I199" s="29"/>
    </row>
    <row r="200">
      <c r="I200" s="29"/>
    </row>
    <row r="201">
      <c r="I201" s="29"/>
    </row>
    <row r="202">
      <c r="I202" s="29"/>
    </row>
    <row r="203">
      <c r="I203" s="29"/>
    </row>
    <row r="204">
      <c r="I204" s="29"/>
    </row>
    <row r="205">
      <c r="I205" s="29"/>
    </row>
    <row r="206">
      <c r="I206" s="29"/>
    </row>
    <row r="207">
      <c r="I207" s="29"/>
    </row>
    <row r="208">
      <c r="I208" s="29"/>
    </row>
    <row r="209">
      <c r="I209" s="29"/>
    </row>
    <row r="210">
      <c r="I210" s="29"/>
    </row>
    <row r="211">
      <c r="I211" s="29"/>
    </row>
    <row r="212">
      <c r="I212" s="29"/>
    </row>
    <row r="213">
      <c r="I213" s="29"/>
    </row>
    <row r="214">
      <c r="I214" s="29"/>
    </row>
    <row r="215">
      <c r="I215" s="29"/>
    </row>
    <row r="216">
      <c r="I216" s="29"/>
    </row>
    <row r="217">
      <c r="I217" s="29"/>
    </row>
    <row r="218">
      <c r="I218" s="29"/>
    </row>
    <row r="219">
      <c r="I219" s="29"/>
    </row>
    <row r="220">
      <c r="I220" s="29"/>
    </row>
    <row r="221">
      <c r="I221" s="29"/>
    </row>
    <row r="222">
      <c r="I222" s="29"/>
    </row>
    <row r="223">
      <c r="I223" s="29"/>
    </row>
    <row r="224">
      <c r="I224" s="29"/>
    </row>
    <row r="225">
      <c r="I225" s="29"/>
    </row>
    <row r="226">
      <c r="I226" s="29"/>
    </row>
    <row r="227">
      <c r="I227" s="29"/>
    </row>
    <row r="228">
      <c r="I228" s="29"/>
    </row>
    <row r="229">
      <c r="I229" s="29"/>
    </row>
    <row r="230">
      <c r="I230" s="29"/>
    </row>
    <row r="231">
      <c r="I231" s="29"/>
    </row>
    <row r="232">
      <c r="I232" s="29"/>
    </row>
    <row r="233">
      <c r="I233" s="29"/>
    </row>
    <row r="234">
      <c r="I234" s="29"/>
    </row>
    <row r="235">
      <c r="I235" s="29"/>
    </row>
    <row r="236">
      <c r="I236" s="29"/>
    </row>
    <row r="237">
      <c r="I237" s="29"/>
    </row>
    <row r="238">
      <c r="I238" s="29"/>
    </row>
    <row r="239">
      <c r="I239" s="29"/>
    </row>
    <row r="240">
      <c r="I240" s="29"/>
    </row>
    <row r="241">
      <c r="I241" s="29"/>
    </row>
    <row r="242">
      <c r="I242" s="29"/>
    </row>
    <row r="243">
      <c r="I243" s="29"/>
    </row>
    <row r="244">
      <c r="I244" s="29"/>
    </row>
    <row r="245">
      <c r="I245" s="29"/>
    </row>
    <row r="246">
      <c r="I246" s="29"/>
    </row>
    <row r="247">
      <c r="I247" s="29"/>
    </row>
    <row r="248">
      <c r="I248" s="29"/>
    </row>
    <row r="249">
      <c r="I249" s="29"/>
    </row>
    <row r="250">
      <c r="I250" s="29"/>
    </row>
    <row r="251">
      <c r="I251" s="29"/>
    </row>
    <row r="252">
      <c r="I252" s="29"/>
    </row>
    <row r="253">
      <c r="I253" s="29"/>
    </row>
    <row r="254">
      <c r="I254" s="29"/>
    </row>
    <row r="255">
      <c r="I255" s="29"/>
    </row>
    <row r="256">
      <c r="I256" s="29"/>
    </row>
    <row r="257">
      <c r="I257" s="29"/>
    </row>
    <row r="258">
      <c r="I258" s="29"/>
    </row>
    <row r="259">
      <c r="I259" s="29"/>
    </row>
    <row r="260">
      <c r="I260" s="29"/>
    </row>
    <row r="261">
      <c r="I261" s="29"/>
    </row>
    <row r="262">
      <c r="I262" s="29"/>
    </row>
    <row r="263">
      <c r="I263" s="29"/>
    </row>
    <row r="264">
      <c r="I264" s="29"/>
    </row>
    <row r="265">
      <c r="I265" s="29"/>
    </row>
    <row r="266">
      <c r="I266" s="29"/>
    </row>
    <row r="267">
      <c r="I267" s="29"/>
    </row>
    <row r="268">
      <c r="I268" s="29"/>
    </row>
    <row r="269">
      <c r="I269" s="29"/>
    </row>
    <row r="270">
      <c r="I270" s="29"/>
    </row>
    <row r="271">
      <c r="I271" s="29"/>
    </row>
    <row r="272">
      <c r="I272" s="29"/>
    </row>
    <row r="273">
      <c r="I273" s="29"/>
    </row>
    <row r="274">
      <c r="I274" s="29"/>
    </row>
    <row r="275">
      <c r="I275" s="29"/>
    </row>
    <row r="276">
      <c r="I276" s="29"/>
    </row>
    <row r="277">
      <c r="I277" s="29"/>
    </row>
    <row r="278">
      <c r="I278" s="29"/>
    </row>
    <row r="279">
      <c r="I279" s="29"/>
    </row>
    <row r="280">
      <c r="I280" s="29"/>
    </row>
    <row r="281">
      <c r="I281" s="29"/>
    </row>
    <row r="282">
      <c r="I282" s="29"/>
    </row>
    <row r="283">
      <c r="I283" s="29"/>
    </row>
    <row r="284">
      <c r="I284" s="29"/>
    </row>
    <row r="285">
      <c r="I285" s="29"/>
    </row>
    <row r="286">
      <c r="I286" s="29"/>
    </row>
    <row r="287">
      <c r="I287" s="29"/>
    </row>
    <row r="288">
      <c r="I288" s="29"/>
    </row>
    <row r="289">
      <c r="I289" s="29"/>
    </row>
    <row r="290">
      <c r="I290" s="29"/>
    </row>
    <row r="291">
      <c r="I291" s="29"/>
    </row>
    <row r="292">
      <c r="I292" s="29"/>
    </row>
    <row r="293">
      <c r="I293" s="29"/>
    </row>
    <row r="294">
      <c r="I294" s="29"/>
    </row>
    <row r="295">
      <c r="I295" s="29"/>
    </row>
    <row r="296">
      <c r="I296" s="29"/>
    </row>
    <row r="297">
      <c r="I297" s="29"/>
    </row>
    <row r="298">
      <c r="I298" s="29"/>
    </row>
    <row r="299">
      <c r="I299" s="29"/>
    </row>
    <row r="300">
      <c r="I300" s="29"/>
    </row>
    <row r="301">
      <c r="I301" s="29"/>
    </row>
    <row r="302">
      <c r="I302" s="29"/>
    </row>
    <row r="303">
      <c r="I303" s="29"/>
    </row>
    <row r="304">
      <c r="I304" s="29"/>
    </row>
    <row r="305">
      <c r="I305" s="29"/>
    </row>
    <row r="306">
      <c r="I306" s="29"/>
    </row>
    <row r="307">
      <c r="I307" s="29"/>
    </row>
    <row r="308">
      <c r="I308" s="29"/>
    </row>
    <row r="309">
      <c r="I309" s="29"/>
    </row>
    <row r="310">
      <c r="I310" s="29"/>
    </row>
    <row r="311">
      <c r="I311" s="29"/>
    </row>
    <row r="312">
      <c r="I312" s="29"/>
    </row>
    <row r="313">
      <c r="I313" s="29"/>
    </row>
    <row r="314">
      <c r="I314" s="29"/>
    </row>
    <row r="315">
      <c r="I315" s="29"/>
    </row>
    <row r="316">
      <c r="I316" s="29"/>
    </row>
    <row r="317">
      <c r="I317" s="29"/>
    </row>
    <row r="318">
      <c r="I318" s="29"/>
    </row>
    <row r="319">
      <c r="I319" s="29"/>
    </row>
    <row r="320">
      <c r="I320" s="29"/>
    </row>
    <row r="321">
      <c r="I321" s="29"/>
    </row>
    <row r="322">
      <c r="I322" s="29"/>
    </row>
    <row r="323">
      <c r="I323" s="29"/>
    </row>
    <row r="324">
      <c r="I324" s="29"/>
    </row>
    <row r="325">
      <c r="I325" s="29"/>
    </row>
    <row r="326">
      <c r="I326" s="29"/>
    </row>
    <row r="327">
      <c r="I327" s="29"/>
    </row>
    <row r="328">
      <c r="I328" s="29"/>
    </row>
    <row r="329">
      <c r="I329" s="29"/>
    </row>
    <row r="330">
      <c r="I330" s="29"/>
    </row>
    <row r="331">
      <c r="I331" s="29"/>
    </row>
    <row r="332">
      <c r="I332" s="29"/>
    </row>
    <row r="333">
      <c r="I333" s="29"/>
    </row>
    <row r="334">
      <c r="I334" s="29"/>
    </row>
    <row r="335">
      <c r="I335" s="29"/>
    </row>
    <row r="336">
      <c r="I336" s="29"/>
    </row>
    <row r="337">
      <c r="I337" s="29"/>
    </row>
    <row r="338">
      <c r="I338" s="29"/>
    </row>
    <row r="339">
      <c r="I339" s="29"/>
    </row>
    <row r="340">
      <c r="I340" s="29"/>
    </row>
    <row r="341">
      <c r="I341" s="29"/>
    </row>
    <row r="342">
      <c r="I342" s="29"/>
    </row>
    <row r="343">
      <c r="I343" s="29"/>
    </row>
    <row r="344">
      <c r="I344" s="29"/>
    </row>
    <row r="345">
      <c r="I345" s="29"/>
    </row>
    <row r="346">
      <c r="I346" s="29"/>
    </row>
    <row r="347">
      <c r="I347" s="29"/>
    </row>
    <row r="348">
      <c r="I348" s="29"/>
    </row>
    <row r="349">
      <c r="I349" s="29"/>
    </row>
    <row r="350">
      <c r="I350" s="29"/>
    </row>
    <row r="351">
      <c r="I351" s="29"/>
    </row>
    <row r="352">
      <c r="I352" s="29"/>
    </row>
    <row r="353">
      <c r="I353" s="29"/>
    </row>
    <row r="354">
      <c r="I354" s="29"/>
    </row>
    <row r="355">
      <c r="I355" s="29"/>
    </row>
    <row r="356">
      <c r="I356" s="29"/>
    </row>
    <row r="357">
      <c r="I357" s="29"/>
    </row>
    <row r="358">
      <c r="I358" s="29"/>
    </row>
    <row r="359">
      <c r="I359" s="29"/>
    </row>
    <row r="360">
      <c r="I360" s="29"/>
    </row>
    <row r="361">
      <c r="I361" s="29"/>
    </row>
    <row r="362">
      <c r="I362" s="29"/>
    </row>
    <row r="363">
      <c r="I363" s="29"/>
    </row>
    <row r="364">
      <c r="I364" s="29"/>
    </row>
    <row r="365">
      <c r="I365" s="29"/>
    </row>
    <row r="366">
      <c r="I366" s="29"/>
    </row>
    <row r="367">
      <c r="I367" s="29"/>
    </row>
    <row r="368">
      <c r="I368" s="29"/>
    </row>
    <row r="369">
      <c r="I369" s="29"/>
    </row>
    <row r="370">
      <c r="I370" s="29"/>
    </row>
    <row r="371">
      <c r="I371" s="29"/>
    </row>
    <row r="372">
      <c r="I372" s="29"/>
    </row>
    <row r="373">
      <c r="I373" s="29"/>
    </row>
    <row r="374">
      <c r="I374" s="29"/>
    </row>
    <row r="375">
      <c r="I375" s="29"/>
    </row>
    <row r="376">
      <c r="I376" s="29"/>
    </row>
    <row r="377">
      <c r="I377" s="29"/>
    </row>
    <row r="378">
      <c r="I378" s="29"/>
    </row>
    <row r="379">
      <c r="I379" s="29"/>
    </row>
    <row r="380">
      <c r="I380" s="29"/>
    </row>
    <row r="381">
      <c r="I381" s="29"/>
    </row>
    <row r="382">
      <c r="I382" s="29"/>
    </row>
    <row r="383">
      <c r="I383" s="29"/>
    </row>
    <row r="384">
      <c r="I384" s="29"/>
    </row>
    <row r="385">
      <c r="I385" s="29"/>
    </row>
    <row r="386">
      <c r="I386" s="29"/>
    </row>
    <row r="387">
      <c r="I387" s="29"/>
    </row>
    <row r="388">
      <c r="I388" s="29"/>
    </row>
    <row r="389">
      <c r="I389" s="29"/>
    </row>
    <row r="390">
      <c r="I390" s="29"/>
    </row>
    <row r="391">
      <c r="I391" s="29"/>
    </row>
    <row r="392">
      <c r="I392" s="29"/>
    </row>
    <row r="393">
      <c r="I393" s="29"/>
    </row>
    <row r="394">
      <c r="I394" s="29"/>
    </row>
    <row r="395">
      <c r="I395" s="29"/>
    </row>
    <row r="396">
      <c r="I396" s="29"/>
    </row>
    <row r="397">
      <c r="I397" s="29"/>
    </row>
    <row r="398">
      <c r="I398" s="29"/>
    </row>
    <row r="399">
      <c r="I399" s="29"/>
    </row>
    <row r="400">
      <c r="I400" s="29"/>
    </row>
    <row r="401">
      <c r="I401" s="29"/>
    </row>
    <row r="402">
      <c r="I402" s="29"/>
    </row>
    <row r="403">
      <c r="I403" s="29"/>
    </row>
    <row r="404">
      <c r="I404" s="29"/>
    </row>
    <row r="405">
      <c r="I405" s="29"/>
    </row>
    <row r="406">
      <c r="I406" s="29"/>
    </row>
    <row r="407">
      <c r="I407" s="29"/>
    </row>
    <row r="408">
      <c r="I408" s="29"/>
    </row>
    <row r="409">
      <c r="I409" s="29"/>
    </row>
    <row r="410">
      <c r="I410" s="29"/>
    </row>
    <row r="411">
      <c r="I411" s="29"/>
    </row>
    <row r="412">
      <c r="I412" s="29"/>
    </row>
    <row r="413">
      <c r="I413" s="29"/>
    </row>
    <row r="414">
      <c r="I414" s="29"/>
    </row>
    <row r="415">
      <c r="I415" s="29"/>
    </row>
    <row r="416">
      <c r="I416" s="29"/>
    </row>
    <row r="417">
      <c r="I417" s="29"/>
    </row>
    <row r="418">
      <c r="I418" s="29"/>
    </row>
    <row r="419">
      <c r="I419" s="29"/>
    </row>
    <row r="420">
      <c r="I420" s="29"/>
    </row>
    <row r="421">
      <c r="I421" s="29"/>
    </row>
    <row r="422">
      <c r="I422" s="29"/>
    </row>
    <row r="423">
      <c r="I423" s="29"/>
    </row>
    <row r="424">
      <c r="I424" s="29"/>
    </row>
    <row r="425">
      <c r="I425" s="29"/>
    </row>
    <row r="426">
      <c r="I426" s="29"/>
    </row>
    <row r="427">
      <c r="I427" s="29"/>
    </row>
    <row r="428">
      <c r="I428" s="29"/>
    </row>
    <row r="429">
      <c r="I429" s="29"/>
    </row>
    <row r="430">
      <c r="I430" s="29"/>
    </row>
    <row r="431">
      <c r="I431" s="29"/>
    </row>
    <row r="432">
      <c r="I432" s="29"/>
    </row>
    <row r="433">
      <c r="I433" s="29"/>
    </row>
    <row r="434">
      <c r="I434" s="29"/>
    </row>
    <row r="435">
      <c r="I435" s="29"/>
    </row>
    <row r="436">
      <c r="I436" s="29"/>
    </row>
    <row r="437">
      <c r="I437" s="29"/>
    </row>
    <row r="438">
      <c r="I438" s="29"/>
    </row>
    <row r="439">
      <c r="I439" s="29"/>
    </row>
    <row r="440">
      <c r="I440" s="29"/>
    </row>
    <row r="441">
      <c r="I441" s="29"/>
    </row>
    <row r="442">
      <c r="I442" s="29"/>
    </row>
    <row r="443">
      <c r="I443" s="29"/>
    </row>
    <row r="444">
      <c r="I444" s="29"/>
    </row>
    <row r="445">
      <c r="I445" s="29"/>
    </row>
    <row r="446">
      <c r="I446" s="29"/>
    </row>
    <row r="447">
      <c r="I447" s="29"/>
    </row>
    <row r="448">
      <c r="I448" s="29"/>
    </row>
    <row r="449">
      <c r="I449" s="29"/>
    </row>
    <row r="450">
      <c r="I450" s="29"/>
    </row>
    <row r="451">
      <c r="I451" s="29"/>
    </row>
    <row r="452">
      <c r="I452" s="29"/>
    </row>
    <row r="453">
      <c r="I453" s="29"/>
    </row>
    <row r="454">
      <c r="I454" s="29"/>
    </row>
    <row r="455">
      <c r="I455" s="29"/>
    </row>
    <row r="456">
      <c r="I456" s="29"/>
    </row>
    <row r="457">
      <c r="I457" s="29"/>
    </row>
    <row r="458">
      <c r="I458" s="29"/>
    </row>
    <row r="459">
      <c r="I459" s="29"/>
    </row>
    <row r="460">
      <c r="I460" s="29"/>
    </row>
    <row r="461">
      <c r="I461" s="29"/>
    </row>
    <row r="462">
      <c r="I462" s="29"/>
    </row>
    <row r="463">
      <c r="I463" s="29"/>
    </row>
    <row r="464">
      <c r="I464" s="29"/>
    </row>
    <row r="465">
      <c r="I465" s="29"/>
    </row>
    <row r="466">
      <c r="I466" s="29"/>
    </row>
    <row r="467">
      <c r="I467" s="29"/>
    </row>
    <row r="468">
      <c r="I468" s="29"/>
    </row>
    <row r="469">
      <c r="I469" s="29"/>
    </row>
    <row r="470">
      <c r="I470" s="29"/>
    </row>
    <row r="471">
      <c r="I471" s="29"/>
    </row>
    <row r="472">
      <c r="I472" s="29"/>
    </row>
    <row r="473">
      <c r="I473" s="29"/>
    </row>
    <row r="474">
      <c r="I474" s="29"/>
    </row>
    <row r="475">
      <c r="I475" s="29"/>
    </row>
    <row r="476">
      <c r="I476" s="29"/>
    </row>
    <row r="477">
      <c r="I477" s="29"/>
    </row>
    <row r="478">
      <c r="I478" s="29"/>
    </row>
    <row r="479">
      <c r="I479" s="29"/>
    </row>
    <row r="480">
      <c r="I480" s="29"/>
    </row>
    <row r="481">
      <c r="I481" s="29"/>
    </row>
    <row r="482">
      <c r="I482" s="29"/>
    </row>
    <row r="483">
      <c r="I483" s="29"/>
    </row>
    <row r="484">
      <c r="I484" s="29"/>
    </row>
    <row r="485">
      <c r="I485" s="29"/>
    </row>
    <row r="486">
      <c r="I486" s="29"/>
    </row>
    <row r="487">
      <c r="I487" s="29"/>
    </row>
    <row r="488">
      <c r="I488" s="29"/>
    </row>
    <row r="489">
      <c r="I489" s="29"/>
    </row>
    <row r="490">
      <c r="I490" s="29"/>
    </row>
    <row r="491">
      <c r="I491" s="29"/>
    </row>
    <row r="492">
      <c r="I492" s="29"/>
    </row>
    <row r="493">
      <c r="I493" s="29"/>
    </row>
    <row r="494">
      <c r="I494" s="29"/>
    </row>
    <row r="495">
      <c r="I495" s="29"/>
    </row>
    <row r="496">
      <c r="I496" s="29"/>
    </row>
    <row r="497">
      <c r="I497" s="29"/>
    </row>
    <row r="498">
      <c r="I498" s="29"/>
    </row>
    <row r="499">
      <c r="I499" s="29"/>
    </row>
    <row r="500">
      <c r="I500" s="29"/>
    </row>
    <row r="501">
      <c r="I501" s="29"/>
    </row>
    <row r="502">
      <c r="I502" s="29"/>
    </row>
    <row r="503">
      <c r="I503" s="29"/>
    </row>
    <row r="504">
      <c r="I504" s="29"/>
    </row>
    <row r="505">
      <c r="I505" s="29"/>
    </row>
    <row r="506">
      <c r="I506" s="29"/>
    </row>
    <row r="507">
      <c r="I507" s="29"/>
    </row>
    <row r="508">
      <c r="I508" s="29"/>
    </row>
    <row r="509">
      <c r="I509" s="29"/>
    </row>
    <row r="510">
      <c r="I510" s="29"/>
    </row>
    <row r="511">
      <c r="I511" s="29"/>
    </row>
    <row r="512">
      <c r="I512" s="29"/>
    </row>
    <row r="513">
      <c r="I513" s="29"/>
    </row>
    <row r="514">
      <c r="I514" s="29"/>
    </row>
    <row r="515">
      <c r="I515" s="29"/>
    </row>
    <row r="516">
      <c r="I516" s="29"/>
    </row>
    <row r="517">
      <c r="I517" s="29"/>
    </row>
    <row r="518">
      <c r="I518" s="29"/>
    </row>
    <row r="519">
      <c r="I519" s="29"/>
    </row>
    <row r="520">
      <c r="I520" s="29"/>
    </row>
    <row r="521">
      <c r="I521" s="29"/>
    </row>
    <row r="522">
      <c r="I522" s="29"/>
    </row>
    <row r="523">
      <c r="I523" s="29"/>
    </row>
    <row r="524">
      <c r="I524" s="29"/>
    </row>
    <row r="525">
      <c r="I525" s="29"/>
    </row>
    <row r="526">
      <c r="I526" s="29"/>
    </row>
    <row r="527">
      <c r="I527" s="29"/>
    </row>
    <row r="528">
      <c r="I528" s="29"/>
    </row>
    <row r="529">
      <c r="I529" s="29"/>
    </row>
    <row r="530">
      <c r="I530" s="29"/>
    </row>
    <row r="531">
      <c r="I531" s="29"/>
    </row>
    <row r="532">
      <c r="I532" s="29"/>
    </row>
    <row r="533">
      <c r="I533" s="29"/>
    </row>
    <row r="534">
      <c r="I534" s="29"/>
    </row>
    <row r="535">
      <c r="I535" s="29"/>
    </row>
    <row r="536">
      <c r="I536" s="29"/>
    </row>
    <row r="537">
      <c r="I537" s="29"/>
    </row>
    <row r="538">
      <c r="I538" s="29"/>
    </row>
    <row r="539">
      <c r="I539" s="29"/>
    </row>
    <row r="540">
      <c r="I540" s="29"/>
    </row>
    <row r="541">
      <c r="I541" s="29"/>
    </row>
    <row r="542">
      <c r="I542" s="29"/>
    </row>
    <row r="543">
      <c r="I543" s="29"/>
    </row>
    <row r="544">
      <c r="I544" s="29"/>
    </row>
    <row r="545">
      <c r="I545" s="29"/>
    </row>
    <row r="546">
      <c r="I546" s="29"/>
    </row>
    <row r="547">
      <c r="I547" s="29"/>
    </row>
    <row r="548">
      <c r="I548" s="29"/>
    </row>
    <row r="549">
      <c r="I549" s="29"/>
    </row>
    <row r="550">
      <c r="I550" s="29"/>
    </row>
    <row r="551">
      <c r="I551" s="29"/>
    </row>
    <row r="552">
      <c r="I552" s="29"/>
    </row>
    <row r="553">
      <c r="I553" s="29"/>
    </row>
    <row r="554">
      <c r="I554" s="29"/>
    </row>
    <row r="555">
      <c r="I555" s="29"/>
    </row>
    <row r="556">
      <c r="I556" s="29"/>
    </row>
    <row r="557">
      <c r="I557" s="29"/>
    </row>
    <row r="558">
      <c r="I558" s="29"/>
    </row>
    <row r="559">
      <c r="I559" s="29"/>
    </row>
    <row r="560">
      <c r="I560" s="29"/>
    </row>
    <row r="561">
      <c r="I561" s="29"/>
    </row>
    <row r="562">
      <c r="I562" s="29"/>
    </row>
    <row r="563">
      <c r="I563" s="29"/>
    </row>
    <row r="564">
      <c r="I564" s="29"/>
    </row>
    <row r="565">
      <c r="I565" s="29"/>
    </row>
    <row r="566">
      <c r="I566" s="29"/>
    </row>
    <row r="567">
      <c r="I567" s="29"/>
    </row>
    <row r="568">
      <c r="I568" s="29"/>
    </row>
    <row r="569">
      <c r="I569" s="29"/>
    </row>
    <row r="570">
      <c r="I570" s="29"/>
    </row>
    <row r="571">
      <c r="I571" s="29"/>
    </row>
    <row r="572">
      <c r="I572" s="29"/>
    </row>
    <row r="573">
      <c r="I573" s="29"/>
    </row>
    <row r="574">
      <c r="I574" s="29"/>
    </row>
    <row r="575">
      <c r="I575" s="29"/>
    </row>
    <row r="576">
      <c r="I576" s="29"/>
    </row>
    <row r="577">
      <c r="I577" s="29"/>
    </row>
    <row r="578">
      <c r="I578" s="29"/>
    </row>
    <row r="579">
      <c r="I579" s="29"/>
    </row>
    <row r="580">
      <c r="I580" s="29"/>
    </row>
    <row r="581">
      <c r="I581" s="29"/>
    </row>
    <row r="582">
      <c r="I582" s="29"/>
    </row>
    <row r="583">
      <c r="I583" s="29"/>
    </row>
    <row r="584">
      <c r="I584" s="29"/>
    </row>
    <row r="585">
      <c r="I585" s="29"/>
    </row>
    <row r="586">
      <c r="I586" s="29"/>
    </row>
    <row r="587">
      <c r="I587" s="29"/>
    </row>
    <row r="588">
      <c r="I588" s="29"/>
    </row>
    <row r="589">
      <c r="I589" s="29"/>
    </row>
    <row r="590">
      <c r="I590" s="29"/>
    </row>
    <row r="591">
      <c r="I591" s="29"/>
    </row>
    <row r="592">
      <c r="I592" s="29"/>
    </row>
    <row r="593">
      <c r="I593" s="29"/>
    </row>
    <row r="594">
      <c r="I594" s="29"/>
    </row>
    <row r="595">
      <c r="I595" s="29"/>
    </row>
    <row r="596">
      <c r="I596" s="29"/>
    </row>
    <row r="597">
      <c r="I597" s="29"/>
    </row>
    <row r="598">
      <c r="I598" s="29"/>
    </row>
    <row r="599">
      <c r="I599" s="29"/>
    </row>
    <row r="600">
      <c r="I600" s="29"/>
    </row>
    <row r="601">
      <c r="I601" s="29"/>
    </row>
    <row r="602">
      <c r="I602" s="29"/>
    </row>
    <row r="603">
      <c r="I603" s="29"/>
    </row>
    <row r="604">
      <c r="I604" s="29"/>
    </row>
    <row r="605">
      <c r="I605" s="29"/>
    </row>
    <row r="606">
      <c r="I606" s="29"/>
    </row>
    <row r="607">
      <c r="I607" s="29"/>
    </row>
    <row r="608">
      <c r="I608" s="29"/>
    </row>
    <row r="609">
      <c r="I609" s="29"/>
    </row>
    <row r="610">
      <c r="I610" s="29"/>
    </row>
    <row r="611">
      <c r="I611" s="29"/>
    </row>
    <row r="612">
      <c r="I612" s="29"/>
    </row>
    <row r="613">
      <c r="I613" s="29"/>
    </row>
    <row r="614">
      <c r="I614" s="29"/>
    </row>
    <row r="615">
      <c r="I615" s="29"/>
    </row>
    <row r="616">
      <c r="I616" s="29"/>
    </row>
    <row r="617">
      <c r="I617" s="29"/>
    </row>
    <row r="618">
      <c r="I618" s="29"/>
    </row>
    <row r="619">
      <c r="I619" s="29"/>
    </row>
    <row r="620">
      <c r="I620" s="29"/>
    </row>
    <row r="621">
      <c r="I621" s="29"/>
    </row>
    <row r="622">
      <c r="I622" s="29"/>
    </row>
    <row r="623">
      <c r="I623" s="29"/>
    </row>
    <row r="624">
      <c r="I624" s="29"/>
    </row>
    <row r="625">
      <c r="I625" s="29"/>
    </row>
    <row r="626">
      <c r="I626" s="29"/>
    </row>
    <row r="627">
      <c r="I627" s="29"/>
    </row>
    <row r="628">
      <c r="I628" s="29"/>
    </row>
    <row r="629">
      <c r="I629" s="29"/>
    </row>
    <row r="630">
      <c r="I630" s="29"/>
    </row>
    <row r="631">
      <c r="I631" s="29"/>
    </row>
    <row r="632">
      <c r="I632" s="29"/>
    </row>
    <row r="633">
      <c r="I633" s="29"/>
    </row>
    <row r="634">
      <c r="I634" s="29"/>
    </row>
    <row r="635">
      <c r="I635" s="29"/>
    </row>
    <row r="636">
      <c r="I636" s="29"/>
    </row>
    <row r="637">
      <c r="I637" s="29"/>
    </row>
    <row r="638">
      <c r="I638" s="29"/>
    </row>
    <row r="639">
      <c r="I639" s="29"/>
    </row>
    <row r="640">
      <c r="I640" s="29"/>
    </row>
    <row r="641">
      <c r="I641" s="29"/>
    </row>
    <row r="642">
      <c r="I642" s="29"/>
    </row>
    <row r="643">
      <c r="I643" s="29"/>
    </row>
    <row r="644">
      <c r="I644" s="29"/>
    </row>
    <row r="645">
      <c r="I645" s="29"/>
    </row>
    <row r="646">
      <c r="I646" s="29"/>
    </row>
    <row r="647">
      <c r="I647" s="29"/>
    </row>
    <row r="648">
      <c r="I648" s="29"/>
    </row>
    <row r="649">
      <c r="I649" s="29"/>
    </row>
    <row r="650">
      <c r="I650" s="29"/>
    </row>
    <row r="651">
      <c r="I651" s="29"/>
    </row>
    <row r="652">
      <c r="I652" s="29"/>
    </row>
    <row r="653">
      <c r="I653" s="29"/>
    </row>
    <row r="654">
      <c r="I654" s="29"/>
    </row>
    <row r="655">
      <c r="I655" s="29"/>
    </row>
    <row r="656">
      <c r="I656" s="29"/>
    </row>
    <row r="657">
      <c r="I657" s="29"/>
    </row>
    <row r="658">
      <c r="I658" s="29"/>
    </row>
    <row r="659">
      <c r="I659" s="29"/>
    </row>
    <row r="660">
      <c r="I660" s="29"/>
    </row>
    <row r="661">
      <c r="I661" s="29"/>
    </row>
    <row r="662">
      <c r="I662" s="29"/>
    </row>
    <row r="663">
      <c r="I663" s="29"/>
    </row>
    <row r="664">
      <c r="I664" s="29"/>
    </row>
    <row r="665">
      <c r="I665" s="29"/>
    </row>
    <row r="666">
      <c r="I666" s="29"/>
    </row>
    <row r="667">
      <c r="I667" s="29"/>
    </row>
    <row r="668">
      <c r="I668" s="29"/>
    </row>
    <row r="669">
      <c r="I669" s="29"/>
    </row>
    <row r="670">
      <c r="I670" s="29"/>
    </row>
    <row r="671">
      <c r="I671" s="29"/>
    </row>
    <row r="672">
      <c r="I672" s="29"/>
    </row>
    <row r="673">
      <c r="I673" s="29"/>
    </row>
    <row r="674">
      <c r="I674" s="29"/>
    </row>
    <row r="675">
      <c r="I675" s="29"/>
    </row>
    <row r="676">
      <c r="I676" s="29"/>
    </row>
    <row r="677">
      <c r="I677" s="29"/>
    </row>
    <row r="678">
      <c r="I678" s="29"/>
    </row>
    <row r="679">
      <c r="I679" s="29"/>
    </row>
    <row r="680">
      <c r="I680" s="29"/>
    </row>
    <row r="681">
      <c r="I681" s="29"/>
    </row>
    <row r="682">
      <c r="I682" s="29"/>
    </row>
    <row r="683">
      <c r="I683" s="29"/>
    </row>
    <row r="684">
      <c r="I684" s="29"/>
    </row>
    <row r="685">
      <c r="I685" s="29"/>
    </row>
    <row r="686">
      <c r="I686" s="29"/>
    </row>
    <row r="687">
      <c r="I687" s="29"/>
    </row>
    <row r="688">
      <c r="I688" s="29"/>
    </row>
    <row r="689">
      <c r="I689" s="29"/>
    </row>
    <row r="690">
      <c r="I690" s="29"/>
    </row>
    <row r="691">
      <c r="I691" s="29"/>
    </row>
    <row r="692">
      <c r="I692" s="29"/>
    </row>
    <row r="693">
      <c r="I693" s="29"/>
    </row>
    <row r="694">
      <c r="I694" s="29"/>
    </row>
    <row r="695">
      <c r="I695" s="29"/>
    </row>
    <row r="696">
      <c r="I696" s="29"/>
    </row>
    <row r="697">
      <c r="I697" s="29"/>
    </row>
    <row r="698">
      <c r="I698" s="29"/>
    </row>
    <row r="699">
      <c r="I699" s="29"/>
    </row>
    <row r="700">
      <c r="I700" s="29"/>
    </row>
    <row r="701">
      <c r="I701" s="29"/>
    </row>
    <row r="702">
      <c r="I702" s="29"/>
    </row>
    <row r="703">
      <c r="I703" s="29"/>
    </row>
    <row r="704">
      <c r="I704" s="29"/>
    </row>
    <row r="705">
      <c r="I705" s="29"/>
    </row>
    <row r="706">
      <c r="I706" s="29"/>
    </row>
    <row r="707">
      <c r="I707" s="29"/>
    </row>
    <row r="708">
      <c r="I708" s="29"/>
    </row>
    <row r="709">
      <c r="I709" s="29"/>
    </row>
    <row r="710">
      <c r="I710" s="29"/>
    </row>
    <row r="711">
      <c r="I711" s="29"/>
    </row>
    <row r="712">
      <c r="I712" s="29"/>
    </row>
    <row r="713">
      <c r="I713" s="29"/>
    </row>
    <row r="714">
      <c r="I714" s="29"/>
    </row>
    <row r="715">
      <c r="I715" s="29"/>
    </row>
    <row r="716">
      <c r="I716" s="29"/>
    </row>
    <row r="717">
      <c r="I717" s="29"/>
    </row>
    <row r="718">
      <c r="I718" s="29"/>
    </row>
    <row r="719">
      <c r="I719" s="29"/>
    </row>
    <row r="720">
      <c r="I720" s="29"/>
    </row>
    <row r="721">
      <c r="I721" s="29"/>
    </row>
    <row r="722">
      <c r="I722" s="29"/>
    </row>
    <row r="723">
      <c r="I723" s="29"/>
    </row>
    <row r="724">
      <c r="I724" s="29"/>
    </row>
    <row r="725">
      <c r="I725" s="29"/>
    </row>
    <row r="726">
      <c r="I726" s="29"/>
    </row>
    <row r="727">
      <c r="I727" s="29"/>
    </row>
    <row r="728">
      <c r="I728" s="29"/>
    </row>
    <row r="729">
      <c r="I729" s="29"/>
    </row>
    <row r="730">
      <c r="I730" s="29"/>
    </row>
    <row r="731">
      <c r="I731" s="29"/>
    </row>
    <row r="732">
      <c r="I732" s="29"/>
    </row>
    <row r="733">
      <c r="I733" s="29"/>
    </row>
    <row r="734">
      <c r="I734" s="29"/>
    </row>
    <row r="735">
      <c r="I735" s="29"/>
    </row>
    <row r="736">
      <c r="I736" s="29"/>
    </row>
    <row r="737">
      <c r="I737" s="29"/>
    </row>
    <row r="738">
      <c r="I738" s="29"/>
    </row>
    <row r="739">
      <c r="I739" s="29"/>
    </row>
    <row r="740">
      <c r="I740" s="29"/>
    </row>
    <row r="741">
      <c r="I741" s="29"/>
    </row>
    <row r="742">
      <c r="I742" s="29"/>
    </row>
    <row r="743">
      <c r="I743" s="29"/>
    </row>
    <row r="744">
      <c r="I744" s="29"/>
    </row>
    <row r="745">
      <c r="I745" s="29"/>
    </row>
    <row r="746">
      <c r="I746" s="29"/>
    </row>
    <row r="747">
      <c r="I747" s="29"/>
    </row>
    <row r="748">
      <c r="I748" s="29"/>
    </row>
    <row r="749">
      <c r="I749" s="29"/>
    </row>
    <row r="750">
      <c r="I750" s="29"/>
    </row>
    <row r="751">
      <c r="I751" s="29"/>
    </row>
    <row r="752">
      <c r="I752" s="29"/>
    </row>
    <row r="753">
      <c r="I753" s="29"/>
    </row>
    <row r="754">
      <c r="I754" s="29"/>
    </row>
    <row r="755">
      <c r="I755" s="29"/>
    </row>
    <row r="756">
      <c r="I756" s="29"/>
    </row>
    <row r="757">
      <c r="I757" s="29"/>
    </row>
    <row r="758">
      <c r="I758" s="29"/>
    </row>
    <row r="759">
      <c r="I759" s="29"/>
    </row>
    <row r="760">
      <c r="I760" s="29"/>
    </row>
    <row r="761">
      <c r="I761" s="29"/>
    </row>
    <row r="762">
      <c r="I762" s="29"/>
    </row>
    <row r="763">
      <c r="I763" s="29"/>
    </row>
    <row r="764">
      <c r="I764" s="29"/>
    </row>
    <row r="765">
      <c r="I765" s="29"/>
    </row>
    <row r="766">
      <c r="I766" s="29"/>
    </row>
    <row r="767">
      <c r="I767" s="29"/>
    </row>
    <row r="768">
      <c r="I768" s="29"/>
    </row>
    <row r="769">
      <c r="I769" s="29"/>
    </row>
    <row r="770">
      <c r="I770" s="29"/>
    </row>
    <row r="771">
      <c r="I771" s="29"/>
    </row>
    <row r="772">
      <c r="I772" s="29"/>
    </row>
    <row r="773">
      <c r="I773" s="29"/>
    </row>
    <row r="774">
      <c r="I774" s="29"/>
    </row>
    <row r="775">
      <c r="I775" s="29"/>
    </row>
    <row r="776">
      <c r="I776" s="29"/>
    </row>
    <row r="777">
      <c r="I777" s="29"/>
    </row>
    <row r="778">
      <c r="I778" s="29"/>
    </row>
    <row r="779">
      <c r="I779" s="29"/>
    </row>
    <row r="780">
      <c r="I780" s="29"/>
    </row>
    <row r="781">
      <c r="I781" s="29"/>
    </row>
    <row r="782">
      <c r="I782" s="29"/>
    </row>
    <row r="783">
      <c r="I783" s="29"/>
    </row>
    <row r="784">
      <c r="I784" s="29"/>
    </row>
    <row r="785">
      <c r="I785" s="29"/>
    </row>
    <row r="786">
      <c r="I786" s="29"/>
    </row>
    <row r="787">
      <c r="I787" s="29"/>
    </row>
    <row r="788">
      <c r="I788" s="29"/>
    </row>
    <row r="789">
      <c r="I789" s="29"/>
    </row>
    <row r="790">
      <c r="I790" s="29"/>
    </row>
    <row r="791">
      <c r="I791" s="29"/>
    </row>
    <row r="792">
      <c r="I792" s="29"/>
    </row>
    <row r="793">
      <c r="I793" s="29"/>
    </row>
    <row r="794">
      <c r="I794" s="29"/>
    </row>
    <row r="795">
      <c r="I795" s="29"/>
    </row>
    <row r="796">
      <c r="I796" s="29"/>
    </row>
    <row r="797">
      <c r="I797" s="29"/>
    </row>
    <row r="798">
      <c r="I798" s="29"/>
    </row>
    <row r="799">
      <c r="I799" s="29"/>
    </row>
    <row r="800">
      <c r="I800" s="29"/>
    </row>
    <row r="801">
      <c r="I801" s="29"/>
    </row>
    <row r="802">
      <c r="I802" s="29"/>
    </row>
    <row r="803">
      <c r="I803" s="29"/>
    </row>
    <row r="804">
      <c r="I804" s="29"/>
    </row>
    <row r="805">
      <c r="I805" s="29"/>
    </row>
    <row r="806">
      <c r="I806" s="29"/>
    </row>
    <row r="807">
      <c r="I807" s="29"/>
    </row>
    <row r="808">
      <c r="I808" s="29"/>
    </row>
    <row r="809">
      <c r="I809" s="29"/>
    </row>
    <row r="810">
      <c r="I810" s="29"/>
    </row>
    <row r="811">
      <c r="I811" s="29"/>
    </row>
    <row r="812">
      <c r="I812" s="29"/>
    </row>
    <row r="813">
      <c r="I813" s="29"/>
    </row>
    <row r="814">
      <c r="I814" s="29"/>
    </row>
    <row r="815">
      <c r="I815" s="29"/>
    </row>
    <row r="816">
      <c r="I816" s="29"/>
    </row>
    <row r="817">
      <c r="I817" s="29"/>
    </row>
    <row r="818">
      <c r="I818" s="29"/>
    </row>
    <row r="819">
      <c r="I819" s="29"/>
    </row>
    <row r="820">
      <c r="I820" s="29"/>
    </row>
    <row r="821">
      <c r="I821" s="29"/>
    </row>
    <row r="822">
      <c r="I822" s="29"/>
    </row>
    <row r="823">
      <c r="I823" s="29"/>
    </row>
    <row r="824">
      <c r="I824" s="29"/>
    </row>
    <row r="825">
      <c r="I825" s="29"/>
    </row>
    <row r="826">
      <c r="I826" s="29"/>
    </row>
    <row r="827">
      <c r="I827" s="29"/>
    </row>
    <row r="828">
      <c r="I828" s="29"/>
    </row>
    <row r="829">
      <c r="I829" s="29"/>
    </row>
    <row r="830">
      <c r="I830" s="29"/>
    </row>
    <row r="831">
      <c r="I831" s="29"/>
    </row>
    <row r="832">
      <c r="I832" s="29"/>
    </row>
    <row r="833">
      <c r="I833" s="29"/>
    </row>
    <row r="834">
      <c r="I834" s="29"/>
    </row>
    <row r="835">
      <c r="I835" s="29"/>
    </row>
    <row r="836">
      <c r="I836" s="29"/>
    </row>
    <row r="837">
      <c r="I837" s="29"/>
    </row>
    <row r="838">
      <c r="I838" s="29"/>
    </row>
    <row r="839">
      <c r="I839" s="29"/>
    </row>
    <row r="840">
      <c r="I840" s="29"/>
    </row>
    <row r="841">
      <c r="I841" s="29"/>
    </row>
    <row r="842">
      <c r="I842" s="29"/>
    </row>
    <row r="843">
      <c r="I843" s="29"/>
    </row>
    <row r="844">
      <c r="I844" s="29"/>
    </row>
    <row r="845">
      <c r="I845" s="29"/>
    </row>
    <row r="846">
      <c r="I846" s="29"/>
    </row>
    <row r="847">
      <c r="I847" s="29"/>
    </row>
    <row r="848">
      <c r="I848" s="29"/>
    </row>
    <row r="849">
      <c r="I849" s="29"/>
    </row>
    <row r="850">
      <c r="I850" s="29"/>
    </row>
    <row r="851">
      <c r="I851" s="29"/>
    </row>
    <row r="852">
      <c r="I852" s="29"/>
    </row>
    <row r="853">
      <c r="I853" s="29"/>
    </row>
    <row r="854">
      <c r="I854" s="29"/>
    </row>
    <row r="855">
      <c r="I855" s="29"/>
    </row>
    <row r="856">
      <c r="I856" s="29"/>
    </row>
    <row r="857">
      <c r="I857" s="29"/>
    </row>
    <row r="858">
      <c r="I858" s="29"/>
    </row>
    <row r="859">
      <c r="I859" s="29"/>
    </row>
    <row r="860">
      <c r="I860" s="29"/>
    </row>
    <row r="861">
      <c r="I861" s="29"/>
    </row>
    <row r="862">
      <c r="I862" s="29"/>
    </row>
    <row r="863">
      <c r="I863" s="29"/>
    </row>
    <row r="864">
      <c r="I864" s="29"/>
    </row>
    <row r="865">
      <c r="I865" s="29"/>
    </row>
    <row r="866">
      <c r="I866" s="29"/>
    </row>
    <row r="867">
      <c r="I867" s="29"/>
    </row>
    <row r="868">
      <c r="I868" s="29"/>
    </row>
    <row r="869">
      <c r="I869" s="29"/>
    </row>
    <row r="870">
      <c r="I870" s="29"/>
    </row>
    <row r="871">
      <c r="I871" s="29"/>
    </row>
    <row r="872">
      <c r="I872" s="29"/>
    </row>
    <row r="873">
      <c r="I873" s="29"/>
    </row>
    <row r="874">
      <c r="I874" s="29"/>
    </row>
    <row r="875">
      <c r="I875" s="29"/>
    </row>
    <row r="876">
      <c r="I876" s="29"/>
    </row>
    <row r="877">
      <c r="I877" s="29"/>
    </row>
    <row r="878">
      <c r="I878" s="29"/>
    </row>
    <row r="879">
      <c r="I879" s="29"/>
    </row>
    <row r="880">
      <c r="I880" s="29"/>
    </row>
    <row r="881">
      <c r="I881" s="29"/>
    </row>
    <row r="882">
      <c r="I882" s="29"/>
    </row>
    <row r="883">
      <c r="I883" s="29"/>
    </row>
    <row r="884">
      <c r="I884" s="29"/>
    </row>
    <row r="885">
      <c r="I885" s="29"/>
    </row>
    <row r="886">
      <c r="I886" s="29"/>
    </row>
    <row r="887">
      <c r="I887" s="29"/>
    </row>
    <row r="888">
      <c r="I888" s="29"/>
    </row>
    <row r="889">
      <c r="I889" s="29"/>
    </row>
    <row r="890">
      <c r="I890" s="29"/>
    </row>
    <row r="891">
      <c r="I891" s="29"/>
    </row>
    <row r="892">
      <c r="I892" s="29"/>
    </row>
    <row r="893">
      <c r="I893" s="29"/>
    </row>
    <row r="894">
      <c r="I894" s="29"/>
    </row>
    <row r="895">
      <c r="I895" s="29"/>
    </row>
    <row r="896">
      <c r="I896" s="29"/>
    </row>
    <row r="897">
      <c r="I897" s="29"/>
    </row>
    <row r="898">
      <c r="I898" s="29"/>
    </row>
    <row r="899">
      <c r="I899" s="29"/>
    </row>
    <row r="900">
      <c r="I900" s="29"/>
    </row>
    <row r="901">
      <c r="I901" s="29"/>
    </row>
    <row r="902">
      <c r="I902" s="29"/>
    </row>
    <row r="903">
      <c r="I903" s="29"/>
    </row>
    <row r="904">
      <c r="I904" s="29"/>
    </row>
    <row r="905">
      <c r="I905" s="29"/>
    </row>
    <row r="906">
      <c r="I906" s="29"/>
    </row>
    <row r="907">
      <c r="I907" s="29"/>
    </row>
    <row r="908">
      <c r="I908" s="29"/>
    </row>
    <row r="909">
      <c r="I909" s="29"/>
    </row>
    <row r="910">
      <c r="I910" s="29"/>
    </row>
    <row r="911">
      <c r="I911" s="29"/>
    </row>
    <row r="912">
      <c r="I912" s="29"/>
    </row>
    <row r="913">
      <c r="I913" s="29"/>
    </row>
    <row r="914">
      <c r="I914" s="29"/>
    </row>
    <row r="915">
      <c r="I915" s="29"/>
    </row>
    <row r="916">
      <c r="I916" s="29"/>
    </row>
    <row r="917">
      <c r="I917" s="29"/>
    </row>
    <row r="918">
      <c r="I918" s="29"/>
    </row>
    <row r="919">
      <c r="I919" s="29"/>
    </row>
    <row r="920">
      <c r="I920" s="29"/>
    </row>
    <row r="921">
      <c r="I921" s="29"/>
    </row>
    <row r="922">
      <c r="I922" s="29"/>
    </row>
    <row r="923">
      <c r="I923" s="29"/>
    </row>
    <row r="924">
      <c r="I924" s="29"/>
    </row>
    <row r="925">
      <c r="I925" s="29"/>
    </row>
    <row r="926">
      <c r="I926" s="29"/>
    </row>
    <row r="927">
      <c r="I927" s="29"/>
    </row>
    <row r="928">
      <c r="I928" s="29"/>
    </row>
    <row r="929">
      <c r="I929" s="29"/>
    </row>
    <row r="930">
      <c r="I930" s="29"/>
    </row>
    <row r="931">
      <c r="I931" s="29"/>
    </row>
    <row r="932">
      <c r="I932" s="29"/>
    </row>
    <row r="933">
      <c r="I933" s="29"/>
    </row>
    <row r="934">
      <c r="I934" s="29"/>
    </row>
    <row r="935">
      <c r="I935" s="29"/>
    </row>
    <row r="936">
      <c r="I936" s="29"/>
    </row>
    <row r="937">
      <c r="I937" s="29"/>
    </row>
    <row r="938">
      <c r="I938" s="29"/>
    </row>
    <row r="939">
      <c r="I939" s="29"/>
    </row>
    <row r="940">
      <c r="I940" s="29"/>
    </row>
    <row r="941">
      <c r="I941" s="29"/>
    </row>
    <row r="942">
      <c r="I942" s="29"/>
    </row>
    <row r="943">
      <c r="I943" s="29"/>
    </row>
    <row r="944">
      <c r="I944" s="29"/>
    </row>
    <row r="945">
      <c r="I945" s="29"/>
    </row>
    <row r="946">
      <c r="I946" s="29"/>
    </row>
    <row r="947">
      <c r="I947" s="29"/>
    </row>
    <row r="948">
      <c r="I948" s="29"/>
    </row>
    <row r="949">
      <c r="I949" s="29"/>
    </row>
    <row r="950">
      <c r="I950" s="29"/>
    </row>
    <row r="951">
      <c r="I951" s="29"/>
    </row>
    <row r="952">
      <c r="I952" s="29"/>
    </row>
    <row r="953">
      <c r="I953" s="29"/>
    </row>
    <row r="954">
      <c r="I954" s="29"/>
    </row>
    <row r="955">
      <c r="I955" s="29"/>
    </row>
    <row r="956">
      <c r="I956" s="29"/>
    </row>
    <row r="957">
      <c r="I957" s="29"/>
    </row>
    <row r="958">
      <c r="I958" s="29"/>
    </row>
    <row r="959">
      <c r="I959" s="29"/>
    </row>
    <row r="960">
      <c r="I960" s="29"/>
    </row>
    <row r="961">
      <c r="I961" s="29"/>
    </row>
    <row r="962">
      <c r="I962" s="29"/>
    </row>
    <row r="963">
      <c r="I963" s="29"/>
    </row>
    <row r="964">
      <c r="I964" s="29"/>
    </row>
    <row r="965">
      <c r="I965" s="29"/>
    </row>
    <row r="966">
      <c r="I966" s="29"/>
    </row>
    <row r="967">
      <c r="I967" s="29"/>
    </row>
    <row r="968">
      <c r="I968" s="29"/>
    </row>
    <row r="969">
      <c r="I969" s="29"/>
    </row>
    <row r="970">
      <c r="I970" s="29"/>
    </row>
    <row r="971">
      <c r="I971" s="29"/>
    </row>
    <row r="972">
      <c r="I972" s="29"/>
    </row>
    <row r="973">
      <c r="I973" s="29"/>
    </row>
    <row r="974">
      <c r="I974" s="29"/>
    </row>
    <row r="975">
      <c r="I975" s="29"/>
    </row>
    <row r="976">
      <c r="I976" s="29"/>
    </row>
    <row r="977">
      <c r="I977" s="29"/>
    </row>
    <row r="978">
      <c r="I978" s="29"/>
    </row>
    <row r="979">
      <c r="I979" s="29"/>
    </row>
    <row r="980">
      <c r="I980" s="29"/>
    </row>
    <row r="981">
      <c r="I981" s="29"/>
    </row>
    <row r="982">
      <c r="I982" s="29"/>
    </row>
    <row r="983">
      <c r="I983" s="29"/>
    </row>
    <row r="984">
      <c r="I984" s="29"/>
    </row>
    <row r="985">
      <c r="I985" s="29"/>
    </row>
    <row r="986">
      <c r="I986" s="29"/>
    </row>
    <row r="987">
      <c r="I987" s="29"/>
    </row>
    <row r="988">
      <c r="I988" s="29"/>
    </row>
    <row r="989">
      <c r="I989" s="29"/>
    </row>
    <row r="990">
      <c r="I990" s="29"/>
    </row>
    <row r="991">
      <c r="I991" s="29"/>
    </row>
    <row r="992">
      <c r="I992" s="29"/>
    </row>
    <row r="993">
      <c r="I993" s="29"/>
    </row>
    <row r="994">
      <c r="I994" s="29"/>
    </row>
    <row r="995">
      <c r="I995" s="29"/>
    </row>
    <row r="996">
      <c r="I996" s="29"/>
    </row>
    <row r="997">
      <c r="I997" s="29"/>
    </row>
    <row r="998">
      <c r="I998" s="29"/>
    </row>
    <row r="999">
      <c r="I999" s="29"/>
    </row>
    <row r="1000">
      <c r="I1000" s="29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0"/>
    <col customWidth="1" min="7" max="7" width="17.13"/>
    <col customWidth="1" min="8" max="8" width="16.38"/>
    <col customWidth="1" min="9" max="9" width="43.75"/>
    <col customWidth="1" min="11" max="11" width="18.38"/>
    <col customWidth="1" min="12" max="12" width="15.75"/>
    <col customWidth="1" min="14" max="14" width="13.88"/>
    <col customWidth="1" min="15" max="15" width="18.5"/>
    <col customWidth="1" min="16" max="16" width="21.75"/>
    <col customWidth="1" min="17" max="17" width="20.38"/>
    <col customWidth="1" min="21" max="21" width="23.38"/>
    <col customWidth="1" min="22" max="22" width="17.88"/>
    <col customWidth="1" min="23" max="23" width="37.5"/>
    <col customWidth="1" min="25" max="25" width="18.88"/>
    <col customWidth="1" min="26" max="26" width="22.5"/>
    <col customWidth="1" min="27" max="27" width="16.0"/>
    <col customWidth="1" min="28" max="28" width="18.13"/>
    <col customWidth="1" min="29" max="29" width="25.13"/>
    <col customWidth="1" min="30" max="30" width="16.25"/>
    <col customWidth="1" min="31" max="31" width="19.38"/>
    <col customWidth="1" min="32" max="32" width="17.13"/>
    <col customWidth="1" min="33" max="33" width="16.38"/>
    <col customWidth="1" min="34" max="35" width="16.0"/>
    <col customWidth="1" min="36" max="36" width="16.38"/>
    <col customWidth="1" min="37" max="37" width="18.13"/>
    <col customWidth="1" min="38" max="38" width="18.5"/>
    <col customWidth="1" min="39" max="39" width="22.0"/>
    <col customWidth="1" min="40" max="40" width="21.38"/>
    <col customWidth="1" min="41" max="41" width="15.63"/>
    <col customWidth="1" min="42" max="42" width="21.13"/>
    <col customWidth="1" min="43" max="43" width="16.25"/>
    <col customWidth="1" min="44" max="44" width="40.63"/>
    <col customWidth="1" min="45" max="50" width="16.25"/>
  </cols>
  <sheetData>
    <row r="1" ht="22.5" customHeight="1">
      <c r="A1" s="1" t="s">
        <v>4</v>
      </c>
      <c r="B1" s="1" t="s">
        <v>270</v>
      </c>
      <c r="C1" s="1" t="s">
        <v>271</v>
      </c>
      <c r="D1" s="1" t="s">
        <v>6</v>
      </c>
      <c r="E1" s="1" t="s">
        <v>10</v>
      </c>
      <c r="F1" s="1" t="s">
        <v>13</v>
      </c>
      <c r="G1" s="1" t="s">
        <v>18</v>
      </c>
      <c r="H1" s="1" t="s">
        <v>23</v>
      </c>
      <c r="I1" s="1" t="s">
        <v>29</v>
      </c>
      <c r="J1" s="1" t="s">
        <v>35</v>
      </c>
      <c r="K1" s="1" t="s">
        <v>41</v>
      </c>
      <c r="L1" s="1" t="s">
        <v>47</v>
      </c>
      <c r="M1" s="1" t="s">
        <v>53</v>
      </c>
      <c r="N1" s="1" t="s">
        <v>59</v>
      </c>
      <c r="O1" s="1" t="s">
        <v>65</v>
      </c>
      <c r="P1" s="1" t="s">
        <v>71</v>
      </c>
      <c r="Q1" s="1" t="s">
        <v>77</v>
      </c>
      <c r="R1" s="1" t="s">
        <v>83</v>
      </c>
      <c r="S1" s="1" t="s">
        <v>89</v>
      </c>
      <c r="T1" s="1" t="s">
        <v>95</v>
      </c>
      <c r="U1" s="1" t="s">
        <v>98</v>
      </c>
      <c r="V1" s="1" t="s">
        <v>101</v>
      </c>
      <c r="W1" s="1" t="s">
        <v>104</v>
      </c>
      <c r="X1" s="1" t="s">
        <v>108</v>
      </c>
      <c r="Y1" s="1" t="s">
        <v>113</v>
      </c>
      <c r="Z1" s="1" t="s">
        <v>118</v>
      </c>
      <c r="AA1" s="1" t="s">
        <v>123</v>
      </c>
      <c r="AB1" s="1" t="s">
        <v>129</v>
      </c>
      <c r="AC1" s="1" t="s">
        <v>135</v>
      </c>
      <c r="AD1" s="1" t="s">
        <v>140</v>
      </c>
      <c r="AE1" s="1" t="s">
        <v>143</v>
      </c>
      <c r="AF1" s="1" t="s">
        <v>146</v>
      </c>
      <c r="AG1" s="1" t="s">
        <v>149</v>
      </c>
      <c r="AH1" s="1" t="s">
        <v>272</v>
      </c>
      <c r="AI1" s="1" t="s">
        <v>152</v>
      </c>
      <c r="AJ1" s="1" t="s">
        <v>155</v>
      </c>
      <c r="AK1" s="1" t="s">
        <v>158</v>
      </c>
      <c r="AL1" s="1" t="s">
        <v>161</v>
      </c>
      <c r="AM1" s="1" t="s">
        <v>164</v>
      </c>
      <c r="AN1" s="1" t="s">
        <v>167</v>
      </c>
      <c r="AO1" s="1" t="s">
        <v>170</v>
      </c>
      <c r="AP1" s="1" t="s">
        <v>173</v>
      </c>
      <c r="AQ1" s="1" t="s">
        <v>176</v>
      </c>
      <c r="AR1" s="32" t="s">
        <v>179</v>
      </c>
      <c r="AS1" s="33" t="s">
        <v>273</v>
      </c>
      <c r="AT1" s="32" t="s">
        <v>181</v>
      </c>
      <c r="AU1" s="32" t="s">
        <v>183</v>
      </c>
      <c r="AV1" s="34" t="s">
        <v>274</v>
      </c>
      <c r="AW1" s="35" t="s">
        <v>275</v>
      </c>
      <c r="AX1" s="34" t="s">
        <v>276</v>
      </c>
    </row>
    <row r="2" ht="22.5" customHeight="1">
      <c r="A2" s="36" t="s">
        <v>277</v>
      </c>
      <c r="B2" s="36"/>
      <c r="C2" s="36"/>
      <c r="D2" s="36" t="s">
        <v>278</v>
      </c>
      <c r="E2" s="36">
        <v>5.0</v>
      </c>
      <c r="F2" s="36" t="s">
        <v>278</v>
      </c>
      <c r="G2" s="37">
        <v>45916.0</v>
      </c>
      <c r="H2" s="36" t="s">
        <v>278</v>
      </c>
      <c r="I2" s="36" t="s">
        <v>278</v>
      </c>
      <c r="J2" s="36" t="s">
        <v>278</v>
      </c>
      <c r="K2" s="36" t="s">
        <v>278</v>
      </c>
      <c r="L2" s="36" t="s">
        <v>278</v>
      </c>
      <c r="M2" s="36" t="s">
        <v>278</v>
      </c>
      <c r="N2" s="36" t="s">
        <v>278</v>
      </c>
      <c r="O2" s="36" t="s">
        <v>278</v>
      </c>
      <c r="P2" s="36" t="s">
        <v>278</v>
      </c>
      <c r="Q2" s="36" t="s">
        <v>278</v>
      </c>
      <c r="R2" s="36" t="s">
        <v>278</v>
      </c>
      <c r="S2" s="36" t="s">
        <v>278</v>
      </c>
      <c r="T2" s="36" t="s">
        <v>278</v>
      </c>
      <c r="U2" s="36" t="s">
        <v>278</v>
      </c>
      <c r="V2" s="36" t="s">
        <v>278</v>
      </c>
      <c r="W2" s="36" t="s">
        <v>278</v>
      </c>
      <c r="X2" s="36" t="s">
        <v>278</v>
      </c>
      <c r="Y2" s="36" t="s">
        <v>278</v>
      </c>
      <c r="Z2" s="36" t="s">
        <v>278</v>
      </c>
      <c r="AA2" s="36" t="s">
        <v>278</v>
      </c>
      <c r="AB2" s="36" t="s">
        <v>279</v>
      </c>
      <c r="AC2" s="36" t="s">
        <v>278</v>
      </c>
      <c r="AD2" s="36" t="s">
        <v>280</v>
      </c>
      <c r="AE2" s="36" t="s">
        <v>278</v>
      </c>
      <c r="AF2" s="36" t="s">
        <v>281</v>
      </c>
      <c r="AG2" s="36" t="s">
        <v>278</v>
      </c>
      <c r="AH2" s="36"/>
      <c r="AI2" s="36" t="s">
        <v>278</v>
      </c>
      <c r="AJ2" s="36" t="s">
        <v>278</v>
      </c>
      <c r="AK2" s="36" t="s">
        <v>278</v>
      </c>
      <c r="AL2" s="36" t="s">
        <v>278</v>
      </c>
      <c r="AM2" s="36" t="s">
        <v>278</v>
      </c>
      <c r="AN2" s="36" t="s">
        <v>278</v>
      </c>
      <c r="AO2" s="36" t="s">
        <v>278</v>
      </c>
      <c r="AP2" s="36" t="s">
        <v>278</v>
      </c>
      <c r="AQ2" s="36" t="s">
        <v>278</v>
      </c>
      <c r="AR2" s="36"/>
      <c r="AS2" s="36"/>
      <c r="AT2" s="36" t="str">
        <f t="array" ref="AT2">IF(
                AS2 = "",
                "",
                       IF(
                           AS2 ="FOTOGRAFIA",
                           "LINK",
                           "https://www.appsheet.com/template/gettablefileurl?appName=APP022ParticMagnMTV2-924373673-26-05-14&amp;tableName=4.reg_fotografico&amp;fileName="&amp;AS2                         )
                          )</f>
        <v/>
      </c>
      <c r="AU2" s="36"/>
      <c r="AX2" s="38" t="s">
        <v>282</v>
      </c>
    </row>
    <row r="3" ht="22.5" customHeight="1">
      <c r="A3" s="36" t="s">
        <v>283</v>
      </c>
      <c r="B3" s="36"/>
      <c r="C3" s="36"/>
      <c r="D3" s="36" t="s">
        <v>284</v>
      </c>
      <c r="E3" s="39" t="s">
        <v>285</v>
      </c>
      <c r="F3" s="36" t="s">
        <v>286</v>
      </c>
      <c r="G3" s="37">
        <v>45923.0</v>
      </c>
      <c r="H3" s="36" t="s">
        <v>278</v>
      </c>
      <c r="I3" s="36" t="s">
        <v>287</v>
      </c>
      <c r="J3" s="36" t="s">
        <v>288</v>
      </c>
      <c r="K3" s="36" t="s">
        <v>289</v>
      </c>
      <c r="L3" s="36" t="s">
        <v>290</v>
      </c>
      <c r="M3" s="36" t="s">
        <v>291</v>
      </c>
      <c r="N3" s="36" t="s">
        <v>278</v>
      </c>
      <c r="O3" s="36">
        <v>0.02</v>
      </c>
      <c r="P3" s="36" t="s">
        <v>278</v>
      </c>
      <c r="Q3" s="36" t="s">
        <v>278</v>
      </c>
      <c r="R3" s="36" t="s">
        <v>292</v>
      </c>
      <c r="S3" s="36">
        <v>0.02</v>
      </c>
      <c r="T3" s="36" t="s">
        <v>278</v>
      </c>
      <c r="U3" s="36" t="s">
        <v>278</v>
      </c>
      <c r="V3" s="36" t="s">
        <v>278</v>
      </c>
      <c r="W3" s="36" t="s">
        <v>278</v>
      </c>
      <c r="X3" s="36" t="s">
        <v>278</v>
      </c>
      <c r="Y3" s="36" t="s">
        <v>278</v>
      </c>
      <c r="Z3" s="36" t="s">
        <v>278</v>
      </c>
      <c r="AA3" s="36">
        <v>2.0</v>
      </c>
      <c r="AB3" s="36" t="s">
        <v>278</v>
      </c>
      <c r="AC3" s="36" t="s">
        <v>278</v>
      </c>
      <c r="AD3" s="36" t="s">
        <v>280</v>
      </c>
      <c r="AE3" s="36" t="s">
        <v>278</v>
      </c>
      <c r="AF3" s="36" t="s">
        <v>293</v>
      </c>
      <c r="AG3" s="36" t="s">
        <v>294</v>
      </c>
      <c r="AH3" s="36"/>
      <c r="AI3" s="36" t="s">
        <v>295</v>
      </c>
      <c r="AJ3" s="36" t="s">
        <v>278</v>
      </c>
      <c r="AK3" s="36" t="s">
        <v>278</v>
      </c>
      <c r="AL3" s="36" t="s">
        <v>278</v>
      </c>
      <c r="AM3" s="36">
        <v>0.02</v>
      </c>
      <c r="AN3" s="36">
        <v>1.0</v>
      </c>
      <c r="AO3" s="36" t="s">
        <v>278</v>
      </c>
      <c r="AP3" s="36" t="s">
        <v>278</v>
      </c>
      <c r="AQ3" s="36">
        <v>3.0</v>
      </c>
      <c r="AR3" s="36" t="s">
        <v>296</v>
      </c>
      <c r="AS3" s="36" t="s">
        <v>297</v>
      </c>
      <c r="AT3" s="38" t="str">
        <f t="array" ref="AT3">IF(
                AS3 = "",
                "",
                       IF(
                           AS3 ="FOTOGRAFIA",
                           "LINK",
                           "https://www.appsheet.com/template/gettablefileurl?appName=APP022ParticMagnMTV2-924373673-26-05-14&amp;tableName=4.reg_fotografico&amp;fileName="&amp;AS3                         )
                          )</f>
        <v>https://www.appsheet.com/template/gettablefileurl?appName=APP022ParticMagnMTV2-924373673-26-05-14&amp;tableName=4.reg_fotografico&amp;fileName=2.general_particulas_magneticas_Images/Report_PV_b57a0a24.firma.212140.png</v>
      </c>
      <c r="AU3" s="40">
        <v>45911.67550925926</v>
      </c>
      <c r="AW3" s="36" t="s">
        <v>298</v>
      </c>
      <c r="AX3" s="38" t="s">
        <v>299</v>
      </c>
    </row>
    <row r="4" ht="22.5" customHeight="1">
      <c r="A4" s="36" t="s">
        <v>300</v>
      </c>
      <c r="B4" s="36"/>
      <c r="C4" s="36"/>
      <c r="D4" s="36" t="s">
        <v>284</v>
      </c>
      <c r="E4" s="36">
        <v>8.000008077E9</v>
      </c>
      <c r="F4" s="39" t="s">
        <v>301</v>
      </c>
      <c r="G4" s="41">
        <v>45980.0</v>
      </c>
      <c r="H4" s="36" t="s">
        <v>302</v>
      </c>
      <c r="I4" s="36" t="s">
        <v>303</v>
      </c>
      <c r="J4" s="36" t="s">
        <v>304</v>
      </c>
      <c r="K4" s="36" t="s">
        <v>305</v>
      </c>
      <c r="L4" s="36" t="s">
        <v>306</v>
      </c>
      <c r="M4" s="36" t="s">
        <v>306</v>
      </c>
      <c r="N4" s="36" t="s">
        <v>307</v>
      </c>
      <c r="P4" s="36" t="s">
        <v>308</v>
      </c>
      <c r="Q4" s="36" t="s">
        <v>309</v>
      </c>
      <c r="R4" s="36" t="s">
        <v>310</v>
      </c>
      <c r="S4" s="36">
        <v>6.3</v>
      </c>
      <c r="T4" s="36" t="s">
        <v>311</v>
      </c>
      <c r="U4" s="36" t="s">
        <v>308</v>
      </c>
      <c r="V4" s="36" t="s">
        <v>312</v>
      </c>
      <c r="W4" s="36" t="s">
        <v>313</v>
      </c>
      <c r="X4" s="42" t="s">
        <v>314</v>
      </c>
      <c r="Y4" s="36" t="s">
        <v>315</v>
      </c>
      <c r="Z4" s="36" t="s">
        <v>316</v>
      </c>
      <c r="AA4" s="39" t="s">
        <v>317</v>
      </c>
      <c r="AB4" s="36" t="s">
        <v>318</v>
      </c>
      <c r="AC4" s="36" t="s">
        <v>319</v>
      </c>
      <c r="AD4" s="36" t="s">
        <v>280</v>
      </c>
      <c r="AE4" s="36" t="s">
        <v>320</v>
      </c>
      <c r="AF4" s="36" t="s">
        <v>293</v>
      </c>
      <c r="AG4" s="36" t="s">
        <v>294</v>
      </c>
      <c r="AH4" s="36"/>
      <c r="AI4" s="36" t="s">
        <v>321</v>
      </c>
      <c r="AJ4" s="36" t="s">
        <v>322</v>
      </c>
      <c r="AK4" s="36" t="s">
        <v>323</v>
      </c>
      <c r="AL4" s="36" t="s">
        <v>324</v>
      </c>
      <c r="AM4" s="36">
        <v>0.95</v>
      </c>
      <c r="AN4" s="36">
        <v>2978.0</v>
      </c>
      <c r="AO4" s="36" t="s">
        <v>325</v>
      </c>
      <c r="AP4" s="36" t="s">
        <v>326</v>
      </c>
      <c r="AQ4" s="36">
        <v>1.30402578E8</v>
      </c>
      <c r="AR4" s="36" t="s">
        <v>327</v>
      </c>
      <c r="AS4" s="36" t="s">
        <v>328</v>
      </c>
      <c r="AT4" s="38" t="str">
        <f t="array" ref="AT4">IF(
                AS4 = "",
                "",
                       IF(
                           AS4 ="FOTOGRAFIA",
                           "LINK",
                           "https://www.appsheet.com/template/gettablefileurl?appName=APP022ParticMagnMTV2-924373673-26-05-14&amp;tableName=4.reg_fotografico&amp;fileName="&amp;AS4                         )
                          )</f>
        <v>https://www.appsheet.com/template/gettablefileurl?appName=APP022ParticMagnMTV2-924373673-26-05-14&amp;tableName=4.reg_fotografico&amp;fileName=2.general_particulas_magneticas_Images/Report_PV_fe83e141.firma.133716.png</v>
      </c>
      <c r="AU4" s="43">
        <v>45989.32802083333</v>
      </c>
      <c r="AX4" s="38" t="s">
        <v>329</v>
      </c>
    </row>
    <row r="5" ht="22.5" customHeight="1">
      <c r="A5" s="36" t="s">
        <v>330</v>
      </c>
      <c r="D5" s="36" t="s">
        <v>284</v>
      </c>
      <c r="E5" s="39" t="s">
        <v>331</v>
      </c>
      <c r="G5" s="37">
        <v>46150.0</v>
      </c>
      <c r="H5" s="36" t="s">
        <v>332</v>
      </c>
      <c r="I5" s="36" t="s">
        <v>303</v>
      </c>
      <c r="J5" s="36" t="s">
        <v>333</v>
      </c>
      <c r="K5" s="36" t="s">
        <v>334</v>
      </c>
      <c r="L5" s="36" t="s">
        <v>335</v>
      </c>
      <c r="M5" s="36" t="s">
        <v>336</v>
      </c>
      <c r="N5" s="36" t="s">
        <v>337</v>
      </c>
      <c r="O5" s="36">
        <v>54260.0</v>
      </c>
      <c r="P5" s="36" t="s">
        <v>338</v>
      </c>
      <c r="Q5" s="36" t="s">
        <v>309</v>
      </c>
      <c r="R5" s="36" t="s">
        <v>310</v>
      </c>
      <c r="S5" s="36">
        <v>6.3</v>
      </c>
      <c r="T5" s="39" t="s">
        <v>339</v>
      </c>
      <c r="U5" s="36" t="s">
        <v>340</v>
      </c>
      <c r="V5" s="36" t="s">
        <v>341</v>
      </c>
      <c r="W5" s="36" t="s">
        <v>313</v>
      </c>
      <c r="X5" s="42" t="s">
        <v>314</v>
      </c>
      <c r="Y5" s="36" t="s">
        <v>342</v>
      </c>
      <c r="Z5" s="36" t="s">
        <v>316</v>
      </c>
      <c r="AA5" s="36">
        <v>10.0</v>
      </c>
      <c r="AB5" s="36" t="s">
        <v>343</v>
      </c>
      <c r="AC5" s="36" t="s">
        <v>343</v>
      </c>
      <c r="AD5" s="36" t="s">
        <v>280</v>
      </c>
      <c r="AE5" s="36" t="s">
        <v>344</v>
      </c>
      <c r="AF5" s="36" t="s">
        <v>293</v>
      </c>
      <c r="AG5" s="36" t="s">
        <v>294</v>
      </c>
      <c r="AI5" s="36" t="s">
        <v>295</v>
      </c>
      <c r="AJ5" s="39" t="s">
        <v>345</v>
      </c>
      <c r="AK5" s="36" t="s">
        <v>323</v>
      </c>
      <c r="AL5" s="39" t="s">
        <v>346</v>
      </c>
      <c r="AN5" s="36">
        <v>1525.0</v>
      </c>
      <c r="AO5" s="36" t="s">
        <v>325</v>
      </c>
      <c r="AP5" s="36" t="s">
        <v>347</v>
      </c>
      <c r="AQ5" s="36">
        <v>1.9100028E8</v>
      </c>
      <c r="AR5" s="36" t="s">
        <v>348</v>
      </c>
      <c r="AS5" s="36" t="s">
        <v>349</v>
      </c>
      <c r="AT5" s="38" t="str">
        <f t="array" ref="AT5">IF(
                AS5 = "",
                "",
                       IF(
                           AS5 ="FOTOGRAFIA",
                           "LINK",
                           "https://www.appsheet.com/template/gettablefileurl?appName=APP022ParticMagnMTV2-924373673-26-05-14&amp;tableName=4.reg_fotografico&amp;fileName="&amp;AS5                         )
                          )</f>
        <v>https://www.appsheet.com/template/gettablefileurl?appName=APP022ParticMagnMTV2-924373673-26-05-14&amp;tableName=4.reg_fotografico&amp;fileName=2.general_particulas_magneticas_Images/Report_PV_b6b13d5d.firma.213559.png</v>
      </c>
      <c r="AU5" s="40">
        <v>46154.35763888889</v>
      </c>
      <c r="AX5" s="38" t="s">
        <v>350</v>
      </c>
    </row>
    <row r="6" ht="22.5" customHeight="1">
      <c r="A6" s="36" t="s">
        <v>351</v>
      </c>
      <c r="C6" s="36" t="s">
        <v>352</v>
      </c>
      <c r="D6" s="36" t="s">
        <v>284</v>
      </c>
      <c r="G6" s="37">
        <v>46148.0</v>
      </c>
      <c r="H6" s="36" t="s">
        <v>353</v>
      </c>
      <c r="I6" s="36" t="s">
        <v>303</v>
      </c>
      <c r="J6" s="36" t="s">
        <v>333</v>
      </c>
      <c r="K6" s="36" t="s">
        <v>334</v>
      </c>
      <c r="L6" s="36" t="s">
        <v>335</v>
      </c>
      <c r="M6" s="36" t="s">
        <v>354</v>
      </c>
      <c r="N6" s="36" t="s">
        <v>355</v>
      </c>
      <c r="O6" s="36">
        <v>8270.87</v>
      </c>
      <c r="P6" s="36" t="s">
        <v>356</v>
      </c>
      <c r="Q6" s="36" t="s">
        <v>357</v>
      </c>
      <c r="R6" s="36" t="s">
        <v>310</v>
      </c>
      <c r="S6" s="36">
        <v>6.31</v>
      </c>
      <c r="T6" s="39" t="s">
        <v>317</v>
      </c>
      <c r="W6" s="36" t="s">
        <v>313</v>
      </c>
      <c r="X6" s="42" t="s">
        <v>314</v>
      </c>
      <c r="Y6" s="36" t="s">
        <v>315</v>
      </c>
      <c r="Z6" s="36" t="s">
        <v>316</v>
      </c>
      <c r="AA6" s="36">
        <v>10.0</v>
      </c>
      <c r="AB6" s="36" t="s">
        <v>343</v>
      </c>
      <c r="AC6" s="36" t="s">
        <v>343</v>
      </c>
      <c r="AD6" s="36" t="s">
        <v>280</v>
      </c>
      <c r="AE6" s="36" t="s">
        <v>344</v>
      </c>
      <c r="AF6" s="36" t="s">
        <v>293</v>
      </c>
      <c r="AG6" s="36" t="s">
        <v>358</v>
      </c>
      <c r="AI6" s="36" t="s">
        <v>359</v>
      </c>
      <c r="AJ6" s="39" t="s">
        <v>360</v>
      </c>
      <c r="AK6" s="36" t="s">
        <v>361</v>
      </c>
      <c r="AL6" s="36" t="s">
        <v>362</v>
      </c>
      <c r="AM6" s="36">
        <v>0.08</v>
      </c>
      <c r="AN6" s="36">
        <v>1406.0</v>
      </c>
      <c r="AO6" s="36" t="s">
        <v>325</v>
      </c>
      <c r="AP6" s="36" t="s">
        <v>363</v>
      </c>
      <c r="AR6" s="36" t="s">
        <v>364</v>
      </c>
      <c r="AS6" s="36" t="s">
        <v>365</v>
      </c>
      <c r="AT6" s="38" t="str">
        <f t="array" ref="AT6">IF(
                AS6 = "",
                "",
                       IF(
                           AS6 ="FOTOGRAFIA",
                           "LINK",
                           "https://www.appsheet.com/template/gettablefileurl?appName=APP022ParticMagnMTV2-924373673-26-05-14&amp;tableName=4.reg_fotografico&amp;fileName="&amp;AS6                         )
                          )</f>
        <v>https://www.appsheet.com/template/gettablefileurl?appName=APP022ParticMagnMTV2-924373673-26-05-14&amp;tableName=4.reg_fotografico&amp;fileName=2.general_particulas_magneticas_Images/Report_PV_568689c4.firma.160153.png</v>
      </c>
      <c r="AU6" s="40">
        <v>46154.454780092594</v>
      </c>
      <c r="AX6" s="38" t="s">
        <v>366</v>
      </c>
    </row>
    <row r="7" ht="22.5" customHeight="1">
      <c r="A7" s="36" t="s">
        <v>367</v>
      </c>
      <c r="D7" s="36" t="s">
        <v>284</v>
      </c>
      <c r="E7" s="39" t="s">
        <v>331</v>
      </c>
      <c r="G7" s="37">
        <v>46156.0</v>
      </c>
      <c r="H7" s="36" t="s">
        <v>368</v>
      </c>
      <c r="I7" s="36" t="s">
        <v>369</v>
      </c>
      <c r="J7" s="36" t="s">
        <v>370</v>
      </c>
      <c r="K7" s="36" t="s">
        <v>371</v>
      </c>
      <c r="L7" s="36" t="s">
        <v>372</v>
      </c>
      <c r="M7" s="36" t="s">
        <v>373</v>
      </c>
      <c r="N7" s="36" t="s">
        <v>374</v>
      </c>
      <c r="O7" s="36">
        <v>70863.301</v>
      </c>
      <c r="P7" s="36" t="s">
        <v>375</v>
      </c>
      <c r="Q7" s="36" t="s">
        <v>309</v>
      </c>
      <c r="R7" s="36" t="s">
        <v>376</v>
      </c>
      <c r="S7" s="36">
        <v>5.5</v>
      </c>
      <c r="T7" s="39" t="s">
        <v>377</v>
      </c>
      <c r="U7" s="36" t="s">
        <v>378</v>
      </c>
      <c r="V7" s="36" t="s">
        <v>379</v>
      </c>
      <c r="W7" s="36" t="s">
        <v>313</v>
      </c>
      <c r="X7" s="42" t="s">
        <v>314</v>
      </c>
      <c r="Y7" s="36" t="s">
        <v>315</v>
      </c>
      <c r="Z7" s="36" t="s">
        <v>316</v>
      </c>
      <c r="AA7" s="36">
        <v>10.0</v>
      </c>
      <c r="AB7" s="36" t="s">
        <v>343</v>
      </c>
      <c r="AC7" s="36" t="s">
        <v>343</v>
      </c>
      <c r="AD7" s="36" t="s">
        <v>280</v>
      </c>
      <c r="AE7" s="36" t="s">
        <v>344</v>
      </c>
      <c r="AF7" s="36" t="s">
        <v>293</v>
      </c>
      <c r="AG7" s="36" t="s">
        <v>380</v>
      </c>
      <c r="AI7" s="36" t="s">
        <v>295</v>
      </c>
      <c r="AJ7" s="36" t="s">
        <v>381</v>
      </c>
      <c r="AK7" s="36" t="s">
        <v>323</v>
      </c>
      <c r="AL7" s="36" t="s">
        <v>382</v>
      </c>
      <c r="AM7" s="36">
        <v>2.0</v>
      </c>
      <c r="AN7" s="36">
        <v>1764.0</v>
      </c>
      <c r="AO7" s="36" t="s">
        <v>325</v>
      </c>
      <c r="AP7" s="36" t="s">
        <v>347</v>
      </c>
      <c r="AQ7" s="39" t="s">
        <v>383</v>
      </c>
      <c r="AR7" s="36" t="s">
        <v>384</v>
      </c>
      <c r="AS7" s="36" t="s">
        <v>385</v>
      </c>
      <c r="AT7" s="38" t="str">
        <f t="array" ref="AT7">IF(
                AS7 = "",
                "",
                       IF(
                           AS7 ="FOTOGRAFIA",
                           "LINK",
                           "https://www.appsheet.com/template/gettablefileurl?appName=APP022ParticMagnMTV2-924373673-26-05-14&amp;tableName=4.reg_fotografico&amp;fileName="&amp;AS7                         )
                          )</f>
        <v>https://www.appsheet.com/template/gettablefileurl?appName=APP022ParticMagnMTV2-924373673-26-05-14&amp;tableName=4.reg_fotografico&amp;fileName=2.general_particulas_magneticas_Images/Report_PV_267edb6f.firma.171101.jpg</v>
      </c>
      <c r="AU7" s="40">
        <v>46157.495</v>
      </c>
      <c r="AX7" s="38" t="s">
        <v>386</v>
      </c>
    </row>
    <row r="8" ht="22.5" customHeight="1">
      <c r="A8" s="36" t="s">
        <v>387</v>
      </c>
      <c r="D8" s="36" t="s">
        <v>284</v>
      </c>
      <c r="E8" s="39" t="s">
        <v>331</v>
      </c>
      <c r="G8" s="37">
        <v>46167.0</v>
      </c>
      <c r="H8" s="36" t="s">
        <v>388</v>
      </c>
      <c r="I8" s="36" t="s">
        <v>303</v>
      </c>
      <c r="J8" s="36" t="s">
        <v>389</v>
      </c>
      <c r="K8" s="36" t="s">
        <v>390</v>
      </c>
      <c r="L8" s="36" t="s">
        <v>391</v>
      </c>
      <c r="M8" s="36" t="s">
        <v>392</v>
      </c>
      <c r="N8" s="36" t="s">
        <v>393</v>
      </c>
      <c r="O8" s="36">
        <v>205485.764</v>
      </c>
      <c r="P8" s="36" t="s">
        <v>394</v>
      </c>
      <c r="Q8" s="36" t="s">
        <v>309</v>
      </c>
      <c r="R8" s="36" t="s">
        <v>310</v>
      </c>
      <c r="S8" s="36">
        <v>7.09</v>
      </c>
      <c r="T8" s="39" t="s">
        <v>317</v>
      </c>
      <c r="U8" s="36" t="s">
        <v>394</v>
      </c>
      <c r="V8" s="36" t="s">
        <v>395</v>
      </c>
      <c r="W8" s="36" t="s">
        <v>313</v>
      </c>
      <c r="X8" s="42" t="s">
        <v>314</v>
      </c>
      <c r="Y8" s="36" t="s">
        <v>315</v>
      </c>
      <c r="Z8" s="36" t="s">
        <v>316</v>
      </c>
      <c r="AA8" s="36">
        <v>10.0</v>
      </c>
      <c r="AB8" s="36" t="s">
        <v>343</v>
      </c>
      <c r="AC8" s="36" t="s">
        <v>343</v>
      </c>
      <c r="AD8" s="36" t="s">
        <v>396</v>
      </c>
      <c r="AE8" s="36" t="s">
        <v>344</v>
      </c>
      <c r="AG8" s="36" t="s">
        <v>294</v>
      </c>
      <c r="AI8" s="36" t="s">
        <v>295</v>
      </c>
      <c r="AJ8" s="36" t="s">
        <v>397</v>
      </c>
      <c r="AK8" s="36" t="s">
        <v>323</v>
      </c>
      <c r="AL8" s="36" t="s">
        <v>382</v>
      </c>
      <c r="AM8" s="36">
        <v>147.0</v>
      </c>
      <c r="AN8" s="36">
        <v>1531.0</v>
      </c>
      <c r="AO8" s="36" t="s">
        <v>325</v>
      </c>
      <c r="AP8" s="36" t="s">
        <v>398</v>
      </c>
      <c r="AQ8" s="36" t="s">
        <v>399</v>
      </c>
      <c r="AR8" s="36" t="s">
        <v>400</v>
      </c>
      <c r="AS8" s="36" t="s">
        <v>401</v>
      </c>
      <c r="AT8" s="38" t="str">
        <f t="array" ref="AT8">IF(
                AS8 = "",
                "",
                       IF(
                           AS8 ="FOTOGRAFIA",
                           "LINK",
                           "https://www.appsheet.com/template/gettablefileurl?appName=APP022ParticMagnMTV2-924373673-26-05-14&amp;tableName=4.reg_fotografico&amp;fileName="&amp;AS8                         )
                          )</f>
        <v>https://www.appsheet.com/template/gettablefileurl?appName=APP022ParticMagnMTV2-924373673-26-05-14&amp;tableName=4.reg_fotografico&amp;fileName=2.general_particulas_magneticas_Images/Report_PV_f2c6ccf3.firma.192151.jpg</v>
      </c>
      <c r="AU8" s="40">
        <v>46168.575694444444</v>
      </c>
      <c r="AW8" s="39" t="s">
        <v>402</v>
      </c>
      <c r="AX8" s="38" t="s">
        <v>403</v>
      </c>
    </row>
    <row r="9" ht="22.5" customHeight="1">
      <c r="A9" s="36" t="s">
        <v>404</v>
      </c>
      <c r="D9" s="36" t="s">
        <v>284</v>
      </c>
      <c r="E9" s="39" t="s">
        <v>331</v>
      </c>
      <c r="G9" s="37">
        <v>46164.0</v>
      </c>
      <c r="H9" s="36" t="s">
        <v>405</v>
      </c>
      <c r="I9" s="36" t="s">
        <v>303</v>
      </c>
      <c r="J9" s="36" t="s">
        <v>406</v>
      </c>
      <c r="K9" s="36" t="s">
        <v>407</v>
      </c>
      <c r="L9" s="36" t="s">
        <v>408</v>
      </c>
      <c r="M9" s="36" t="s">
        <v>409</v>
      </c>
      <c r="N9" s="36" t="s">
        <v>410</v>
      </c>
      <c r="O9" s="36">
        <v>52322.822</v>
      </c>
      <c r="P9" s="36" t="s">
        <v>411</v>
      </c>
      <c r="Q9" s="36" t="s">
        <v>309</v>
      </c>
      <c r="R9" s="36" t="s">
        <v>292</v>
      </c>
      <c r="S9" s="36">
        <v>7.81</v>
      </c>
      <c r="T9" s="39" t="s">
        <v>412</v>
      </c>
      <c r="U9" s="36" t="s">
        <v>413</v>
      </c>
      <c r="V9" s="36" t="s">
        <v>414</v>
      </c>
      <c r="W9" s="36" t="s">
        <v>313</v>
      </c>
      <c r="X9" s="42" t="s">
        <v>314</v>
      </c>
      <c r="Y9" s="36" t="s">
        <v>315</v>
      </c>
      <c r="Z9" s="36" t="s">
        <v>316</v>
      </c>
      <c r="AA9" s="36">
        <v>10.0</v>
      </c>
      <c r="AB9" s="36" t="s">
        <v>343</v>
      </c>
      <c r="AC9" s="36" t="s">
        <v>343</v>
      </c>
      <c r="AD9" s="36" t="s">
        <v>280</v>
      </c>
      <c r="AE9" s="36" t="s">
        <v>344</v>
      </c>
      <c r="AF9" s="36" t="s">
        <v>293</v>
      </c>
      <c r="AG9" s="36" t="s">
        <v>294</v>
      </c>
      <c r="AI9" s="36" t="s">
        <v>359</v>
      </c>
      <c r="AJ9" s="36" t="s">
        <v>415</v>
      </c>
      <c r="AK9" s="36" t="s">
        <v>323</v>
      </c>
      <c r="AL9" s="39" t="s">
        <v>346</v>
      </c>
      <c r="AM9" s="36">
        <v>14.0</v>
      </c>
      <c r="AN9" s="36">
        <v>1164.0</v>
      </c>
      <c r="AO9" s="36" t="s">
        <v>325</v>
      </c>
      <c r="AP9" s="36" t="s">
        <v>416</v>
      </c>
      <c r="AQ9" s="36" t="s">
        <v>417</v>
      </c>
      <c r="AR9" s="36" t="s">
        <v>348</v>
      </c>
      <c r="AS9" s="36" t="s">
        <v>418</v>
      </c>
      <c r="AT9" s="38" t="str">
        <f t="array" ref="AT9">IF(
                AS9 = "",
                "",
                       IF(
                           AS9 ="FOTOGRAFIA",
                           "LINK",
                           "https://www.appsheet.com/template/gettablefileurl?appName=APP022ParticMagnMTV2-924373673-26-05-14&amp;tableName=4.reg_fotografico&amp;fileName="&amp;AS9                         )
                          )</f>
        <v>https://www.appsheet.com/template/gettablefileurl?appName=APP022ParticMagnMTV2-924373673-26-05-14&amp;tableName=4.reg_fotografico&amp;fileName=2.general_particulas_magneticas_Images/Report_PV_94c91687.firma.022431.png</v>
      </c>
      <c r="AU9" s="40">
        <v>46168.729363425926</v>
      </c>
      <c r="AW9" s="39" t="s">
        <v>419</v>
      </c>
      <c r="AX9" s="38" t="s">
        <v>420</v>
      </c>
    </row>
    <row r="10" ht="22.5" customHeight="1">
      <c r="A10" s="36" t="s">
        <v>421</v>
      </c>
      <c r="D10" s="36" t="s">
        <v>284</v>
      </c>
      <c r="G10" s="37">
        <v>46157.0</v>
      </c>
      <c r="H10" s="36" t="s">
        <v>368</v>
      </c>
      <c r="I10" s="36" t="s">
        <v>422</v>
      </c>
      <c r="J10" s="36" t="s">
        <v>423</v>
      </c>
      <c r="K10" s="36" t="s">
        <v>424</v>
      </c>
      <c r="L10" s="36" t="s">
        <v>425</v>
      </c>
      <c r="M10" s="36" t="s">
        <v>426</v>
      </c>
      <c r="N10" s="36" t="s">
        <v>427</v>
      </c>
      <c r="O10" s="36">
        <v>10278.07</v>
      </c>
      <c r="P10" s="36" t="s">
        <v>428</v>
      </c>
      <c r="Q10" s="36" t="s">
        <v>357</v>
      </c>
      <c r="R10" s="36" t="s">
        <v>310</v>
      </c>
      <c r="S10" s="36">
        <v>6.5</v>
      </c>
      <c r="T10" s="36">
        <v>8.0</v>
      </c>
      <c r="U10" s="36" t="s">
        <v>429</v>
      </c>
      <c r="V10" s="36" t="s">
        <v>430</v>
      </c>
      <c r="W10" s="36" t="s">
        <v>313</v>
      </c>
      <c r="X10" s="42" t="s">
        <v>314</v>
      </c>
      <c r="Y10" s="36" t="s">
        <v>315</v>
      </c>
      <c r="Z10" s="36" t="s">
        <v>316</v>
      </c>
      <c r="AA10" s="36">
        <v>10.0</v>
      </c>
      <c r="AB10" s="36" t="s">
        <v>343</v>
      </c>
      <c r="AC10" s="36" t="s">
        <v>343</v>
      </c>
      <c r="AD10" s="36" t="s">
        <v>280</v>
      </c>
      <c r="AE10" s="36" t="s">
        <v>344</v>
      </c>
      <c r="AF10" s="36" t="s">
        <v>293</v>
      </c>
      <c r="AG10" s="36" t="s">
        <v>358</v>
      </c>
      <c r="AI10" s="36" t="s">
        <v>323</v>
      </c>
      <c r="AJ10" s="36">
        <v>1001.0</v>
      </c>
      <c r="AK10" s="36" t="s">
        <v>431</v>
      </c>
      <c r="AL10" s="36" t="s">
        <v>362</v>
      </c>
      <c r="AM10" s="36">
        <v>0.23</v>
      </c>
      <c r="AN10" s="36">
        <v>1272.0</v>
      </c>
      <c r="AO10" s="36" t="s">
        <v>325</v>
      </c>
      <c r="AP10" s="36" t="s">
        <v>432</v>
      </c>
      <c r="AQ10" s="36">
        <v>3365.0</v>
      </c>
      <c r="AR10" s="36" t="s">
        <v>433</v>
      </c>
      <c r="AS10" s="36" t="s">
        <v>434</v>
      </c>
      <c r="AT10" s="38" t="s">
        <v>435</v>
      </c>
      <c r="AU10" s="40">
        <v>46157.52918981481</v>
      </c>
      <c r="AX10" s="38" t="s">
        <v>436</v>
      </c>
    </row>
    <row r="11" ht="22.5" customHeight="1">
      <c r="A11" s="36" t="s">
        <v>437</v>
      </c>
      <c r="D11" s="36" t="s">
        <v>284</v>
      </c>
      <c r="E11" s="39" t="s">
        <v>331</v>
      </c>
      <c r="G11" s="37">
        <v>46164.0</v>
      </c>
      <c r="H11" s="36" t="s">
        <v>438</v>
      </c>
      <c r="I11" s="36" t="s">
        <v>439</v>
      </c>
      <c r="J11" s="36" t="s">
        <v>440</v>
      </c>
      <c r="K11" s="36" t="s">
        <v>390</v>
      </c>
      <c r="L11" s="36" t="s">
        <v>441</v>
      </c>
      <c r="M11" s="36" t="s">
        <v>442</v>
      </c>
      <c r="N11" s="36" t="s">
        <v>443</v>
      </c>
      <c r="O11" s="36">
        <v>183838.952</v>
      </c>
      <c r="P11" s="36" t="s">
        <v>444</v>
      </c>
      <c r="Q11" s="36" t="s">
        <v>357</v>
      </c>
      <c r="R11" s="36" t="s">
        <v>310</v>
      </c>
      <c r="S11" s="36">
        <v>7.0</v>
      </c>
      <c r="T11" s="39" t="s">
        <v>317</v>
      </c>
      <c r="U11" s="36" t="s">
        <v>445</v>
      </c>
      <c r="V11" s="36" t="s">
        <v>446</v>
      </c>
      <c r="W11" s="36" t="s">
        <v>313</v>
      </c>
      <c r="X11" s="42" t="s">
        <v>314</v>
      </c>
      <c r="Y11" s="36" t="s">
        <v>315</v>
      </c>
      <c r="Z11" s="36" t="s">
        <v>316</v>
      </c>
      <c r="AA11" s="36">
        <v>10.0</v>
      </c>
      <c r="AB11" s="36" t="s">
        <v>343</v>
      </c>
      <c r="AC11" s="36" t="s">
        <v>343</v>
      </c>
      <c r="AD11" s="36" t="s">
        <v>280</v>
      </c>
      <c r="AE11" s="36" t="s">
        <v>344</v>
      </c>
      <c r="AF11" s="36" t="s">
        <v>293</v>
      </c>
      <c r="AG11" s="36" t="s">
        <v>294</v>
      </c>
      <c r="AI11" s="36" t="s">
        <v>323</v>
      </c>
      <c r="AJ11" s="36" t="s">
        <v>447</v>
      </c>
      <c r="AK11" s="36" t="s">
        <v>323</v>
      </c>
      <c r="AL11" s="36" t="s">
        <v>324</v>
      </c>
      <c r="AM11" s="36">
        <v>0.0</v>
      </c>
      <c r="AN11" s="36">
        <v>1239.0</v>
      </c>
      <c r="AO11" s="36" t="s">
        <v>325</v>
      </c>
      <c r="AP11" s="36" t="s">
        <v>448</v>
      </c>
      <c r="AQ11" s="36" t="s">
        <v>449</v>
      </c>
      <c r="AR11" s="36" t="s">
        <v>450</v>
      </c>
      <c r="AS11" s="36" t="s">
        <v>451</v>
      </c>
      <c r="AT11" s="44" t="str">
        <f t="array" ref="AT11">IF(
                AS11 = "",
                "",
                       IF(
                           AS11 ="FOTOGRAFIA",
                           "LINK",
                           "https://www.appsheet.com/template/gettablefileurl?appName=APP022ParticMagnMTV2-924373673-26-05-14&amp;tableName=4.reg_fotografico&amp;fileName="&amp;AS11                         )
                          )</f>
        <v>https://www.appsheet.com/template/gettablefileurl?appName=APP022ParticMagnMTV2-924373673-26-05-14&amp;tableName=4.reg_fotografico&amp;fileName=2.general_particulas_magneticas_Images/Report_PV_861a28ca.firma.033451.png</v>
      </c>
      <c r="AU11" s="40">
        <v>46165.88711805556</v>
      </c>
      <c r="AV11" s="36" t="str">
        <f t="array" ref="AV11">map(AT17, lambda(url, image(url,1)))</f>
        <v/>
      </c>
      <c r="AW11" s="36"/>
      <c r="AX11" s="38" t="s">
        <v>452</v>
      </c>
    </row>
    <row r="12" ht="22.5" customHeight="1">
      <c r="A12" s="45" t="s">
        <v>453</v>
      </c>
      <c r="B12" s="46"/>
      <c r="C12" s="46"/>
      <c r="D12" s="47" t="s">
        <v>284</v>
      </c>
      <c r="E12" s="42" t="s">
        <v>331</v>
      </c>
      <c r="F12" s="46"/>
      <c r="G12" s="48">
        <v>46161.0</v>
      </c>
      <c r="H12" s="36" t="s">
        <v>454</v>
      </c>
      <c r="I12" s="47" t="s">
        <v>455</v>
      </c>
      <c r="J12" s="47" t="s">
        <v>456</v>
      </c>
      <c r="K12" s="47" t="s">
        <v>457</v>
      </c>
      <c r="L12" s="47" t="s">
        <v>458</v>
      </c>
      <c r="M12" s="47" t="s">
        <v>459</v>
      </c>
      <c r="N12" s="47" t="s">
        <v>460</v>
      </c>
      <c r="O12" s="49">
        <v>1.2365116E7</v>
      </c>
      <c r="P12" s="47" t="s">
        <v>461</v>
      </c>
      <c r="Q12" s="47" t="s">
        <v>309</v>
      </c>
      <c r="R12" s="47" t="s">
        <v>462</v>
      </c>
      <c r="S12" s="49">
        <v>5.4</v>
      </c>
      <c r="T12" s="42" t="s">
        <v>463</v>
      </c>
      <c r="U12" s="47" t="s">
        <v>464</v>
      </c>
      <c r="V12" s="47" t="s">
        <v>465</v>
      </c>
      <c r="W12" s="36" t="s">
        <v>313</v>
      </c>
      <c r="X12" s="42" t="s">
        <v>314</v>
      </c>
      <c r="Y12" s="47" t="s">
        <v>466</v>
      </c>
      <c r="Z12" s="47" t="s">
        <v>316</v>
      </c>
      <c r="AA12" s="49">
        <v>10.0</v>
      </c>
      <c r="AB12" s="47" t="s">
        <v>343</v>
      </c>
      <c r="AC12" s="47" t="s">
        <v>343</v>
      </c>
      <c r="AD12" s="47" t="s">
        <v>280</v>
      </c>
      <c r="AE12" s="47" t="s">
        <v>344</v>
      </c>
      <c r="AF12" s="47" t="s">
        <v>293</v>
      </c>
      <c r="AG12" s="47" t="s">
        <v>358</v>
      </c>
      <c r="AH12" s="46"/>
      <c r="AI12" s="47" t="s">
        <v>359</v>
      </c>
      <c r="AJ12" s="47" t="s">
        <v>467</v>
      </c>
      <c r="AK12" s="47" t="s">
        <v>468</v>
      </c>
      <c r="AL12" s="42" t="s">
        <v>346</v>
      </c>
      <c r="AM12" s="49">
        <v>1.17</v>
      </c>
      <c r="AN12" s="49">
        <v>1440.0</v>
      </c>
      <c r="AO12" s="47" t="s">
        <v>325</v>
      </c>
      <c r="AP12" s="47" t="s">
        <v>469</v>
      </c>
      <c r="AQ12" s="46"/>
      <c r="AR12" s="47" t="s">
        <v>470</v>
      </c>
      <c r="AS12" s="47" t="s">
        <v>471</v>
      </c>
      <c r="AT12" s="50" t="str">
        <f t="array" ref="AT12">IF(
                AS12 = "",
                "",
                       IF(
                           AS12 ="FOTOGRAFIA",
                           "LINK",
                           "https://www.appsheet.com/template/gettablefileurl?appName=particulas_magneticas-924373673&amp;tableName=4.reg_fotografico&amp;fileName="&amp;AS12                         )
                          )</f>
        <v>https://www.appsheet.com/template/gettablefileurl?appName=particulas_magneticas-924373673&amp;tableName=4.reg_fotografico&amp;fileName=2.general_particulas_magneticas_Images/Report_PV_df68035e.firma.162758.png</v>
      </c>
      <c r="AU12" s="51">
        <v>46167.44422453704</v>
      </c>
      <c r="AV12" s="46" t="str">
        <f t="array" ref="AV12">map(AT18, lambda(url, image(url,1)))</f>
        <v/>
      </c>
      <c r="AW12" s="52"/>
      <c r="AX12" s="53" t="s">
        <v>472</v>
      </c>
    </row>
    <row r="13" ht="22.5" customHeight="1">
      <c r="A13" s="36" t="s">
        <v>473</v>
      </c>
      <c r="D13" s="36" t="s">
        <v>284</v>
      </c>
      <c r="E13" s="39" t="s">
        <v>331</v>
      </c>
      <c r="G13" s="37">
        <v>46165.0</v>
      </c>
      <c r="H13" s="36" t="s">
        <v>474</v>
      </c>
      <c r="I13" s="36" t="s">
        <v>303</v>
      </c>
      <c r="J13" s="36" t="s">
        <v>475</v>
      </c>
      <c r="K13" s="36" t="s">
        <v>407</v>
      </c>
      <c r="L13" s="36" t="s">
        <v>408</v>
      </c>
      <c r="M13" s="36" t="s">
        <v>476</v>
      </c>
      <c r="N13" s="36" t="s">
        <v>477</v>
      </c>
      <c r="O13" s="36">
        <v>14709.674</v>
      </c>
      <c r="P13" s="36" t="s">
        <v>478</v>
      </c>
      <c r="Q13" s="36" t="s">
        <v>479</v>
      </c>
      <c r="R13" s="36" t="s">
        <v>292</v>
      </c>
      <c r="S13" s="36">
        <v>7.92</v>
      </c>
      <c r="T13" s="39" t="s">
        <v>463</v>
      </c>
      <c r="U13" s="36" t="s">
        <v>480</v>
      </c>
      <c r="V13" s="36" t="s">
        <v>481</v>
      </c>
      <c r="W13" s="36" t="s">
        <v>313</v>
      </c>
      <c r="X13" s="42" t="s">
        <v>314</v>
      </c>
      <c r="Y13" s="36" t="s">
        <v>315</v>
      </c>
      <c r="Z13" s="36" t="s">
        <v>316</v>
      </c>
      <c r="AA13" s="36">
        <v>10.0</v>
      </c>
      <c r="AB13" s="36" t="s">
        <v>343</v>
      </c>
      <c r="AC13" s="36" t="s">
        <v>343</v>
      </c>
      <c r="AD13" s="36" t="s">
        <v>280</v>
      </c>
      <c r="AE13" s="36" t="s">
        <v>344</v>
      </c>
      <c r="AF13" s="36" t="s">
        <v>293</v>
      </c>
      <c r="AG13" s="36" t="s">
        <v>380</v>
      </c>
      <c r="AI13" s="36" t="s">
        <v>359</v>
      </c>
      <c r="AJ13" s="36" t="s">
        <v>482</v>
      </c>
      <c r="AK13" s="39" t="s">
        <v>483</v>
      </c>
      <c r="AL13" s="39" t="s">
        <v>483</v>
      </c>
      <c r="AM13" s="36">
        <v>9.4</v>
      </c>
      <c r="AN13" s="36">
        <v>1355.0</v>
      </c>
      <c r="AO13" s="36" t="s">
        <v>325</v>
      </c>
      <c r="AP13" s="36" t="s">
        <v>484</v>
      </c>
      <c r="AQ13" s="36" t="s">
        <v>485</v>
      </c>
      <c r="AR13" s="36" t="s">
        <v>486</v>
      </c>
      <c r="AS13" s="36" t="s">
        <v>487</v>
      </c>
      <c r="AT13" s="38" t="str">
        <f t="array" ref="AT13">IF(
                AS13 = "",
                "",
                       IF(
                           AS13 ="FOTOGRAFIA",
                           "LINK",
                           "https://www.appsheet.com/template/gettablefileurl?appName=APP022ParticMagnMTV2-924373673-26-05-14&amp;tableName=4.reg_fotografico&amp;fileName="&amp;AS13                         )
                          )</f>
        <v>https://www.appsheet.com/template/gettablefileurl?appName=APP022ParticMagnMTV2-924373673-26-05-14&amp;tableName=4.reg_fotografico&amp;fileName=2.general_particulas_magneticas_Images/Report_PV_143fec36.firma.175034.png</v>
      </c>
      <c r="AU13" s="40">
        <v>46167.47965277778</v>
      </c>
      <c r="AV13" s="54" t="str">
        <f t="array" ref="AV13">map(AT19, lambda(url, image(url,1)))</f>
        <v/>
      </c>
      <c r="AX13" s="38" t="s">
        <v>488</v>
      </c>
    </row>
    <row r="14" ht="22.5" customHeight="1">
      <c r="A14" s="55" t="s">
        <v>489</v>
      </c>
      <c r="B14" s="55"/>
      <c r="C14" s="55"/>
      <c r="D14" s="55" t="s">
        <v>284</v>
      </c>
      <c r="E14" s="56">
        <v>8.000008077E9</v>
      </c>
      <c r="F14" s="55"/>
      <c r="G14" s="37">
        <v>46165.0</v>
      </c>
      <c r="H14" s="36" t="s">
        <v>490</v>
      </c>
      <c r="I14" s="55" t="s">
        <v>491</v>
      </c>
      <c r="J14" s="55" t="s">
        <v>492</v>
      </c>
      <c r="K14" s="55" t="s">
        <v>493</v>
      </c>
      <c r="L14" s="55" t="s">
        <v>494</v>
      </c>
      <c r="M14" s="55" t="s">
        <v>495</v>
      </c>
      <c r="N14" s="55" t="s">
        <v>496</v>
      </c>
      <c r="O14" s="55">
        <v>37.175</v>
      </c>
      <c r="P14" s="55" t="s">
        <v>497</v>
      </c>
      <c r="Q14" s="55" t="s">
        <v>479</v>
      </c>
      <c r="R14" s="55" t="s">
        <v>498</v>
      </c>
      <c r="S14" s="55">
        <v>7.11</v>
      </c>
      <c r="T14" s="56">
        <v>6.0</v>
      </c>
      <c r="U14" s="55" t="s">
        <v>499</v>
      </c>
      <c r="V14" s="55" t="s">
        <v>500</v>
      </c>
      <c r="W14" s="36" t="s">
        <v>313</v>
      </c>
      <c r="X14" s="42" t="s">
        <v>314</v>
      </c>
      <c r="Y14" s="55" t="s">
        <v>501</v>
      </c>
      <c r="Z14" s="55" t="s">
        <v>325</v>
      </c>
      <c r="AA14" s="55">
        <v>10.0</v>
      </c>
      <c r="AB14" s="55" t="s">
        <v>343</v>
      </c>
      <c r="AC14" s="55" t="s">
        <v>343</v>
      </c>
      <c r="AD14" s="55" t="s">
        <v>280</v>
      </c>
      <c r="AE14" s="55" t="s">
        <v>344</v>
      </c>
      <c r="AF14" s="36" t="s">
        <v>293</v>
      </c>
      <c r="AG14" s="55" t="s">
        <v>294</v>
      </c>
      <c r="AH14" s="55" t="s">
        <v>502</v>
      </c>
      <c r="AI14" s="55" t="s">
        <v>503</v>
      </c>
      <c r="AJ14" s="36" t="s">
        <v>504</v>
      </c>
      <c r="AK14" s="55" t="s">
        <v>323</v>
      </c>
      <c r="AL14" s="55" t="s">
        <v>505</v>
      </c>
      <c r="AM14" s="55">
        <v>10.0</v>
      </c>
      <c r="AN14" s="55">
        <v>1395.0</v>
      </c>
      <c r="AO14" s="55" t="s">
        <v>325</v>
      </c>
      <c r="AP14" s="55" t="s">
        <v>506</v>
      </c>
      <c r="AQ14" s="36" t="s">
        <v>485</v>
      </c>
      <c r="AR14" s="55" t="s">
        <v>486</v>
      </c>
      <c r="AS14" s="55" t="s">
        <v>487</v>
      </c>
      <c r="AT14" s="36" t="s">
        <v>507</v>
      </c>
      <c r="AU14" s="57">
        <v>46167.47965277778</v>
      </c>
      <c r="AV14" s="55"/>
      <c r="AW14" s="58" t="s">
        <v>508</v>
      </c>
      <c r="AX14" s="38" t="s">
        <v>509</v>
      </c>
    </row>
    <row r="15" ht="22.5" customHeight="1">
      <c r="A15" s="59" t="s">
        <v>510</v>
      </c>
      <c r="D15" s="36" t="s">
        <v>284</v>
      </c>
      <c r="E15" s="39" t="s">
        <v>331</v>
      </c>
      <c r="G15" s="37">
        <v>46167.0</v>
      </c>
      <c r="H15" s="36" t="s">
        <v>511</v>
      </c>
      <c r="I15" s="36" t="s">
        <v>439</v>
      </c>
      <c r="J15" s="36" t="s">
        <v>512</v>
      </c>
      <c r="K15" s="36" t="s">
        <v>513</v>
      </c>
      <c r="L15" s="36" t="s">
        <v>408</v>
      </c>
      <c r="M15" s="36" t="s">
        <v>514</v>
      </c>
      <c r="N15" s="36" t="s">
        <v>515</v>
      </c>
      <c r="O15" s="36">
        <v>15364.242</v>
      </c>
      <c r="P15" s="36" t="s">
        <v>516</v>
      </c>
      <c r="Q15" s="36" t="s">
        <v>357</v>
      </c>
      <c r="R15" s="36" t="s">
        <v>310</v>
      </c>
      <c r="S15" s="36">
        <v>8.56</v>
      </c>
      <c r="T15" s="36" t="s">
        <v>517</v>
      </c>
      <c r="U15" s="36" t="s">
        <v>518</v>
      </c>
      <c r="V15" s="36" t="s">
        <v>519</v>
      </c>
      <c r="W15" s="36" t="s">
        <v>313</v>
      </c>
      <c r="X15" s="42" t="s">
        <v>314</v>
      </c>
      <c r="Y15" s="36" t="s">
        <v>315</v>
      </c>
      <c r="Z15" s="36" t="s">
        <v>316</v>
      </c>
      <c r="AA15" s="36">
        <v>10.0</v>
      </c>
      <c r="AB15" s="36" t="s">
        <v>343</v>
      </c>
      <c r="AC15" s="36" t="s">
        <v>343</v>
      </c>
      <c r="AD15" s="36" t="s">
        <v>280</v>
      </c>
      <c r="AE15" s="36" t="s">
        <v>344</v>
      </c>
      <c r="AF15" s="36" t="s">
        <v>293</v>
      </c>
      <c r="AG15" s="36" t="s">
        <v>294</v>
      </c>
      <c r="AI15" s="36" t="s">
        <v>323</v>
      </c>
      <c r="AJ15" s="36" t="s">
        <v>447</v>
      </c>
      <c r="AK15" s="36" t="s">
        <v>468</v>
      </c>
      <c r="AL15" s="36" t="s">
        <v>324</v>
      </c>
      <c r="AM15" s="36">
        <v>1.18</v>
      </c>
      <c r="AN15" s="36">
        <v>1388.0</v>
      </c>
      <c r="AO15" s="36" t="s">
        <v>325</v>
      </c>
      <c r="AP15" s="36" t="s">
        <v>448</v>
      </c>
      <c r="AQ15" s="36" t="s">
        <v>449</v>
      </c>
      <c r="AR15" s="36" t="s">
        <v>520</v>
      </c>
      <c r="AS15" s="36" t="s">
        <v>521</v>
      </c>
      <c r="AT15" s="38" t="str">
        <f t="array" ref="AT15">IF(
                AS15 = "",
                "",
                       IF(
                           AS15 ="FOTOGRAFIA",
                           "LINK",
                           "https://www.appsheet.com/template/gettablefileurl?appName=APP022ParticMagnMTV2-924373673-26-05-14&amp;tableName=4.reg_fotografico&amp;fileName="&amp;AS15                         )
                          )</f>
        <v>https://www.appsheet.com/template/gettablefileurl?appName=APP022ParticMagnMTV2-924373673-26-05-14&amp;tableName=4.reg_fotografico&amp;fileName=2.general_particulas_magneticas_Images/Report_PV_d9e4640a.firma.030134.png</v>
      </c>
      <c r="AU15" s="40">
        <v>46167.80516203704</v>
      </c>
      <c r="AV15" s="54" t="str">
        <f t="shared" ref="AV15:AV19" si="1">map(AT21, lambda(url, image(url,1)))</f>
        <v/>
      </c>
      <c r="AX15" s="38" t="s">
        <v>522</v>
      </c>
    </row>
    <row r="16" ht="22.5" customHeight="1">
      <c r="A16" s="36" t="s">
        <v>523</v>
      </c>
      <c r="D16" s="36" t="s">
        <v>284</v>
      </c>
      <c r="E16" s="39" t="s">
        <v>331</v>
      </c>
      <c r="G16" s="37">
        <v>46164.0</v>
      </c>
      <c r="H16" s="36" t="s">
        <v>524</v>
      </c>
      <c r="I16" s="36" t="s">
        <v>303</v>
      </c>
      <c r="J16" s="36" t="s">
        <v>406</v>
      </c>
      <c r="K16" s="36" t="s">
        <v>407</v>
      </c>
      <c r="L16" s="36" t="s">
        <v>408</v>
      </c>
      <c r="M16" s="36" t="s">
        <v>409</v>
      </c>
      <c r="N16" s="36" t="s">
        <v>337</v>
      </c>
      <c r="O16" s="36">
        <v>54369.995</v>
      </c>
      <c r="P16" s="36" t="s">
        <v>525</v>
      </c>
      <c r="Q16" s="36" t="s">
        <v>309</v>
      </c>
      <c r="R16" s="36" t="s">
        <v>292</v>
      </c>
      <c r="S16" s="36">
        <v>7.93</v>
      </c>
      <c r="T16" s="39" t="s">
        <v>463</v>
      </c>
      <c r="U16" s="36" t="s">
        <v>526</v>
      </c>
      <c r="V16" s="36" t="s">
        <v>414</v>
      </c>
      <c r="W16" s="36" t="s">
        <v>527</v>
      </c>
      <c r="X16" s="39" t="s">
        <v>314</v>
      </c>
      <c r="Y16" s="36" t="s">
        <v>315</v>
      </c>
      <c r="Z16" s="36" t="s">
        <v>316</v>
      </c>
      <c r="AA16" s="36">
        <v>10.0</v>
      </c>
      <c r="AB16" s="36" t="s">
        <v>343</v>
      </c>
      <c r="AC16" s="36" t="s">
        <v>343</v>
      </c>
      <c r="AD16" s="36" t="s">
        <v>280</v>
      </c>
      <c r="AE16" s="36" t="s">
        <v>344</v>
      </c>
      <c r="AF16" s="36" t="s">
        <v>293</v>
      </c>
      <c r="AG16" s="36" t="s">
        <v>294</v>
      </c>
      <c r="AI16" s="36" t="s">
        <v>359</v>
      </c>
      <c r="AJ16" s="36" t="s">
        <v>415</v>
      </c>
      <c r="AK16" s="36" t="s">
        <v>323</v>
      </c>
      <c r="AL16" s="39" t="s">
        <v>346</v>
      </c>
      <c r="AM16" s="36">
        <v>0.0</v>
      </c>
      <c r="AN16" s="36">
        <v>1583.0</v>
      </c>
      <c r="AO16" s="36" t="s">
        <v>325</v>
      </c>
      <c r="AP16" s="36" t="s">
        <v>528</v>
      </c>
      <c r="AQ16" s="36" t="s">
        <v>417</v>
      </c>
      <c r="AR16" s="36" t="s">
        <v>348</v>
      </c>
      <c r="AS16" s="36" t="s">
        <v>529</v>
      </c>
      <c r="AT16" s="38" t="str">
        <f t="array" ref="AT16">IF(
                AS16 = "",
                "",
                       IF(
                           AS16 ="FOTOGRAFIA",
                           "LINK",
                           "https://www.appsheet.com/template/gettablefileurl?appName=APP022ParticMagnMTV2-924373673-26-05-14&amp;tableName=4.reg_fotografico&amp;fileName="&amp;AS16                         )
                          )</f>
        <v>https://www.appsheet.com/template/gettablefileurl?appName=APP022ParticMagnMTV2-924373673-26-05-14&amp;tableName=4.reg_fotografico&amp;fileName=2.general_particulas_magneticas_Images/Report_PV_c4693edc.firma.031840.png</v>
      </c>
      <c r="AU16" s="40">
        <v>46168.748877314814</v>
      </c>
      <c r="AV16" s="54" t="str">
        <f t="shared" si="1"/>
        <v/>
      </c>
      <c r="AW16" s="39" t="s">
        <v>419</v>
      </c>
      <c r="AX16" s="38" t="s">
        <v>530</v>
      </c>
    </row>
    <row r="17" ht="22.5" customHeight="1">
      <c r="A17" s="36" t="s">
        <v>531</v>
      </c>
      <c r="B17" s="60"/>
      <c r="D17" s="36" t="s">
        <v>284</v>
      </c>
      <c r="E17" s="39" t="s">
        <v>331</v>
      </c>
      <c r="G17" s="37">
        <v>46170.0</v>
      </c>
      <c r="H17" s="36" t="s">
        <v>532</v>
      </c>
      <c r="I17" s="36" t="s">
        <v>533</v>
      </c>
      <c r="J17" s="36" t="s">
        <v>534</v>
      </c>
      <c r="K17" s="36" t="s">
        <v>535</v>
      </c>
      <c r="L17" s="36" t="s">
        <v>441</v>
      </c>
      <c r="M17" s="36" t="s">
        <v>536</v>
      </c>
      <c r="N17" s="36" t="s">
        <v>537</v>
      </c>
      <c r="O17" s="36">
        <v>27438.199</v>
      </c>
      <c r="P17" s="36" t="s">
        <v>538</v>
      </c>
      <c r="Q17" s="36" t="s">
        <v>357</v>
      </c>
      <c r="R17" s="36" t="s">
        <v>498</v>
      </c>
      <c r="S17" s="36">
        <v>7.09</v>
      </c>
      <c r="T17" s="39" t="s">
        <v>377</v>
      </c>
      <c r="U17" s="36" t="s">
        <v>539</v>
      </c>
      <c r="V17" s="36" t="s">
        <v>540</v>
      </c>
      <c r="W17" s="36" t="s">
        <v>541</v>
      </c>
      <c r="X17" s="39" t="s">
        <v>542</v>
      </c>
      <c r="Y17" s="36" t="s">
        <v>315</v>
      </c>
      <c r="Z17" s="36" t="s">
        <v>316</v>
      </c>
      <c r="AA17" s="36">
        <v>10.0</v>
      </c>
      <c r="AB17" s="36" t="s">
        <v>343</v>
      </c>
      <c r="AC17" s="36" t="s">
        <v>343</v>
      </c>
      <c r="AD17" s="36" t="s">
        <v>280</v>
      </c>
      <c r="AE17" s="36" t="s">
        <v>344</v>
      </c>
      <c r="AF17" s="36" t="s">
        <v>293</v>
      </c>
      <c r="AG17" s="36" t="s">
        <v>294</v>
      </c>
      <c r="AI17" s="36" t="s">
        <v>323</v>
      </c>
      <c r="AJ17" s="36" t="s">
        <v>447</v>
      </c>
      <c r="AK17" s="36" t="s">
        <v>323</v>
      </c>
      <c r="AL17" s="36" t="s">
        <v>324</v>
      </c>
      <c r="AM17" s="36">
        <v>0.0</v>
      </c>
      <c r="AN17" s="36">
        <v>1614.0</v>
      </c>
      <c r="AO17" s="36" t="s">
        <v>325</v>
      </c>
      <c r="AP17" s="36" t="s">
        <v>448</v>
      </c>
      <c r="AQ17" s="36" t="s">
        <v>449</v>
      </c>
      <c r="AR17" s="36" t="s">
        <v>543</v>
      </c>
      <c r="AS17" s="36" t="s">
        <v>544</v>
      </c>
      <c r="AT17" s="38" t="str">
        <f t="array" ref="AT17">IF(
                AS17 = "",
                "",
                       IF(
                           AS17 ="FOTOGRAFIA",
                           "LINK",
                           "https://www.appsheet.com/template/gettablefileurl?appName=APP022ParticMagnMTV2-924373673-26-05-14&amp;tableName=4.reg_fotografico&amp;fileName="&amp;AS17                         )
                          )</f>
        <v>https://www.appsheet.com/template/gettablefileurl?appName=APP022ParticMagnMTV2-924373673-26-05-14&amp;tableName=4.reg_fotografico&amp;fileName=2.general_particulas_magneticas_Images/Report_PV_63fd3c5b.firma.152214.png</v>
      </c>
      <c r="AU17" s="40">
        <v>46170.64885416667</v>
      </c>
      <c r="AV17" s="54" t="str">
        <f t="shared" si="1"/>
        <v/>
      </c>
      <c r="AW17" s="36" t="s">
        <v>545</v>
      </c>
      <c r="AX17" s="36"/>
    </row>
    <row r="18" ht="22.5" customHeight="1">
      <c r="A18" s="36" t="s">
        <v>546</v>
      </c>
      <c r="B18" s="60"/>
      <c r="D18" s="36" t="s">
        <v>547</v>
      </c>
      <c r="E18" s="39" t="s">
        <v>548</v>
      </c>
      <c r="G18" s="37">
        <v>46172.0</v>
      </c>
      <c r="H18" s="36" t="s">
        <v>454</v>
      </c>
      <c r="I18" s="36" t="s">
        <v>369</v>
      </c>
      <c r="J18" s="36" t="s">
        <v>549</v>
      </c>
      <c r="L18" s="36" t="s">
        <v>550</v>
      </c>
      <c r="M18" s="36" t="s">
        <v>551</v>
      </c>
      <c r="N18" s="36" t="s">
        <v>552</v>
      </c>
      <c r="O18" s="36">
        <v>9393.981</v>
      </c>
      <c r="P18" s="36" t="s">
        <v>553</v>
      </c>
      <c r="Q18" s="36" t="s">
        <v>309</v>
      </c>
      <c r="R18" s="36" t="s">
        <v>376</v>
      </c>
      <c r="S18" s="36">
        <v>8.14</v>
      </c>
      <c r="T18" s="39" t="s">
        <v>554</v>
      </c>
      <c r="U18" s="36" t="s">
        <v>555</v>
      </c>
      <c r="V18" s="36" t="s">
        <v>556</v>
      </c>
      <c r="W18" s="36" t="s">
        <v>527</v>
      </c>
      <c r="X18" s="39" t="s">
        <v>314</v>
      </c>
      <c r="Y18" s="36" t="s">
        <v>315</v>
      </c>
      <c r="Z18" s="36" t="s">
        <v>316</v>
      </c>
      <c r="AA18" s="36">
        <v>10.0</v>
      </c>
      <c r="AB18" s="36" t="s">
        <v>343</v>
      </c>
      <c r="AC18" s="36" t="s">
        <v>343</v>
      </c>
      <c r="AD18" s="36" t="s">
        <v>280</v>
      </c>
      <c r="AE18" s="36" t="s">
        <v>344</v>
      </c>
      <c r="AF18" s="36" t="s">
        <v>293</v>
      </c>
      <c r="AG18" s="36" t="s">
        <v>294</v>
      </c>
      <c r="AI18" s="36" t="s">
        <v>359</v>
      </c>
      <c r="AJ18" s="36" t="s">
        <v>415</v>
      </c>
      <c r="AK18" s="36" t="s">
        <v>323</v>
      </c>
      <c r="AL18" s="39" t="s">
        <v>346</v>
      </c>
      <c r="AM18" s="36">
        <v>0.0</v>
      </c>
      <c r="AN18" s="36">
        <v>1274.0</v>
      </c>
      <c r="AO18" s="36" t="s">
        <v>325</v>
      </c>
      <c r="AP18" s="36" t="s">
        <v>557</v>
      </c>
      <c r="AQ18" s="36" t="s">
        <v>558</v>
      </c>
      <c r="AR18" s="36" t="s">
        <v>348</v>
      </c>
      <c r="AS18" s="36" t="s">
        <v>559</v>
      </c>
      <c r="AT18" s="38" t="str">
        <f t="array" ref="AT18">IF(
                AS18 = "",
                "",
                       IF(
                           AS18 ="FOTOGRAFIA",
                           "LINK",
                           "https://www.appsheet.com/template/gettablefileurl?appName=APP022ParticMagnMTV2-924373673-26-05-14&amp;tableName=4.reg_fotografico&amp;fileName="&amp;AS18                         )
                          )</f>
        <v>https://www.appsheet.com/template/gettablefileurl?appName=APP022ParticMagnMTV2-924373673-26-05-14&amp;tableName=4.reg_fotografico&amp;fileName=2.general_particulas_magneticas_Images/Report_PV_c8032ff9.firma.144146.png</v>
      </c>
      <c r="AU18" s="40">
        <v>46174.386469907404</v>
      </c>
      <c r="AV18" s="54" t="str">
        <f t="shared" si="1"/>
        <v/>
      </c>
      <c r="AW18" s="39" t="s">
        <v>419</v>
      </c>
      <c r="AX18" s="38" t="s">
        <v>560</v>
      </c>
    </row>
    <row r="19" ht="22.5" customHeight="1">
      <c r="A19" s="36" t="s">
        <v>561</v>
      </c>
      <c r="D19" s="36" t="s">
        <v>284</v>
      </c>
      <c r="E19" s="39" t="s">
        <v>331</v>
      </c>
      <c r="G19" s="37">
        <v>46171.0</v>
      </c>
      <c r="H19" s="36" t="s">
        <v>562</v>
      </c>
      <c r="I19" s="36" t="s">
        <v>563</v>
      </c>
      <c r="J19" s="36" t="s">
        <v>564</v>
      </c>
      <c r="K19" s="36" t="s">
        <v>565</v>
      </c>
      <c r="L19" s="36" t="s">
        <v>335</v>
      </c>
      <c r="M19" s="36" t="s">
        <v>336</v>
      </c>
      <c r="N19" s="36" t="s">
        <v>566</v>
      </c>
      <c r="O19" s="36">
        <v>9102.768</v>
      </c>
      <c r="P19" s="36" t="s">
        <v>567</v>
      </c>
      <c r="Q19" s="36" t="s">
        <v>309</v>
      </c>
      <c r="R19" s="36" t="s">
        <v>498</v>
      </c>
      <c r="S19" s="36">
        <v>5.55</v>
      </c>
      <c r="T19" s="39" t="s">
        <v>568</v>
      </c>
      <c r="U19" s="36" t="s">
        <v>569</v>
      </c>
      <c r="V19" s="36" t="s">
        <v>570</v>
      </c>
      <c r="W19" s="36" t="s">
        <v>527</v>
      </c>
      <c r="X19" s="39" t="s">
        <v>314</v>
      </c>
      <c r="Y19" s="36" t="s">
        <v>315</v>
      </c>
      <c r="Z19" s="36" t="s">
        <v>316</v>
      </c>
      <c r="AA19" s="36">
        <v>10.0</v>
      </c>
      <c r="AB19" s="36" t="s">
        <v>343</v>
      </c>
      <c r="AC19" s="36" t="s">
        <v>343</v>
      </c>
      <c r="AD19" s="36" t="s">
        <v>280</v>
      </c>
      <c r="AE19" s="36" t="s">
        <v>344</v>
      </c>
      <c r="AF19" s="36" t="s">
        <v>293</v>
      </c>
      <c r="AG19" s="36" t="s">
        <v>380</v>
      </c>
      <c r="AI19" s="36" t="s">
        <v>359</v>
      </c>
      <c r="AJ19" s="36" t="s">
        <v>571</v>
      </c>
      <c r="AK19" s="36" t="s">
        <v>323</v>
      </c>
      <c r="AL19" s="39" t="s">
        <v>346</v>
      </c>
      <c r="AM19" s="36">
        <v>8.2</v>
      </c>
      <c r="AN19" s="36">
        <v>1175.0</v>
      </c>
      <c r="AO19" s="36" t="s">
        <v>325</v>
      </c>
      <c r="AP19" s="36" t="s">
        <v>572</v>
      </c>
      <c r="AQ19" s="36" t="s">
        <v>573</v>
      </c>
      <c r="AR19" s="36" t="s">
        <v>574</v>
      </c>
      <c r="AS19" s="36" t="s">
        <v>575</v>
      </c>
      <c r="AT19" s="38" t="str">
        <f t="array" ref="AT19">IF(
                AS19 = "",
                "",
                       IF(
                           AS19 ="FOTOGRAFIA",
                           "LINK",
                           "https://www.appsheet.com/template/gettablefileurl?appName=APP022ParticMagnMTV2-924373673-26-05-14&amp;tableName=4.reg_fotografico&amp;fileName="&amp;AS19                         )
                          )</f>
        <v>https://www.appsheet.com/template/gettablefileurl?appName=APP022ParticMagnMTV2-924373673-26-05-14&amp;tableName=4.reg_fotografico&amp;fileName=2.general_particulas_magneticas_Images/Report_PV_05a5fb7c.firma.192931.jpg</v>
      </c>
      <c r="AU19" s="40">
        <v>46174.58195601852</v>
      </c>
      <c r="AV19" s="54" t="str">
        <f t="shared" si="1"/>
        <v/>
      </c>
      <c r="AW19" s="39" t="s">
        <v>576</v>
      </c>
      <c r="AX19" s="38" t="s">
        <v>577</v>
      </c>
    </row>
    <row r="20" ht="22.5" customHeight="1">
      <c r="A20" s="36" t="s">
        <v>578</v>
      </c>
      <c r="D20" s="36" t="s">
        <v>284</v>
      </c>
      <c r="E20" s="36" t="s">
        <v>579</v>
      </c>
      <c r="G20" s="37">
        <v>46163.0</v>
      </c>
      <c r="H20" s="36" t="s">
        <v>532</v>
      </c>
      <c r="I20" s="36" t="s">
        <v>580</v>
      </c>
      <c r="K20" s="36" t="s">
        <v>371</v>
      </c>
      <c r="L20" s="36" t="s">
        <v>581</v>
      </c>
      <c r="M20" s="36" t="s">
        <v>582</v>
      </c>
      <c r="N20" s="36" t="s">
        <v>583</v>
      </c>
      <c r="O20" s="36">
        <v>30056.061</v>
      </c>
      <c r="P20" s="36" t="s">
        <v>584</v>
      </c>
      <c r="Q20" s="36" t="s">
        <v>309</v>
      </c>
      <c r="R20" s="36" t="s">
        <v>376</v>
      </c>
      <c r="S20" s="36">
        <v>8.74</v>
      </c>
      <c r="T20" s="39" t="s">
        <v>585</v>
      </c>
      <c r="U20" s="36" t="s">
        <v>586</v>
      </c>
      <c r="W20" s="36" t="s">
        <v>527</v>
      </c>
      <c r="X20" s="39" t="s">
        <v>314</v>
      </c>
      <c r="Y20" s="36" t="s">
        <v>315</v>
      </c>
      <c r="Z20" s="36" t="s">
        <v>316</v>
      </c>
      <c r="AA20" s="36">
        <v>10.0</v>
      </c>
      <c r="AB20" s="36" t="s">
        <v>343</v>
      </c>
      <c r="AC20" s="36" t="s">
        <v>343</v>
      </c>
      <c r="AD20" s="36" t="s">
        <v>280</v>
      </c>
      <c r="AE20" s="36" t="s">
        <v>344</v>
      </c>
      <c r="AF20" s="36" t="s">
        <v>293</v>
      </c>
      <c r="AG20" s="36" t="s">
        <v>380</v>
      </c>
      <c r="AI20" s="36" t="s">
        <v>323</v>
      </c>
      <c r="AJ20" s="36" t="s">
        <v>587</v>
      </c>
      <c r="AM20" s="36">
        <v>0.05</v>
      </c>
      <c r="AN20" s="36">
        <v>2224.0</v>
      </c>
      <c r="AO20" s="36" t="s">
        <v>325</v>
      </c>
      <c r="AP20" s="36" t="s">
        <v>588</v>
      </c>
      <c r="AQ20" s="36" t="s">
        <v>589</v>
      </c>
      <c r="AR20" s="36" t="s">
        <v>384</v>
      </c>
      <c r="AS20" s="36" t="s">
        <v>590</v>
      </c>
      <c r="AT20" s="38" t="str">
        <f t="array" ref="AT20">IF(
                AS20 = "",
                "",
                       IF(
                           AS20 ="FOTOGRAFIA",
                           "LINK",
                           "https://www.appsheet.com/template/gettablefileurl?appName=APP022ParticMagnMTV2-924373673-26-05-14&amp;tableName=4.reg_fotografico&amp;fileName="&amp;AS20                         )
                          )</f>
        <v>https://www.appsheet.com/template/gettablefileurl?appName=APP022ParticMagnMTV2-924373673-26-05-14&amp;tableName=4.reg_fotografico&amp;fileName=2.general_particulas_magneticas_Images/Report_PV_3970d8a5.firma.142015.png</v>
      </c>
      <c r="AU20" s="40">
        <v>46176.327060185184</v>
      </c>
      <c r="AV20" s="54" t="str">
        <f t="array" ref="AV20">map(#REF!, lambda(url, image(url,1)))</f>
        <v>#REF!</v>
      </c>
      <c r="AW20" s="39" t="s">
        <v>591</v>
      </c>
      <c r="AX20" s="38" t="s">
        <v>592</v>
      </c>
    </row>
    <row r="21" ht="22.5" customHeight="1">
      <c r="A21" s="36" t="s">
        <v>593</v>
      </c>
      <c r="D21" s="36" t="s">
        <v>284</v>
      </c>
      <c r="E21" s="36" t="s">
        <v>594</v>
      </c>
      <c r="G21" s="37">
        <v>46170.0</v>
      </c>
      <c r="H21" s="36" t="s">
        <v>595</v>
      </c>
      <c r="I21" s="36" t="s">
        <v>580</v>
      </c>
      <c r="K21" s="36" t="s">
        <v>596</v>
      </c>
      <c r="L21" s="36" t="s">
        <v>372</v>
      </c>
      <c r="M21" s="36" t="s">
        <v>373</v>
      </c>
      <c r="N21" s="36" t="s">
        <v>597</v>
      </c>
      <c r="O21" s="36">
        <v>71390.0</v>
      </c>
      <c r="P21" s="36" t="s">
        <v>598</v>
      </c>
      <c r="Q21" s="36" t="s">
        <v>309</v>
      </c>
      <c r="R21" s="36" t="s">
        <v>310</v>
      </c>
      <c r="S21" s="36">
        <v>8.7</v>
      </c>
      <c r="T21" s="39" t="s">
        <v>599</v>
      </c>
      <c r="U21" s="36" t="s">
        <v>378</v>
      </c>
      <c r="W21" s="36" t="s">
        <v>527</v>
      </c>
      <c r="X21" s="39" t="s">
        <v>314</v>
      </c>
      <c r="Y21" s="36" t="s">
        <v>315</v>
      </c>
      <c r="Z21" s="36" t="s">
        <v>316</v>
      </c>
      <c r="AA21" s="36">
        <v>10.0</v>
      </c>
      <c r="AB21" s="36" t="s">
        <v>343</v>
      </c>
      <c r="AC21" s="36" t="s">
        <v>343</v>
      </c>
      <c r="AD21" s="36" t="s">
        <v>280</v>
      </c>
      <c r="AE21" s="36" t="s">
        <v>344</v>
      </c>
      <c r="AF21" s="36" t="s">
        <v>293</v>
      </c>
      <c r="AG21" s="36" t="s">
        <v>380</v>
      </c>
      <c r="AI21" s="36" t="s">
        <v>323</v>
      </c>
      <c r="AJ21" s="36" t="s">
        <v>587</v>
      </c>
      <c r="AM21" s="36">
        <v>0.38</v>
      </c>
      <c r="AN21" s="36">
        <v>1431.0</v>
      </c>
      <c r="AO21" s="36" t="s">
        <v>325</v>
      </c>
      <c r="AP21" s="36" t="s">
        <v>600</v>
      </c>
      <c r="AQ21" s="36" t="s">
        <v>589</v>
      </c>
      <c r="AR21" s="36" t="s">
        <v>384</v>
      </c>
      <c r="AS21" s="36" t="s">
        <v>601</v>
      </c>
      <c r="AT21" s="38" t="str">
        <f t="array" ref="AT21">IF(
                AS21 = "",
                "",
                       IF(
                           AS21 ="FOTOGRAFIA",
                           "LINK",
                           "https://www.appsheet.com/template/gettablefileurl?appName=APP022ParticMagnMTV2-924373673-26-05-14&amp;tableName=4.reg_fotografico&amp;fileName="&amp;AS21                         )
                          )</f>
        <v>https://www.appsheet.com/template/gettablefileurl?appName=APP022ParticMagnMTV2-924373673-26-05-14&amp;tableName=4.reg_fotografico&amp;fileName=2.general_particulas_magneticas_Images/Report_PV_d5272d1d.firma.144601.png</v>
      </c>
      <c r="AU21" s="40">
        <v>46176.39319444444</v>
      </c>
      <c r="AV21" s="54" t="str">
        <f t="shared" ref="AV21:AV22" si="2">map(AT26, lambda(url, image(url,1)))</f>
        <v/>
      </c>
      <c r="AW21" s="39" t="s">
        <v>591</v>
      </c>
      <c r="AX21" s="38" t="s">
        <v>602</v>
      </c>
    </row>
    <row r="22" ht="22.5" customHeight="1">
      <c r="A22" s="36" t="s">
        <v>603</v>
      </c>
      <c r="D22" s="36" t="s">
        <v>284</v>
      </c>
      <c r="E22" s="39" t="s">
        <v>331</v>
      </c>
      <c r="G22" s="37">
        <v>46176.0</v>
      </c>
      <c r="H22" s="36" t="s">
        <v>604</v>
      </c>
      <c r="I22" s="36" t="s">
        <v>422</v>
      </c>
      <c r="J22" s="36" t="s">
        <v>605</v>
      </c>
      <c r="K22" s="36" t="s">
        <v>606</v>
      </c>
      <c r="L22" s="36" t="s">
        <v>494</v>
      </c>
      <c r="M22" s="36" t="s">
        <v>495</v>
      </c>
      <c r="N22" s="36" t="s">
        <v>607</v>
      </c>
      <c r="O22" s="36">
        <v>24261.538</v>
      </c>
      <c r="P22" s="36" t="s">
        <v>608</v>
      </c>
      <c r="Q22" s="36" t="s">
        <v>309</v>
      </c>
      <c r="R22" s="36" t="s">
        <v>310</v>
      </c>
      <c r="S22" s="36">
        <v>7.09</v>
      </c>
      <c r="T22" s="39" t="s">
        <v>463</v>
      </c>
      <c r="U22" s="36" t="s">
        <v>608</v>
      </c>
      <c r="V22" s="36" t="s">
        <v>609</v>
      </c>
      <c r="W22" s="36" t="s">
        <v>527</v>
      </c>
      <c r="X22" s="39" t="s">
        <v>314</v>
      </c>
      <c r="Y22" s="36" t="s">
        <v>315</v>
      </c>
      <c r="Z22" s="36" t="s">
        <v>316</v>
      </c>
      <c r="AA22" s="36">
        <v>10.0</v>
      </c>
      <c r="AB22" s="36" t="s">
        <v>343</v>
      </c>
      <c r="AC22" s="36" t="s">
        <v>343</v>
      </c>
      <c r="AD22" s="36" t="s">
        <v>280</v>
      </c>
      <c r="AE22" s="36" t="s">
        <v>344</v>
      </c>
      <c r="AF22" s="36" t="s">
        <v>293</v>
      </c>
      <c r="AG22" s="36" t="s">
        <v>294</v>
      </c>
      <c r="AI22" s="36" t="s">
        <v>359</v>
      </c>
      <c r="AJ22" s="36" t="s">
        <v>610</v>
      </c>
      <c r="AK22" s="36" t="s">
        <v>323</v>
      </c>
      <c r="AL22" s="36" t="s">
        <v>324</v>
      </c>
      <c r="AM22" s="36">
        <v>1.7</v>
      </c>
      <c r="AN22" s="36">
        <v>1766.0</v>
      </c>
      <c r="AO22" s="36" t="s">
        <v>325</v>
      </c>
      <c r="AP22" s="36" t="s">
        <v>611</v>
      </c>
      <c r="AQ22" s="36" t="s">
        <v>612</v>
      </c>
      <c r="AR22" s="36" t="s">
        <v>613</v>
      </c>
      <c r="AS22" s="36" t="s">
        <v>614</v>
      </c>
      <c r="AT22" s="38" t="str">
        <f t="array" ref="AT22">IF(
                AS22 = "",
                "",
                       IF(
                           AS22 ="FOTOGRAFIA",
                           "LINK",
                           "https://www.appsheet.com/template/gettablefileurl?appName=APP022ParticMagnMTV2-924373673-26-05-14&amp;tableName=4.reg_fotografico&amp;fileName="&amp;AS22                         )
                          )</f>
        <v>https://www.appsheet.com/template/gettablefileurl?appName=APP022ParticMagnMTV2-924373673-26-05-14&amp;tableName=4.reg_fotografico&amp;fileName=2.general_particulas_magneticas_Images/Report_PV_d3867aae.firma.000930.jpg</v>
      </c>
      <c r="AU22" s="40">
        <v>46176.79021990741</v>
      </c>
      <c r="AV22" s="54" t="str">
        <f t="shared" si="2"/>
        <v/>
      </c>
      <c r="AW22" s="39" t="s">
        <v>402</v>
      </c>
    </row>
    <row r="23" ht="22.5" customHeight="1">
      <c r="A23" s="36" t="s">
        <v>615</v>
      </c>
      <c r="D23" s="36" t="s">
        <v>284</v>
      </c>
      <c r="E23" s="36">
        <v>8.000008077E9</v>
      </c>
      <c r="G23" s="37">
        <v>46169.0</v>
      </c>
      <c r="H23" s="36" t="s">
        <v>616</v>
      </c>
      <c r="I23" s="36" t="s">
        <v>617</v>
      </c>
      <c r="J23" s="36" t="s">
        <v>618</v>
      </c>
      <c r="K23" s="36" t="s">
        <v>619</v>
      </c>
      <c r="L23" s="36" t="s">
        <v>620</v>
      </c>
      <c r="M23" s="36" t="s">
        <v>369</v>
      </c>
      <c r="N23" s="36" t="s">
        <v>621</v>
      </c>
      <c r="O23" s="36">
        <v>1.2968148E7</v>
      </c>
      <c r="P23" s="61">
        <v>1.2968148E7</v>
      </c>
      <c r="Q23" s="36" t="s">
        <v>309</v>
      </c>
      <c r="R23" s="36" t="s">
        <v>376</v>
      </c>
      <c r="S23" s="36">
        <v>8.6</v>
      </c>
      <c r="T23" s="36">
        <v>18.0</v>
      </c>
      <c r="U23" s="36" t="s">
        <v>622</v>
      </c>
      <c r="V23" s="36" t="s">
        <v>623</v>
      </c>
      <c r="W23" s="36" t="s">
        <v>541</v>
      </c>
      <c r="X23" s="39" t="s">
        <v>314</v>
      </c>
      <c r="Y23" s="36" t="s">
        <v>624</v>
      </c>
      <c r="Z23" s="36" t="s">
        <v>316</v>
      </c>
      <c r="AA23" s="36">
        <v>10.0</v>
      </c>
      <c r="AB23" s="36" t="s">
        <v>343</v>
      </c>
      <c r="AC23" s="36" t="s">
        <v>343</v>
      </c>
      <c r="AD23" s="36" t="s">
        <v>280</v>
      </c>
      <c r="AE23" s="36" t="s">
        <v>344</v>
      </c>
      <c r="AF23" s="36" t="s">
        <v>293</v>
      </c>
      <c r="AG23" s="36" t="s">
        <v>358</v>
      </c>
      <c r="AI23" s="36" t="s">
        <v>359</v>
      </c>
      <c r="AJ23" s="36" t="s">
        <v>467</v>
      </c>
      <c r="AK23" s="36" t="s">
        <v>468</v>
      </c>
      <c r="AL23" s="36" t="s">
        <v>346</v>
      </c>
      <c r="AM23" s="36">
        <v>0.44</v>
      </c>
      <c r="AN23" s="36">
        <v>1818.0</v>
      </c>
      <c r="AO23" s="36" t="s">
        <v>325</v>
      </c>
      <c r="AP23" s="36" t="s">
        <v>469</v>
      </c>
      <c r="AR23" s="36" t="s">
        <v>470</v>
      </c>
      <c r="AS23" s="36" t="s">
        <v>625</v>
      </c>
      <c r="AT23" s="38" t="s">
        <v>626</v>
      </c>
      <c r="AU23" s="40">
        <v>46169.78902777778</v>
      </c>
      <c r="AV23" s="54" t="str">
        <f t="array" ref="AV23">map(AT28, lambda(url, image(url,1)))</f>
        <v/>
      </c>
      <c r="AX23" s="38" t="s">
        <v>627</v>
      </c>
    </row>
    <row r="24" ht="22.5" customHeight="1">
      <c r="A24" s="36" t="s">
        <v>628</v>
      </c>
      <c r="D24" s="36" t="s">
        <v>284</v>
      </c>
      <c r="E24" s="39" t="s">
        <v>331</v>
      </c>
      <c r="G24" s="37">
        <v>46178.0</v>
      </c>
      <c r="H24" s="36" t="s">
        <v>629</v>
      </c>
      <c r="I24" s="36" t="s">
        <v>630</v>
      </c>
      <c r="J24" s="36" t="s">
        <v>631</v>
      </c>
      <c r="K24" s="36" t="s">
        <v>632</v>
      </c>
      <c r="L24" s="36" t="s">
        <v>335</v>
      </c>
      <c r="M24" s="36" t="s">
        <v>633</v>
      </c>
      <c r="N24" s="36" t="s">
        <v>634</v>
      </c>
      <c r="O24" s="36">
        <v>5241.705</v>
      </c>
      <c r="P24" s="36" t="s">
        <v>635</v>
      </c>
      <c r="Q24" s="36" t="s">
        <v>636</v>
      </c>
      <c r="R24" s="36" t="s">
        <v>498</v>
      </c>
      <c r="S24" s="36">
        <v>6.35</v>
      </c>
      <c r="T24" s="39" t="s">
        <v>377</v>
      </c>
      <c r="U24" s="36" t="s">
        <v>637</v>
      </c>
      <c r="V24" s="36" t="s">
        <v>638</v>
      </c>
      <c r="W24" s="36" t="s">
        <v>527</v>
      </c>
      <c r="X24" s="39" t="s">
        <v>314</v>
      </c>
      <c r="Y24" s="36" t="s">
        <v>315</v>
      </c>
      <c r="Z24" s="36" t="s">
        <v>316</v>
      </c>
      <c r="AA24" s="36">
        <v>10.0</v>
      </c>
      <c r="AB24" s="36" t="s">
        <v>343</v>
      </c>
      <c r="AC24" s="36" t="s">
        <v>343</v>
      </c>
      <c r="AD24" s="36" t="s">
        <v>280</v>
      </c>
      <c r="AE24" s="36" t="s">
        <v>344</v>
      </c>
      <c r="AF24" s="36" t="s">
        <v>293</v>
      </c>
      <c r="AG24" s="36" t="s">
        <v>380</v>
      </c>
      <c r="AI24" s="36" t="s">
        <v>359</v>
      </c>
      <c r="AJ24" s="36" t="s">
        <v>482</v>
      </c>
      <c r="AK24" s="36" t="s">
        <v>503</v>
      </c>
      <c r="AL24" s="36" t="s">
        <v>323</v>
      </c>
      <c r="AM24" s="36">
        <v>7.1</v>
      </c>
      <c r="AN24" s="36">
        <v>1035.0</v>
      </c>
      <c r="AO24" s="36" t="s">
        <v>325</v>
      </c>
      <c r="AP24" s="36" t="s">
        <v>484</v>
      </c>
      <c r="AQ24" s="36" t="s">
        <v>485</v>
      </c>
      <c r="AR24" s="36" t="s">
        <v>486</v>
      </c>
      <c r="AS24" s="36" t="s">
        <v>639</v>
      </c>
      <c r="AT24" s="38" t="str">
        <f t="array" ref="AT24">IF(
                AS24 = "",
                "",
                       IF(
                           AS24 ="FOTOGRAFIA",
                           "LINK",
                           "https://www.appsheet.com/template/gettablefileurl?appName=APP022ParticMagnMTV2-924373673-26-05-14&amp;tableName=4.reg_fotografico&amp;fileName="&amp;AS24                         )
                          )</f>
        <v>https://www.appsheet.com/template/gettablefileurl?appName=APP022ParticMagnMTV2-924373673-26-05-14&amp;tableName=4.reg_fotografico&amp;fileName=2.general_particulas_magneticas_Images/Report_PV_d08db9fb.firma.181049.png</v>
      </c>
      <c r="AU24" s="40">
        <v>46179.49662037037</v>
      </c>
      <c r="AV24" s="54" t="str">
        <f t="shared" ref="AV24:AV25" si="3">map(AT29, lambda(url, image(url,1)))</f>
        <v/>
      </c>
      <c r="AW24" s="39" t="s">
        <v>640</v>
      </c>
      <c r="AX24" s="38" t="s">
        <v>641</v>
      </c>
    </row>
    <row r="25" ht="22.5" customHeight="1">
      <c r="A25" s="36" t="s">
        <v>642</v>
      </c>
      <c r="D25" s="36" t="s">
        <v>284</v>
      </c>
      <c r="E25" s="39" t="s">
        <v>331</v>
      </c>
      <c r="G25" s="37">
        <v>46178.0</v>
      </c>
      <c r="H25" s="36" t="s">
        <v>643</v>
      </c>
      <c r="I25" s="36" t="s">
        <v>644</v>
      </c>
      <c r="J25" s="36" t="s">
        <v>645</v>
      </c>
      <c r="K25" s="36" t="s">
        <v>646</v>
      </c>
      <c r="L25" s="36" t="s">
        <v>647</v>
      </c>
      <c r="M25" s="36" t="s">
        <v>648</v>
      </c>
      <c r="N25" s="36" t="s">
        <v>649</v>
      </c>
      <c r="O25" s="36">
        <v>8741.772</v>
      </c>
      <c r="P25" s="36" t="s">
        <v>650</v>
      </c>
      <c r="Q25" s="36" t="s">
        <v>357</v>
      </c>
      <c r="R25" s="36" t="s">
        <v>310</v>
      </c>
      <c r="S25" s="36">
        <v>6.07</v>
      </c>
      <c r="T25" s="39" t="s">
        <v>377</v>
      </c>
      <c r="U25" s="36" t="s">
        <v>651</v>
      </c>
      <c r="V25" s="36" t="s">
        <v>430</v>
      </c>
      <c r="W25" s="36" t="s">
        <v>527</v>
      </c>
      <c r="X25" s="39" t="s">
        <v>542</v>
      </c>
      <c r="Y25" s="36" t="s">
        <v>315</v>
      </c>
      <c r="Z25" s="36" t="s">
        <v>316</v>
      </c>
      <c r="AA25" s="36">
        <v>10.0</v>
      </c>
      <c r="AB25" s="36" t="s">
        <v>343</v>
      </c>
      <c r="AC25" s="36" t="s">
        <v>343</v>
      </c>
      <c r="AD25" s="36" t="s">
        <v>280</v>
      </c>
      <c r="AE25" s="36" t="s">
        <v>344</v>
      </c>
      <c r="AF25" s="36" t="s">
        <v>293</v>
      </c>
      <c r="AG25" s="36" t="s">
        <v>294</v>
      </c>
      <c r="AI25" s="36" t="s">
        <v>323</v>
      </c>
      <c r="AJ25" s="36" t="s">
        <v>447</v>
      </c>
      <c r="AK25" s="36" t="s">
        <v>323</v>
      </c>
      <c r="AL25" s="36" t="s">
        <v>324</v>
      </c>
      <c r="AM25" s="36">
        <v>0.78</v>
      </c>
      <c r="AN25" s="36">
        <v>1918.0</v>
      </c>
      <c r="AO25" s="36" t="s">
        <v>325</v>
      </c>
      <c r="AP25" s="36" t="s">
        <v>448</v>
      </c>
      <c r="AQ25" s="36" t="s">
        <v>449</v>
      </c>
      <c r="AR25" s="36" t="s">
        <v>652</v>
      </c>
      <c r="AS25" s="36" t="s">
        <v>653</v>
      </c>
      <c r="AT25" s="38" t="str">
        <f t="array" ref="AT25">IF(
                AS25 = "",
                "",
                       IF(
                           AS25 ="FOTOGRAFIA",
                           "LINK",
                           "https://www.appsheet.com/template/gettablefileurl?appName=APP022ParticMagnMTV2-924373673-26-05-14&amp;tableName=4.reg_fotografico&amp;fileName="&amp;AS25                         )
                          )</f>
        <v>https://www.appsheet.com/template/gettablefileurl?appName=APP022ParticMagnMTV2-924373673-26-05-14&amp;tableName=4.reg_fotografico&amp;fileName=2.general_particulas_magneticas_Images/Report_PV_7b4e7b8d.firma.184016.png</v>
      </c>
      <c r="AU25" s="40">
        <v>46183.565462962964</v>
      </c>
      <c r="AV25" s="54" t="str">
        <f t="shared" si="3"/>
        <v/>
      </c>
      <c r="AW25" s="39" t="s">
        <v>654</v>
      </c>
      <c r="AX25" s="38" t="s">
        <v>655</v>
      </c>
    </row>
    <row r="26" ht="22.5" customHeight="1">
      <c r="A26" s="36" t="s">
        <v>656</v>
      </c>
      <c r="D26" s="36" t="s">
        <v>284</v>
      </c>
      <c r="E26" s="39" t="s">
        <v>331</v>
      </c>
      <c r="G26" s="37">
        <v>46184.0</v>
      </c>
      <c r="H26" s="36" t="s">
        <v>657</v>
      </c>
      <c r="I26" s="36" t="s">
        <v>422</v>
      </c>
      <c r="J26" s="36" t="s">
        <v>658</v>
      </c>
      <c r="K26" s="36" t="s">
        <v>659</v>
      </c>
      <c r="L26" s="36" t="s">
        <v>494</v>
      </c>
      <c r="M26" s="36" t="s">
        <v>495</v>
      </c>
      <c r="N26" s="36" t="s">
        <v>660</v>
      </c>
      <c r="O26" s="36">
        <v>37190.954</v>
      </c>
      <c r="P26" s="36" t="s">
        <v>661</v>
      </c>
      <c r="Q26" s="36" t="s">
        <v>309</v>
      </c>
      <c r="R26" s="36" t="s">
        <v>310</v>
      </c>
      <c r="S26" s="36">
        <v>7.22</v>
      </c>
      <c r="T26" s="39" t="s">
        <v>568</v>
      </c>
      <c r="U26" s="36" t="s">
        <v>662</v>
      </c>
      <c r="V26" s="36" t="s">
        <v>663</v>
      </c>
      <c r="W26" s="36" t="s">
        <v>527</v>
      </c>
      <c r="X26" s="39" t="s">
        <v>664</v>
      </c>
      <c r="Y26" s="36" t="s">
        <v>315</v>
      </c>
      <c r="Z26" s="36" t="s">
        <v>316</v>
      </c>
      <c r="AA26" s="36">
        <v>10.0</v>
      </c>
      <c r="AB26" s="36" t="s">
        <v>343</v>
      </c>
      <c r="AC26" s="36" t="s">
        <v>343</v>
      </c>
      <c r="AD26" s="36" t="s">
        <v>280</v>
      </c>
      <c r="AE26" s="36" t="s">
        <v>344</v>
      </c>
      <c r="AF26" s="36" t="s">
        <v>293</v>
      </c>
      <c r="AG26" s="36" t="s">
        <v>294</v>
      </c>
      <c r="AI26" s="36" t="s">
        <v>665</v>
      </c>
      <c r="AJ26" s="36" t="s">
        <v>666</v>
      </c>
      <c r="AK26" s="36" t="s">
        <v>323</v>
      </c>
      <c r="AL26" s="36" t="s">
        <v>324</v>
      </c>
      <c r="AM26" s="36">
        <v>0.0</v>
      </c>
      <c r="AN26" s="36">
        <v>1346.0</v>
      </c>
      <c r="AO26" s="36" t="s">
        <v>325</v>
      </c>
      <c r="AP26" s="36" t="s">
        <v>667</v>
      </c>
      <c r="AQ26" s="36" t="s">
        <v>668</v>
      </c>
      <c r="AR26" s="36" t="s">
        <v>613</v>
      </c>
      <c r="AS26" s="36" t="s">
        <v>669</v>
      </c>
      <c r="AT26" s="38" t="str">
        <f t="array" ref="AT26">IF(
                AS26 = "",
                "",
                       IF(
                           AS26 ="FOTOGRAFIA",
                           "LINK",
                           "https://www.appsheet.com/template/gettablefileurl?appName=APP022ParticMagnMTV2-924373673-26-05-14&amp;tableName=4.reg_fotografico&amp;fileName="&amp;AS26                         )
                          )</f>
        <v>https://www.appsheet.com/template/gettablefileurl?appName=APP022ParticMagnMTV2-924373673-26-05-14&amp;tableName=4.reg_fotografico&amp;fileName=2.general_particulas_magneticas_Images/Report_PV_040a6bb9.firma.022358.jpg</v>
      </c>
      <c r="AU26" s="40">
        <v>46184.88663194444</v>
      </c>
      <c r="AV26" s="54" t="str">
        <f t="shared" ref="AV26:AV37" si="4">map(AT32, lambda(url, image(url,1)))</f>
        <v/>
      </c>
      <c r="AW26" s="39" t="s">
        <v>402</v>
      </c>
      <c r="AX26" s="38" t="s">
        <v>670</v>
      </c>
    </row>
    <row r="27" ht="22.5" customHeight="1">
      <c r="A27" s="36" t="s">
        <v>671</v>
      </c>
      <c r="D27" s="36" t="s">
        <v>284</v>
      </c>
      <c r="E27" s="39" t="s">
        <v>331</v>
      </c>
      <c r="G27" s="37">
        <v>46184.0</v>
      </c>
      <c r="H27" s="36" t="s">
        <v>672</v>
      </c>
      <c r="I27" s="36" t="s">
        <v>673</v>
      </c>
      <c r="J27" s="36" t="s">
        <v>674</v>
      </c>
      <c r="K27" s="36" t="s">
        <v>675</v>
      </c>
      <c r="L27" s="36" t="s">
        <v>676</v>
      </c>
      <c r="M27" s="36" t="s">
        <v>677</v>
      </c>
      <c r="N27" s="36" t="s">
        <v>678</v>
      </c>
      <c r="O27" s="36">
        <v>25390.619</v>
      </c>
      <c r="P27" s="36" t="s">
        <v>679</v>
      </c>
      <c r="Q27" s="36" t="s">
        <v>309</v>
      </c>
      <c r="R27" s="36" t="s">
        <v>310</v>
      </c>
      <c r="S27" s="36">
        <v>9.53</v>
      </c>
      <c r="T27" s="39" t="s">
        <v>585</v>
      </c>
      <c r="U27" s="39" t="s">
        <v>680</v>
      </c>
      <c r="V27" s="36" t="s">
        <v>681</v>
      </c>
      <c r="W27" s="36" t="s">
        <v>527</v>
      </c>
      <c r="Y27" s="36" t="s">
        <v>315</v>
      </c>
      <c r="Z27" s="36" t="s">
        <v>316</v>
      </c>
      <c r="AA27" s="36">
        <v>10.0</v>
      </c>
      <c r="AB27" s="36" t="s">
        <v>343</v>
      </c>
      <c r="AC27" s="36" t="s">
        <v>343</v>
      </c>
      <c r="AD27" s="36" t="s">
        <v>280</v>
      </c>
      <c r="AE27" s="36" t="s">
        <v>344</v>
      </c>
      <c r="AF27" s="36" t="s">
        <v>293</v>
      </c>
      <c r="AG27" s="36" t="s">
        <v>358</v>
      </c>
      <c r="AI27" s="36" t="s">
        <v>359</v>
      </c>
      <c r="AJ27" s="36" t="s">
        <v>682</v>
      </c>
      <c r="AK27" s="36" t="s">
        <v>468</v>
      </c>
      <c r="AL27" s="39" t="s">
        <v>346</v>
      </c>
      <c r="AM27" s="36">
        <v>11.9</v>
      </c>
      <c r="AN27" s="36">
        <v>1861.0</v>
      </c>
      <c r="AO27" s="36" t="s">
        <v>325</v>
      </c>
      <c r="AP27" s="36" t="s">
        <v>683</v>
      </c>
      <c r="AQ27" s="36" t="s">
        <v>684</v>
      </c>
      <c r="AR27" s="36" t="s">
        <v>574</v>
      </c>
      <c r="AS27" s="36" t="s">
        <v>685</v>
      </c>
      <c r="AT27" s="38" t="str">
        <f t="array" ref="AT27">IF(
                AS27 = "",
                "",
                       IF(
                           AS27 ="FOTOGRAFIA",
                           "LINK",
                           "https://www.appsheet.com/template/gettablefileurl?appName=APP022ParticMagnMTV2-924373673-26-05-14&amp;tableName=4.reg_fotografico&amp;fileName="&amp;AS27                         )
                          )</f>
        <v>https://www.appsheet.com/template/gettablefileurl?appName=APP022ParticMagnMTV2-924373673-26-05-14&amp;tableName=4.reg_fotografico&amp;fileName=2.general_particulas_magneticas_Images/Report_PV_539c6ebb.firma.193536.jpg</v>
      </c>
      <c r="AU27" s="40">
        <v>46185.60581018519</v>
      </c>
      <c r="AV27" s="54" t="str">
        <f t="shared" si="4"/>
        <v/>
      </c>
      <c r="AW27" s="39" t="s">
        <v>686</v>
      </c>
      <c r="AX27" s="38" t="s">
        <v>687</v>
      </c>
    </row>
    <row r="28" ht="22.5" customHeight="1">
      <c r="A28" s="36" t="s">
        <v>688</v>
      </c>
      <c r="D28" s="36" t="s">
        <v>284</v>
      </c>
      <c r="E28" s="39" t="s">
        <v>331</v>
      </c>
      <c r="G28" s="37">
        <v>46184.0</v>
      </c>
      <c r="H28" s="36" t="s">
        <v>689</v>
      </c>
      <c r="I28" s="36" t="s">
        <v>422</v>
      </c>
      <c r="J28" s="36" t="s">
        <v>690</v>
      </c>
      <c r="K28" s="36" t="s">
        <v>606</v>
      </c>
      <c r="L28" s="36" t="s">
        <v>494</v>
      </c>
      <c r="M28" s="36" t="s">
        <v>495</v>
      </c>
      <c r="N28" s="36" t="s">
        <v>691</v>
      </c>
      <c r="O28" s="36">
        <v>5603.379</v>
      </c>
      <c r="P28" s="36" t="s">
        <v>378</v>
      </c>
      <c r="Q28" s="36" t="s">
        <v>309</v>
      </c>
      <c r="R28" s="36" t="s">
        <v>310</v>
      </c>
      <c r="S28" s="36">
        <v>8.2</v>
      </c>
      <c r="T28" s="39" t="s">
        <v>463</v>
      </c>
      <c r="U28" s="36" t="s">
        <v>378</v>
      </c>
      <c r="V28" s="36" t="s">
        <v>692</v>
      </c>
      <c r="W28" s="36" t="s">
        <v>527</v>
      </c>
      <c r="X28" s="39" t="s">
        <v>314</v>
      </c>
      <c r="Y28" s="36" t="s">
        <v>315</v>
      </c>
      <c r="Z28" s="36" t="s">
        <v>316</v>
      </c>
      <c r="AA28" s="36">
        <v>10.0</v>
      </c>
      <c r="AB28" s="36" t="s">
        <v>343</v>
      </c>
      <c r="AC28" s="36" t="s">
        <v>343</v>
      </c>
      <c r="AD28" s="36" t="s">
        <v>280</v>
      </c>
      <c r="AE28" s="36" t="s">
        <v>344</v>
      </c>
      <c r="AF28" s="36" t="s">
        <v>293</v>
      </c>
      <c r="AG28" s="36" t="s">
        <v>294</v>
      </c>
      <c r="AI28" s="36" t="s">
        <v>665</v>
      </c>
      <c r="AJ28" s="36" t="s">
        <v>666</v>
      </c>
      <c r="AK28" s="36" t="s">
        <v>468</v>
      </c>
      <c r="AL28" s="36" t="s">
        <v>324</v>
      </c>
      <c r="AM28" s="36">
        <v>0.06</v>
      </c>
      <c r="AN28" s="36">
        <v>1666.0</v>
      </c>
      <c r="AO28" s="36" t="s">
        <v>325</v>
      </c>
      <c r="AP28" s="36" t="s">
        <v>693</v>
      </c>
      <c r="AQ28" s="36" t="s">
        <v>668</v>
      </c>
      <c r="AR28" s="36" t="s">
        <v>613</v>
      </c>
      <c r="AS28" s="36" t="s">
        <v>694</v>
      </c>
      <c r="AT28" s="38" t="str">
        <f t="array" ref="AT28">IF(
                AS28 = "",
                "",
                       IF(
                           AS28 ="FOTOGRAFIA",
                           "LINK",
                           "https://www.appsheet.com/template/gettablefileurl?appName=APP022ParticMagnMTV2-924373673-26-05-14&amp;tableName=4.reg_fotografico&amp;fileName="&amp;AS28                         )
                          )</f>
        <v>https://www.appsheet.com/template/gettablefileurl?appName=APP022ParticMagnMTV2-924373673-26-05-14&amp;tableName=4.reg_fotografico&amp;fileName=2.general_particulas_magneticas_Images/Report_PV_bf5ed851.firma.003449.jpg</v>
      </c>
      <c r="AU28" s="40">
        <v>46185.810532407406</v>
      </c>
      <c r="AV28" s="54" t="str">
        <f t="shared" si="4"/>
        <v/>
      </c>
      <c r="AW28" s="39" t="s">
        <v>402</v>
      </c>
      <c r="AX28" s="38" t="s">
        <v>695</v>
      </c>
    </row>
    <row r="29" ht="22.5" customHeight="1">
      <c r="A29" s="36" t="s">
        <v>696</v>
      </c>
      <c r="D29" s="36" t="s">
        <v>284</v>
      </c>
      <c r="E29" s="39" t="s">
        <v>331</v>
      </c>
      <c r="G29" s="37">
        <v>46190.0</v>
      </c>
      <c r="H29" s="36" t="s">
        <v>697</v>
      </c>
      <c r="I29" s="36" t="s">
        <v>369</v>
      </c>
      <c r="J29" s="36" t="s">
        <v>698</v>
      </c>
      <c r="K29" s="36" t="s">
        <v>619</v>
      </c>
      <c r="L29" s="36" t="s">
        <v>620</v>
      </c>
      <c r="M29" s="36" t="s">
        <v>369</v>
      </c>
      <c r="N29" s="36" t="s">
        <v>699</v>
      </c>
      <c r="O29" s="36">
        <v>1031.763</v>
      </c>
      <c r="P29" s="36" t="s">
        <v>411</v>
      </c>
      <c r="Q29" s="36" t="s">
        <v>309</v>
      </c>
      <c r="R29" s="36" t="s">
        <v>376</v>
      </c>
      <c r="S29" s="36">
        <v>8.61</v>
      </c>
      <c r="T29" s="39" t="s">
        <v>585</v>
      </c>
      <c r="V29" s="36" t="s">
        <v>700</v>
      </c>
      <c r="W29" s="36" t="s">
        <v>527</v>
      </c>
      <c r="X29" s="39" t="s">
        <v>314</v>
      </c>
      <c r="Y29" s="36" t="s">
        <v>315</v>
      </c>
      <c r="Z29" s="36" t="s">
        <v>316</v>
      </c>
      <c r="AA29" s="36">
        <v>10.0</v>
      </c>
      <c r="AB29" s="36" t="s">
        <v>343</v>
      </c>
      <c r="AC29" s="36" t="s">
        <v>343</v>
      </c>
      <c r="AD29" s="36" t="s">
        <v>280</v>
      </c>
      <c r="AE29" s="36" t="s">
        <v>344</v>
      </c>
      <c r="AF29" s="36" t="s">
        <v>293</v>
      </c>
      <c r="AG29" s="36" t="s">
        <v>294</v>
      </c>
      <c r="AI29" s="36" t="s">
        <v>359</v>
      </c>
      <c r="AJ29" s="36" t="s">
        <v>415</v>
      </c>
      <c r="AK29" s="36" t="s">
        <v>323</v>
      </c>
      <c r="AL29" s="39" t="s">
        <v>346</v>
      </c>
      <c r="AM29" s="36">
        <v>0.0</v>
      </c>
      <c r="AN29" s="36">
        <v>1306.0</v>
      </c>
      <c r="AO29" s="36" t="s">
        <v>325</v>
      </c>
      <c r="AP29" s="36" t="s">
        <v>557</v>
      </c>
      <c r="AQ29" s="36" t="s">
        <v>701</v>
      </c>
      <c r="AR29" s="36" t="s">
        <v>702</v>
      </c>
      <c r="AS29" s="36" t="s">
        <v>703</v>
      </c>
      <c r="AT29" s="38" t="str">
        <f t="array" ref="AT29">IF(
                AS29 = "",
                "",
                       IF(
                           AS29 ="FOTOGRAFIA",
                           "LINK",
                           "https://www.appsheet.com/template/gettablefileurl?appName=APP022ParticMagnMTV2-924373673-26-05-14&amp;tableName=4.reg_fotografico&amp;fileName="&amp;AS29                         )
                          )</f>
        <v>https://www.appsheet.com/template/gettablefileurl?appName=APP022ParticMagnMTV2-924373673-26-05-14&amp;tableName=4.reg_fotografico&amp;fileName=2.general_particulas_magneticas_Images/Report_PV_f74c9b68.firma.121353.png</v>
      </c>
      <c r="AU29" s="40">
        <v>46196.29604166667</v>
      </c>
      <c r="AV29" s="54" t="str">
        <f t="shared" si="4"/>
        <v/>
      </c>
      <c r="AW29" s="39" t="s">
        <v>419</v>
      </c>
      <c r="AX29" s="38" t="s">
        <v>704</v>
      </c>
    </row>
    <row r="30" ht="22.5" customHeight="1">
      <c r="A30" s="36" t="s">
        <v>705</v>
      </c>
      <c r="D30" s="36" t="s">
        <v>284</v>
      </c>
      <c r="E30" s="39" t="s">
        <v>331</v>
      </c>
      <c r="G30" s="37">
        <v>46186.0</v>
      </c>
      <c r="H30" s="36" t="s">
        <v>706</v>
      </c>
      <c r="I30" s="36" t="s">
        <v>422</v>
      </c>
      <c r="J30" s="36" t="s">
        <v>690</v>
      </c>
      <c r="K30" s="36" t="s">
        <v>606</v>
      </c>
      <c r="L30" s="36" t="s">
        <v>494</v>
      </c>
      <c r="M30" s="36" t="s">
        <v>495</v>
      </c>
      <c r="N30" s="36" t="s">
        <v>707</v>
      </c>
      <c r="O30" s="36">
        <v>24268.787</v>
      </c>
      <c r="P30" s="36" t="s">
        <v>708</v>
      </c>
      <c r="Q30" s="36" t="s">
        <v>309</v>
      </c>
      <c r="R30" s="36" t="s">
        <v>310</v>
      </c>
      <c r="S30" s="36">
        <v>6.22</v>
      </c>
      <c r="T30" s="39" t="s">
        <v>463</v>
      </c>
      <c r="U30" s="36" t="s">
        <v>708</v>
      </c>
      <c r="V30" s="36" t="s">
        <v>709</v>
      </c>
      <c r="W30" s="36" t="s">
        <v>527</v>
      </c>
      <c r="X30" s="39" t="s">
        <v>664</v>
      </c>
      <c r="Y30" s="36" t="s">
        <v>315</v>
      </c>
      <c r="Z30" s="36" t="s">
        <v>316</v>
      </c>
      <c r="AA30" s="36">
        <v>10.0</v>
      </c>
      <c r="AB30" s="36" t="s">
        <v>343</v>
      </c>
      <c r="AC30" s="36" t="s">
        <v>343</v>
      </c>
      <c r="AD30" s="36" t="s">
        <v>280</v>
      </c>
      <c r="AE30" s="36" t="s">
        <v>344</v>
      </c>
      <c r="AF30" s="36" t="s">
        <v>293</v>
      </c>
      <c r="AG30" s="36" t="s">
        <v>294</v>
      </c>
      <c r="AI30" s="36" t="s">
        <v>665</v>
      </c>
      <c r="AJ30" s="36" t="s">
        <v>666</v>
      </c>
      <c r="AK30" s="36" t="s">
        <v>468</v>
      </c>
      <c r="AL30" s="36" t="s">
        <v>324</v>
      </c>
      <c r="AM30" s="36">
        <v>0.18</v>
      </c>
      <c r="AN30" s="36">
        <v>1367.0</v>
      </c>
      <c r="AO30" s="36" t="s">
        <v>325</v>
      </c>
      <c r="AP30" s="36" t="s">
        <v>693</v>
      </c>
      <c r="AQ30" s="36" t="s">
        <v>668</v>
      </c>
      <c r="AR30" s="36" t="s">
        <v>613</v>
      </c>
      <c r="AS30" s="36" t="s">
        <v>710</v>
      </c>
      <c r="AT30" s="38" t="str">
        <f t="array" ref="AT30">IF(
                AS30 = "",
                "",
                       IF(
                           AS30 ="FOTOGRAFIA",
                           "LINK",
                           "https://www.appsheet.com/template/gettablefileurl?appName=APP022ParticMagnMTV2-924373673-26-05-14&amp;tableName=4.reg_fotografico&amp;fileName="&amp;AS30                         )
                          )</f>
        <v>https://www.appsheet.com/template/gettablefileurl?appName=APP022ParticMagnMTV2-924373673-26-05-14&amp;tableName=4.reg_fotografico&amp;fileName=2.general_particulas_magneticas_Images/Report_PV_1a3c6178.firma.165228.jpg</v>
      </c>
      <c r="AU30" s="40">
        <v>46188.48643518519</v>
      </c>
      <c r="AV30" s="54" t="str">
        <f t="shared" si="4"/>
        <v/>
      </c>
      <c r="AW30" s="39" t="s">
        <v>402</v>
      </c>
      <c r="AX30" s="38" t="s">
        <v>711</v>
      </c>
    </row>
    <row r="31" ht="22.5" customHeight="1">
      <c r="A31" s="36" t="s">
        <v>712</v>
      </c>
      <c r="D31" s="36" t="s">
        <v>284</v>
      </c>
      <c r="E31" s="39" t="s">
        <v>331</v>
      </c>
      <c r="F31" s="39" t="s">
        <v>713</v>
      </c>
      <c r="G31" s="37">
        <v>46171.0</v>
      </c>
      <c r="H31" s="36" t="s">
        <v>616</v>
      </c>
      <c r="I31" s="36" t="s">
        <v>369</v>
      </c>
      <c r="J31" s="36" t="s">
        <v>714</v>
      </c>
      <c r="K31" s="36" t="s">
        <v>289</v>
      </c>
      <c r="L31" s="36" t="s">
        <v>290</v>
      </c>
      <c r="M31" s="36" t="s">
        <v>715</v>
      </c>
      <c r="N31" s="36" t="s">
        <v>716</v>
      </c>
      <c r="O31" s="36">
        <v>90725.988</v>
      </c>
      <c r="P31" s="36" t="s">
        <v>717</v>
      </c>
      <c r="Q31" s="36" t="s">
        <v>309</v>
      </c>
      <c r="R31" s="36" t="s">
        <v>376</v>
      </c>
      <c r="S31" s="36">
        <v>7.92</v>
      </c>
      <c r="T31" s="39" t="s">
        <v>718</v>
      </c>
      <c r="U31" s="36" t="s">
        <v>719</v>
      </c>
      <c r="V31" s="39" t="s">
        <v>483</v>
      </c>
      <c r="W31" s="36" t="s">
        <v>527</v>
      </c>
      <c r="X31" s="39" t="s">
        <v>314</v>
      </c>
      <c r="Y31" s="36" t="s">
        <v>315</v>
      </c>
      <c r="Z31" s="36" t="s">
        <v>316</v>
      </c>
      <c r="AA31" s="36">
        <v>10.0</v>
      </c>
      <c r="AB31" s="36" t="s">
        <v>343</v>
      </c>
      <c r="AC31" s="36" t="s">
        <v>343</v>
      </c>
      <c r="AD31" s="36" t="s">
        <v>280</v>
      </c>
      <c r="AE31" s="36" t="s">
        <v>344</v>
      </c>
      <c r="AG31" s="36" t="s">
        <v>294</v>
      </c>
      <c r="AI31" s="36" t="s">
        <v>665</v>
      </c>
      <c r="AJ31" s="36" t="s">
        <v>666</v>
      </c>
      <c r="AK31" s="39" t="s">
        <v>483</v>
      </c>
      <c r="AL31" s="36" t="s">
        <v>324</v>
      </c>
      <c r="AM31" s="36">
        <v>0.6</v>
      </c>
      <c r="AN31" s="36">
        <v>1270.0</v>
      </c>
      <c r="AO31" s="36" t="s">
        <v>325</v>
      </c>
      <c r="AP31" s="36" t="s">
        <v>693</v>
      </c>
      <c r="AQ31" s="36" t="s">
        <v>668</v>
      </c>
      <c r="AR31" s="36" t="s">
        <v>613</v>
      </c>
      <c r="AS31" s="36" t="s">
        <v>720</v>
      </c>
      <c r="AT31" s="38" t="str">
        <f t="array" ref="AT31">IF(
                AS31 = "",
                "",
                       IF(
                           AS31 ="FOTOGRAFIA",
                           "LINK",
                           "https://www.appsheet.com/template/gettablefileurl?appName=APP022ParticMagnMTV2-924373673-26-05-14&amp;tableName=4.reg_fotografico&amp;fileName="&amp;AS31                         )
                          )</f>
        <v>https://www.appsheet.com/template/gettablefileurl?appName=APP022ParticMagnMTV2-924373673-26-05-14&amp;tableName=4.reg_fotografico&amp;fileName=2.general_particulas_magneticas_Images/Report_PV_767a783c.firma.172617.png</v>
      </c>
      <c r="AU31" s="40">
        <v>46192.48811342593</v>
      </c>
      <c r="AV31" s="54" t="str">
        <f t="shared" si="4"/>
        <v/>
      </c>
      <c r="AW31" s="39" t="s">
        <v>402</v>
      </c>
      <c r="AX31" s="38" t="s">
        <v>721</v>
      </c>
    </row>
    <row r="32" ht="22.5" customHeight="1">
      <c r="A32" s="36" t="s">
        <v>722</v>
      </c>
      <c r="D32" s="36" t="s">
        <v>284</v>
      </c>
      <c r="E32" s="39" t="s">
        <v>331</v>
      </c>
      <c r="F32" s="39" t="s">
        <v>713</v>
      </c>
      <c r="G32" s="37">
        <v>46172.0</v>
      </c>
      <c r="H32" s="36" t="s">
        <v>723</v>
      </c>
      <c r="I32" s="36" t="s">
        <v>369</v>
      </c>
      <c r="J32" s="36" t="s">
        <v>724</v>
      </c>
      <c r="K32" s="36" t="s">
        <v>289</v>
      </c>
      <c r="L32" s="36" t="s">
        <v>290</v>
      </c>
      <c r="M32" s="36" t="s">
        <v>725</v>
      </c>
      <c r="N32" s="36" t="s">
        <v>726</v>
      </c>
      <c r="O32" s="36">
        <v>107713.68</v>
      </c>
      <c r="P32" s="36" t="s">
        <v>717</v>
      </c>
      <c r="Q32" s="36" t="s">
        <v>309</v>
      </c>
      <c r="R32" s="36" t="s">
        <v>376</v>
      </c>
      <c r="S32" s="36">
        <v>9.3</v>
      </c>
      <c r="T32" s="39" t="s">
        <v>718</v>
      </c>
      <c r="U32" s="36" t="s">
        <v>727</v>
      </c>
      <c r="V32" s="39" t="s">
        <v>483</v>
      </c>
      <c r="W32" s="36" t="s">
        <v>527</v>
      </c>
      <c r="X32" s="39" t="s">
        <v>314</v>
      </c>
      <c r="Y32" s="36" t="s">
        <v>315</v>
      </c>
      <c r="Z32" s="36" t="s">
        <v>316</v>
      </c>
      <c r="AA32" s="36">
        <v>10.0</v>
      </c>
      <c r="AB32" s="36" t="s">
        <v>343</v>
      </c>
      <c r="AC32" s="36" t="s">
        <v>343</v>
      </c>
      <c r="AD32" s="36" t="s">
        <v>280</v>
      </c>
      <c r="AE32" s="36" t="s">
        <v>344</v>
      </c>
      <c r="AG32" s="36" t="s">
        <v>294</v>
      </c>
      <c r="AI32" s="36" t="s">
        <v>665</v>
      </c>
      <c r="AJ32" s="36" t="s">
        <v>666</v>
      </c>
      <c r="AK32" s="39" t="s">
        <v>483</v>
      </c>
      <c r="AL32" s="36" t="s">
        <v>324</v>
      </c>
      <c r="AM32" s="36">
        <v>0.1</v>
      </c>
      <c r="AN32" s="36">
        <v>1394.0</v>
      </c>
      <c r="AO32" s="36" t="s">
        <v>325</v>
      </c>
      <c r="AP32" s="36" t="s">
        <v>693</v>
      </c>
      <c r="AQ32" s="36" t="s">
        <v>668</v>
      </c>
      <c r="AR32" s="36" t="s">
        <v>613</v>
      </c>
      <c r="AS32" s="36" t="s">
        <v>728</v>
      </c>
      <c r="AT32" s="38" t="str">
        <f t="array" ref="AT32">IF(
                AS32 = "",
                "",
                       IF(
                           AS32 ="FOTOGRAFIA",
                           "LINK",
                           "https://www.appsheet.com/template/gettablefileurl?appName=APP022ParticMagnMTV2-924373673-26-05-14&amp;tableName=4.reg_fotografico&amp;fileName="&amp;AS32                         )
                          )</f>
        <v>https://www.appsheet.com/template/gettablefileurl?appName=APP022ParticMagnMTV2-924373673-26-05-14&amp;tableName=4.reg_fotografico&amp;fileName=2.general_particulas_magneticas_Images/Report_PV_758cb162.firma.180815.png</v>
      </c>
      <c r="AU32" s="40">
        <v>46192.52444444445</v>
      </c>
      <c r="AV32" s="54" t="str">
        <f t="shared" si="4"/>
        <v/>
      </c>
      <c r="AW32" s="39" t="s">
        <v>402</v>
      </c>
      <c r="AX32" s="38" t="s">
        <v>729</v>
      </c>
    </row>
    <row r="33" ht="22.5" customHeight="1">
      <c r="A33" s="36" t="s">
        <v>730</v>
      </c>
      <c r="D33" s="36" t="s">
        <v>284</v>
      </c>
      <c r="E33" s="39" t="s">
        <v>331</v>
      </c>
      <c r="G33" s="37">
        <v>46189.0</v>
      </c>
      <c r="H33" s="36" t="s">
        <v>731</v>
      </c>
      <c r="I33" s="36" t="s">
        <v>732</v>
      </c>
      <c r="J33" s="36" t="s">
        <v>733</v>
      </c>
      <c r="K33" s="36" t="s">
        <v>734</v>
      </c>
      <c r="L33" s="36" t="s">
        <v>372</v>
      </c>
      <c r="M33" s="36" t="s">
        <v>735</v>
      </c>
      <c r="N33" s="36" t="s">
        <v>736</v>
      </c>
      <c r="O33" s="36">
        <v>81388.983</v>
      </c>
      <c r="P33" s="36" t="s">
        <v>737</v>
      </c>
      <c r="Q33" s="36" t="s">
        <v>479</v>
      </c>
      <c r="R33" s="36" t="s">
        <v>498</v>
      </c>
      <c r="S33" s="36">
        <v>11.85</v>
      </c>
      <c r="T33" s="39" t="s">
        <v>554</v>
      </c>
      <c r="U33" s="36" t="s">
        <v>738</v>
      </c>
      <c r="V33" s="36" t="s">
        <v>739</v>
      </c>
      <c r="W33" s="36" t="s">
        <v>541</v>
      </c>
      <c r="Y33" s="36" t="s">
        <v>315</v>
      </c>
      <c r="Z33" s="36" t="s">
        <v>316</v>
      </c>
      <c r="AA33" s="36">
        <v>10.0</v>
      </c>
      <c r="AB33" s="36" t="s">
        <v>343</v>
      </c>
      <c r="AC33" s="36" t="s">
        <v>343</v>
      </c>
      <c r="AD33" s="36" t="s">
        <v>280</v>
      </c>
      <c r="AE33" s="36" t="s">
        <v>344</v>
      </c>
      <c r="AF33" s="36" t="s">
        <v>293</v>
      </c>
      <c r="AG33" s="36" t="s">
        <v>380</v>
      </c>
      <c r="AI33" s="36" t="s">
        <v>359</v>
      </c>
      <c r="AJ33" s="36" t="s">
        <v>571</v>
      </c>
      <c r="AK33" s="39" t="s">
        <v>483</v>
      </c>
      <c r="AL33" s="39" t="s">
        <v>483</v>
      </c>
      <c r="AM33" s="36">
        <v>5.0</v>
      </c>
      <c r="AN33" s="36">
        <v>1541.0</v>
      </c>
      <c r="AO33" s="36" t="s">
        <v>325</v>
      </c>
      <c r="AP33" s="36" t="s">
        <v>740</v>
      </c>
      <c r="AQ33" s="36" t="s">
        <v>741</v>
      </c>
      <c r="AR33" s="36" t="s">
        <v>486</v>
      </c>
      <c r="AS33" s="36" t="s">
        <v>742</v>
      </c>
      <c r="AT33" s="38" t="str">
        <f t="array" ref="AT33">IF(
                AS33 = "",
                "",
                       IF(
                           AS33 ="FOTOGRAFIA",
                           "LINK",
                           "https://www.appsheet.com/template/gettablefileurl?appName=APP022ParticMagnMTV2-924373673-26-05-14&amp;tableName=4.reg_fotografico&amp;fileName="&amp;AS33                         )
                          )</f>
        <v>https://www.appsheet.com/template/gettablefileurl?appName=APP022ParticMagnMTV2-924373673-26-05-14&amp;tableName=4.reg_fotografico&amp;fileName=2.general_particulas_magneticas_Images/Report_PV_8a1bd491.firma.021210.png</v>
      </c>
      <c r="AU33" s="40">
        <v>46194.872569444444</v>
      </c>
      <c r="AV33" s="54" t="str">
        <f t="shared" si="4"/>
        <v/>
      </c>
      <c r="AW33" s="39" t="s">
        <v>640</v>
      </c>
      <c r="AX33" s="38" t="s">
        <v>743</v>
      </c>
    </row>
    <row r="34" ht="22.5" customHeight="1">
      <c r="A34" s="36" t="s">
        <v>744</v>
      </c>
      <c r="D34" s="36" t="s">
        <v>284</v>
      </c>
      <c r="E34" s="39" t="s">
        <v>331</v>
      </c>
      <c r="G34" s="37">
        <v>46192.0</v>
      </c>
      <c r="H34" s="36" t="s">
        <v>745</v>
      </c>
      <c r="I34" s="36" t="s">
        <v>580</v>
      </c>
      <c r="J34" s="36" t="s">
        <v>746</v>
      </c>
      <c r="K34" s="36" t="s">
        <v>457</v>
      </c>
      <c r="L34" s="36" t="s">
        <v>458</v>
      </c>
      <c r="M34" s="36" t="s">
        <v>747</v>
      </c>
      <c r="N34" s="36" t="s">
        <v>748</v>
      </c>
      <c r="O34" s="36">
        <v>41224.913</v>
      </c>
      <c r="P34" s="36" t="s">
        <v>749</v>
      </c>
      <c r="Q34" s="36" t="s">
        <v>309</v>
      </c>
      <c r="R34" s="36" t="s">
        <v>462</v>
      </c>
      <c r="S34" s="36">
        <v>5.5</v>
      </c>
      <c r="T34" s="39" t="s">
        <v>463</v>
      </c>
      <c r="U34" s="36" t="s">
        <v>750</v>
      </c>
      <c r="W34" s="36" t="s">
        <v>527</v>
      </c>
      <c r="Y34" s="36" t="s">
        <v>315</v>
      </c>
      <c r="Z34" s="36" t="s">
        <v>316</v>
      </c>
      <c r="AA34" s="36">
        <v>10.0</v>
      </c>
      <c r="AB34" s="36" t="s">
        <v>343</v>
      </c>
      <c r="AC34" s="36" t="s">
        <v>343</v>
      </c>
      <c r="AD34" s="36" t="s">
        <v>280</v>
      </c>
      <c r="AE34" s="36" t="s">
        <v>344</v>
      </c>
      <c r="AF34" s="36" t="s">
        <v>293</v>
      </c>
      <c r="AG34" s="36" t="s">
        <v>380</v>
      </c>
      <c r="AI34" s="36" t="s">
        <v>503</v>
      </c>
      <c r="AJ34" s="36" t="s">
        <v>751</v>
      </c>
      <c r="AM34" s="36">
        <v>2.0</v>
      </c>
      <c r="AN34" s="36">
        <v>3829.0</v>
      </c>
      <c r="AO34" s="36" t="s">
        <v>325</v>
      </c>
      <c r="AP34" s="36" t="s">
        <v>448</v>
      </c>
      <c r="AQ34" s="36" t="s">
        <v>752</v>
      </c>
      <c r="AR34" s="36" t="s">
        <v>753</v>
      </c>
      <c r="AS34" s="36" t="s">
        <v>754</v>
      </c>
      <c r="AT34" s="38" t="str">
        <f t="array" ref="AT34">IF(
                AS34 = "",
                "",
                       IF(
                           AS34 ="FOTOGRAFIA",
                           "LINK",
                           "https://www.appsheet.com/template/gettablefileurl?appName=APP022ParticMagnMTV2-924373673-26-05-14&amp;tableName=4.reg_fotografico&amp;fileName="&amp;AS34                         )
                          )</f>
        <v>https://www.appsheet.com/template/gettablefileurl?appName=APP022ParticMagnMTV2-924373673-26-05-14&amp;tableName=4.reg_fotografico&amp;fileName=2.general_particulas_magneticas_Images/Report_PV_9daf4f49.firma.191056.png</v>
      </c>
      <c r="AU34" s="40">
        <v>46196.56348379629</v>
      </c>
      <c r="AV34" s="54" t="str">
        <f t="shared" si="4"/>
        <v/>
      </c>
      <c r="AW34" s="39" t="s">
        <v>591</v>
      </c>
      <c r="AX34" s="38" t="s">
        <v>755</v>
      </c>
    </row>
    <row r="35" ht="22.5" customHeight="1">
      <c r="A35" s="36" t="s">
        <v>756</v>
      </c>
      <c r="D35" s="36" t="s">
        <v>284</v>
      </c>
      <c r="E35" s="39" t="s">
        <v>331</v>
      </c>
      <c r="G35" s="37">
        <v>46195.0</v>
      </c>
      <c r="H35" s="36" t="s">
        <v>745</v>
      </c>
      <c r="I35" s="36" t="s">
        <v>303</v>
      </c>
      <c r="J35" s="36" t="s">
        <v>534</v>
      </c>
      <c r="K35" s="36" t="s">
        <v>757</v>
      </c>
      <c r="L35" s="36" t="s">
        <v>391</v>
      </c>
      <c r="M35" s="36" t="s">
        <v>758</v>
      </c>
      <c r="N35" s="36" t="s">
        <v>759</v>
      </c>
      <c r="O35" s="36">
        <v>87599.997</v>
      </c>
      <c r="P35" s="36" t="s">
        <v>717</v>
      </c>
      <c r="Q35" s="36" t="s">
        <v>309</v>
      </c>
      <c r="R35" s="36" t="s">
        <v>498</v>
      </c>
      <c r="S35" s="36">
        <v>5.53</v>
      </c>
      <c r="T35" s="39" t="s">
        <v>760</v>
      </c>
      <c r="U35" s="36" t="s">
        <v>761</v>
      </c>
      <c r="V35" s="36" t="s">
        <v>762</v>
      </c>
      <c r="W35" s="36" t="s">
        <v>527</v>
      </c>
      <c r="X35" s="39" t="s">
        <v>314</v>
      </c>
      <c r="Y35" s="36" t="s">
        <v>315</v>
      </c>
      <c r="Z35" s="36" t="s">
        <v>316</v>
      </c>
      <c r="AA35" s="36">
        <v>10.0</v>
      </c>
      <c r="AB35" s="36" t="s">
        <v>343</v>
      </c>
      <c r="AC35" s="36" t="s">
        <v>343</v>
      </c>
      <c r="AD35" s="36" t="s">
        <v>280</v>
      </c>
      <c r="AE35" s="36" t="s">
        <v>344</v>
      </c>
      <c r="AF35" s="36" t="s">
        <v>293</v>
      </c>
      <c r="AG35" s="36" t="s">
        <v>294</v>
      </c>
      <c r="AI35" s="36" t="s">
        <v>503</v>
      </c>
      <c r="AJ35" s="36" t="s">
        <v>763</v>
      </c>
      <c r="AK35" s="36" t="s">
        <v>323</v>
      </c>
      <c r="AL35" s="39" t="s">
        <v>346</v>
      </c>
      <c r="AM35" s="36"/>
      <c r="AN35" s="36">
        <v>1712.0</v>
      </c>
      <c r="AO35" s="36" t="s">
        <v>325</v>
      </c>
      <c r="AP35" s="36" t="s">
        <v>764</v>
      </c>
      <c r="AQ35" s="36" t="s">
        <v>765</v>
      </c>
      <c r="AR35" s="36" t="s">
        <v>348</v>
      </c>
      <c r="AS35" s="36" t="s">
        <v>766</v>
      </c>
      <c r="AT35" s="38" t="str">
        <f t="array" ref="AT35">IF(
                AS35 = "",
                "",
                       IF(
                           AS35 ="FOTOGRAFIA",
                           "LINK",
                           "https://www.appsheet.com/template/gettablefileurl?appName=APP022ParticMagnMTV2-924373673-26-05-14&amp;tableName=4.reg_fotografico&amp;fileName="&amp;AS35                         )
                          )</f>
        <v>https://www.appsheet.com/template/gettablefileurl?appName=APP022ParticMagnMTV2-924373673-26-05-14&amp;tableName=4.reg_fotografico&amp;fileName=2.general_particulas_magneticas_Images/Report_PV_77e95c55.firma.193032.jpg</v>
      </c>
      <c r="AU35" s="40">
        <v>46196.70903935185</v>
      </c>
      <c r="AV35" s="54" t="str">
        <f t="shared" si="4"/>
        <v/>
      </c>
      <c r="AW35" s="39" t="s">
        <v>419</v>
      </c>
      <c r="AX35" s="38" t="s">
        <v>767</v>
      </c>
    </row>
    <row r="36" ht="22.5" customHeight="1">
      <c r="A36" s="36" t="s">
        <v>768</v>
      </c>
      <c r="D36" s="36" t="s">
        <v>284</v>
      </c>
      <c r="E36" s="39" t="s">
        <v>331</v>
      </c>
      <c r="F36" s="36" t="s">
        <v>769</v>
      </c>
      <c r="G36" s="37">
        <v>46192.0</v>
      </c>
      <c r="H36" s="36" t="s">
        <v>770</v>
      </c>
      <c r="I36" s="36" t="s">
        <v>369</v>
      </c>
      <c r="J36" s="36" t="s">
        <v>771</v>
      </c>
      <c r="K36" s="36" t="s">
        <v>772</v>
      </c>
      <c r="L36" s="36" t="s">
        <v>372</v>
      </c>
      <c r="M36" s="36" t="s">
        <v>373</v>
      </c>
      <c r="N36" s="36" t="s">
        <v>773</v>
      </c>
      <c r="O36" s="36">
        <v>63858.89</v>
      </c>
      <c r="P36" s="36" t="s">
        <v>774</v>
      </c>
      <c r="Q36" s="36" t="s">
        <v>309</v>
      </c>
      <c r="R36" s="36" t="s">
        <v>310</v>
      </c>
      <c r="S36" s="36">
        <v>5.62</v>
      </c>
      <c r="T36" s="39" t="s">
        <v>377</v>
      </c>
      <c r="U36" s="36" t="s">
        <v>775</v>
      </c>
      <c r="V36" s="36" t="s">
        <v>776</v>
      </c>
      <c r="W36" s="36" t="s">
        <v>527</v>
      </c>
      <c r="X36" s="39" t="s">
        <v>664</v>
      </c>
      <c r="Y36" s="36" t="s">
        <v>315</v>
      </c>
      <c r="Z36" s="36" t="s">
        <v>316</v>
      </c>
      <c r="AA36" s="36">
        <v>10.0</v>
      </c>
      <c r="AB36" s="36" t="s">
        <v>343</v>
      </c>
      <c r="AC36" s="36" t="s">
        <v>343</v>
      </c>
      <c r="AD36" s="36" t="s">
        <v>280</v>
      </c>
      <c r="AE36" s="36" t="s">
        <v>344</v>
      </c>
      <c r="AF36" s="36" t="s">
        <v>293</v>
      </c>
      <c r="AG36" s="36" t="s">
        <v>294</v>
      </c>
      <c r="AI36" s="36" t="s">
        <v>359</v>
      </c>
      <c r="AJ36" s="36" t="s">
        <v>777</v>
      </c>
      <c r="AK36" s="36" t="s">
        <v>323</v>
      </c>
      <c r="AL36" s="36" t="s">
        <v>324</v>
      </c>
      <c r="AM36" s="36">
        <v>1.21</v>
      </c>
      <c r="AN36" s="36">
        <v>1.097</v>
      </c>
      <c r="AO36" s="36" t="s">
        <v>325</v>
      </c>
      <c r="AP36" s="36" t="s">
        <v>778</v>
      </c>
      <c r="AQ36" s="36" t="s">
        <v>779</v>
      </c>
      <c r="AR36" s="36" t="s">
        <v>780</v>
      </c>
      <c r="AS36" s="36" t="s">
        <v>781</v>
      </c>
      <c r="AT36" s="38" t="str">
        <f t="array" ref="AT36">IF(
                AS36 = "",
                "",
                       IF(
                           AS36 ="FOTOGRAFIA",
                           "LINK",
                           "https://www.appsheet.com/template/gettablefileurl?appName=APP022ParticMagnMTV2-924373673-26-05-14&amp;tableName=4.reg_fotografico&amp;fileName="&amp;AS36                         )
                          )</f>
        <v>https://www.appsheet.com/template/gettablefileurl?appName=APP022ParticMagnMTV2-924373673-26-05-14&amp;tableName=4.reg_fotografico&amp;fileName=2.general_particulas_magneticas_Images/Report_PV_f624ae70.firma.040425.jpg</v>
      </c>
      <c r="AU36" s="40">
        <v>46196.94122685185</v>
      </c>
      <c r="AV36" s="54" t="str">
        <f t="shared" si="4"/>
        <v/>
      </c>
      <c r="AW36" s="39" t="s">
        <v>782</v>
      </c>
      <c r="AX36" s="38" t="s">
        <v>783</v>
      </c>
    </row>
    <row r="37" ht="22.5" customHeight="1">
      <c r="A37" s="36" t="s">
        <v>784</v>
      </c>
      <c r="D37" s="36" t="s">
        <v>284</v>
      </c>
      <c r="E37" s="39" t="s">
        <v>331</v>
      </c>
      <c r="G37" s="37">
        <v>46197.0</v>
      </c>
      <c r="H37" s="36" t="s">
        <v>616</v>
      </c>
      <c r="I37" s="36" t="s">
        <v>422</v>
      </c>
      <c r="J37" s="36" t="s">
        <v>690</v>
      </c>
      <c r="K37" s="36" t="s">
        <v>606</v>
      </c>
      <c r="L37" s="36" t="s">
        <v>494</v>
      </c>
      <c r="M37" s="36" t="s">
        <v>495</v>
      </c>
      <c r="N37" s="36" t="s">
        <v>785</v>
      </c>
      <c r="O37" s="36">
        <v>8196.301</v>
      </c>
      <c r="P37" s="36" t="s">
        <v>378</v>
      </c>
      <c r="Q37" s="36" t="s">
        <v>309</v>
      </c>
      <c r="R37" s="36" t="s">
        <v>310</v>
      </c>
      <c r="S37" s="36">
        <v>6.82</v>
      </c>
      <c r="T37" s="39" t="s">
        <v>463</v>
      </c>
      <c r="U37" s="36" t="s">
        <v>378</v>
      </c>
      <c r="V37" s="36" t="s">
        <v>786</v>
      </c>
      <c r="W37" s="36" t="s">
        <v>527</v>
      </c>
      <c r="X37" s="39" t="s">
        <v>664</v>
      </c>
      <c r="Y37" s="36" t="s">
        <v>315</v>
      </c>
      <c r="Z37" s="36" t="s">
        <v>316</v>
      </c>
      <c r="AA37" s="36">
        <v>10.0</v>
      </c>
      <c r="AB37" s="36" t="s">
        <v>343</v>
      </c>
      <c r="AC37" s="36" t="s">
        <v>343</v>
      </c>
      <c r="AD37" s="36" t="s">
        <v>280</v>
      </c>
      <c r="AE37" s="36" t="s">
        <v>344</v>
      </c>
      <c r="AF37" s="36" t="s">
        <v>293</v>
      </c>
      <c r="AG37" s="36" t="s">
        <v>294</v>
      </c>
      <c r="AI37" s="36" t="s">
        <v>665</v>
      </c>
      <c r="AJ37" s="36" t="s">
        <v>666</v>
      </c>
      <c r="AK37" s="36" t="s">
        <v>323</v>
      </c>
      <c r="AL37" s="36" t="s">
        <v>324</v>
      </c>
      <c r="AM37" s="36">
        <v>0.04</v>
      </c>
      <c r="AN37" s="36">
        <v>1551.0</v>
      </c>
      <c r="AO37" s="36" t="s">
        <v>325</v>
      </c>
      <c r="AP37" s="36" t="s">
        <v>693</v>
      </c>
      <c r="AQ37" s="36" t="s">
        <v>668</v>
      </c>
      <c r="AR37" s="36" t="s">
        <v>613</v>
      </c>
      <c r="AS37" s="36" t="s">
        <v>787</v>
      </c>
      <c r="AT37" s="38" t="str">
        <f t="array" ref="AT37">IF(
                AS37 = "",
                "",
                       IF(
                           AS37 ="FOTOGRAFIA",
                           "LINK",
                           "https://www.appsheet.com/template/gettablefileurl?appName=APP022ParticMagnMTV2-924373673-26-05-14&amp;tableName=4.reg_fotografico&amp;fileName="&amp;AS37                         )
                          )</f>
        <v>https://www.appsheet.com/template/gettablefileurl?appName=APP022ParticMagnMTV2-924373673-26-05-14&amp;tableName=4.reg_fotografico&amp;fileName=2.general_particulas_magneticas_Images/Report_PV_660a0f9c.firma.025734.jpg</v>
      </c>
      <c r="AU37" s="40">
        <v>46197.910462962966</v>
      </c>
      <c r="AV37" s="54" t="str">
        <f t="shared" si="4"/>
        <v/>
      </c>
      <c r="AW37" s="39" t="s">
        <v>402</v>
      </c>
      <c r="AX37" s="38" t="s">
        <v>788</v>
      </c>
    </row>
    <row r="38" ht="22.5" customHeight="1">
      <c r="AT38" s="36" t="str">
        <f t="array" ref="AT38">IF(
                AS38 = "",
                "",
                       IF(
                           AS38 ="FOTOGRAFIA",
                           "LINK",
                           "https://www.appsheet.com/template/gettablefileurl?appName=APP022ParticMagnMTV2-924373673-26-05-14&amp;tableName=4.reg_fotografico&amp;fileName="&amp;AS38                         )
                          )</f>
        <v/>
      </c>
      <c r="AV38" s="54" t="str">
        <f t="shared" ref="AV38:AV999" si="5">map(AT44, lambda(url, image(url,1)))</f>
        <v/>
      </c>
    </row>
    <row r="39" ht="22.5" customHeight="1">
      <c r="AT39" s="36" t="str">
        <f t="array" ref="AT39">IF(
                AS39 = "",
                "",
                       IF(
                           AS39 ="FOTOGRAFIA",
                           "LINK",
                           "https://www.appsheet.com/template/gettablefileurl?appName=APP022ParticMagnMTV2-924373673-26-05-14&amp;tableName=4.reg_fotografico&amp;fileName="&amp;AS39                         )
                          )</f>
        <v/>
      </c>
      <c r="AV39" s="54" t="str">
        <f t="shared" si="5"/>
        <v/>
      </c>
    </row>
    <row r="40" ht="22.5" customHeight="1">
      <c r="AT40" s="36" t="str">
        <f t="array" ref="AT40">IF(
                AS40 = "",
                "",
                       IF(
                           AS40 ="FOTOGRAFIA",
                           "LINK",
                           "https://www.appsheet.com/template/gettablefileurl?appName=APP022ParticMagnMTV2-924373673-26-05-14&amp;tableName=4.reg_fotografico&amp;fileName="&amp;AS40                         )
                          )</f>
        <v/>
      </c>
      <c r="AV40" s="54" t="str">
        <f t="shared" si="5"/>
        <v/>
      </c>
    </row>
    <row r="41" ht="22.5" customHeight="1">
      <c r="AT41" s="36" t="str">
        <f t="array" ref="AT41">IF(
                AS41 = "",
                "",
                       IF(
                           AS41 ="FOTOGRAFIA",
                           "LINK",
                           "https://www.appsheet.com/template/gettablefileurl?appName=APP022ParticMagnMTV2-924373673-26-05-14&amp;tableName=4.reg_fotografico&amp;fileName="&amp;AS41                         )
                          )</f>
        <v/>
      </c>
      <c r="AV41" s="54" t="str">
        <f t="shared" si="5"/>
        <v/>
      </c>
    </row>
    <row r="42" ht="22.5" customHeight="1">
      <c r="AT42" s="36" t="str">
        <f t="array" ref="AT42">IF(
                AS42 = "",
                "",
                       IF(
                           AS42 ="FOTOGRAFIA",
                           "LINK",
                           "https://www.appsheet.com/template/gettablefileurl?appName=APP022ParticMagnMTV2-924373673-26-05-14&amp;tableName=4.reg_fotografico&amp;fileName="&amp;AS42                         )
                          )</f>
        <v/>
      </c>
      <c r="AV42" s="54" t="str">
        <f t="shared" si="5"/>
        <v/>
      </c>
    </row>
    <row r="43" ht="22.5" customHeight="1">
      <c r="AT43" s="36" t="str">
        <f t="array" ref="AT43">IF(
                AS43 = "",
                "",
                       IF(
                           AS43 ="FOTOGRAFIA",
                           "LINK",
                           "https://www.appsheet.com/template/gettablefileurl?appName=APP022ParticMagnMTV2-924373673-26-05-14&amp;tableName=4.reg_fotografico&amp;fileName="&amp;AS43                         )
                          )</f>
        <v/>
      </c>
      <c r="AV43" s="54" t="str">
        <f t="shared" si="5"/>
        <v/>
      </c>
    </row>
    <row r="44" ht="22.5" customHeight="1">
      <c r="AT44" s="36" t="str">
        <f t="array" ref="AT44">IF(
                AS44 = "",
                "",
                       IF(
                           AS44 ="FOTOGRAFIA",
                           "LINK",
                           "https://www.appsheet.com/template/gettablefileurl?appName=APP022ParticMagnMTV2-924373673-26-05-14&amp;tableName=4.reg_fotografico&amp;fileName="&amp;AS44                         )
                          )</f>
        <v/>
      </c>
      <c r="AV44" s="54" t="str">
        <f t="shared" si="5"/>
        <v/>
      </c>
    </row>
    <row r="45" ht="22.5" customHeight="1">
      <c r="AT45" s="36" t="str">
        <f t="array" ref="AT45">IF(
                AS45 = "",
                "",
                       IF(
                           AS45 ="FOTOGRAFIA",
                           "LINK",
                           "https://www.appsheet.com/template/gettablefileurl?appName=APP022ParticMagnMTV2-924373673-26-05-14&amp;tableName=4.reg_fotografico&amp;fileName="&amp;AS45                         )
                          )</f>
        <v/>
      </c>
      <c r="AV45" s="54" t="str">
        <f t="shared" si="5"/>
        <v/>
      </c>
    </row>
    <row r="46" ht="22.5" customHeight="1">
      <c r="AT46" s="36" t="str">
        <f t="array" ref="AT46">IF(
                AS46 = "",
                "",
                       IF(
                           AS46 ="FOTOGRAFIA",
                           "LINK",
                           "https://www.appsheet.com/template/gettablefileurl?appName=APP022ParticMagnMTV2-924373673-26-05-14&amp;tableName=4.reg_fotografico&amp;fileName="&amp;AS46                         )
                          )</f>
        <v/>
      </c>
      <c r="AV46" s="54" t="str">
        <f t="shared" si="5"/>
        <v/>
      </c>
    </row>
    <row r="47" ht="22.5" customHeight="1">
      <c r="AT47" s="36" t="str">
        <f t="array" ref="AT47">IF(
                AS47 = "",
                "",
                       IF(
                           AS47 ="FOTOGRAFIA",
                           "LINK",
                           "https://www.appsheet.com/template/gettablefileurl?appName=APP022ParticMagnMTV2-924373673-26-05-14&amp;tableName=4.reg_fotografico&amp;fileName="&amp;AS47                         )
                          )</f>
        <v/>
      </c>
      <c r="AV47" s="54" t="str">
        <f t="shared" si="5"/>
        <v/>
      </c>
    </row>
    <row r="48" ht="22.5" customHeight="1">
      <c r="AT48" s="36" t="str">
        <f t="array" ref="AT48">IF(
                AS48 = "",
                "",
                       IF(
                           AS48 ="FOTOGRAFIA",
                           "LINK",
                           "https://www.appsheet.com/template/gettablefileurl?appName=APP022ParticMagnMTV2-924373673-26-05-14&amp;tableName=4.reg_fotografico&amp;fileName="&amp;AS48                         )
                          )</f>
        <v/>
      </c>
      <c r="AV48" s="54" t="str">
        <f t="shared" si="5"/>
        <v/>
      </c>
    </row>
    <row r="49" ht="22.5" customHeight="1">
      <c r="AT49" s="36" t="str">
        <f t="array" ref="AT49">IF(
                AS49 = "",
                "",
                       IF(
                           AS49 ="FOTOGRAFIA",
                           "LINK",
                           "https://www.appsheet.com/template/gettablefileurl?appName=APP022ParticMagnMTV2-924373673-26-05-14&amp;tableName=4.reg_fotografico&amp;fileName="&amp;AS49                         )
                          )</f>
        <v/>
      </c>
      <c r="AV49" s="54" t="str">
        <f t="shared" si="5"/>
        <v/>
      </c>
    </row>
    <row r="50" ht="22.5" customHeight="1">
      <c r="AT50" s="36" t="str">
        <f t="array" ref="AT50">IF(
                AS50 = "",
                "",
                       IF(
                           AS50 ="FOTOGRAFIA",
                           "LINK",
                           "https://www.appsheet.com/template/gettablefileurl?appName=APP022ParticMagnMTV2-924373673-26-05-14&amp;tableName=4.reg_fotografico&amp;fileName="&amp;AS50                         )
                          )</f>
        <v/>
      </c>
      <c r="AV50" s="54" t="str">
        <f t="shared" si="5"/>
        <v/>
      </c>
    </row>
    <row r="51" ht="22.5" customHeight="1">
      <c r="AT51" s="36" t="str">
        <f t="array" ref="AT51">IF(
                AS51 = "",
                "",
                       IF(
                           AS51 ="FOTOGRAFIA",
                           "LINK",
                           "https://www.appsheet.com/template/gettablefileurl?appName=APP022ParticMagnMTV2-924373673-26-05-14&amp;tableName=4.reg_fotografico&amp;fileName="&amp;AS51                         )
                          )</f>
        <v/>
      </c>
      <c r="AV51" s="54" t="str">
        <f t="shared" si="5"/>
        <v/>
      </c>
    </row>
    <row r="52" ht="22.5" customHeight="1">
      <c r="AT52" s="36" t="str">
        <f t="array" ref="AT52">IF(
                AS52 = "",
                "",
                       IF(
                           AS52 ="FOTOGRAFIA",
                           "LINK",
                           "https://www.appsheet.com/template/gettablefileurl?appName=APP022ParticMagnMTV2-924373673-26-05-14&amp;tableName=4.reg_fotografico&amp;fileName="&amp;AS52                         )
                          )</f>
        <v/>
      </c>
      <c r="AV52" s="54" t="str">
        <f t="shared" si="5"/>
        <v/>
      </c>
    </row>
    <row r="53" ht="22.5" customHeight="1">
      <c r="AT53" s="36" t="str">
        <f t="array" ref="AT53">IF(
                AS53 = "",
                "",
                       IF(
                           AS53 ="FOTOGRAFIA",
                           "LINK",
                           "https://www.appsheet.com/template/gettablefileurl?appName=APP022ParticMagnMTV2-924373673-26-05-14&amp;tableName=4.reg_fotografico&amp;fileName="&amp;AS53                         )
                          )</f>
        <v/>
      </c>
      <c r="AV53" s="54" t="str">
        <f t="shared" si="5"/>
        <v/>
      </c>
    </row>
    <row r="54" ht="22.5" customHeight="1">
      <c r="AT54" s="36" t="str">
        <f t="array" ref="AT54">IF(
                AS54 = "",
                "",
                       IF(
                           AS54 ="FOTOGRAFIA",
                           "LINK",
                           "https://www.appsheet.com/template/gettablefileurl?appName=APP022ParticMagnMTV2-924373673-26-05-14&amp;tableName=4.reg_fotografico&amp;fileName="&amp;AS54                         )
                          )</f>
        <v/>
      </c>
      <c r="AV54" s="54" t="str">
        <f t="shared" si="5"/>
        <v/>
      </c>
    </row>
    <row r="55" ht="22.5" customHeight="1">
      <c r="AT55" s="36" t="str">
        <f t="array" ref="AT55">IF(
                AS55 = "",
                "",
                       IF(
                           AS55 ="FOTOGRAFIA",
                           "LINK",
                           "https://www.appsheet.com/template/gettablefileurl?appName=APP022ParticMagnMTV2-924373673-26-05-14&amp;tableName=4.reg_fotografico&amp;fileName="&amp;AS55                         )
                          )</f>
        <v/>
      </c>
      <c r="AV55" s="54" t="str">
        <f t="shared" si="5"/>
        <v/>
      </c>
    </row>
    <row r="56" ht="22.5" customHeight="1">
      <c r="AT56" s="36" t="str">
        <f t="array" ref="AT56">IF(
                AS56 = "",
                "",
                       IF(
                           AS56 ="FOTOGRAFIA",
                           "LINK",
                           "https://www.appsheet.com/template/gettablefileurl?appName=APP022ParticMagnMTV2-924373673-26-05-14&amp;tableName=4.reg_fotografico&amp;fileName="&amp;AS56                         )
                          )</f>
        <v/>
      </c>
      <c r="AV56" s="54" t="str">
        <f t="shared" si="5"/>
        <v/>
      </c>
    </row>
    <row r="57" ht="22.5" customHeight="1">
      <c r="AT57" s="36" t="str">
        <f t="array" ref="AT57">IF(
                AS57 = "",
                "",
                       IF(
                           AS57 ="FOTOGRAFIA",
                           "LINK",
                           "https://www.appsheet.com/template/gettablefileurl?appName=APP022ParticMagnMTV2-924373673-26-05-14&amp;tableName=4.reg_fotografico&amp;fileName="&amp;AS57                         )
                          )</f>
        <v/>
      </c>
      <c r="AV57" s="54" t="str">
        <f t="shared" si="5"/>
        <v/>
      </c>
    </row>
    <row r="58" ht="22.5" customHeight="1">
      <c r="AT58" s="36" t="str">
        <f t="array" ref="AT58">IF(
                AS58 = "",
                "",
                       IF(
                           AS58 ="FOTOGRAFIA",
                           "LINK",
                           "https://www.appsheet.com/template/gettablefileurl?appName=APP022ParticMagnMTV2-924373673-26-05-14&amp;tableName=4.reg_fotografico&amp;fileName="&amp;AS58                         )
                          )</f>
        <v/>
      </c>
      <c r="AV58" s="54" t="str">
        <f t="shared" si="5"/>
        <v/>
      </c>
    </row>
    <row r="59" ht="22.5" customHeight="1">
      <c r="AT59" s="36" t="str">
        <f t="array" ref="AT59">IF(
                AS59 = "",
                "",
                       IF(
                           AS59 ="FOTOGRAFIA",
                           "LINK",
                           "https://www.appsheet.com/template/gettablefileurl?appName=APP022ParticMagnMTV2-924373673-26-05-14&amp;tableName=4.reg_fotografico&amp;fileName="&amp;AS59                         )
                          )</f>
        <v/>
      </c>
      <c r="AV59" s="54" t="str">
        <f t="shared" si="5"/>
        <v/>
      </c>
    </row>
    <row r="60" ht="22.5" customHeight="1">
      <c r="AT60" s="36" t="str">
        <f t="array" ref="AT60">IF(
                AS60 = "",
                "",
                       IF(
                           AS60 ="FOTOGRAFIA",
                           "LINK",
                           "https://www.appsheet.com/template/gettablefileurl?appName=APP022ParticMagnMTV2-924373673-26-05-14&amp;tableName=4.reg_fotografico&amp;fileName="&amp;AS60                         )
                          )</f>
        <v/>
      </c>
      <c r="AV60" s="54" t="str">
        <f t="shared" si="5"/>
        <v/>
      </c>
    </row>
    <row r="61" ht="22.5" customHeight="1">
      <c r="AT61" s="36" t="str">
        <f t="array" ref="AT61">IF(
                AS61 = "",
                "",
                       IF(
                           AS61 ="FOTOGRAFIA",
                           "LINK",
                           "https://www.appsheet.com/template/gettablefileurl?appName=APP022ParticMagnMTV2-924373673-26-05-14&amp;tableName=4.reg_fotografico&amp;fileName="&amp;AS61                         )
                          )</f>
        <v/>
      </c>
      <c r="AV61" s="54" t="str">
        <f t="shared" si="5"/>
        <v/>
      </c>
    </row>
    <row r="62" ht="22.5" customHeight="1">
      <c r="AT62" s="36" t="str">
        <f t="array" ref="AT62">IF(
                AS62 = "",
                "",
                       IF(
                           AS62 ="FOTOGRAFIA",
                           "LINK",
                           "https://www.appsheet.com/template/gettablefileurl?appName=APP022ParticMagnMTV2-924373673-26-05-14&amp;tableName=4.reg_fotografico&amp;fileName="&amp;AS62                         )
                          )</f>
        <v/>
      </c>
      <c r="AV62" s="54" t="str">
        <f t="shared" si="5"/>
        <v/>
      </c>
    </row>
    <row r="63" ht="22.5" customHeight="1">
      <c r="AT63" s="36" t="str">
        <f t="array" ref="AT63">IF(
                AS63 = "",
                "",
                       IF(
                           AS63 ="FOTOGRAFIA",
                           "LINK",
                           "https://www.appsheet.com/template/gettablefileurl?appName=APP022ParticMagnMTV2-924373673-26-05-14&amp;tableName=4.reg_fotografico&amp;fileName="&amp;AS63                         )
                          )</f>
        <v/>
      </c>
      <c r="AV63" s="54" t="str">
        <f t="shared" si="5"/>
        <v/>
      </c>
    </row>
    <row r="64" ht="22.5" customHeight="1">
      <c r="AT64" s="36" t="str">
        <f t="array" ref="AT64">IF(
                AS64 = "",
                "",
                       IF(
                           AS64 ="FOTOGRAFIA",
                           "LINK",
                           "https://www.appsheet.com/template/gettablefileurl?appName=APP022ParticMagnMTV2-924373673-26-05-14&amp;tableName=4.reg_fotografico&amp;fileName="&amp;AS64                         )
                          )</f>
        <v/>
      </c>
      <c r="AV64" s="54" t="str">
        <f t="shared" si="5"/>
        <v/>
      </c>
    </row>
    <row r="65" ht="22.5" customHeight="1">
      <c r="AT65" s="36" t="str">
        <f t="array" ref="AT65">IF(
                AS65 = "",
                "",
                       IF(
                           AS65 ="FOTOGRAFIA",
                           "LINK",
                           "https://www.appsheet.com/template/gettablefileurl?appName=APP022ParticMagnMTV2-924373673-26-05-14&amp;tableName=4.reg_fotografico&amp;fileName="&amp;AS65                         )
                          )</f>
        <v/>
      </c>
      <c r="AV65" s="54" t="str">
        <f t="shared" si="5"/>
        <v/>
      </c>
    </row>
    <row r="66" ht="22.5" customHeight="1">
      <c r="AT66" s="36" t="str">
        <f t="array" ref="AT66">IF(
                AS66 = "",
                "",
                       IF(
                           AS66 ="FOTOGRAFIA",
                           "LINK",
                           "https://www.appsheet.com/template/gettablefileurl?appName=APP022ParticMagnMTV2-924373673-26-05-14&amp;tableName=4.reg_fotografico&amp;fileName="&amp;AS66                         )
                          )</f>
        <v/>
      </c>
      <c r="AV66" s="54" t="str">
        <f t="shared" si="5"/>
        <v/>
      </c>
    </row>
    <row r="67" ht="22.5" customHeight="1">
      <c r="AT67" s="36" t="str">
        <f t="array" ref="AT67">IF(
                AS67 = "",
                "",
                       IF(
                           AS67 ="FOTOGRAFIA",
                           "LINK",
                           "https://www.appsheet.com/template/gettablefileurl?appName=APP022ParticMagnMTV2-924373673-26-05-14&amp;tableName=4.reg_fotografico&amp;fileName="&amp;AS67                         )
                          )</f>
        <v/>
      </c>
      <c r="AV67" s="54" t="str">
        <f t="shared" si="5"/>
        <v/>
      </c>
    </row>
    <row r="68" ht="22.5" customHeight="1">
      <c r="AT68" s="36" t="str">
        <f t="array" ref="AT68">IF(
                AS68 = "",
                "",
                       IF(
                           AS68 ="FOTOGRAFIA",
                           "LINK",
                           "https://www.appsheet.com/template/gettablefileurl?appName=APP022ParticMagnMTV2-924373673-26-05-14&amp;tableName=4.reg_fotografico&amp;fileName="&amp;AS68                         )
                          )</f>
        <v/>
      </c>
      <c r="AV68" s="54" t="str">
        <f t="shared" si="5"/>
        <v/>
      </c>
    </row>
    <row r="69" ht="22.5" customHeight="1">
      <c r="AT69" s="36" t="str">
        <f t="array" ref="AT69">IF(
                AS69 = "",
                "",
                       IF(
                           AS69 ="FOTOGRAFIA",
                           "LINK",
                           "https://www.appsheet.com/template/gettablefileurl?appName=APP022ParticMagnMTV2-924373673-26-05-14&amp;tableName=4.reg_fotografico&amp;fileName="&amp;AS69                         )
                          )</f>
        <v/>
      </c>
      <c r="AV69" s="54" t="str">
        <f t="shared" si="5"/>
        <v/>
      </c>
    </row>
    <row r="70" ht="22.5" customHeight="1">
      <c r="AT70" s="36" t="str">
        <f t="array" ref="AT70">IF(
                AS70 = "",
                "",
                       IF(
                           AS70 ="FOTOGRAFIA",
                           "LINK",
                           "https://www.appsheet.com/template/gettablefileurl?appName=APP022ParticMagnMTV2-924373673-26-05-14&amp;tableName=4.reg_fotografico&amp;fileName="&amp;AS70                         )
                          )</f>
        <v/>
      </c>
      <c r="AV70" s="54" t="str">
        <f t="shared" si="5"/>
        <v/>
      </c>
    </row>
    <row r="71" ht="22.5" customHeight="1">
      <c r="AT71" s="36" t="str">
        <f t="array" ref="AT71">IF(
                AS71 = "",
                "",
                       IF(
                           AS71 ="FOTOGRAFIA",
                           "LINK",
                           "https://www.appsheet.com/template/gettablefileurl?appName=APP022ParticMagnMTV2-924373673-26-05-14&amp;tableName=4.reg_fotografico&amp;fileName="&amp;AS71                         )
                          )</f>
        <v/>
      </c>
      <c r="AV71" s="54" t="str">
        <f t="shared" si="5"/>
        <v/>
      </c>
    </row>
    <row r="72" ht="22.5" customHeight="1">
      <c r="AT72" s="36" t="str">
        <f t="array" ref="AT72">IF(
                AS72 = "",
                "",
                       IF(
                           AS72 ="FOTOGRAFIA",
                           "LINK",
                           "https://www.appsheet.com/template/gettablefileurl?appName=APP022ParticMagnMTV2-924373673-26-05-14&amp;tableName=4.reg_fotografico&amp;fileName="&amp;AS72                         )
                          )</f>
        <v/>
      </c>
      <c r="AV72" s="54" t="str">
        <f t="shared" si="5"/>
        <v/>
      </c>
    </row>
    <row r="73" ht="22.5" customHeight="1">
      <c r="AT73" s="36" t="str">
        <f t="array" ref="AT73">IF(
                AS73 = "",
                "",
                       IF(
                           AS73 ="FOTOGRAFIA",
                           "LINK",
                           "https://www.appsheet.com/template/gettablefileurl?appName=APP022ParticMagnMTV2-924373673-26-05-14&amp;tableName=4.reg_fotografico&amp;fileName="&amp;AS73                         )
                          )</f>
        <v/>
      </c>
      <c r="AV73" s="54" t="str">
        <f t="shared" si="5"/>
        <v/>
      </c>
    </row>
    <row r="74" ht="22.5" customHeight="1">
      <c r="AT74" s="36" t="str">
        <f t="array" ref="AT74">IF(
                AS74 = "",
                "",
                       IF(
                           AS74 ="FOTOGRAFIA",
                           "LINK",
                           "https://www.appsheet.com/template/gettablefileurl?appName=APP022ParticMagnMTV2-924373673-26-05-14&amp;tableName=4.reg_fotografico&amp;fileName="&amp;AS74                         )
                          )</f>
        <v/>
      </c>
      <c r="AV74" s="54" t="str">
        <f t="shared" si="5"/>
        <v/>
      </c>
    </row>
    <row r="75" ht="22.5" customHeight="1">
      <c r="AT75" s="36" t="str">
        <f t="array" ref="AT75">IF(
                AS75 = "",
                "",
                       IF(
                           AS75 ="FOTOGRAFIA",
                           "LINK",
                           "https://www.appsheet.com/template/gettablefileurl?appName=APP022ParticMagnMTV2-924373673-26-05-14&amp;tableName=4.reg_fotografico&amp;fileName="&amp;AS75                         )
                          )</f>
        <v/>
      </c>
      <c r="AV75" s="54" t="str">
        <f t="shared" si="5"/>
        <v/>
      </c>
    </row>
    <row r="76" ht="22.5" customHeight="1">
      <c r="AT76" s="36" t="str">
        <f t="array" ref="AT76">IF(
                AS76 = "",
                "",
                       IF(
                           AS76 ="FOTOGRAFIA",
                           "LINK",
                           "https://www.appsheet.com/template/gettablefileurl?appName=APP022ParticMagnMTV2-924373673-26-05-14&amp;tableName=4.reg_fotografico&amp;fileName="&amp;AS76                         )
                          )</f>
        <v/>
      </c>
      <c r="AV76" s="54" t="str">
        <f t="shared" si="5"/>
        <v/>
      </c>
    </row>
    <row r="77" ht="22.5" customHeight="1">
      <c r="AT77" s="36" t="str">
        <f t="array" ref="AT77">IF(
                AS77 = "",
                "",
                       IF(
                           AS77 ="FOTOGRAFIA",
                           "LINK",
                           "https://www.appsheet.com/template/gettablefileurl?appName=APP022ParticMagnMTV2-924373673-26-05-14&amp;tableName=4.reg_fotografico&amp;fileName="&amp;AS77                         )
                          )</f>
        <v/>
      </c>
      <c r="AV77" s="54" t="str">
        <f t="shared" si="5"/>
        <v/>
      </c>
    </row>
    <row r="78" ht="22.5" customHeight="1">
      <c r="AT78" s="36" t="str">
        <f t="array" ref="AT78">IF(
                AS78 = "",
                "",
                       IF(
                           AS78 ="FOTOGRAFIA",
                           "LINK",
                           "https://www.appsheet.com/template/gettablefileurl?appName=APP022ParticMagnMTV2-924373673-26-05-14&amp;tableName=4.reg_fotografico&amp;fileName="&amp;AS78                         )
                          )</f>
        <v/>
      </c>
      <c r="AV78" s="54" t="str">
        <f t="shared" si="5"/>
        <v/>
      </c>
    </row>
    <row r="79" ht="22.5" customHeight="1">
      <c r="AT79" s="36" t="str">
        <f t="array" ref="AT79">IF(
                AS79 = "",
                "",
                       IF(
                           AS79 ="FOTOGRAFIA",
                           "LINK",
                           "https://www.appsheet.com/template/gettablefileurl?appName=APP022ParticMagnMTV2-924373673-26-05-14&amp;tableName=4.reg_fotografico&amp;fileName="&amp;AS79                         )
                          )</f>
        <v/>
      </c>
      <c r="AV79" s="54" t="str">
        <f t="shared" si="5"/>
        <v/>
      </c>
    </row>
    <row r="80" ht="22.5" customHeight="1">
      <c r="AT80" s="36" t="str">
        <f t="array" ref="AT80">IF(
                AS80 = "",
                "",
                       IF(
                           AS80 ="FOTOGRAFIA",
                           "LINK",
                           "https://www.appsheet.com/template/gettablefileurl?appName=APP022ParticMagnMTV2-924373673-26-05-14&amp;tableName=4.reg_fotografico&amp;fileName="&amp;AS80                         )
                          )</f>
        <v/>
      </c>
      <c r="AV80" s="54" t="str">
        <f t="shared" si="5"/>
        <v/>
      </c>
    </row>
    <row r="81" ht="22.5" customHeight="1">
      <c r="AT81" s="36" t="str">
        <f t="array" ref="AT81">IF(
                AS81 = "",
                "",
                       IF(
                           AS81 ="FOTOGRAFIA",
                           "LINK",
                           "https://www.appsheet.com/template/gettablefileurl?appName=APP022ParticMagnMTV2-924373673-26-05-14&amp;tableName=4.reg_fotografico&amp;fileName="&amp;AS81                         )
                          )</f>
        <v/>
      </c>
      <c r="AV81" s="54" t="str">
        <f t="shared" si="5"/>
        <v/>
      </c>
    </row>
    <row r="82" ht="22.5" customHeight="1">
      <c r="AT82" s="36" t="str">
        <f t="array" ref="AT82">IF(
                AS82 = "",
                "",
                       IF(
                           AS82 ="FOTOGRAFIA",
                           "LINK",
                           "https://www.appsheet.com/template/gettablefileurl?appName=APP022ParticMagnMTV2-924373673-26-05-14&amp;tableName=4.reg_fotografico&amp;fileName="&amp;AS82                         )
                          )</f>
        <v/>
      </c>
      <c r="AV82" s="54" t="str">
        <f t="shared" si="5"/>
        <v/>
      </c>
    </row>
    <row r="83" ht="22.5" customHeight="1">
      <c r="AT83" s="36" t="str">
        <f t="array" ref="AT83">IF(
                AS83 = "",
                "",
                       IF(
                           AS83 ="FOTOGRAFIA",
                           "LINK",
                           "https://www.appsheet.com/template/gettablefileurl?appName=APP022ParticMagnMTV2-924373673-26-05-14&amp;tableName=4.reg_fotografico&amp;fileName="&amp;AS83                         )
                          )</f>
        <v/>
      </c>
      <c r="AV83" s="54" t="str">
        <f t="shared" si="5"/>
        <v/>
      </c>
    </row>
    <row r="84" ht="22.5" customHeight="1">
      <c r="AT84" s="36" t="str">
        <f t="array" ref="AT84">IF(
                AS84 = "",
                "",
                       IF(
                           AS84 ="FOTOGRAFIA",
                           "LINK",
                           "https://www.appsheet.com/template/gettablefileurl?appName=APP022ParticMagnMTV2-924373673-26-05-14&amp;tableName=4.reg_fotografico&amp;fileName="&amp;AS84                         )
                          )</f>
        <v/>
      </c>
      <c r="AV84" s="54" t="str">
        <f t="shared" si="5"/>
        <v/>
      </c>
    </row>
    <row r="85" ht="22.5" customHeight="1">
      <c r="AT85" s="36" t="str">
        <f t="array" ref="AT85">IF(
                AS85 = "",
                "",
                       IF(
                           AS85 ="FOTOGRAFIA",
                           "LINK",
                           "https://www.appsheet.com/template/gettablefileurl?appName=APP022ParticMagnMTV2-924373673-26-05-14&amp;tableName=4.reg_fotografico&amp;fileName="&amp;AS85                         )
                          )</f>
        <v/>
      </c>
      <c r="AV85" s="54" t="str">
        <f t="shared" si="5"/>
        <v/>
      </c>
    </row>
    <row r="86" ht="22.5" customHeight="1">
      <c r="AT86" s="36" t="str">
        <f t="array" ref="AT86">IF(
                AS86 = "",
                "",
                       IF(
                           AS86 ="FOTOGRAFIA",
                           "LINK",
                           "https://www.appsheet.com/template/gettablefileurl?appName=APP022ParticMagnMTV2-924373673-26-05-14&amp;tableName=4.reg_fotografico&amp;fileName="&amp;AS86                         )
                          )</f>
        <v/>
      </c>
      <c r="AV86" s="54" t="str">
        <f t="shared" si="5"/>
        <v/>
      </c>
    </row>
    <row r="87" ht="22.5" customHeight="1">
      <c r="AT87" s="36" t="str">
        <f t="array" ref="AT87">IF(
                AS87 = "",
                "",
                       IF(
                           AS87 ="FOTOGRAFIA",
                           "LINK",
                           "https://www.appsheet.com/template/gettablefileurl?appName=APP022ParticMagnMTV2-924373673-26-05-14&amp;tableName=4.reg_fotografico&amp;fileName="&amp;AS87                         )
                          )</f>
        <v/>
      </c>
      <c r="AV87" s="54" t="str">
        <f t="shared" si="5"/>
        <v/>
      </c>
    </row>
    <row r="88" ht="22.5" customHeight="1">
      <c r="AT88" s="36" t="str">
        <f t="array" ref="AT88">IF(
                AS88 = "",
                "",
                       IF(
                           AS88 ="FOTOGRAFIA",
                           "LINK",
                           "https://www.appsheet.com/template/gettablefileurl?appName=APP022ParticMagnMTV2-924373673-26-05-14&amp;tableName=4.reg_fotografico&amp;fileName="&amp;AS88                         )
                          )</f>
        <v/>
      </c>
      <c r="AV88" s="54" t="str">
        <f t="shared" si="5"/>
        <v/>
      </c>
    </row>
    <row r="89" ht="22.5" customHeight="1">
      <c r="AT89" s="36" t="str">
        <f t="array" ref="AT89">IF(
                AS89 = "",
                "",
                       IF(
                           AS89 ="FOTOGRAFIA",
                           "LINK",
                           "https://www.appsheet.com/template/gettablefileurl?appName=APP022ParticMagnMTV2-924373673-26-05-14&amp;tableName=4.reg_fotografico&amp;fileName="&amp;AS89                         )
                          )</f>
        <v/>
      </c>
      <c r="AV89" s="54" t="str">
        <f t="shared" si="5"/>
        <v/>
      </c>
    </row>
    <row r="90" ht="22.5" customHeight="1">
      <c r="AT90" s="36" t="str">
        <f t="array" ref="AT90">IF(
                AS90 = "",
                "",
                       IF(
                           AS90 ="FOTOGRAFIA",
                           "LINK",
                           "https://www.appsheet.com/template/gettablefileurl?appName=APP022ParticMagnMTV2-924373673-26-05-14&amp;tableName=4.reg_fotografico&amp;fileName="&amp;AS90                         )
                          )</f>
        <v/>
      </c>
      <c r="AV90" s="54" t="str">
        <f t="shared" si="5"/>
        <v/>
      </c>
    </row>
    <row r="91" ht="22.5" customHeight="1">
      <c r="AT91" s="36" t="str">
        <f t="array" ref="AT91">IF(
                AS91 = "",
                "",
                       IF(
                           AS91 ="FOTOGRAFIA",
                           "LINK",
                           "https://www.appsheet.com/template/gettablefileurl?appName=APP022ParticMagnMTV2-924373673-26-05-14&amp;tableName=4.reg_fotografico&amp;fileName="&amp;AS91                         )
                          )</f>
        <v/>
      </c>
      <c r="AV91" s="54" t="str">
        <f t="shared" si="5"/>
        <v/>
      </c>
    </row>
    <row r="92" ht="22.5" customHeight="1">
      <c r="AT92" s="36" t="str">
        <f t="array" ref="AT92">IF(
                AS92 = "",
                "",
                       IF(
                           AS92 ="FOTOGRAFIA",
                           "LINK",
                           "https://www.appsheet.com/template/gettablefileurl?appName=APP022ParticMagnMTV2-924373673-26-05-14&amp;tableName=4.reg_fotografico&amp;fileName="&amp;AS92                         )
                          )</f>
        <v/>
      </c>
      <c r="AV92" s="54" t="str">
        <f t="shared" si="5"/>
        <v/>
      </c>
    </row>
    <row r="93" ht="22.5" customHeight="1">
      <c r="AT93" s="36" t="str">
        <f t="array" ref="AT93">IF(
                AS93 = "",
                "",
                       IF(
                           AS93 ="FOTOGRAFIA",
                           "LINK",
                           "https://www.appsheet.com/template/gettablefileurl?appName=APP022ParticMagnMTV2-924373673-26-05-14&amp;tableName=4.reg_fotografico&amp;fileName="&amp;AS93                         )
                          )</f>
        <v/>
      </c>
      <c r="AV93" s="54" t="str">
        <f t="shared" si="5"/>
        <v/>
      </c>
    </row>
    <row r="94" ht="22.5" customHeight="1">
      <c r="AT94" s="36" t="str">
        <f t="array" ref="AT94">IF(
                AS94 = "",
                "",
                       IF(
                           AS94 ="FOTOGRAFIA",
                           "LINK",
                           "https://www.appsheet.com/template/gettablefileurl?appName=APP022ParticMagnMTV2-924373673-26-05-14&amp;tableName=4.reg_fotografico&amp;fileName="&amp;AS94                         )
                          )</f>
        <v/>
      </c>
      <c r="AV94" s="54" t="str">
        <f t="shared" si="5"/>
        <v/>
      </c>
    </row>
    <row r="95" ht="22.5" customHeight="1">
      <c r="AT95" s="36" t="str">
        <f t="array" ref="AT95">IF(
                AS95 = "",
                "",
                       IF(
                           AS95 ="FOTOGRAFIA",
                           "LINK",
                           "https://www.appsheet.com/template/gettablefileurl?appName=APP022ParticMagnMTV2-924373673-26-05-14&amp;tableName=4.reg_fotografico&amp;fileName="&amp;AS95                         )
                          )</f>
        <v/>
      </c>
      <c r="AV95" s="54" t="str">
        <f t="shared" si="5"/>
        <v/>
      </c>
    </row>
    <row r="96" ht="22.5" customHeight="1">
      <c r="AT96" s="36" t="str">
        <f t="array" ref="AT96">IF(
                AS96 = "",
                "",
                       IF(
                           AS96 ="FOTOGRAFIA",
                           "LINK",
                           "https://www.appsheet.com/template/gettablefileurl?appName=APP022ParticMagnMTV2-924373673-26-05-14&amp;tableName=4.reg_fotografico&amp;fileName="&amp;AS96                         )
                          )</f>
        <v/>
      </c>
      <c r="AV96" s="54" t="str">
        <f t="shared" si="5"/>
        <v/>
      </c>
    </row>
    <row r="97" ht="22.5" customHeight="1">
      <c r="AT97" s="36" t="str">
        <f t="array" ref="AT97">IF(
                AS97 = "",
                "",
                       IF(
                           AS97 ="FOTOGRAFIA",
                           "LINK",
                           "https://www.appsheet.com/template/gettablefileurl?appName=APP022ParticMagnMTV2-924373673-26-05-14&amp;tableName=4.reg_fotografico&amp;fileName="&amp;AS97                         )
                          )</f>
        <v/>
      </c>
      <c r="AV97" s="54" t="str">
        <f t="shared" si="5"/>
        <v/>
      </c>
    </row>
    <row r="98" ht="22.5" customHeight="1">
      <c r="AT98" s="36" t="str">
        <f t="array" ref="AT98">IF(
                AS98 = "",
                "",
                       IF(
                           AS98 ="FOTOGRAFIA",
                           "LINK",
                           "https://www.appsheet.com/template/gettablefileurl?appName=APP022ParticMagnMTV2-924373673-26-05-14&amp;tableName=4.reg_fotografico&amp;fileName="&amp;AS98                         )
                          )</f>
        <v/>
      </c>
      <c r="AV98" s="54" t="str">
        <f t="shared" si="5"/>
        <v/>
      </c>
    </row>
    <row r="99" ht="22.5" customHeight="1">
      <c r="AT99" s="36" t="str">
        <f t="array" ref="AT99">IF(
                AS99 = "",
                "",
                       IF(
                           AS99 ="FOTOGRAFIA",
                           "LINK",
                           "https://www.appsheet.com/template/gettablefileurl?appName=APP022ParticMagnMTV2-924373673-26-05-14&amp;tableName=4.reg_fotografico&amp;fileName="&amp;AS99                         )
                          )</f>
        <v/>
      </c>
      <c r="AV99" s="54" t="str">
        <f t="shared" si="5"/>
        <v/>
      </c>
    </row>
    <row r="100" ht="22.5" customHeight="1">
      <c r="AT100" s="36" t="str">
        <f t="array" ref="AT100">IF(
                AS100 = "",
                "",
                       IF(
                           AS100 ="FOTOGRAFIA",
                           "LINK",
                           "https://www.appsheet.com/template/gettablefileurl?appName=APP022ParticMagnMTV2-924373673-26-05-14&amp;tableName=4.reg_fotografico&amp;fileName="&amp;AS100                         )
                          )</f>
        <v/>
      </c>
      <c r="AV100" s="54" t="str">
        <f t="shared" si="5"/>
        <v/>
      </c>
    </row>
    <row r="101" ht="22.5" customHeight="1">
      <c r="AT101" s="36" t="str">
        <f t="array" ref="AT101">IF(
                AS101 = "",
                "",
                       IF(
                           AS101 ="FOTOGRAFIA",
                           "LINK",
                           "https://www.appsheet.com/template/gettablefileurl?appName=APP022ParticMagnMTV2-924373673-26-05-14&amp;tableName=4.reg_fotografico&amp;fileName="&amp;AS101                         )
                          )</f>
        <v/>
      </c>
      <c r="AV101" s="54" t="str">
        <f t="shared" si="5"/>
        <v/>
      </c>
    </row>
    <row r="102" ht="22.5" customHeight="1">
      <c r="AT102" s="36" t="str">
        <f t="array" ref="AT102">IF(
                AS102 = "",
                "",
                       IF(
                           AS102 ="FOTOGRAFIA",
                           "LINK",
                           "https://www.appsheet.com/template/gettablefileurl?appName=APP022ParticMagnMTV2-924373673-26-05-14&amp;tableName=4.reg_fotografico&amp;fileName="&amp;AS102                         )
                          )</f>
        <v/>
      </c>
      <c r="AV102" s="54" t="str">
        <f t="shared" si="5"/>
        <v/>
      </c>
    </row>
    <row r="103" ht="22.5" customHeight="1">
      <c r="AT103" s="36" t="str">
        <f t="array" ref="AT103">IF(
                AS103 = "",
                "",
                       IF(
                           AS103 ="FOTOGRAFIA",
                           "LINK",
                           "https://www.appsheet.com/template/gettablefileurl?appName=APP022ParticMagnMTV2-924373673-26-05-14&amp;tableName=4.reg_fotografico&amp;fileName="&amp;AS103                         )
                          )</f>
        <v/>
      </c>
      <c r="AV103" s="54" t="str">
        <f t="shared" si="5"/>
        <v/>
      </c>
    </row>
    <row r="104" ht="22.5" customHeight="1">
      <c r="AT104" s="36" t="str">
        <f t="array" ref="AT104">IF(
                AS104 = "",
                "",
                       IF(
                           AS104 ="FOTOGRAFIA",
                           "LINK",
                           "https://www.appsheet.com/template/gettablefileurl?appName=APP022ParticMagnMTV2-924373673-26-05-14&amp;tableName=4.reg_fotografico&amp;fileName="&amp;AS104                         )
                          )</f>
        <v/>
      </c>
      <c r="AV104" s="54" t="str">
        <f t="shared" si="5"/>
        <v/>
      </c>
    </row>
    <row r="105" ht="22.5" customHeight="1">
      <c r="AT105" s="36" t="str">
        <f t="array" ref="AT105">IF(
                AS105 = "",
                "",
                       IF(
                           AS105 ="FOTOGRAFIA",
                           "LINK",
                           "https://www.appsheet.com/template/gettablefileurl?appName=APP022ParticMagnMTV2-924373673-26-05-14&amp;tableName=4.reg_fotografico&amp;fileName="&amp;AS105                         )
                          )</f>
        <v/>
      </c>
      <c r="AV105" s="54" t="str">
        <f t="shared" si="5"/>
        <v/>
      </c>
    </row>
    <row r="106" ht="22.5" customHeight="1">
      <c r="AT106" s="36" t="str">
        <f t="array" ref="AT106">IF(
                AS106 = "",
                "",
                       IF(
                           AS106 ="FOTOGRAFIA",
                           "LINK",
                           "https://www.appsheet.com/template/gettablefileurl?appName=APP022ParticMagnMTV2-924373673-26-05-14&amp;tableName=4.reg_fotografico&amp;fileName="&amp;AS106                         )
                          )</f>
        <v/>
      </c>
      <c r="AV106" s="54" t="str">
        <f t="shared" si="5"/>
        <v/>
      </c>
    </row>
    <row r="107" ht="22.5" customHeight="1">
      <c r="AT107" s="36" t="str">
        <f t="array" ref="AT107">IF(
                AS107 = "",
                "",
                       IF(
                           AS107 ="FOTOGRAFIA",
                           "LINK",
                           "https://www.appsheet.com/template/gettablefileurl?appName=APP022ParticMagnMTV2-924373673-26-05-14&amp;tableName=4.reg_fotografico&amp;fileName="&amp;AS107                         )
                          )</f>
        <v/>
      </c>
      <c r="AV107" s="54" t="str">
        <f t="shared" si="5"/>
        <v/>
      </c>
    </row>
    <row r="108" ht="22.5" customHeight="1">
      <c r="AT108" s="36" t="str">
        <f t="array" ref="AT108">IF(
                AS108 = "",
                "",
                       IF(
                           AS108 ="FOTOGRAFIA",
                           "LINK",
                           "https://www.appsheet.com/template/gettablefileurl?appName=APP022ParticMagnMTV2-924373673-26-05-14&amp;tableName=4.reg_fotografico&amp;fileName="&amp;AS108                         )
                          )</f>
        <v/>
      </c>
      <c r="AV108" s="54" t="str">
        <f t="shared" si="5"/>
        <v/>
      </c>
    </row>
    <row r="109" ht="22.5" customHeight="1">
      <c r="AT109" s="36" t="str">
        <f t="array" ref="AT109">IF(
                AS109 = "",
                "",
                       IF(
                           AS109 ="FOTOGRAFIA",
                           "LINK",
                           "https://www.appsheet.com/template/gettablefileurl?appName=APP022ParticMagnMTV2-924373673-26-05-14&amp;tableName=4.reg_fotografico&amp;fileName="&amp;AS109                         )
                          )</f>
        <v/>
      </c>
      <c r="AV109" s="54" t="str">
        <f t="shared" si="5"/>
        <v/>
      </c>
    </row>
    <row r="110" ht="22.5" customHeight="1">
      <c r="AT110" s="36" t="str">
        <f t="array" ref="AT110">IF(
                AS110 = "",
                "",
                       IF(
                           AS110 ="FOTOGRAFIA",
                           "LINK",
                           "https://www.appsheet.com/template/gettablefileurl?appName=APP022ParticMagnMTV2-924373673-26-05-14&amp;tableName=4.reg_fotografico&amp;fileName="&amp;AS110                         )
                          )</f>
        <v/>
      </c>
      <c r="AV110" s="54" t="str">
        <f t="shared" si="5"/>
        <v/>
      </c>
    </row>
    <row r="111" ht="22.5" customHeight="1">
      <c r="AT111" s="36" t="str">
        <f t="array" ref="AT111">IF(
                AS111 = "",
                "",
                       IF(
                           AS111 ="FOTOGRAFIA",
                           "LINK",
                           "https://www.appsheet.com/template/gettablefileurl?appName=APP022ParticMagnMTV2-924373673-26-05-14&amp;tableName=4.reg_fotografico&amp;fileName="&amp;AS111                         )
                          )</f>
        <v/>
      </c>
      <c r="AV111" s="54" t="str">
        <f t="shared" si="5"/>
        <v/>
      </c>
    </row>
    <row r="112" ht="22.5" customHeight="1">
      <c r="AT112" s="36" t="str">
        <f t="array" ref="AT112">IF(
                AS112 = "",
                "",
                       IF(
                           AS112 ="FOTOGRAFIA",
                           "LINK",
                           "https://www.appsheet.com/template/gettablefileurl?appName=APP022ParticMagnMTV2-924373673-26-05-14&amp;tableName=4.reg_fotografico&amp;fileName="&amp;AS112                         )
                          )</f>
        <v/>
      </c>
      <c r="AV112" s="54" t="str">
        <f t="shared" si="5"/>
        <v/>
      </c>
    </row>
    <row r="113" ht="22.5" customHeight="1">
      <c r="AT113" s="36" t="str">
        <f t="array" ref="AT113">IF(
                AS113 = "",
                "",
                       IF(
                           AS113 ="FOTOGRAFIA",
                           "LINK",
                           "https://www.appsheet.com/template/gettablefileurl?appName=APP022ParticMagnMTV2-924373673-26-05-14&amp;tableName=4.reg_fotografico&amp;fileName="&amp;AS113                         )
                          )</f>
        <v/>
      </c>
      <c r="AV113" s="54" t="str">
        <f t="shared" si="5"/>
        <v/>
      </c>
    </row>
    <row r="114" ht="22.5" customHeight="1">
      <c r="AT114" s="36" t="str">
        <f t="array" ref="AT114">IF(
                AS114 = "",
                "",
                       IF(
                           AS114 ="FOTOGRAFIA",
                           "LINK",
                           "https://www.appsheet.com/template/gettablefileurl?appName=APP022ParticMagnMTV2-924373673-26-05-14&amp;tableName=4.reg_fotografico&amp;fileName="&amp;AS114                         )
                          )</f>
        <v/>
      </c>
      <c r="AV114" s="54" t="str">
        <f t="shared" si="5"/>
        <v/>
      </c>
    </row>
    <row r="115" ht="22.5" customHeight="1">
      <c r="AT115" s="36" t="str">
        <f t="array" ref="AT115">IF(
                AS115 = "",
                "",
                       IF(
                           AS115 ="FOTOGRAFIA",
                           "LINK",
                           "https://www.appsheet.com/template/gettablefileurl?appName=APP022ParticMagnMTV2-924373673-26-05-14&amp;tableName=4.reg_fotografico&amp;fileName="&amp;AS115                         )
                          )</f>
        <v/>
      </c>
      <c r="AV115" s="54" t="str">
        <f t="shared" si="5"/>
        <v/>
      </c>
    </row>
    <row r="116" ht="22.5" customHeight="1">
      <c r="AT116" s="36" t="str">
        <f t="array" ref="AT116">IF(
                AS116 = "",
                "",
                       IF(
                           AS116 ="FOTOGRAFIA",
                           "LINK",
                           "https://www.appsheet.com/template/gettablefileurl?appName=APP022ParticMagnMTV2-924373673-26-05-14&amp;tableName=4.reg_fotografico&amp;fileName="&amp;AS116                         )
                          )</f>
        <v/>
      </c>
      <c r="AV116" s="54" t="str">
        <f t="shared" si="5"/>
        <v/>
      </c>
    </row>
    <row r="117" ht="22.5" customHeight="1">
      <c r="AT117" s="36" t="str">
        <f t="array" ref="AT117">IF(
                AS117 = "",
                "",
                       IF(
                           AS117 ="FOTOGRAFIA",
                           "LINK",
                           "https://www.appsheet.com/template/gettablefileurl?appName=APP022ParticMagnMTV2-924373673-26-05-14&amp;tableName=4.reg_fotografico&amp;fileName="&amp;AS117                         )
                          )</f>
        <v/>
      </c>
      <c r="AV117" s="54" t="str">
        <f t="shared" si="5"/>
        <v/>
      </c>
    </row>
    <row r="118" ht="22.5" customHeight="1">
      <c r="AT118" s="36" t="str">
        <f t="array" ref="AT118">IF(
                AS118 = "",
                "",
                       IF(
                           AS118 ="FOTOGRAFIA",
                           "LINK",
                           "https://www.appsheet.com/template/gettablefileurl?appName=APP022ParticMagnMTV2-924373673-26-05-14&amp;tableName=4.reg_fotografico&amp;fileName="&amp;AS118                         )
                          )</f>
        <v/>
      </c>
      <c r="AV118" s="54" t="str">
        <f t="shared" si="5"/>
        <v/>
      </c>
    </row>
    <row r="119" ht="22.5" customHeight="1">
      <c r="AT119" s="36" t="str">
        <f t="array" ref="AT119">IF(
                AS119 = "",
                "",
                       IF(
                           AS119 ="FOTOGRAFIA",
                           "LINK",
                           "https://www.appsheet.com/template/gettablefileurl?appName=APP022ParticMagnMTV2-924373673-26-05-14&amp;tableName=4.reg_fotografico&amp;fileName="&amp;AS119                         )
                          )</f>
        <v/>
      </c>
      <c r="AV119" s="54" t="str">
        <f t="shared" si="5"/>
        <v/>
      </c>
    </row>
    <row r="120" ht="22.5" customHeight="1">
      <c r="AT120" s="36" t="str">
        <f t="array" ref="AT120">IF(
                AS120 = "",
                "",
                       IF(
                           AS120 ="FOTOGRAFIA",
                           "LINK",
                           "https://www.appsheet.com/template/gettablefileurl?appName=APP022ParticMagnMTV2-924373673-26-05-14&amp;tableName=4.reg_fotografico&amp;fileName="&amp;AS120                         )
                          )</f>
        <v/>
      </c>
      <c r="AV120" s="54" t="str">
        <f t="shared" si="5"/>
        <v/>
      </c>
    </row>
    <row r="121" ht="22.5" customHeight="1">
      <c r="AT121" s="36" t="str">
        <f t="array" ref="AT121">IF(
                AS121 = "",
                "",
                       IF(
                           AS121 ="FOTOGRAFIA",
                           "LINK",
                           "https://www.appsheet.com/template/gettablefileurl?appName=APP022ParticMagnMTV2-924373673-26-05-14&amp;tableName=4.reg_fotografico&amp;fileName="&amp;AS121                         )
                          )</f>
        <v/>
      </c>
      <c r="AV121" s="54" t="str">
        <f t="shared" si="5"/>
        <v/>
      </c>
    </row>
    <row r="122" ht="22.5" customHeight="1">
      <c r="AT122" s="36" t="str">
        <f t="array" ref="AT122">IF(
                AS122 = "",
                "",
                       IF(
                           AS122 ="FOTOGRAFIA",
                           "LINK",
                           "https://www.appsheet.com/template/gettablefileurl?appName=APP022ParticMagnMTV2-924373673-26-05-14&amp;tableName=4.reg_fotografico&amp;fileName="&amp;AS122                         )
                          )</f>
        <v/>
      </c>
      <c r="AV122" s="54" t="str">
        <f t="shared" si="5"/>
        <v/>
      </c>
    </row>
    <row r="123" ht="22.5" customHeight="1">
      <c r="AT123" s="36" t="str">
        <f t="array" ref="AT123">IF(
                AS123 = "",
                "",
                       IF(
                           AS123 ="FOTOGRAFIA",
                           "LINK",
                           "https://www.appsheet.com/template/gettablefileurl?appName=APP022ParticMagnMTV2-924373673-26-05-14&amp;tableName=4.reg_fotografico&amp;fileName="&amp;AS123                         )
                          )</f>
        <v/>
      </c>
      <c r="AV123" s="54" t="str">
        <f t="shared" si="5"/>
        <v/>
      </c>
    </row>
    <row r="124" ht="22.5" customHeight="1">
      <c r="AT124" s="36" t="str">
        <f t="array" ref="AT124">IF(
                AS124 = "",
                "",
                       IF(
                           AS124 ="FOTOGRAFIA",
                           "LINK",
                           "https://www.appsheet.com/template/gettablefileurl?appName=APP022ParticMagnMTV2-924373673-26-05-14&amp;tableName=4.reg_fotografico&amp;fileName="&amp;AS124                         )
                          )</f>
        <v/>
      </c>
      <c r="AV124" s="54" t="str">
        <f t="shared" si="5"/>
        <v/>
      </c>
    </row>
    <row r="125" ht="22.5" customHeight="1">
      <c r="AT125" s="36" t="str">
        <f t="array" ref="AT125">IF(
                AS125 = "",
                "",
                       IF(
                           AS125 ="FOTOGRAFIA",
                           "LINK",
                           "https://www.appsheet.com/template/gettablefileurl?appName=APP022ParticMagnMTV2-924373673-26-05-14&amp;tableName=4.reg_fotografico&amp;fileName="&amp;AS125                         )
                          )</f>
        <v/>
      </c>
      <c r="AV125" s="54" t="str">
        <f t="shared" si="5"/>
        <v/>
      </c>
    </row>
    <row r="126" ht="22.5" customHeight="1">
      <c r="AT126" s="36" t="str">
        <f t="array" ref="AT126">IF(
                AS126 = "",
                "",
                       IF(
                           AS126 ="FOTOGRAFIA",
                           "LINK",
                           "https://www.appsheet.com/template/gettablefileurl?appName=APP022ParticMagnMTV2-924373673-26-05-14&amp;tableName=4.reg_fotografico&amp;fileName="&amp;AS126                         )
                          )</f>
        <v/>
      </c>
      <c r="AV126" s="54" t="str">
        <f t="shared" si="5"/>
        <v/>
      </c>
    </row>
    <row r="127" ht="22.5" customHeight="1">
      <c r="AT127" s="36" t="str">
        <f t="array" ref="AT127">IF(
                AS127 = "",
                "",
                       IF(
                           AS127 ="FOTOGRAFIA",
                           "LINK",
                           "https://www.appsheet.com/template/gettablefileurl?appName=APP022ParticMagnMTV2-924373673-26-05-14&amp;tableName=4.reg_fotografico&amp;fileName="&amp;AS127                         )
                          )</f>
        <v/>
      </c>
      <c r="AV127" s="54" t="str">
        <f t="shared" si="5"/>
        <v/>
      </c>
    </row>
    <row r="128" ht="22.5" customHeight="1">
      <c r="AT128" s="36" t="str">
        <f t="array" ref="AT128">IF(
                AS128 = "",
                "",
                       IF(
                           AS128 ="FOTOGRAFIA",
                           "LINK",
                           "https://www.appsheet.com/template/gettablefileurl?appName=APP022ParticMagnMTV2-924373673-26-05-14&amp;tableName=4.reg_fotografico&amp;fileName="&amp;AS128                         )
                          )</f>
        <v/>
      </c>
      <c r="AV128" s="54" t="str">
        <f t="shared" si="5"/>
        <v/>
      </c>
    </row>
    <row r="129" ht="22.5" customHeight="1">
      <c r="AT129" s="36" t="str">
        <f t="array" ref="AT129">IF(
                AS129 = "",
                "",
                       IF(
                           AS129 ="FOTOGRAFIA",
                           "LINK",
                           "https://www.appsheet.com/template/gettablefileurl?appName=APP022ParticMagnMTV2-924373673-26-05-14&amp;tableName=4.reg_fotografico&amp;fileName="&amp;AS129                         )
                          )</f>
        <v/>
      </c>
      <c r="AV129" s="54" t="str">
        <f t="shared" si="5"/>
        <v/>
      </c>
    </row>
    <row r="130" ht="22.5" customHeight="1">
      <c r="AT130" s="36" t="str">
        <f t="array" ref="AT130">IF(
                AS130 = "",
                "",
                       IF(
                           AS130 ="FOTOGRAFIA",
                           "LINK",
                           "https://www.appsheet.com/template/gettablefileurl?appName=APP022ParticMagnMTV2-924373673-26-05-14&amp;tableName=4.reg_fotografico&amp;fileName="&amp;AS130                         )
                          )</f>
        <v/>
      </c>
      <c r="AV130" s="54" t="str">
        <f t="shared" si="5"/>
        <v/>
      </c>
    </row>
    <row r="131" ht="22.5" customHeight="1">
      <c r="AT131" s="54" t="str">
        <f t="array" ref="AT131">IF(
                AS131 = "",
                "",
                       IF(
                           AS131 ="FOTOGRAFIA",
                           "LINK",
                           "https://www.appsheet.com/template/gettablefileurl?appName=APP022ParticMagnMTV2-924373673-26-05-14&amp;tableName=4.reg_fotografico&amp;fileName="&amp;AS131                         )
                          )</f>
        <v/>
      </c>
      <c r="AV131" s="54" t="str">
        <f t="shared" si="5"/>
        <v/>
      </c>
    </row>
    <row r="132" ht="22.5" customHeight="1">
      <c r="AT132" s="54" t="str">
        <f t="array" ref="AT132">IF(
                AS132 = "",
                "",
                       IF(
                           AS132 ="FOTOGRAFIA",
                           "LINK",
                           "https://www.appsheet.com/template/gettablefileurl?appName=APP022ParticMagnMTV2-924373673-26-05-14&amp;tableName=4.reg_fotografico&amp;fileName="&amp;AS132                         )
                          )</f>
        <v/>
      </c>
      <c r="AV132" s="54" t="str">
        <f t="shared" si="5"/>
        <v/>
      </c>
    </row>
    <row r="133" ht="22.5" customHeight="1">
      <c r="AT133" s="54" t="str">
        <f t="array" ref="AT133">IF(
                AS133 = "",
                "",
                       IF(
                           AS133 ="FOTOGRAFIA",
                           "LINK",
                           "https://www.appsheet.com/template/gettablefileurl?appName=APP022ParticMagnMTV2-924373673-26-05-14&amp;tableName=4.reg_fotografico&amp;fileName="&amp;AS133                         )
                          )</f>
        <v/>
      </c>
      <c r="AV133" s="54" t="str">
        <f t="shared" si="5"/>
        <v/>
      </c>
    </row>
    <row r="134" ht="22.5" customHeight="1">
      <c r="AT134" s="54" t="str">
        <f t="array" ref="AT134">IF(
                AS134 = "",
                "",
                       IF(
                           AS134 ="FOTOGRAFIA",
                           "LINK",
                           "https://www.appsheet.com/template/gettablefileurl?appName=APP022ParticMagnMTV2-924373673-26-05-14&amp;tableName=4.reg_fotografico&amp;fileName="&amp;AS134                         )
                          )</f>
        <v/>
      </c>
      <c r="AV134" s="54" t="str">
        <f t="shared" si="5"/>
        <v/>
      </c>
    </row>
    <row r="135" ht="22.5" customHeight="1">
      <c r="AT135" s="54" t="str">
        <f t="array" ref="AT135">IF(
                AS135 = "",
                "",
                       IF(
                           AS135 ="FOTOGRAFIA",
                           "LINK",
                           "https://www.appsheet.com/template/gettablefileurl?appName=APP022ParticMagnMTV2-924373673-26-05-14&amp;tableName=4.reg_fotografico&amp;fileName="&amp;AS135                         )
                          )</f>
        <v/>
      </c>
      <c r="AV135" s="54" t="str">
        <f t="shared" si="5"/>
        <v/>
      </c>
    </row>
    <row r="136" ht="22.5" customHeight="1">
      <c r="AT136" s="54" t="str">
        <f t="array" ref="AT136">IF(
                AS136 = "",
                "",
                       IF(
                           AS136 ="FOTOGRAFIA",
                           "LINK",
                           "https://www.appsheet.com/template/gettablefileurl?appName=APP022ParticMagnMTV2-924373673-26-05-14&amp;tableName=4.reg_fotografico&amp;fileName="&amp;AS136                         )
                          )</f>
        <v/>
      </c>
      <c r="AV136" s="54" t="str">
        <f t="shared" si="5"/>
        <v/>
      </c>
    </row>
    <row r="137" ht="22.5" customHeight="1">
      <c r="AT137" s="54" t="str">
        <f t="array" ref="AT137">IF(
                AS137 = "",
                "",
                       IF(
                           AS137 ="FOTOGRAFIA",
                           "LINK",
                           "https://www.appsheet.com/template/gettablefileurl?appName=APP022ParticMagnMTV2-924373673-26-05-14&amp;tableName=4.reg_fotografico&amp;fileName="&amp;AS137                         )
                          )</f>
        <v/>
      </c>
      <c r="AV137" s="54" t="str">
        <f t="shared" si="5"/>
        <v/>
      </c>
    </row>
    <row r="138" ht="22.5" customHeight="1">
      <c r="AT138" s="54" t="str">
        <f t="array" ref="AT138">IF(
                AS138 = "",
                "",
                       IF(
                           AS138 ="FOTOGRAFIA",
                           "LINK",
                           "https://www.appsheet.com/template/gettablefileurl?appName=APP022ParticMagnMTV2-924373673-26-05-14&amp;tableName=4.reg_fotografico&amp;fileName="&amp;AS138                         )
                          )</f>
        <v/>
      </c>
      <c r="AV138" s="54" t="str">
        <f t="shared" si="5"/>
        <v/>
      </c>
    </row>
    <row r="139" ht="22.5" customHeight="1">
      <c r="AT139" s="54" t="str">
        <f t="array" ref="AT139">IF(
                AS139 = "",
                "",
                       IF(
                           AS139 ="FOTOGRAFIA",
                           "LINK",
                           "https://www.appsheet.com/template/gettablefileurl?appName=APP022ParticMagnMTV2-924373673-26-05-14&amp;tableName=4.reg_fotografico&amp;fileName="&amp;AS139                         )
                          )</f>
        <v/>
      </c>
      <c r="AV139" s="54" t="str">
        <f t="shared" si="5"/>
        <v/>
      </c>
    </row>
    <row r="140" ht="22.5" customHeight="1">
      <c r="AT140" s="54" t="str">
        <f t="array" ref="AT140">IF(
                AS140 = "",
                "",
                       IF(
                           AS140 ="FOTOGRAFIA",
                           "LINK",
                           "https://www.appsheet.com/template/gettablefileurl?appName=APP022ParticMagnMTV2-924373673-26-05-14&amp;tableName=4.reg_fotografico&amp;fileName="&amp;AS140                         )
                          )</f>
        <v/>
      </c>
      <c r="AV140" s="54" t="str">
        <f t="shared" si="5"/>
        <v/>
      </c>
    </row>
    <row r="141" ht="22.5" customHeight="1">
      <c r="AT141" s="54" t="str">
        <f t="array" ref="AT141">IF(
                AS141 = "",
                "",
                       IF(
                           AS141 ="FOTOGRAFIA",
                           "LINK",
                           "https://www.appsheet.com/template/gettablefileurl?appName=APP022ParticMagnMTV2-924373673-26-05-14&amp;tableName=4.reg_fotografico&amp;fileName="&amp;AS141                         )
                          )</f>
        <v/>
      </c>
      <c r="AV141" s="54" t="str">
        <f t="shared" si="5"/>
        <v/>
      </c>
    </row>
    <row r="142" ht="22.5" customHeight="1">
      <c r="AT142" s="54" t="str">
        <f t="array" ref="AT142">IF(
                AS142 = "",
                "",
                       IF(
                           AS142 ="FOTOGRAFIA",
                           "LINK",
                           "https://www.appsheet.com/template/gettablefileurl?appName=APP022ParticMagnMTV2-924373673-26-05-14&amp;tableName=4.reg_fotografico&amp;fileName="&amp;AS142                         )
                          )</f>
        <v/>
      </c>
      <c r="AV142" s="54" t="str">
        <f t="shared" si="5"/>
        <v/>
      </c>
    </row>
    <row r="143" ht="22.5" customHeight="1">
      <c r="AT143" s="54" t="str">
        <f t="array" ref="AT143">IF(
                AS143 = "",
                "",
                       IF(
                           AS143 ="FOTOGRAFIA",
                           "LINK",
                           "https://www.appsheet.com/template/gettablefileurl?appName=APP022ParticMagnMTV2-924373673-26-05-14&amp;tableName=4.reg_fotografico&amp;fileName="&amp;AS143                         )
                          )</f>
        <v/>
      </c>
      <c r="AV143" s="54" t="str">
        <f t="shared" si="5"/>
        <v/>
      </c>
    </row>
    <row r="144" ht="22.5" customHeight="1">
      <c r="AT144" s="54" t="str">
        <f t="array" ref="AT144">IF(
                AS144 = "",
                "",
                       IF(
                           AS144 ="FOTOGRAFIA",
                           "LINK",
                           "https://www.appsheet.com/template/gettablefileurl?appName=APP022ParticMagnMTV2-924373673-26-05-14&amp;tableName=4.reg_fotografico&amp;fileName="&amp;AS144                         )
                          )</f>
        <v/>
      </c>
      <c r="AV144" s="54" t="str">
        <f t="shared" si="5"/>
        <v/>
      </c>
    </row>
    <row r="145" ht="22.5" customHeight="1">
      <c r="AT145" s="54" t="str">
        <f t="array" ref="AT145">IF(
                AS145 = "",
                "",
                       IF(
                           AS145 ="FOTOGRAFIA",
                           "LINK",
                           "https://www.appsheet.com/template/gettablefileurl?appName=APP022ParticMagnMTV2-924373673-26-05-14&amp;tableName=4.reg_fotografico&amp;fileName="&amp;AS145                         )
                          )</f>
        <v/>
      </c>
      <c r="AV145" s="54" t="str">
        <f t="shared" si="5"/>
        <v/>
      </c>
    </row>
    <row r="146" ht="22.5" customHeight="1">
      <c r="AT146" s="54" t="str">
        <f t="array" ref="AT146">IF(
                AS146 = "",
                "",
                       IF(
                           AS146 ="FOTOGRAFIA",
                           "LINK",
                           "https://www.appsheet.com/template/gettablefileurl?appName=APP022ParticMagnMTV2-924373673-26-05-14&amp;tableName=4.reg_fotografico&amp;fileName="&amp;AS146                         )
                          )</f>
        <v/>
      </c>
      <c r="AV146" s="54" t="str">
        <f t="shared" si="5"/>
        <v/>
      </c>
    </row>
    <row r="147" ht="22.5" customHeight="1">
      <c r="AT147" s="54" t="str">
        <f t="array" ref="AT147">IF(
                AS147 = "",
                "",
                       IF(
                           AS147 ="FOTOGRAFIA",
                           "LINK",
                           "https://www.appsheet.com/template/gettablefileurl?appName=APP022ParticMagnMTV2-924373673-26-05-14&amp;tableName=4.reg_fotografico&amp;fileName="&amp;AS147                         )
                          )</f>
        <v/>
      </c>
      <c r="AV147" s="54" t="str">
        <f t="shared" si="5"/>
        <v/>
      </c>
    </row>
    <row r="148" ht="22.5" customHeight="1">
      <c r="AT148" s="54" t="str">
        <f t="array" ref="AT148">IF(
                AS148 = "",
                "",
                       IF(
                           AS148 ="FOTOGRAFIA",
                           "LINK",
                           "https://www.appsheet.com/template/gettablefileurl?appName=APP022ParticMagnMTV2-924373673-26-05-14&amp;tableName=4.reg_fotografico&amp;fileName="&amp;AS148                         )
                          )</f>
        <v/>
      </c>
      <c r="AV148" s="54" t="str">
        <f t="shared" si="5"/>
        <v/>
      </c>
    </row>
    <row r="149" ht="22.5" customHeight="1">
      <c r="AT149" s="54" t="str">
        <f t="array" ref="AT149">IF(
                AS149 = "",
                "",
                       IF(
                           AS149 ="FOTOGRAFIA",
                           "LINK",
                           "https://www.appsheet.com/template/gettablefileurl?appName=APP022ParticMagnMTV2-924373673-26-05-14&amp;tableName=4.reg_fotografico&amp;fileName="&amp;AS149                         )
                          )</f>
        <v/>
      </c>
      <c r="AV149" s="54" t="str">
        <f t="shared" si="5"/>
        <v/>
      </c>
    </row>
    <row r="150" ht="22.5" customHeight="1">
      <c r="AT150" s="54" t="str">
        <f t="array" ref="AT150">IF(
                AS150 = "",
                "",
                       IF(
                           AS150 ="FOTOGRAFIA",
                           "LINK",
                           "https://www.appsheet.com/template/gettablefileurl?appName=APP022ParticMagnMTV2-924373673-26-05-14&amp;tableName=4.reg_fotografico&amp;fileName="&amp;AS150                         )
                          )</f>
        <v/>
      </c>
      <c r="AV150" s="54" t="str">
        <f t="shared" si="5"/>
        <v/>
      </c>
    </row>
    <row r="151" ht="22.5" customHeight="1">
      <c r="AT151" s="54" t="str">
        <f t="array" ref="AT151">IF(
                AS151 = "",
                "",
                       IF(
                           AS151 ="FOTOGRAFIA",
                           "LINK",
                           "https://www.appsheet.com/template/gettablefileurl?appName=APP022ParticMagnMTV2-924373673-26-05-14&amp;tableName=4.reg_fotografico&amp;fileName="&amp;AS151                         )
                          )</f>
        <v/>
      </c>
      <c r="AV151" s="54" t="str">
        <f t="shared" si="5"/>
        <v/>
      </c>
    </row>
    <row r="152" ht="22.5" customHeight="1">
      <c r="AT152" s="54" t="str">
        <f t="array" ref="AT152">IF(
                AS152 = "",
                "",
                       IF(
                           AS152 ="FOTOGRAFIA",
                           "LINK",
                           "https://www.appsheet.com/template/gettablefileurl?appName=APP022ParticMagnMTV2-924373673-26-05-14&amp;tableName=4.reg_fotografico&amp;fileName="&amp;AS152                         )
                          )</f>
        <v/>
      </c>
      <c r="AV152" s="54" t="str">
        <f t="shared" si="5"/>
        <v/>
      </c>
    </row>
    <row r="153" ht="22.5" customHeight="1">
      <c r="AT153" s="54" t="str">
        <f t="array" ref="AT153">IF(
                AS153 = "",
                "",
                       IF(
                           AS153 ="FOTOGRAFIA",
                           "LINK",
                           "https://www.appsheet.com/template/gettablefileurl?appName=APP022ParticMagnMTV2-924373673-26-05-14&amp;tableName=4.reg_fotografico&amp;fileName="&amp;AS153                         )
                          )</f>
        <v/>
      </c>
      <c r="AV153" s="54" t="str">
        <f t="shared" si="5"/>
        <v/>
      </c>
    </row>
    <row r="154" ht="22.5" customHeight="1">
      <c r="AT154" s="54" t="str">
        <f t="array" ref="AT154">IF(
                AS154 = "",
                "",
                       IF(
                           AS154 ="FOTOGRAFIA",
                           "LINK",
                           "https://www.appsheet.com/template/gettablefileurl?appName=APP022ParticMagnMTV2-924373673-26-05-14&amp;tableName=4.reg_fotografico&amp;fileName="&amp;AS154                         )
                          )</f>
        <v/>
      </c>
      <c r="AV154" s="54" t="str">
        <f t="shared" si="5"/>
        <v/>
      </c>
    </row>
    <row r="155" ht="22.5" customHeight="1">
      <c r="AT155" s="54" t="str">
        <f t="array" ref="AT155">IF(
                AS155 = "",
                "",
                       IF(
                           AS155 ="FOTOGRAFIA",
                           "LINK",
                           "https://www.appsheet.com/template/gettablefileurl?appName=APP022ParticMagnMTV2-924373673-26-05-14&amp;tableName=4.reg_fotografico&amp;fileName="&amp;AS155                         )
                          )</f>
        <v/>
      </c>
      <c r="AV155" s="54" t="str">
        <f t="shared" si="5"/>
        <v/>
      </c>
    </row>
    <row r="156" ht="22.5" customHeight="1">
      <c r="AT156" s="54" t="str">
        <f t="array" ref="AT156">IF(
                AS156 = "",
                "",
                       IF(
                           AS156 ="FOTOGRAFIA",
                           "LINK",
                           "https://www.appsheet.com/template/gettablefileurl?appName=APP022ParticMagnMTV2-924373673-26-05-14&amp;tableName=4.reg_fotografico&amp;fileName="&amp;AS156                         )
                          )</f>
        <v/>
      </c>
      <c r="AV156" s="54" t="str">
        <f t="shared" si="5"/>
        <v/>
      </c>
    </row>
    <row r="157" ht="22.5" customHeight="1">
      <c r="AT157" s="54" t="str">
        <f t="array" ref="AT157">IF(
                AS157 = "",
                "",
                       IF(
                           AS157 ="FOTOGRAFIA",
                           "LINK",
                           "https://www.appsheet.com/template/gettablefileurl?appName=APP022ParticMagnMTV2-924373673-26-05-14&amp;tableName=4.reg_fotografico&amp;fileName="&amp;AS157                         )
                          )</f>
        <v/>
      </c>
      <c r="AV157" s="54" t="str">
        <f t="shared" si="5"/>
        <v/>
      </c>
    </row>
    <row r="158" ht="22.5" customHeight="1">
      <c r="AT158" s="54" t="str">
        <f t="array" ref="AT158">IF(
                AS158 = "",
                "",
                       IF(
                           AS158 ="FOTOGRAFIA",
                           "LINK",
                           "https://www.appsheet.com/template/gettablefileurl?appName=APP022ParticMagnMTV2-924373673-26-05-14&amp;tableName=4.reg_fotografico&amp;fileName="&amp;AS158                         )
                          )</f>
        <v/>
      </c>
      <c r="AV158" s="54" t="str">
        <f t="shared" si="5"/>
        <v/>
      </c>
    </row>
    <row r="159" ht="22.5" customHeight="1">
      <c r="AT159" s="54" t="str">
        <f t="array" ref="AT159">IF(
                AS159 = "",
                "",
                       IF(
                           AS159 ="FOTOGRAFIA",
                           "LINK",
                           "https://www.appsheet.com/template/gettablefileurl?appName=APP022ParticMagnMTV2-924373673-26-05-14&amp;tableName=4.reg_fotografico&amp;fileName="&amp;AS159                         )
                          )</f>
        <v/>
      </c>
      <c r="AV159" s="54" t="str">
        <f t="shared" si="5"/>
        <v/>
      </c>
    </row>
    <row r="160" ht="22.5" customHeight="1">
      <c r="AT160" s="54" t="str">
        <f t="array" ref="AT160">IF(
                AS160 = "",
                "",
                       IF(
                           AS160 ="FOTOGRAFIA",
                           "LINK",
                           "https://www.appsheet.com/template/gettablefileurl?appName=APP022ParticMagnMTV2-924373673-26-05-14&amp;tableName=4.reg_fotografico&amp;fileName="&amp;AS160                         )
                          )</f>
        <v/>
      </c>
      <c r="AV160" s="54" t="str">
        <f t="shared" si="5"/>
        <v/>
      </c>
    </row>
    <row r="161" ht="22.5" customHeight="1">
      <c r="AT161" s="54" t="str">
        <f t="array" ref="AT161">IF(
                AS161 = "",
                "",
                       IF(
                           AS161 ="FOTOGRAFIA",
                           "LINK",
                           "https://www.appsheet.com/template/gettablefileurl?appName=APP022ParticMagnMTV2-924373673-26-05-14&amp;tableName=4.reg_fotografico&amp;fileName="&amp;AS161                         )
                          )</f>
        <v/>
      </c>
      <c r="AV161" s="54" t="str">
        <f t="shared" si="5"/>
        <v/>
      </c>
    </row>
    <row r="162" ht="22.5" customHeight="1">
      <c r="AT162" s="54" t="str">
        <f t="array" ref="AT162">IF(
                AS162 = "",
                "",
                       IF(
                           AS162 ="FOTOGRAFIA",
                           "LINK",
                           "https://www.appsheet.com/template/gettablefileurl?appName=APP022ParticMagnMTV2-924373673-26-05-14&amp;tableName=4.reg_fotografico&amp;fileName="&amp;AS162                         )
                          )</f>
        <v/>
      </c>
      <c r="AV162" s="54" t="str">
        <f t="shared" si="5"/>
        <v/>
      </c>
    </row>
    <row r="163" ht="22.5" customHeight="1">
      <c r="AT163" s="54" t="str">
        <f t="array" ref="AT163">IF(
                AS163 = "",
                "",
                       IF(
                           AS163 ="FOTOGRAFIA",
                           "LINK",
                           "https://www.appsheet.com/template/gettablefileurl?appName=APP022ParticMagnMTV2-924373673-26-05-14&amp;tableName=4.reg_fotografico&amp;fileName="&amp;AS163                         )
                          )</f>
        <v/>
      </c>
      <c r="AV163" s="54" t="str">
        <f t="shared" si="5"/>
        <v/>
      </c>
    </row>
    <row r="164" ht="22.5" customHeight="1">
      <c r="AT164" s="54" t="str">
        <f t="array" ref="AT164">IF(
                AS164 = "",
                "",
                       IF(
                           AS164 ="FOTOGRAFIA",
                           "LINK",
                           "https://www.appsheet.com/template/gettablefileurl?appName=APP022ParticMagnMTV2-924373673-26-05-14&amp;tableName=4.reg_fotografico&amp;fileName="&amp;AS164                         )
                          )</f>
        <v/>
      </c>
      <c r="AV164" s="54" t="str">
        <f t="shared" si="5"/>
        <v/>
      </c>
    </row>
    <row r="165" ht="22.5" customHeight="1">
      <c r="AT165" s="54" t="str">
        <f t="array" ref="AT165">IF(
                AS165 = "",
                "",
                       IF(
                           AS165 ="FOTOGRAFIA",
                           "LINK",
                           "https://www.appsheet.com/template/gettablefileurl?appName=APP022ParticMagnMTV2-924373673-26-05-14&amp;tableName=4.reg_fotografico&amp;fileName="&amp;AS165                         )
                          )</f>
        <v/>
      </c>
      <c r="AV165" s="54" t="str">
        <f t="shared" si="5"/>
        <v/>
      </c>
    </row>
    <row r="166" ht="22.5" customHeight="1">
      <c r="AT166" s="54" t="str">
        <f t="array" ref="AT166">IF(
                AS166 = "",
                "",
                       IF(
                           AS166 ="FOTOGRAFIA",
                           "LINK",
                           "https://www.appsheet.com/template/gettablefileurl?appName=APP022ParticMagnMTV2-924373673-26-05-14&amp;tableName=4.reg_fotografico&amp;fileName="&amp;AS166                         )
                          )</f>
        <v/>
      </c>
      <c r="AV166" s="54" t="str">
        <f t="shared" si="5"/>
        <v/>
      </c>
    </row>
    <row r="167" ht="22.5" customHeight="1">
      <c r="AT167" s="54" t="str">
        <f t="array" ref="AT167">IF(
                AS167 = "",
                "",
                       IF(
                           AS167 ="FOTOGRAFIA",
                           "LINK",
                           "https://www.appsheet.com/template/gettablefileurl?appName=APP022ParticMagnMTV2-924373673-26-05-14&amp;tableName=4.reg_fotografico&amp;fileName="&amp;AS167                         )
                          )</f>
        <v/>
      </c>
      <c r="AV167" s="54" t="str">
        <f t="shared" si="5"/>
        <v/>
      </c>
    </row>
    <row r="168" ht="22.5" customHeight="1">
      <c r="AT168" s="54" t="str">
        <f t="array" ref="AT168">IF(
                AS168 = "",
                "",
                       IF(
                           AS168 ="FOTOGRAFIA",
                           "LINK",
                           "https://www.appsheet.com/template/gettablefileurl?appName=APP022ParticMagnMTV2-924373673-26-05-14&amp;tableName=4.reg_fotografico&amp;fileName="&amp;AS168                         )
                          )</f>
        <v/>
      </c>
      <c r="AV168" s="54" t="str">
        <f t="shared" si="5"/>
        <v/>
      </c>
    </row>
    <row r="169" ht="22.5" customHeight="1">
      <c r="AT169" s="54" t="str">
        <f t="array" ref="AT169">IF(
                AS169 = "",
                "",
                       IF(
                           AS169 ="FOTOGRAFIA",
                           "LINK",
                           "https://www.appsheet.com/template/gettablefileurl?appName=APP022ParticMagnMTV2-924373673-26-05-14&amp;tableName=4.reg_fotografico&amp;fileName="&amp;AS169                         )
                          )</f>
        <v/>
      </c>
      <c r="AV169" s="54" t="str">
        <f t="shared" si="5"/>
        <v/>
      </c>
    </row>
    <row r="170" ht="22.5" customHeight="1">
      <c r="AT170" s="54" t="str">
        <f t="array" ref="AT170">IF(
                AS170 = "",
                "",
                       IF(
                           AS170 ="FOTOGRAFIA",
                           "LINK",
                           "https://www.appsheet.com/template/gettablefileurl?appName=APP022ParticMagnMTV2-924373673-26-05-14&amp;tableName=4.reg_fotografico&amp;fileName="&amp;AS170                         )
                          )</f>
        <v/>
      </c>
      <c r="AV170" s="54" t="str">
        <f t="shared" si="5"/>
        <v/>
      </c>
    </row>
    <row r="171" ht="22.5" customHeight="1">
      <c r="AT171" s="54" t="str">
        <f t="array" ref="AT171">IF(
                AS171 = "",
                "",
                       IF(
                           AS171 ="FOTOGRAFIA",
                           "LINK",
                           "https://www.appsheet.com/template/gettablefileurl?appName=APP022ParticMagnMTV2-924373673-26-05-14&amp;tableName=4.reg_fotografico&amp;fileName="&amp;AS171                         )
                          )</f>
        <v/>
      </c>
      <c r="AV171" s="54" t="str">
        <f t="shared" si="5"/>
        <v/>
      </c>
    </row>
    <row r="172" ht="22.5" customHeight="1">
      <c r="AT172" s="54" t="str">
        <f t="array" ref="AT172">IF(
                AS172 = "",
                "",
                       IF(
                           AS172 ="FOTOGRAFIA",
                           "LINK",
                           "https://www.appsheet.com/template/gettablefileurl?appName=APP022ParticMagnMTV2-924373673-26-05-14&amp;tableName=4.reg_fotografico&amp;fileName="&amp;AS172                         )
                          )</f>
        <v/>
      </c>
      <c r="AV172" s="54" t="str">
        <f t="shared" si="5"/>
        <v/>
      </c>
    </row>
    <row r="173" ht="22.5" customHeight="1">
      <c r="AT173" s="54" t="str">
        <f t="array" ref="AT173">IF(
                AS173 = "",
                "",
                       IF(
                           AS173 ="FOTOGRAFIA",
                           "LINK",
                           "https://www.appsheet.com/template/gettablefileurl?appName=APP022ParticMagnMTV2-924373673-26-05-14&amp;tableName=4.reg_fotografico&amp;fileName="&amp;AS173                         )
                          )</f>
        <v/>
      </c>
      <c r="AV173" s="54" t="str">
        <f t="shared" si="5"/>
        <v/>
      </c>
    </row>
    <row r="174" ht="22.5" customHeight="1">
      <c r="AT174" s="54" t="str">
        <f t="array" ref="AT174">IF(
                AS174 = "",
                "",
                       IF(
                           AS174 ="FOTOGRAFIA",
                           "LINK",
                           "https://www.appsheet.com/template/gettablefileurl?appName=APP022ParticMagnMTV2-924373673-26-05-14&amp;tableName=4.reg_fotografico&amp;fileName="&amp;AS174                         )
                          )</f>
        <v/>
      </c>
      <c r="AV174" s="54" t="str">
        <f t="shared" si="5"/>
        <v/>
      </c>
    </row>
    <row r="175" ht="22.5" customHeight="1">
      <c r="AT175" s="54" t="str">
        <f t="array" ref="AT175">IF(
                AS175 = "",
                "",
                       IF(
                           AS175 ="FOTOGRAFIA",
                           "LINK",
                           "https://www.appsheet.com/template/gettablefileurl?appName=APP022ParticMagnMTV2-924373673-26-05-14&amp;tableName=4.reg_fotografico&amp;fileName="&amp;AS175                         )
                          )</f>
        <v/>
      </c>
      <c r="AV175" s="54" t="str">
        <f t="shared" si="5"/>
        <v/>
      </c>
    </row>
    <row r="176" ht="22.5" customHeight="1">
      <c r="AT176" s="54" t="str">
        <f t="array" ref="AT176">IF(
                AS176 = "",
                "",
                       IF(
                           AS176 ="FOTOGRAFIA",
                           "LINK",
                           "https://www.appsheet.com/template/gettablefileurl?appName=APP022ParticMagnMTV2-924373673-26-05-14&amp;tableName=4.reg_fotografico&amp;fileName="&amp;AS176                         )
                          )</f>
        <v/>
      </c>
      <c r="AV176" s="54" t="str">
        <f t="shared" si="5"/>
        <v/>
      </c>
    </row>
    <row r="177" ht="22.5" customHeight="1">
      <c r="AT177" s="54" t="str">
        <f t="array" ref="AT177">IF(
                AS177 = "",
                "",
                       IF(
                           AS177 ="FOTOGRAFIA",
                           "LINK",
                           "https://www.appsheet.com/template/gettablefileurl?appName=APP022ParticMagnMTV2-924373673-26-05-14&amp;tableName=4.reg_fotografico&amp;fileName="&amp;AS177                         )
                          )</f>
        <v/>
      </c>
      <c r="AV177" s="54" t="str">
        <f t="shared" si="5"/>
        <v/>
      </c>
    </row>
    <row r="178" ht="22.5" customHeight="1">
      <c r="AT178" s="54" t="str">
        <f t="array" ref="AT178">IF(
                AS178 = "",
                "",
                       IF(
                           AS178 ="FOTOGRAFIA",
                           "LINK",
                           "https://www.appsheet.com/template/gettablefileurl?appName=APP022ParticMagnMTV2-924373673-26-05-14&amp;tableName=4.reg_fotografico&amp;fileName="&amp;AS178                         )
                          )</f>
        <v/>
      </c>
      <c r="AV178" s="54" t="str">
        <f t="shared" si="5"/>
        <v/>
      </c>
    </row>
    <row r="179" ht="22.5" customHeight="1">
      <c r="AT179" s="54" t="str">
        <f t="array" ref="AT179">IF(
                AS179 = "",
                "",
                       IF(
                           AS179 ="FOTOGRAFIA",
                           "LINK",
                           "https://www.appsheet.com/template/gettablefileurl?appName=APP022ParticMagnMTV2-924373673-26-05-14&amp;tableName=4.reg_fotografico&amp;fileName="&amp;AS179                         )
                          )</f>
        <v/>
      </c>
      <c r="AV179" s="54" t="str">
        <f t="shared" si="5"/>
        <v/>
      </c>
    </row>
    <row r="180" ht="22.5" customHeight="1">
      <c r="AT180" s="54" t="str">
        <f t="array" ref="AT180">IF(
                AS180 = "",
                "",
                       IF(
                           AS180 ="FOTOGRAFIA",
                           "LINK",
                           "https://www.appsheet.com/template/gettablefileurl?appName=APP022ParticMagnMTV2-924373673-26-05-14&amp;tableName=4.reg_fotografico&amp;fileName="&amp;AS180                         )
                          )</f>
        <v/>
      </c>
      <c r="AV180" s="54" t="str">
        <f t="shared" si="5"/>
        <v/>
      </c>
    </row>
    <row r="181" ht="22.5" customHeight="1">
      <c r="AT181" s="54" t="str">
        <f t="array" ref="AT181">IF(
                AS181 = "",
                "",
                       IF(
                           AS181 ="FOTOGRAFIA",
                           "LINK",
                           "https://www.appsheet.com/template/gettablefileurl?appName=APP022ParticMagnMTV2-924373673-26-05-14&amp;tableName=4.reg_fotografico&amp;fileName="&amp;AS181                         )
                          )</f>
        <v/>
      </c>
      <c r="AV181" s="54" t="str">
        <f t="shared" si="5"/>
        <v/>
      </c>
    </row>
    <row r="182" ht="22.5" customHeight="1">
      <c r="AT182" s="54" t="str">
        <f t="array" ref="AT182">IF(
                AS182 = "",
                "",
                       IF(
                           AS182 ="FOTOGRAFIA",
                           "LINK",
                           "https://www.appsheet.com/template/gettablefileurl?appName=APP022ParticMagnMTV2-924373673-26-05-14&amp;tableName=4.reg_fotografico&amp;fileName="&amp;AS182                         )
                          )</f>
        <v/>
      </c>
      <c r="AV182" s="54" t="str">
        <f t="shared" si="5"/>
        <v/>
      </c>
    </row>
    <row r="183" ht="22.5" customHeight="1">
      <c r="AT183" s="54" t="str">
        <f t="array" ref="AT183">IF(
                AS183 = "",
                "",
                       IF(
                           AS183 ="FOTOGRAFIA",
                           "LINK",
                           "https://www.appsheet.com/template/gettablefileurl?appName=APP022ParticMagnMTV2-924373673-26-05-14&amp;tableName=4.reg_fotografico&amp;fileName="&amp;AS183                         )
                          )</f>
        <v/>
      </c>
      <c r="AV183" s="54" t="str">
        <f t="shared" si="5"/>
        <v/>
      </c>
    </row>
    <row r="184" ht="22.5" customHeight="1">
      <c r="AT184" s="54" t="str">
        <f t="array" ref="AT184">IF(
                AS184 = "",
                "",
                       IF(
                           AS184 ="FOTOGRAFIA",
                           "LINK",
                           "https://www.appsheet.com/template/gettablefileurl?appName=APP022ParticMagnMTV2-924373673-26-05-14&amp;tableName=4.reg_fotografico&amp;fileName="&amp;AS184                         )
                          )</f>
        <v/>
      </c>
      <c r="AV184" s="54" t="str">
        <f t="shared" si="5"/>
        <v/>
      </c>
    </row>
    <row r="185" ht="22.5" customHeight="1">
      <c r="AT185" s="54" t="str">
        <f t="array" ref="AT185">IF(
                AS185 = "",
                "",
                       IF(
                           AS185 ="FOTOGRAFIA",
                           "LINK",
                           "https://www.appsheet.com/template/gettablefileurl?appName=APP022ParticMagnMTV2-924373673-26-05-14&amp;tableName=4.reg_fotografico&amp;fileName="&amp;AS185                         )
                          )</f>
        <v/>
      </c>
      <c r="AV185" s="54" t="str">
        <f t="shared" si="5"/>
        <v/>
      </c>
    </row>
    <row r="186" ht="22.5" customHeight="1">
      <c r="AT186" s="54" t="str">
        <f t="array" ref="AT186">IF(
                AS186 = "",
                "",
                       IF(
                           AS186 ="FOTOGRAFIA",
                           "LINK",
                           "https://www.appsheet.com/template/gettablefileurl?appName=APP022ParticMagnMTV2-924373673-26-05-14&amp;tableName=4.reg_fotografico&amp;fileName="&amp;AS186                         )
                          )</f>
        <v/>
      </c>
      <c r="AV186" s="54" t="str">
        <f t="shared" si="5"/>
        <v/>
      </c>
    </row>
    <row r="187" ht="22.5" customHeight="1">
      <c r="AT187" s="54" t="str">
        <f t="array" ref="AT187">IF(
                AS187 = "",
                "",
                       IF(
                           AS187 ="FOTOGRAFIA",
                           "LINK",
                           "https://www.appsheet.com/template/gettablefileurl?appName=APP022ParticMagnMTV2-924373673-26-05-14&amp;tableName=4.reg_fotografico&amp;fileName="&amp;AS187                         )
                          )</f>
        <v/>
      </c>
      <c r="AV187" s="54" t="str">
        <f t="shared" si="5"/>
        <v/>
      </c>
    </row>
    <row r="188" ht="22.5" customHeight="1">
      <c r="AT188" s="54" t="str">
        <f t="array" ref="AT188">IF(
                AS188 = "",
                "",
                       IF(
                           AS188 ="FOTOGRAFIA",
                           "LINK",
                           "https://www.appsheet.com/template/gettablefileurl?appName=APP022ParticMagnMTV2-924373673-26-05-14&amp;tableName=4.reg_fotografico&amp;fileName="&amp;AS188                         )
                          )</f>
        <v/>
      </c>
      <c r="AV188" s="54" t="str">
        <f t="shared" si="5"/>
        <v/>
      </c>
    </row>
    <row r="189" ht="22.5" customHeight="1">
      <c r="AT189" s="54" t="str">
        <f t="array" ref="AT189">IF(
                AS189 = "",
                "",
                       IF(
                           AS189 ="FOTOGRAFIA",
                           "LINK",
                           "https://www.appsheet.com/template/gettablefileurl?appName=APP022ParticMagnMTV2-924373673-26-05-14&amp;tableName=4.reg_fotografico&amp;fileName="&amp;AS189                         )
                          )</f>
        <v/>
      </c>
      <c r="AV189" s="54" t="str">
        <f t="shared" si="5"/>
        <v/>
      </c>
    </row>
    <row r="190" ht="22.5" customHeight="1">
      <c r="AT190" s="54" t="str">
        <f t="array" ref="AT190">IF(
                AS190 = "",
                "",
                       IF(
                           AS190 ="FOTOGRAFIA",
                           "LINK",
                           "https://www.appsheet.com/template/gettablefileurl?appName=APP022ParticMagnMTV2-924373673-26-05-14&amp;tableName=4.reg_fotografico&amp;fileName="&amp;AS190                         )
                          )</f>
        <v/>
      </c>
      <c r="AV190" s="54" t="str">
        <f t="shared" si="5"/>
        <v/>
      </c>
    </row>
    <row r="191" ht="22.5" customHeight="1">
      <c r="AT191" s="54" t="str">
        <f t="array" ref="AT191">IF(
                AS191 = "",
                "",
                       IF(
                           AS191 ="FOTOGRAFIA",
                           "LINK",
                           "https://www.appsheet.com/template/gettablefileurl?appName=APP022ParticMagnMTV2-924373673-26-05-14&amp;tableName=4.reg_fotografico&amp;fileName="&amp;AS191                         )
                          )</f>
        <v/>
      </c>
      <c r="AV191" s="54" t="str">
        <f t="shared" si="5"/>
        <v/>
      </c>
    </row>
    <row r="192" ht="22.5" customHeight="1">
      <c r="AT192" s="54" t="str">
        <f t="array" ref="AT192">IF(
                AS192 = "",
                "",
                       IF(
                           AS192 ="FOTOGRAFIA",
                           "LINK",
                           "https://www.appsheet.com/template/gettablefileurl?appName=APP022ParticMagnMTV2-924373673-26-05-14&amp;tableName=4.reg_fotografico&amp;fileName="&amp;AS192                         )
                          )</f>
        <v/>
      </c>
      <c r="AV192" s="54" t="str">
        <f t="shared" si="5"/>
        <v/>
      </c>
    </row>
    <row r="193" ht="22.5" customHeight="1">
      <c r="AT193" s="54" t="str">
        <f t="array" ref="AT193">IF(
                AS193 = "",
                "",
                       IF(
                           AS193 ="FOTOGRAFIA",
                           "LINK",
                           "https://www.appsheet.com/template/gettablefileurl?appName=APP022ParticMagnMTV2-924373673-26-05-14&amp;tableName=4.reg_fotografico&amp;fileName="&amp;AS193                         )
                          )</f>
        <v/>
      </c>
      <c r="AV193" s="54" t="str">
        <f t="shared" si="5"/>
        <v/>
      </c>
    </row>
    <row r="194" ht="22.5" customHeight="1">
      <c r="AT194" s="54" t="str">
        <f t="array" ref="AT194">IF(
                AS194 = "",
                "",
                       IF(
                           AS194 ="FOTOGRAFIA",
                           "LINK",
                           "https://www.appsheet.com/template/gettablefileurl?appName=APP022ParticMagnMTV2-924373673-26-05-14&amp;tableName=4.reg_fotografico&amp;fileName="&amp;AS194                         )
                          )</f>
        <v/>
      </c>
      <c r="AV194" s="54" t="str">
        <f t="shared" si="5"/>
        <v/>
      </c>
    </row>
    <row r="195" ht="22.5" customHeight="1">
      <c r="AT195" s="54" t="str">
        <f t="array" ref="AT195">IF(
                AS195 = "",
                "",
                       IF(
                           AS195 ="FOTOGRAFIA",
                           "LINK",
                           "https://www.appsheet.com/template/gettablefileurl?appName=APP022ParticMagnMTV2-924373673-26-05-14&amp;tableName=4.reg_fotografico&amp;fileName="&amp;AS195                         )
                          )</f>
        <v/>
      </c>
      <c r="AV195" s="54" t="str">
        <f t="shared" si="5"/>
        <v/>
      </c>
    </row>
    <row r="196" ht="22.5" customHeight="1">
      <c r="AT196" s="54" t="str">
        <f t="array" ref="AT196">IF(
                AS196 = "",
                "",
                       IF(
                           AS196 ="FOTOGRAFIA",
                           "LINK",
                           "https://www.appsheet.com/template/gettablefileurl?appName=APP022ParticMagnMTV2-924373673-26-05-14&amp;tableName=4.reg_fotografico&amp;fileName="&amp;AS196                         )
                          )</f>
        <v/>
      </c>
      <c r="AV196" s="54" t="str">
        <f t="shared" si="5"/>
        <v/>
      </c>
    </row>
    <row r="197" ht="22.5" customHeight="1">
      <c r="AT197" s="54" t="str">
        <f t="array" ref="AT197">IF(
                AS197 = "",
                "",
                       IF(
                           AS197 ="FOTOGRAFIA",
                           "LINK",
                           "https://www.appsheet.com/template/gettablefileurl?appName=APP022ParticMagnMTV2-924373673-26-05-14&amp;tableName=4.reg_fotografico&amp;fileName="&amp;AS197                         )
                          )</f>
        <v/>
      </c>
      <c r="AV197" s="54" t="str">
        <f t="shared" si="5"/>
        <v/>
      </c>
    </row>
    <row r="198" ht="22.5" customHeight="1">
      <c r="AT198" s="54" t="str">
        <f t="array" ref="AT198">IF(
                AS198 = "",
                "",
                       IF(
                           AS198 ="FOTOGRAFIA",
                           "LINK",
                           "https://www.appsheet.com/template/gettablefileurl?appName=APP022ParticMagnMTV2-924373673-26-05-14&amp;tableName=4.reg_fotografico&amp;fileName="&amp;AS198                         )
                          )</f>
        <v/>
      </c>
      <c r="AV198" s="54" t="str">
        <f t="shared" si="5"/>
        <v/>
      </c>
    </row>
    <row r="199" ht="22.5" customHeight="1">
      <c r="AT199" s="54" t="str">
        <f t="array" ref="AT199">IF(
                AS199 = "",
                "",
                       IF(
                           AS199 ="FOTOGRAFIA",
                           "LINK",
                           "https://www.appsheet.com/template/gettablefileurl?appName=APP022ParticMagnMTV2-924373673-26-05-14&amp;tableName=4.reg_fotografico&amp;fileName="&amp;AS199                         )
                          )</f>
        <v/>
      </c>
      <c r="AV199" s="54" t="str">
        <f t="shared" si="5"/>
        <v/>
      </c>
    </row>
    <row r="200" ht="22.5" customHeight="1">
      <c r="AT200" s="54" t="str">
        <f t="array" ref="AT200">IF(
                AS200 = "",
                "",
                       IF(
                           AS200 ="FOTOGRAFIA",
                           "LINK",
                           "https://www.appsheet.com/template/gettablefileurl?appName=APP022ParticMagnMTV2-924373673-26-05-14&amp;tableName=4.reg_fotografico&amp;fileName="&amp;AS200                         )
                          )</f>
        <v/>
      </c>
      <c r="AV200" s="54" t="str">
        <f t="shared" si="5"/>
        <v/>
      </c>
    </row>
    <row r="201" ht="22.5" customHeight="1">
      <c r="AT201" s="54" t="str">
        <f t="array" ref="AT201">IF(
                AS201 = "",
                "",
                       IF(
                           AS201 ="FOTOGRAFIA",
                           "LINK",
                           "https://www.appsheet.com/template/gettablefileurl?appName=APP022ParticMagnMTV2-924373673-26-05-14&amp;tableName=4.reg_fotografico&amp;fileName="&amp;AS201                         )
                          )</f>
        <v/>
      </c>
      <c r="AV201" s="54" t="str">
        <f t="shared" si="5"/>
        <v/>
      </c>
    </row>
    <row r="202" ht="22.5" customHeight="1">
      <c r="AT202" s="54" t="str">
        <f t="array" ref="AT202">IF(
                AS202 = "",
                "",
                       IF(
                           AS202 ="FOTOGRAFIA",
                           "LINK",
                           "https://www.appsheet.com/template/gettablefileurl?appName=APP022ParticMagnMTV2-924373673-26-05-14&amp;tableName=4.reg_fotografico&amp;fileName="&amp;AS202                         )
                          )</f>
        <v/>
      </c>
      <c r="AV202" s="54" t="str">
        <f t="shared" si="5"/>
        <v/>
      </c>
    </row>
    <row r="203" ht="22.5" customHeight="1">
      <c r="AT203" s="54" t="str">
        <f t="array" ref="AT203">IF(
                AS203 = "",
                "",
                       IF(
                           AS203 ="FOTOGRAFIA",
                           "LINK",
                           "https://www.appsheet.com/template/gettablefileurl?appName=APP022ParticMagnMTV2-924373673-26-05-14&amp;tableName=4.reg_fotografico&amp;fileName="&amp;AS203                         )
                          )</f>
        <v/>
      </c>
      <c r="AV203" s="54" t="str">
        <f t="shared" si="5"/>
        <v/>
      </c>
    </row>
    <row r="204" ht="22.5" customHeight="1">
      <c r="AT204" s="54" t="str">
        <f t="array" ref="AT204">IF(
                AS204 = "",
                "",
                       IF(
                           AS204 ="FOTOGRAFIA",
                           "LINK",
                           "https://www.appsheet.com/template/gettablefileurl?appName=APP022ParticMagnMTV2-924373673-26-05-14&amp;tableName=4.reg_fotografico&amp;fileName="&amp;AS204                         )
                          )</f>
        <v/>
      </c>
      <c r="AV204" s="54" t="str">
        <f t="shared" si="5"/>
        <v/>
      </c>
    </row>
    <row r="205" ht="22.5" customHeight="1">
      <c r="AT205" s="54" t="str">
        <f t="array" ref="AT205">IF(
                AS205 = "",
                "",
                       IF(
                           AS205 ="FOTOGRAFIA",
                           "LINK",
                           "https://www.appsheet.com/template/gettablefileurl?appName=APP022ParticMagnMTV2-924373673-26-05-14&amp;tableName=4.reg_fotografico&amp;fileName="&amp;AS205                         )
                          )</f>
        <v/>
      </c>
      <c r="AV205" s="54" t="str">
        <f t="shared" si="5"/>
        <v/>
      </c>
    </row>
    <row r="206" ht="22.5" customHeight="1">
      <c r="AT206" s="54" t="str">
        <f t="array" ref="AT206">IF(
                AS206 = "",
                "",
                       IF(
                           AS206 ="FOTOGRAFIA",
                           "LINK",
                           "https://www.appsheet.com/template/gettablefileurl?appName=APP022ParticMagnMTV2-924373673-26-05-14&amp;tableName=4.reg_fotografico&amp;fileName="&amp;AS206                         )
                          )</f>
        <v/>
      </c>
      <c r="AV206" s="54" t="str">
        <f t="shared" si="5"/>
        <v/>
      </c>
    </row>
    <row r="207" ht="22.5" customHeight="1">
      <c r="AT207" s="54" t="str">
        <f t="array" ref="AT207">IF(
                AS207 = "",
                "",
                       IF(
                           AS207 ="FOTOGRAFIA",
                           "LINK",
                           "https://www.appsheet.com/template/gettablefileurl?appName=APP022ParticMagnMTV2-924373673-26-05-14&amp;tableName=4.reg_fotografico&amp;fileName="&amp;AS207                         )
                          )</f>
        <v/>
      </c>
      <c r="AV207" s="54" t="str">
        <f t="shared" si="5"/>
        <v/>
      </c>
    </row>
    <row r="208" ht="22.5" customHeight="1">
      <c r="AT208" s="54" t="str">
        <f t="array" ref="AT208">IF(
                AS208 = "",
                "",
                       IF(
                           AS208 ="FOTOGRAFIA",
                           "LINK",
                           "https://www.appsheet.com/template/gettablefileurl?appName=APP022ParticMagnMTV2-924373673-26-05-14&amp;tableName=4.reg_fotografico&amp;fileName="&amp;AS208                         )
                          )</f>
        <v/>
      </c>
      <c r="AV208" s="54" t="str">
        <f t="shared" si="5"/>
        <v/>
      </c>
    </row>
    <row r="209" ht="22.5" customHeight="1">
      <c r="AT209" s="54" t="str">
        <f t="array" ref="AT209">IF(
                AS209 = "",
                "",
                       IF(
                           AS209 ="FOTOGRAFIA",
                           "LINK",
                           "https://www.appsheet.com/template/gettablefileurl?appName=APP022ParticMagnMTV2-924373673-26-05-14&amp;tableName=4.reg_fotografico&amp;fileName="&amp;AS209                         )
                          )</f>
        <v/>
      </c>
      <c r="AV209" s="54" t="str">
        <f t="shared" si="5"/>
        <v/>
      </c>
    </row>
    <row r="210" ht="22.5" customHeight="1">
      <c r="AT210" s="54" t="str">
        <f t="array" ref="AT210">IF(
                AS210 = "",
                "",
                       IF(
                           AS210 ="FOTOGRAFIA",
                           "LINK",
                           "https://www.appsheet.com/template/gettablefileurl?appName=APP022ParticMagnMTV2-924373673-26-05-14&amp;tableName=4.reg_fotografico&amp;fileName="&amp;AS210                         )
                          )</f>
        <v/>
      </c>
      <c r="AV210" s="54" t="str">
        <f t="shared" si="5"/>
        <v/>
      </c>
    </row>
    <row r="211" ht="22.5" customHeight="1">
      <c r="AT211" s="54" t="str">
        <f t="array" ref="AT211">IF(
                AS211 = "",
                "",
                       IF(
                           AS211 ="FOTOGRAFIA",
                           "LINK",
                           "https://www.appsheet.com/template/gettablefileurl?appName=APP022ParticMagnMTV2-924373673-26-05-14&amp;tableName=4.reg_fotografico&amp;fileName="&amp;AS211                         )
                          )</f>
        <v/>
      </c>
      <c r="AV211" s="54" t="str">
        <f t="shared" si="5"/>
        <v/>
      </c>
    </row>
    <row r="212" ht="22.5" customHeight="1">
      <c r="AT212" s="54" t="str">
        <f t="array" ref="AT212">IF(
                AS212 = "",
                "",
                       IF(
                           AS212 ="FOTOGRAFIA",
                           "LINK",
                           "https://www.appsheet.com/template/gettablefileurl?appName=APP022ParticMagnMTV2-924373673-26-05-14&amp;tableName=4.reg_fotografico&amp;fileName="&amp;AS212                         )
                          )</f>
        <v/>
      </c>
      <c r="AV212" s="54" t="str">
        <f t="shared" si="5"/>
        <v/>
      </c>
    </row>
    <row r="213" ht="22.5" customHeight="1">
      <c r="AT213" s="54" t="str">
        <f t="array" ref="AT213">IF(
                AS213 = "",
                "",
                       IF(
                           AS213 ="FOTOGRAFIA",
                           "LINK",
                           "https://www.appsheet.com/template/gettablefileurl?appName=APP022ParticMagnMTV2-924373673-26-05-14&amp;tableName=4.reg_fotografico&amp;fileName="&amp;AS213                         )
                          )</f>
        <v/>
      </c>
      <c r="AV213" s="54" t="str">
        <f t="shared" si="5"/>
        <v/>
      </c>
    </row>
    <row r="214" ht="22.5" customHeight="1">
      <c r="AT214" s="54" t="str">
        <f t="array" ref="AT214">IF(
                AS214 = "",
                "",
                       IF(
                           AS214 ="FOTOGRAFIA",
                           "LINK",
                           "https://www.appsheet.com/template/gettablefileurl?appName=APP022ParticMagnMTV2-924373673-26-05-14&amp;tableName=4.reg_fotografico&amp;fileName="&amp;AS214                         )
                          )</f>
        <v/>
      </c>
      <c r="AV214" s="54" t="str">
        <f t="shared" si="5"/>
        <v/>
      </c>
    </row>
    <row r="215" ht="22.5" customHeight="1">
      <c r="AT215" s="54" t="str">
        <f t="array" ref="AT215">IF(
                AS215 = "",
                "",
                       IF(
                           AS215 ="FOTOGRAFIA",
                           "LINK",
                           "https://www.appsheet.com/template/gettablefileurl?appName=APP022ParticMagnMTV2-924373673-26-05-14&amp;tableName=4.reg_fotografico&amp;fileName="&amp;AS215                         )
                          )</f>
        <v/>
      </c>
      <c r="AV215" s="54" t="str">
        <f t="shared" si="5"/>
        <v/>
      </c>
    </row>
    <row r="216" ht="22.5" customHeight="1">
      <c r="AT216" s="54" t="str">
        <f t="array" ref="AT216">IF(
                AS216 = "",
                "",
                       IF(
                           AS216 ="FOTOGRAFIA",
                           "LINK",
                           "https://www.appsheet.com/template/gettablefileurl?appName=APP022ParticMagnMTV2-924373673-26-05-14&amp;tableName=4.reg_fotografico&amp;fileName="&amp;AS216                         )
                          )</f>
        <v/>
      </c>
      <c r="AV216" s="54" t="str">
        <f t="shared" si="5"/>
        <v/>
      </c>
    </row>
    <row r="217" ht="22.5" customHeight="1">
      <c r="AT217" s="54" t="str">
        <f t="array" ref="AT217">IF(
                AS217 = "",
                "",
                       IF(
                           AS217 ="FOTOGRAFIA",
                           "LINK",
                           "https://www.appsheet.com/template/gettablefileurl?appName=APP022ParticMagnMTV2-924373673-26-05-14&amp;tableName=4.reg_fotografico&amp;fileName="&amp;AS217                         )
                          )</f>
        <v/>
      </c>
      <c r="AV217" s="54" t="str">
        <f t="shared" si="5"/>
        <v/>
      </c>
    </row>
    <row r="218" ht="22.5" customHeight="1">
      <c r="AT218" s="54" t="str">
        <f t="array" ref="AT218">IF(
                AS218 = "",
                "",
                       IF(
                           AS218 ="FOTOGRAFIA",
                           "LINK",
                           "https://www.appsheet.com/template/gettablefileurl?appName=APP022ParticMagnMTV2-924373673-26-05-14&amp;tableName=4.reg_fotografico&amp;fileName="&amp;AS218                         )
                          )</f>
        <v/>
      </c>
      <c r="AV218" s="54" t="str">
        <f t="shared" si="5"/>
        <v/>
      </c>
    </row>
    <row r="219" ht="22.5" customHeight="1">
      <c r="AT219" s="54" t="str">
        <f t="array" ref="AT219">IF(
                AS219 = "",
                "",
                       IF(
                           AS219 ="FOTOGRAFIA",
                           "LINK",
                           "https://www.appsheet.com/template/gettablefileurl?appName=APP022ParticMagnMTV2-924373673-26-05-14&amp;tableName=4.reg_fotografico&amp;fileName="&amp;AS219                         )
                          )</f>
        <v/>
      </c>
      <c r="AV219" s="54" t="str">
        <f t="shared" si="5"/>
        <v/>
      </c>
    </row>
    <row r="220" ht="22.5" customHeight="1">
      <c r="AT220" s="54" t="str">
        <f t="array" ref="AT220">IF(
                AS220 = "",
                "",
                       IF(
                           AS220 ="FOTOGRAFIA",
                           "LINK",
                           "https://www.appsheet.com/template/gettablefileurl?appName=APP022ParticMagnMTV2-924373673-26-05-14&amp;tableName=4.reg_fotografico&amp;fileName="&amp;AS220                         )
                          )</f>
        <v/>
      </c>
      <c r="AV220" s="54" t="str">
        <f t="shared" si="5"/>
        <v/>
      </c>
    </row>
    <row r="221" ht="22.5" customHeight="1">
      <c r="AT221" s="54" t="str">
        <f t="array" ref="AT221">IF(
                AS221 = "",
                "",
                       IF(
                           AS221 ="FOTOGRAFIA",
                           "LINK",
                           "https://www.appsheet.com/template/gettablefileurl?appName=APP022ParticMagnMTV2-924373673-26-05-14&amp;tableName=4.reg_fotografico&amp;fileName="&amp;AS221                         )
                          )</f>
        <v/>
      </c>
      <c r="AV221" s="54" t="str">
        <f t="shared" si="5"/>
        <v/>
      </c>
    </row>
    <row r="222" ht="22.5" customHeight="1">
      <c r="AT222" s="54" t="str">
        <f t="array" ref="AT222">IF(
                AS222 = "",
                "",
                       IF(
                           AS222 ="FOTOGRAFIA",
                           "LINK",
                           "https://www.appsheet.com/template/gettablefileurl?appName=APP022ParticMagnMTV2-924373673-26-05-14&amp;tableName=4.reg_fotografico&amp;fileName="&amp;AS222                         )
                          )</f>
        <v/>
      </c>
      <c r="AV222" s="54" t="str">
        <f t="shared" si="5"/>
        <v/>
      </c>
    </row>
    <row r="223" ht="22.5" customHeight="1">
      <c r="AT223" s="54" t="str">
        <f t="array" ref="AT223">IF(
                AS223 = "",
                "",
                       IF(
                           AS223 ="FOTOGRAFIA",
                           "LINK",
                           "https://www.appsheet.com/template/gettablefileurl?appName=APP022ParticMagnMTV2-924373673-26-05-14&amp;tableName=4.reg_fotografico&amp;fileName="&amp;AS223                         )
                          )</f>
        <v/>
      </c>
      <c r="AV223" s="54" t="str">
        <f t="shared" si="5"/>
        <v/>
      </c>
    </row>
    <row r="224" ht="22.5" customHeight="1">
      <c r="AT224" s="54" t="str">
        <f t="array" ref="AT224">IF(
                AS224 = "",
                "",
                       IF(
                           AS224 ="FOTOGRAFIA",
                           "LINK",
                           "https://www.appsheet.com/template/gettablefileurl?appName=APP022ParticMagnMTV2-924373673-26-05-14&amp;tableName=4.reg_fotografico&amp;fileName="&amp;AS224                         )
                          )</f>
        <v/>
      </c>
      <c r="AV224" s="54" t="str">
        <f t="shared" si="5"/>
        <v/>
      </c>
    </row>
    <row r="225" ht="22.5" customHeight="1">
      <c r="AT225" s="54" t="str">
        <f t="array" ref="AT225">IF(
                AS225 = "",
                "",
                       IF(
                           AS225 ="FOTOGRAFIA",
                           "LINK",
                           "https://www.appsheet.com/template/gettablefileurl?appName=APP022ParticMagnMTV2-924373673-26-05-14&amp;tableName=4.reg_fotografico&amp;fileName="&amp;AS225                         )
                          )</f>
        <v/>
      </c>
      <c r="AV225" s="54" t="str">
        <f t="shared" si="5"/>
        <v/>
      </c>
    </row>
    <row r="226" ht="22.5" customHeight="1">
      <c r="AT226" s="54" t="str">
        <f t="array" ref="AT226">IF(
                AS226 = "",
                "",
                       IF(
                           AS226 ="FOTOGRAFIA",
                           "LINK",
                           "https://www.appsheet.com/template/gettablefileurl?appName=APP022ParticMagnMTV2-924373673-26-05-14&amp;tableName=4.reg_fotografico&amp;fileName="&amp;AS226                         )
                          )</f>
        <v/>
      </c>
      <c r="AV226" s="54" t="str">
        <f t="shared" si="5"/>
        <v/>
      </c>
    </row>
    <row r="227" ht="22.5" customHeight="1">
      <c r="AT227" s="54" t="str">
        <f t="array" ref="AT227">IF(
                AS227 = "",
                "",
                       IF(
                           AS227 ="FOTOGRAFIA",
                           "LINK",
                           "https://www.appsheet.com/template/gettablefileurl?appName=APP022ParticMagnMTV2-924373673-26-05-14&amp;tableName=4.reg_fotografico&amp;fileName="&amp;AS227                         )
                          )</f>
        <v/>
      </c>
      <c r="AV227" s="54" t="str">
        <f t="shared" si="5"/>
        <v/>
      </c>
    </row>
    <row r="228" ht="22.5" customHeight="1">
      <c r="AT228" s="54" t="str">
        <f t="array" ref="AT228">IF(
                AS228 = "",
                "",
                       IF(
                           AS228 ="FOTOGRAFIA",
                           "LINK",
                           "https://www.appsheet.com/template/gettablefileurl?appName=APP022ParticMagnMTV2-924373673-26-05-14&amp;tableName=4.reg_fotografico&amp;fileName="&amp;AS228                         )
                          )</f>
        <v/>
      </c>
      <c r="AV228" s="54" t="str">
        <f t="shared" si="5"/>
        <v/>
      </c>
    </row>
    <row r="229" ht="22.5" customHeight="1">
      <c r="AT229" s="54" t="str">
        <f t="array" ref="AT229">IF(
                AS229 = "",
                "",
                       IF(
                           AS229 ="FOTOGRAFIA",
                           "LINK",
                           "https://www.appsheet.com/template/gettablefileurl?appName=APP022ParticMagnMTV2-924373673-26-05-14&amp;tableName=4.reg_fotografico&amp;fileName="&amp;AS229                         )
                          )</f>
        <v/>
      </c>
      <c r="AV229" s="54" t="str">
        <f t="shared" si="5"/>
        <v/>
      </c>
    </row>
    <row r="230" ht="22.5" customHeight="1">
      <c r="AT230" s="54" t="str">
        <f t="array" ref="AT230">IF(
                AS230 = "",
                "",
                       IF(
                           AS230 ="FOTOGRAFIA",
                           "LINK",
                           "https://www.appsheet.com/template/gettablefileurl?appName=APP022ParticMagnMTV2-924373673-26-05-14&amp;tableName=4.reg_fotografico&amp;fileName="&amp;AS230                         )
                          )</f>
        <v/>
      </c>
      <c r="AV230" s="54" t="str">
        <f t="shared" si="5"/>
        <v/>
      </c>
    </row>
    <row r="231" ht="22.5" customHeight="1">
      <c r="AT231" s="54" t="str">
        <f t="array" ref="AT231">IF(
                AS231 = "",
                "",
                       IF(
                           AS231 ="FOTOGRAFIA",
                           "LINK",
                           "https://www.appsheet.com/template/gettablefileurl?appName=APP022ParticMagnMTV2-924373673-26-05-14&amp;tableName=4.reg_fotografico&amp;fileName="&amp;AS231                         )
                          )</f>
        <v/>
      </c>
      <c r="AV231" s="54" t="str">
        <f t="shared" si="5"/>
        <v/>
      </c>
    </row>
    <row r="232" ht="22.5" customHeight="1">
      <c r="AT232" s="54" t="str">
        <f t="array" ref="AT232">IF(
                AS232 = "",
                "",
                       IF(
                           AS232 ="FOTOGRAFIA",
                           "LINK",
                           "https://www.appsheet.com/template/gettablefileurl?appName=APP022ParticMagnMTV2-924373673-26-05-14&amp;tableName=4.reg_fotografico&amp;fileName="&amp;AS232                         )
                          )</f>
        <v/>
      </c>
      <c r="AV232" s="54" t="str">
        <f t="shared" si="5"/>
        <v/>
      </c>
    </row>
    <row r="233" ht="22.5" customHeight="1">
      <c r="AT233" s="54" t="str">
        <f t="array" ref="AT233">IF(
                AS233 = "",
                "",
                       IF(
                           AS233 ="FOTOGRAFIA",
                           "LINK",
                           "https://www.appsheet.com/template/gettablefileurl?appName=APP022ParticMagnMTV2-924373673-26-05-14&amp;tableName=4.reg_fotografico&amp;fileName="&amp;AS233                         )
                          )</f>
        <v/>
      </c>
      <c r="AV233" s="54" t="str">
        <f t="shared" si="5"/>
        <v/>
      </c>
    </row>
    <row r="234" ht="22.5" customHeight="1">
      <c r="AT234" s="54" t="str">
        <f t="array" ref="AT234">IF(
                AS234 = "",
                "",
                       IF(
                           AS234 ="FOTOGRAFIA",
                           "LINK",
                           "https://www.appsheet.com/template/gettablefileurl?appName=APP022ParticMagnMTV2-924373673-26-05-14&amp;tableName=4.reg_fotografico&amp;fileName="&amp;AS234                         )
                          )</f>
        <v/>
      </c>
      <c r="AV234" s="54" t="str">
        <f t="shared" si="5"/>
        <v/>
      </c>
    </row>
    <row r="235" ht="22.5" customHeight="1">
      <c r="AT235" s="54" t="str">
        <f t="array" ref="AT235">IF(
                AS235 = "",
                "",
                       IF(
                           AS235 ="FOTOGRAFIA",
                           "LINK",
                           "https://www.appsheet.com/template/gettablefileurl?appName=APP022ParticMagnMTV2-924373673-26-05-14&amp;tableName=4.reg_fotografico&amp;fileName="&amp;AS235                         )
                          )</f>
        <v/>
      </c>
      <c r="AV235" s="54" t="str">
        <f t="shared" si="5"/>
        <v/>
      </c>
    </row>
    <row r="236" ht="22.5" customHeight="1">
      <c r="AT236" s="54" t="str">
        <f t="array" ref="AT236">IF(
                AS236 = "",
                "",
                       IF(
                           AS236 ="FOTOGRAFIA",
                           "LINK",
                           "https://www.appsheet.com/template/gettablefileurl?appName=APP022ParticMagnMTV2-924373673-26-05-14&amp;tableName=4.reg_fotografico&amp;fileName="&amp;AS236                         )
                          )</f>
        <v/>
      </c>
      <c r="AV236" s="54" t="str">
        <f t="shared" si="5"/>
        <v/>
      </c>
    </row>
    <row r="237" ht="22.5" customHeight="1">
      <c r="AT237" s="54" t="str">
        <f t="array" ref="AT237">IF(
                AS237 = "",
                "",
                       IF(
                           AS237 ="FOTOGRAFIA",
                           "LINK",
                           "https://www.appsheet.com/template/gettablefileurl?appName=APP022ParticMagnMTV2-924373673-26-05-14&amp;tableName=4.reg_fotografico&amp;fileName="&amp;AS237                         )
                          )</f>
        <v/>
      </c>
      <c r="AV237" s="54" t="str">
        <f t="shared" si="5"/>
        <v/>
      </c>
    </row>
    <row r="238" ht="22.5" customHeight="1">
      <c r="AT238" s="54" t="str">
        <f t="array" ref="AT238">IF(
                AS238 = "",
                "",
                       IF(
                           AS238 ="FOTOGRAFIA",
                           "LINK",
                           "https://www.appsheet.com/template/gettablefileurl?appName=APP022ParticMagnMTV2-924373673-26-05-14&amp;tableName=4.reg_fotografico&amp;fileName="&amp;AS238                         )
                          )</f>
        <v/>
      </c>
      <c r="AV238" s="54" t="str">
        <f t="shared" si="5"/>
        <v/>
      </c>
    </row>
    <row r="239" ht="22.5" customHeight="1">
      <c r="AT239" s="54" t="str">
        <f t="array" ref="AT239">IF(
                AS239 = "",
                "",
                       IF(
                           AS239 ="FOTOGRAFIA",
                           "LINK",
                           "https://www.appsheet.com/template/gettablefileurl?appName=APP022ParticMagnMTV2-924373673-26-05-14&amp;tableName=4.reg_fotografico&amp;fileName="&amp;AS239                         )
                          )</f>
        <v/>
      </c>
      <c r="AV239" s="54" t="str">
        <f t="shared" si="5"/>
        <v/>
      </c>
    </row>
    <row r="240" ht="22.5" customHeight="1">
      <c r="AT240" s="54" t="str">
        <f t="array" ref="AT240">IF(
                AS240 = "",
                "",
                       IF(
                           AS240 ="FOTOGRAFIA",
                           "LINK",
                           "https://www.appsheet.com/template/gettablefileurl?appName=APP022ParticMagnMTV2-924373673-26-05-14&amp;tableName=4.reg_fotografico&amp;fileName="&amp;AS240                         )
                          )</f>
        <v/>
      </c>
      <c r="AV240" s="54" t="str">
        <f t="shared" si="5"/>
        <v/>
      </c>
    </row>
    <row r="241" ht="22.5" customHeight="1">
      <c r="AT241" s="54" t="str">
        <f t="array" ref="AT241">IF(
                AS241 = "",
                "",
                       IF(
                           AS241 ="FOTOGRAFIA",
                           "LINK",
                           "https://www.appsheet.com/template/gettablefileurl?appName=APP022ParticMagnMTV2-924373673-26-05-14&amp;tableName=4.reg_fotografico&amp;fileName="&amp;AS241                         )
                          )</f>
        <v/>
      </c>
      <c r="AV241" s="54" t="str">
        <f t="shared" si="5"/>
        <v/>
      </c>
    </row>
    <row r="242" ht="22.5" customHeight="1">
      <c r="AT242" s="54" t="str">
        <f t="array" ref="AT242">IF(
                AS242 = "",
                "",
                       IF(
                           AS242 ="FOTOGRAFIA",
                           "LINK",
                           "https://www.appsheet.com/template/gettablefileurl?appName=APP022ParticMagnMTV2-924373673-26-05-14&amp;tableName=4.reg_fotografico&amp;fileName="&amp;AS242                         )
                          )</f>
        <v/>
      </c>
      <c r="AV242" s="54" t="str">
        <f t="shared" si="5"/>
        <v/>
      </c>
    </row>
    <row r="243" ht="22.5" customHeight="1">
      <c r="AT243" s="54" t="str">
        <f t="array" ref="AT243">IF(
                AS243 = "",
                "",
                       IF(
                           AS243 ="FOTOGRAFIA",
                           "LINK",
                           "https://www.appsheet.com/template/gettablefileurl?appName=APP022ParticMagnMTV2-924373673-26-05-14&amp;tableName=4.reg_fotografico&amp;fileName="&amp;AS243                         )
                          )</f>
        <v/>
      </c>
      <c r="AV243" s="54" t="str">
        <f t="shared" si="5"/>
        <v/>
      </c>
    </row>
    <row r="244" ht="22.5" customHeight="1">
      <c r="AT244" s="54" t="str">
        <f t="array" ref="AT244">IF(
                AS244 = "",
                "",
                       IF(
                           AS244 ="FOTOGRAFIA",
                           "LINK",
                           "https://www.appsheet.com/template/gettablefileurl?appName=APP022ParticMagnMTV2-924373673-26-05-14&amp;tableName=4.reg_fotografico&amp;fileName="&amp;AS244                         )
                          )</f>
        <v/>
      </c>
      <c r="AV244" s="54" t="str">
        <f t="shared" si="5"/>
        <v/>
      </c>
    </row>
    <row r="245" ht="22.5" customHeight="1">
      <c r="AT245" s="54" t="str">
        <f t="array" ref="AT245">IF(
                AS245 = "",
                "",
                       IF(
                           AS245 ="FOTOGRAFIA",
                           "LINK",
                           "https://www.appsheet.com/template/gettablefileurl?appName=APP022ParticMagnMTV2-924373673-26-05-14&amp;tableName=4.reg_fotografico&amp;fileName="&amp;AS245                         )
                          )</f>
        <v/>
      </c>
      <c r="AV245" s="54" t="str">
        <f t="shared" si="5"/>
        <v/>
      </c>
    </row>
    <row r="246" ht="22.5" customHeight="1">
      <c r="AT246" s="54" t="str">
        <f t="array" ref="AT246">IF(
                AS246 = "",
                "",
                       IF(
                           AS246 ="FOTOGRAFIA",
                           "LINK",
                           "https://www.appsheet.com/template/gettablefileurl?appName=APP022ParticMagnMTV2-924373673-26-05-14&amp;tableName=4.reg_fotografico&amp;fileName="&amp;AS246                         )
                          )</f>
        <v/>
      </c>
      <c r="AV246" s="54" t="str">
        <f t="shared" si="5"/>
        <v/>
      </c>
    </row>
    <row r="247" ht="22.5" customHeight="1">
      <c r="AT247" s="54" t="str">
        <f t="array" ref="AT247">IF(
                AS247 = "",
                "",
                       IF(
                           AS247 ="FOTOGRAFIA",
                           "LINK",
                           "https://www.appsheet.com/template/gettablefileurl?appName=APP022ParticMagnMTV2-924373673-26-05-14&amp;tableName=4.reg_fotografico&amp;fileName="&amp;AS247                         )
                          )</f>
        <v/>
      </c>
      <c r="AV247" s="54" t="str">
        <f t="shared" si="5"/>
        <v/>
      </c>
    </row>
    <row r="248" ht="22.5" customHeight="1">
      <c r="AT248" s="54" t="str">
        <f t="array" ref="AT248">IF(
                AS248 = "",
                "",
                       IF(
                           AS248 ="FOTOGRAFIA",
                           "LINK",
                           "https://www.appsheet.com/template/gettablefileurl?appName=APP022ParticMagnMTV2-924373673-26-05-14&amp;tableName=4.reg_fotografico&amp;fileName="&amp;AS248                         )
                          )</f>
        <v/>
      </c>
      <c r="AV248" s="54" t="str">
        <f t="shared" si="5"/>
        <v/>
      </c>
    </row>
    <row r="249" ht="22.5" customHeight="1">
      <c r="AT249" s="54" t="str">
        <f t="array" ref="AT249">IF(
                AS249 = "",
                "",
                       IF(
                           AS249 ="FOTOGRAFIA",
                           "LINK",
                           "https://www.appsheet.com/template/gettablefileurl?appName=APP022ParticMagnMTV2-924373673-26-05-14&amp;tableName=4.reg_fotografico&amp;fileName="&amp;AS249                         )
                          )</f>
        <v/>
      </c>
      <c r="AV249" s="54" t="str">
        <f t="shared" si="5"/>
        <v/>
      </c>
    </row>
    <row r="250" ht="22.5" customHeight="1">
      <c r="AT250" s="54" t="str">
        <f t="array" ref="AT250">IF(
                AS250 = "",
                "",
                       IF(
                           AS250 ="FOTOGRAFIA",
                           "LINK",
                           "https://www.appsheet.com/template/gettablefileurl?appName=APP022ParticMagnMTV2-924373673-26-05-14&amp;tableName=4.reg_fotografico&amp;fileName="&amp;AS250                         )
                          )</f>
        <v/>
      </c>
      <c r="AV250" s="54" t="str">
        <f t="shared" si="5"/>
        <v/>
      </c>
    </row>
    <row r="251" ht="22.5" customHeight="1">
      <c r="AT251" s="54" t="str">
        <f t="array" ref="AT251">IF(
                AS251 = "",
                "",
                       IF(
                           AS251 ="FOTOGRAFIA",
                           "LINK",
                           "https://www.appsheet.com/template/gettablefileurl?appName=APP022ParticMagnMTV2-924373673-26-05-14&amp;tableName=4.reg_fotografico&amp;fileName="&amp;AS251                         )
                          )</f>
        <v/>
      </c>
      <c r="AV251" s="54" t="str">
        <f t="shared" si="5"/>
        <v/>
      </c>
    </row>
    <row r="252" ht="22.5" customHeight="1">
      <c r="AT252" s="54" t="str">
        <f t="array" ref="AT252">IF(
                AS252 = "",
                "",
                       IF(
                           AS252 ="FOTOGRAFIA",
                           "LINK",
                           "https://www.appsheet.com/template/gettablefileurl?appName=APP022ParticMagnMTV2-924373673-26-05-14&amp;tableName=4.reg_fotografico&amp;fileName="&amp;AS252                         )
                          )</f>
        <v/>
      </c>
      <c r="AV252" s="54" t="str">
        <f t="shared" si="5"/>
        <v/>
      </c>
    </row>
    <row r="253" ht="22.5" customHeight="1">
      <c r="AT253" s="54" t="str">
        <f t="array" ref="AT253">IF(
                AS253 = "",
                "",
                       IF(
                           AS253 ="FOTOGRAFIA",
                           "LINK",
                           "https://www.appsheet.com/template/gettablefileurl?appName=APP022ParticMagnMTV2-924373673-26-05-14&amp;tableName=4.reg_fotografico&amp;fileName="&amp;AS253                         )
                          )</f>
        <v/>
      </c>
      <c r="AV253" s="54" t="str">
        <f t="shared" si="5"/>
        <v/>
      </c>
    </row>
    <row r="254" ht="22.5" customHeight="1">
      <c r="AT254" s="54" t="str">
        <f t="array" ref="AT254">IF(
                AS254 = "",
                "",
                       IF(
                           AS254 ="FOTOGRAFIA",
                           "LINK",
                           "https://www.appsheet.com/template/gettablefileurl?appName=APP022ParticMagnMTV2-924373673-26-05-14&amp;tableName=4.reg_fotografico&amp;fileName="&amp;AS254                         )
                          )</f>
        <v/>
      </c>
      <c r="AV254" s="54" t="str">
        <f t="shared" si="5"/>
        <v/>
      </c>
    </row>
    <row r="255" ht="22.5" customHeight="1">
      <c r="AT255" s="54" t="str">
        <f t="array" ref="AT255">IF(
                AS255 = "",
                "",
                       IF(
                           AS255 ="FOTOGRAFIA",
                           "LINK",
                           "https://www.appsheet.com/template/gettablefileurl?appName=APP022ParticMagnMTV2-924373673-26-05-14&amp;tableName=4.reg_fotografico&amp;fileName="&amp;AS255                         )
                          )</f>
        <v/>
      </c>
      <c r="AV255" s="54" t="str">
        <f t="shared" si="5"/>
        <v/>
      </c>
    </row>
    <row r="256" ht="22.5" customHeight="1">
      <c r="AT256" s="54" t="str">
        <f t="array" ref="AT256">IF(
                AS256 = "",
                "",
                       IF(
                           AS256 ="FOTOGRAFIA",
                           "LINK",
                           "https://www.appsheet.com/template/gettablefileurl?appName=APP022ParticMagnMTV2-924373673-26-05-14&amp;tableName=4.reg_fotografico&amp;fileName="&amp;AS256                         )
                          )</f>
        <v/>
      </c>
      <c r="AV256" s="54" t="str">
        <f t="shared" si="5"/>
        <v/>
      </c>
    </row>
    <row r="257" ht="22.5" customHeight="1">
      <c r="AT257" s="54" t="str">
        <f t="array" ref="AT257">IF(
                AS257 = "",
                "",
                       IF(
                           AS257 ="FOTOGRAFIA",
                           "LINK",
                           "https://www.appsheet.com/template/gettablefileurl?appName=APP022ParticMagnMTV2-924373673-26-05-14&amp;tableName=4.reg_fotografico&amp;fileName="&amp;AS257                         )
                          )</f>
        <v/>
      </c>
      <c r="AV257" s="54" t="str">
        <f t="shared" si="5"/>
        <v/>
      </c>
    </row>
    <row r="258" ht="22.5" customHeight="1">
      <c r="AT258" s="54" t="str">
        <f t="array" ref="AT258">IF(
                AS258 = "",
                "",
                       IF(
                           AS258 ="FOTOGRAFIA",
                           "LINK",
                           "https://www.appsheet.com/template/gettablefileurl?appName=APP022ParticMagnMTV2-924373673-26-05-14&amp;tableName=4.reg_fotografico&amp;fileName="&amp;AS258                         )
                          )</f>
        <v/>
      </c>
      <c r="AV258" s="54" t="str">
        <f t="shared" si="5"/>
        <v/>
      </c>
    </row>
    <row r="259" ht="22.5" customHeight="1">
      <c r="AT259" s="54" t="str">
        <f t="array" ref="AT259">IF(
                AS259 = "",
                "",
                       IF(
                           AS259 ="FOTOGRAFIA",
                           "LINK",
                           "https://www.appsheet.com/template/gettablefileurl?appName=APP022ParticMagnMTV2-924373673-26-05-14&amp;tableName=4.reg_fotografico&amp;fileName="&amp;AS259                         )
                          )</f>
        <v/>
      </c>
      <c r="AV259" s="54" t="str">
        <f t="shared" si="5"/>
        <v/>
      </c>
    </row>
    <row r="260" ht="22.5" customHeight="1">
      <c r="AT260" s="54" t="str">
        <f t="array" ref="AT260">IF(
                AS260 = "",
                "",
                       IF(
                           AS260 ="FOTOGRAFIA",
                           "LINK",
                           "https://www.appsheet.com/template/gettablefileurl?appName=APP022ParticMagnMTV2-924373673-26-05-14&amp;tableName=4.reg_fotografico&amp;fileName="&amp;AS260                         )
                          )</f>
        <v/>
      </c>
      <c r="AV260" s="54" t="str">
        <f t="shared" si="5"/>
        <v/>
      </c>
    </row>
    <row r="261" ht="22.5" customHeight="1">
      <c r="AT261" s="54" t="str">
        <f t="array" ref="AT261">IF(
                AS261 = "",
                "",
                       IF(
                           AS261 ="FOTOGRAFIA",
                           "LINK",
                           "https://www.appsheet.com/template/gettablefileurl?appName=APP022ParticMagnMTV2-924373673-26-05-14&amp;tableName=4.reg_fotografico&amp;fileName="&amp;AS261                         )
                          )</f>
        <v/>
      </c>
      <c r="AV261" s="54" t="str">
        <f t="shared" si="5"/>
        <v/>
      </c>
    </row>
    <row r="262" ht="22.5" customHeight="1">
      <c r="AT262" s="54" t="str">
        <f t="array" ref="AT262">IF(
                AS262 = "",
                "",
                       IF(
                           AS262 ="FOTOGRAFIA",
                           "LINK",
                           "https://www.appsheet.com/template/gettablefileurl?appName=APP022ParticMagnMTV2-924373673-26-05-14&amp;tableName=4.reg_fotografico&amp;fileName="&amp;AS262                         )
                          )</f>
        <v/>
      </c>
      <c r="AV262" s="54" t="str">
        <f t="shared" si="5"/>
        <v/>
      </c>
    </row>
    <row r="263" ht="22.5" customHeight="1">
      <c r="AT263" s="54" t="str">
        <f t="array" ref="AT263">IF(
                AS263 = "",
                "",
                       IF(
                           AS263 ="FOTOGRAFIA",
                           "LINK",
                           "https://www.appsheet.com/template/gettablefileurl?appName=APP022ParticMagnMTV2-924373673-26-05-14&amp;tableName=4.reg_fotografico&amp;fileName="&amp;AS263                         )
                          )</f>
        <v/>
      </c>
      <c r="AV263" s="54" t="str">
        <f t="shared" si="5"/>
        <v/>
      </c>
    </row>
    <row r="264" ht="22.5" customHeight="1">
      <c r="AT264" s="54" t="str">
        <f t="array" ref="AT264">IF(
                AS264 = "",
                "",
                       IF(
                           AS264 ="FOTOGRAFIA",
                           "LINK",
                           "https://www.appsheet.com/template/gettablefileurl?appName=APP022ParticMagnMTV2-924373673-26-05-14&amp;tableName=4.reg_fotografico&amp;fileName="&amp;AS264                         )
                          )</f>
        <v/>
      </c>
      <c r="AV264" s="54" t="str">
        <f t="shared" si="5"/>
        <v/>
      </c>
    </row>
    <row r="265" ht="22.5" customHeight="1">
      <c r="AT265" s="54" t="str">
        <f t="array" ref="AT265">IF(
                AS265 = "",
                "",
                       IF(
                           AS265 ="FOTOGRAFIA",
                           "LINK",
                           "https://www.appsheet.com/template/gettablefileurl?appName=APP022ParticMagnMTV2-924373673-26-05-14&amp;tableName=4.reg_fotografico&amp;fileName="&amp;AS265                         )
                          )</f>
        <v/>
      </c>
      <c r="AV265" s="54" t="str">
        <f t="shared" si="5"/>
        <v/>
      </c>
    </row>
    <row r="266" ht="22.5" customHeight="1">
      <c r="AT266" s="54" t="str">
        <f t="array" ref="AT266">IF(
                AS266 = "",
                "",
                       IF(
                           AS266 ="FOTOGRAFIA",
                           "LINK",
                           "https://www.appsheet.com/template/gettablefileurl?appName=APP022ParticMagnMTV2-924373673-26-05-14&amp;tableName=4.reg_fotografico&amp;fileName="&amp;AS266                         )
                          )</f>
        <v/>
      </c>
      <c r="AV266" s="54" t="str">
        <f t="shared" si="5"/>
        <v/>
      </c>
    </row>
    <row r="267" ht="22.5" customHeight="1">
      <c r="AT267" s="54" t="str">
        <f t="array" ref="AT267">IF(
                AS267 = "",
                "",
                       IF(
                           AS267 ="FOTOGRAFIA",
                           "LINK",
                           "https://www.appsheet.com/template/gettablefileurl?appName=APP022ParticMagnMTV2-924373673-26-05-14&amp;tableName=4.reg_fotografico&amp;fileName="&amp;AS267                         )
                          )</f>
        <v/>
      </c>
      <c r="AV267" s="54" t="str">
        <f t="shared" si="5"/>
        <v/>
      </c>
    </row>
    <row r="268" ht="22.5" customHeight="1">
      <c r="AT268" s="54" t="str">
        <f t="array" ref="AT268">IF(
                AS268 = "",
                "",
                       IF(
                           AS268 ="FOTOGRAFIA",
                           "LINK",
                           "https://www.appsheet.com/template/gettablefileurl?appName=APP022ParticMagnMTV2-924373673-26-05-14&amp;tableName=4.reg_fotografico&amp;fileName="&amp;AS268                         )
                          )</f>
        <v/>
      </c>
      <c r="AV268" s="54" t="str">
        <f t="shared" si="5"/>
        <v/>
      </c>
    </row>
    <row r="269" ht="22.5" customHeight="1">
      <c r="AT269" s="54" t="str">
        <f t="array" ref="AT269">IF(
                AS269 = "",
                "",
                       IF(
                           AS269 ="FOTOGRAFIA",
                           "LINK",
                           "https://www.appsheet.com/template/gettablefileurl?appName=APP022ParticMagnMTV2-924373673-26-05-14&amp;tableName=4.reg_fotografico&amp;fileName="&amp;AS269                         )
                          )</f>
        <v/>
      </c>
      <c r="AV269" s="54" t="str">
        <f t="shared" si="5"/>
        <v/>
      </c>
    </row>
    <row r="270" ht="22.5" customHeight="1">
      <c r="AT270" s="54" t="str">
        <f t="array" ref="AT270">IF(
                AS270 = "",
                "",
                       IF(
                           AS270 ="FOTOGRAFIA",
                           "LINK",
                           "https://www.appsheet.com/template/gettablefileurl?appName=APP022ParticMagnMTV2-924373673-26-05-14&amp;tableName=4.reg_fotografico&amp;fileName="&amp;AS270                         )
                          )</f>
        <v/>
      </c>
      <c r="AV270" s="54" t="str">
        <f t="shared" si="5"/>
        <v/>
      </c>
    </row>
    <row r="271" ht="22.5" customHeight="1">
      <c r="AT271" s="54" t="str">
        <f t="array" ref="AT271">IF(
                AS271 = "",
                "",
                       IF(
                           AS271 ="FOTOGRAFIA",
                           "LINK",
                           "https://www.appsheet.com/template/gettablefileurl?appName=APP022ParticMagnMTV2-924373673-26-05-14&amp;tableName=4.reg_fotografico&amp;fileName="&amp;AS271                         )
                          )</f>
        <v/>
      </c>
      <c r="AV271" s="54" t="str">
        <f t="shared" si="5"/>
        <v/>
      </c>
    </row>
    <row r="272" ht="22.5" customHeight="1">
      <c r="AT272" s="54" t="str">
        <f t="array" ref="AT272">IF(
                AS272 = "",
                "",
                       IF(
                           AS272 ="FOTOGRAFIA",
                           "LINK",
                           "https://www.appsheet.com/template/gettablefileurl?appName=APP022ParticMagnMTV2-924373673-26-05-14&amp;tableName=4.reg_fotografico&amp;fileName="&amp;AS272                         )
                          )</f>
        <v/>
      </c>
      <c r="AV272" s="54" t="str">
        <f t="shared" si="5"/>
        <v/>
      </c>
    </row>
    <row r="273" ht="22.5" customHeight="1">
      <c r="AT273" s="54" t="str">
        <f t="array" ref="AT273">IF(
                AS273 = "",
                "",
                       IF(
                           AS273 ="FOTOGRAFIA",
                           "LINK",
                           "https://www.appsheet.com/template/gettablefileurl?appName=APP022ParticMagnMTV2-924373673-26-05-14&amp;tableName=4.reg_fotografico&amp;fileName="&amp;AS273                         )
                          )</f>
        <v/>
      </c>
      <c r="AV273" s="54" t="str">
        <f t="shared" si="5"/>
        <v/>
      </c>
    </row>
    <row r="274" ht="22.5" customHeight="1">
      <c r="AT274" s="54" t="str">
        <f t="array" ref="AT274">IF(
                AS274 = "",
                "",
                       IF(
                           AS274 ="FOTOGRAFIA",
                           "LINK",
                           "https://www.appsheet.com/template/gettablefileurl?appName=APP022ParticMagnMTV2-924373673-26-05-14&amp;tableName=4.reg_fotografico&amp;fileName="&amp;AS274                         )
                          )</f>
        <v/>
      </c>
      <c r="AV274" s="54" t="str">
        <f t="shared" si="5"/>
        <v/>
      </c>
    </row>
    <row r="275" ht="22.5" customHeight="1">
      <c r="AT275" s="54" t="str">
        <f t="array" ref="AT275">IF(
                AS275 = "",
                "",
                       IF(
                           AS275 ="FOTOGRAFIA",
                           "LINK",
                           "https://www.appsheet.com/template/gettablefileurl?appName=APP022ParticMagnMTV2-924373673-26-05-14&amp;tableName=4.reg_fotografico&amp;fileName="&amp;AS275                         )
                          )</f>
        <v/>
      </c>
      <c r="AV275" s="54" t="str">
        <f t="shared" si="5"/>
        <v/>
      </c>
    </row>
    <row r="276" ht="22.5" customHeight="1">
      <c r="AT276" s="54" t="str">
        <f t="array" ref="AT276">IF(
                AS276 = "",
                "",
                       IF(
                           AS276 ="FOTOGRAFIA",
                           "LINK",
                           "https://www.appsheet.com/template/gettablefileurl?appName=APP022ParticMagnMTV2-924373673-26-05-14&amp;tableName=4.reg_fotografico&amp;fileName="&amp;AS276                         )
                          )</f>
        <v/>
      </c>
      <c r="AV276" s="54" t="str">
        <f t="shared" si="5"/>
        <v/>
      </c>
    </row>
    <row r="277" ht="22.5" customHeight="1">
      <c r="AT277" s="54" t="str">
        <f t="array" ref="AT277">IF(
                AS277 = "",
                "",
                       IF(
                           AS277 ="FOTOGRAFIA",
                           "LINK",
                           "https://www.appsheet.com/template/gettablefileurl?appName=APP022ParticMagnMTV2-924373673-26-05-14&amp;tableName=4.reg_fotografico&amp;fileName="&amp;AS277                         )
                          )</f>
        <v/>
      </c>
      <c r="AV277" s="54" t="str">
        <f t="shared" si="5"/>
        <v/>
      </c>
    </row>
    <row r="278" ht="22.5" customHeight="1">
      <c r="AT278" s="54" t="str">
        <f t="array" ref="AT278">IF(
                AS278 = "",
                "",
                       IF(
                           AS278 ="FOTOGRAFIA",
                           "LINK",
                           "https://www.appsheet.com/template/gettablefileurl?appName=APP022ParticMagnMTV2-924373673-26-05-14&amp;tableName=4.reg_fotografico&amp;fileName="&amp;AS278                         )
                          )</f>
        <v/>
      </c>
      <c r="AV278" s="54" t="str">
        <f t="shared" si="5"/>
        <v/>
      </c>
    </row>
    <row r="279" ht="22.5" customHeight="1">
      <c r="AT279" s="54" t="str">
        <f t="array" ref="AT279">IF(
                AS279 = "",
                "",
                       IF(
                           AS279 ="FOTOGRAFIA",
                           "LINK",
                           "https://www.appsheet.com/template/gettablefileurl?appName=APP022ParticMagnMTV2-924373673-26-05-14&amp;tableName=4.reg_fotografico&amp;fileName="&amp;AS279                         )
                          )</f>
        <v/>
      </c>
      <c r="AV279" s="54" t="str">
        <f t="shared" si="5"/>
        <v/>
      </c>
    </row>
    <row r="280" ht="22.5" customHeight="1">
      <c r="AT280" s="54" t="str">
        <f t="array" ref="AT280">IF(
                AS280 = "",
                "",
                       IF(
                           AS280 ="FOTOGRAFIA",
                           "LINK",
                           "https://www.appsheet.com/template/gettablefileurl?appName=APP022ParticMagnMTV2-924373673-26-05-14&amp;tableName=4.reg_fotografico&amp;fileName="&amp;AS280                         )
                          )</f>
        <v/>
      </c>
      <c r="AV280" s="54" t="str">
        <f t="shared" si="5"/>
        <v/>
      </c>
    </row>
    <row r="281" ht="22.5" customHeight="1">
      <c r="AT281" s="54" t="str">
        <f t="array" ref="AT281">IF(
                AS281 = "",
                "",
                       IF(
                           AS281 ="FOTOGRAFIA",
                           "LINK",
                           "https://www.appsheet.com/template/gettablefileurl?appName=APP022ParticMagnMTV2-924373673-26-05-14&amp;tableName=4.reg_fotografico&amp;fileName="&amp;AS281                         )
                          )</f>
        <v/>
      </c>
      <c r="AV281" s="54" t="str">
        <f t="shared" si="5"/>
        <v/>
      </c>
    </row>
    <row r="282" ht="22.5" customHeight="1">
      <c r="AT282" s="54" t="str">
        <f t="array" ref="AT282">IF(
                AS282 = "",
                "",
                       IF(
                           AS282 ="FOTOGRAFIA",
                           "LINK",
                           "https://www.appsheet.com/template/gettablefileurl?appName=APP022ParticMagnMTV2-924373673-26-05-14&amp;tableName=4.reg_fotografico&amp;fileName="&amp;AS282                         )
                          )</f>
        <v/>
      </c>
      <c r="AV282" s="54" t="str">
        <f t="shared" si="5"/>
        <v/>
      </c>
    </row>
    <row r="283" ht="22.5" customHeight="1">
      <c r="AT283" s="54" t="str">
        <f t="array" ref="AT283">IF(
                AS283 = "",
                "",
                       IF(
                           AS283 ="FOTOGRAFIA",
                           "LINK",
                           "https://www.appsheet.com/template/gettablefileurl?appName=APP022ParticMagnMTV2-924373673-26-05-14&amp;tableName=4.reg_fotografico&amp;fileName="&amp;AS283                         )
                          )</f>
        <v/>
      </c>
      <c r="AV283" s="54" t="str">
        <f t="shared" si="5"/>
        <v/>
      </c>
    </row>
    <row r="284" ht="22.5" customHeight="1">
      <c r="AT284" s="54" t="str">
        <f t="array" ref="AT284">IF(
                AS284 = "",
                "",
                       IF(
                           AS284 ="FOTOGRAFIA",
                           "LINK",
                           "https://www.appsheet.com/template/gettablefileurl?appName=APP022ParticMagnMTV2-924373673-26-05-14&amp;tableName=4.reg_fotografico&amp;fileName="&amp;AS284                         )
                          )</f>
        <v/>
      </c>
      <c r="AV284" s="54" t="str">
        <f t="shared" si="5"/>
        <v/>
      </c>
    </row>
    <row r="285" ht="22.5" customHeight="1">
      <c r="AT285" s="54" t="str">
        <f t="array" ref="AT285">IF(
                AS285 = "",
                "",
                       IF(
                           AS285 ="FOTOGRAFIA",
                           "LINK",
                           "https://www.appsheet.com/template/gettablefileurl?appName=APP022ParticMagnMTV2-924373673-26-05-14&amp;tableName=4.reg_fotografico&amp;fileName="&amp;AS285                         )
                          )</f>
        <v/>
      </c>
      <c r="AV285" s="54" t="str">
        <f t="shared" si="5"/>
        <v/>
      </c>
    </row>
    <row r="286" ht="22.5" customHeight="1">
      <c r="AT286" s="54" t="str">
        <f t="array" ref="AT286">IF(
                AS286 = "",
                "",
                       IF(
                           AS286 ="FOTOGRAFIA",
                           "LINK",
                           "https://www.appsheet.com/template/gettablefileurl?appName=APP022ParticMagnMTV2-924373673-26-05-14&amp;tableName=4.reg_fotografico&amp;fileName="&amp;AS286                         )
                          )</f>
        <v/>
      </c>
      <c r="AV286" s="54" t="str">
        <f t="shared" si="5"/>
        <v/>
      </c>
    </row>
    <row r="287" ht="22.5" customHeight="1">
      <c r="AT287" s="54" t="str">
        <f t="array" ref="AT287">IF(
                AS287 = "",
                "",
                       IF(
                           AS287 ="FOTOGRAFIA",
                           "LINK",
                           "https://www.appsheet.com/template/gettablefileurl?appName=APP022ParticMagnMTV2-924373673-26-05-14&amp;tableName=4.reg_fotografico&amp;fileName="&amp;AS287                         )
                          )</f>
        <v/>
      </c>
      <c r="AV287" s="54" t="str">
        <f t="shared" si="5"/>
        <v/>
      </c>
    </row>
    <row r="288" ht="22.5" customHeight="1">
      <c r="AT288" s="54" t="str">
        <f t="array" ref="AT288">IF(
                AS288 = "",
                "",
                       IF(
                           AS288 ="FOTOGRAFIA",
                           "LINK",
                           "https://www.appsheet.com/template/gettablefileurl?appName=APP022ParticMagnMTV2-924373673-26-05-14&amp;tableName=4.reg_fotografico&amp;fileName="&amp;AS288                         )
                          )</f>
        <v/>
      </c>
      <c r="AV288" s="54" t="str">
        <f t="shared" si="5"/>
        <v/>
      </c>
    </row>
    <row r="289" ht="22.5" customHeight="1">
      <c r="AT289" s="54" t="str">
        <f t="array" ref="AT289">IF(
                AS289 = "",
                "",
                       IF(
                           AS289 ="FOTOGRAFIA",
                           "LINK",
                           "https://www.appsheet.com/template/gettablefileurl?appName=APP022ParticMagnMTV2-924373673-26-05-14&amp;tableName=4.reg_fotografico&amp;fileName="&amp;AS289                         )
                          )</f>
        <v/>
      </c>
      <c r="AV289" s="54" t="str">
        <f t="shared" si="5"/>
        <v/>
      </c>
    </row>
    <row r="290" ht="22.5" customHeight="1">
      <c r="AT290" s="54" t="str">
        <f t="array" ref="AT290">IF(
                AS290 = "",
                "",
                       IF(
                           AS290 ="FOTOGRAFIA",
                           "LINK",
                           "https://www.appsheet.com/template/gettablefileurl?appName=APP022ParticMagnMTV2-924373673-26-05-14&amp;tableName=4.reg_fotografico&amp;fileName="&amp;AS290                         )
                          )</f>
        <v/>
      </c>
      <c r="AV290" s="54" t="str">
        <f t="shared" si="5"/>
        <v/>
      </c>
    </row>
    <row r="291" ht="22.5" customHeight="1">
      <c r="AT291" s="54" t="str">
        <f t="array" ref="AT291">IF(
                AS291 = "",
                "",
                       IF(
                           AS291 ="FOTOGRAFIA",
                           "LINK",
                           "https://www.appsheet.com/template/gettablefileurl?appName=APP022ParticMagnMTV2-924373673-26-05-14&amp;tableName=4.reg_fotografico&amp;fileName="&amp;AS291                         )
                          )</f>
        <v/>
      </c>
      <c r="AV291" s="54" t="str">
        <f t="shared" si="5"/>
        <v/>
      </c>
    </row>
    <row r="292" ht="22.5" customHeight="1">
      <c r="AT292" s="54" t="str">
        <f t="array" ref="AT292">IF(
                AS292 = "",
                "",
                       IF(
                           AS292 ="FOTOGRAFIA",
                           "LINK",
                           "https://www.appsheet.com/template/gettablefileurl?appName=APP022ParticMagnMTV2-924373673-26-05-14&amp;tableName=4.reg_fotografico&amp;fileName="&amp;AS292                         )
                          )</f>
        <v/>
      </c>
      <c r="AV292" s="54" t="str">
        <f t="shared" si="5"/>
        <v/>
      </c>
    </row>
    <row r="293" ht="22.5" customHeight="1">
      <c r="AT293" s="54" t="str">
        <f t="array" ref="AT293">IF(
                AS293 = "",
                "",
                       IF(
                           AS293 ="FOTOGRAFIA",
                           "LINK",
                           "https://www.appsheet.com/template/gettablefileurl?appName=APP022ParticMagnMTV2-924373673-26-05-14&amp;tableName=4.reg_fotografico&amp;fileName="&amp;AS293                         )
                          )</f>
        <v/>
      </c>
      <c r="AV293" s="54" t="str">
        <f t="shared" si="5"/>
        <v/>
      </c>
    </row>
    <row r="294" ht="22.5" customHeight="1">
      <c r="AT294" s="54" t="str">
        <f t="array" ref="AT294">IF(
                AS294 = "",
                "",
                       IF(
                           AS294 ="FOTOGRAFIA",
                           "LINK",
                           "https://www.appsheet.com/template/gettablefileurl?appName=APP022ParticMagnMTV2-924373673-26-05-14&amp;tableName=4.reg_fotografico&amp;fileName="&amp;AS294                         )
                          )</f>
        <v/>
      </c>
      <c r="AV294" s="54" t="str">
        <f t="shared" si="5"/>
        <v/>
      </c>
    </row>
    <row r="295" ht="22.5" customHeight="1">
      <c r="AT295" s="54" t="str">
        <f t="array" ref="AT295">IF(
                AS295 = "",
                "",
                       IF(
                           AS295 ="FOTOGRAFIA",
                           "LINK",
                           "https://www.appsheet.com/template/gettablefileurl?appName=APP022ParticMagnMTV2-924373673-26-05-14&amp;tableName=4.reg_fotografico&amp;fileName="&amp;AS295                         )
                          )</f>
        <v/>
      </c>
      <c r="AV295" s="54" t="str">
        <f t="shared" si="5"/>
        <v/>
      </c>
    </row>
    <row r="296" ht="22.5" customHeight="1">
      <c r="AT296" s="54" t="str">
        <f t="array" ref="AT296">IF(
                AS296 = "",
                "",
                       IF(
                           AS296 ="FOTOGRAFIA",
                           "LINK",
                           "https://www.appsheet.com/template/gettablefileurl?appName=APP022ParticMagnMTV2-924373673-26-05-14&amp;tableName=4.reg_fotografico&amp;fileName="&amp;AS296                         )
                          )</f>
        <v/>
      </c>
      <c r="AV296" s="54" t="str">
        <f t="shared" si="5"/>
        <v/>
      </c>
    </row>
    <row r="297" ht="22.5" customHeight="1">
      <c r="AT297" s="54" t="str">
        <f t="array" ref="AT297">IF(
                AS297 = "",
                "",
                       IF(
                           AS297 ="FOTOGRAFIA",
                           "LINK",
                           "https://www.appsheet.com/template/gettablefileurl?appName=APP022ParticMagnMTV2-924373673-26-05-14&amp;tableName=4.reg_fotografico&amp;fileName="&amp;AS297                         )
                          )</f>
        <v/>
      </c>
      <c r="AV297" s="54" t="str">
        <f t="shared" si="5"/>
        <v/>
      </c>
    </row>
    <row r="298" ht="22.5" customHeight="1">
      <c r="AT298" s="54" t="str">
        <f t="array" ref="AT298">IF(
                AS298 = "",
                "",
                       IF(
                           AS298 ="FOTOGRAFIA",
                           "LINK",
                           "https://www.appsheet.com/template/gettablefileurl?appName=APP022ParticMagnMTV2-924373673-26-05-14&amp;tableName=4.reg_fotografico&amp;fileName="&amp;AS298                         )
                          )</f>
        <v/>
      </c>
      <c r="AV298" s="54" t="str">
        <f t="shared" si="5"/>
        <v/>
      </c>
    </row>
    <row r="299" ht="22.5" customHeight="1">
      <c r="AT299" s="54" t="str">
        <f t="array" ref="AT299">IF(
                AS299 = "",
                "",
                       IF(
                           AS299 ="FOTOGRAFIA",
                           "LINK",
                           "https://www.appsheet.com/template/gettablefileurl?appName=APP022ParticMagnMTV2-924373673-26-05-14&amp;tableName=4.reg_fotografico&amp;fileName="&amp;AS299                         )
                          )</f>
        <v/>
      </c>
      <c r="AV299" s="54" t="str">
        <f t="shared" si="5"/>
        <v/>
      </c>
    </row>
    <row r="300" ht="22.5" customHeight="1">
      <c r="AT300" s="54" t="str">
        <f t="array" ref="AT300">IF(
                AS300 = "",
                "",
                       IF(
                           AS300 ="FOTOGRAFIA",
                           "LINK",
                           "https://www.appsheet.com/template/gettablefileurl?appName=APP022ParticMagnMTV2-924373673-26-05-14&amp;tableName=4.reg_fotografico&amp;fileName="&amp;AS300                         )
                          )</f>
        <v/>
      </c>
      <c r="AV300" s="54" t="str">
        <f t="shared" si="5"/>
        <v/>
      </c>
    </row>
    <row r="301" ht="22.5" customHeight="1">
      <c r="AT301" s="54" t="str">
        <f t="array" ref="AT301">IF(
                AS301 = "",
                "",
                       IF(
                           AS301 ="FOTOGRAFIA",
                           "LINK",
                           "https://www.appsheet.com/template/gettablefileurl?appName=APP022ParticMagnMTV2-924373673-26-05-14&amp;tableName=4.reg_fotografico&amp;fileName="&amp;AS301                         )
                          )</f>
        <v/>
      </c>
      <c r="AV301" s="54" t="str">
        <f t="shared" si="5"/>
        <v/>
      </c>
    </row>
    <row r="302" ht="22.5" customHeight="1">
      <c r="AT302" s="54" t="str">
        <f t="array" ref="AT302">IF(
                AS302 = "",
                "",
                       IF(
                           AS302 ="FOTOGRAFIA",
                           "LINK",
                           "https://www.appsheet.com/template/gettablefileurl?appName=APP022ParticMagnMTV2-924373673-26-05-14&amp;tableName=4.reg_fotografico&amp;fileName="&amp;AS302                         )
                          )</f>
        <v/>
      </c>
      <c r="AV302" s="54" t="str">
        <f t="shared" si="5"/>
        <v/>
      </c>
    </row>
    <row r="303" ht="22.5" customHeight="1">
      <c r="AT303" s="54" t="str">
        <f t="array" ref="AT303">IF(
                AS303 = "",
                "",
                       IF(
                           AS303 ="FOTOGRAFIA",
                           "LINK",
                           "https://www.appsheet.com/template/gettablefileurl?appName=APP022ParticMagnMTV2-924373673-26-05-14&amp;tableName=4.reg_fotografico&amp;fileName="&amp;AS303                         )
                          )</f>
        <v/>
      </c>
      <c r="AV303" s="54" t="str">
        <f t="shared" si="5"/>
        <v/>
      </c>
    </row>
    <row r="304" ht="22.5" customHeight="1">
      <c r="AT304" s="54" t="str">
        <f t="array" ref="AT304">IF(
                AS304 = "",
                "",
                       IF(
                           AS304 ="FOTOGRAFIA",
                           "LINK",
                           "https://www.appsheet.com/template/gettablefileurl?appName=APP022ParticMagnMTV2-924373673-26-05-14&amp;tableName=4.reg_fotografico&amp;fileName="&amp;AS304                         )
                          )</f>
        <v/>
      </c>
      <c r="AV304" s="54" t="str">
        <f t="shared" si="5"/>
        <v/>
      </c>
    </row>
    <row r="305" ht="22.5" customHeight="1">
      <c r="AT305" s="54" t="str">
        <f t="array" ref="AT305">IF(
                AS305 = "",
                "",
                       IF(
                           AS305 ="FOTOGRAFIA",
                           "LINK",
                           "https://www.appsheet.com/template/gettablefileurl?appName=APP022ParticMagnMTV2-924373673-26-05-14&amp;tableName=4.reg_fotografico&amp;fileName="&amp;AS305                         )
                          )</f>
        <v/>
      </c>
      <c r="AV305" s="54" t="str">
        <f t="shared" si="5"/>
        <v/>
      </c>
    </row>
    <row r="306" ht="22.5" customHeight="1">
      <c r="AT306" s="54" t="str">
        <f t="array" ref="AT306">IF(
                AS306 = "",
                "",
                       IF(
                           AS306 ="FOTOGRAFIA",
                           "LINK",
                           "https://www.appsheet.com/template/gettablefileurl?appName=APP022ParticMagnMTV2-924373673-26-05-14&amp;tableName=4.reg_fotografico&amp;fileName="&amp;AS306                         )
                          )</f>
        <v/>
      </c>
      <c r="AV306" s="54" t="str">
        <f t="shared" si="5"/>
        <v/>
      </c>
    </row>
    <row r="307" ht="22.5" customHeight="1">
      <c r="AT307" s="54" t="str">
        <f t="array" ref="AT307">IF(
                AS307 = "",
                "",
                       IF(
                           AS307 ="FOTOGRAFIA",
                           "LINK",
                           "https://www.appsheet.com/template/gettablefileurl?appName=APP022ParticMagnMTV2-924373673-26-05-14&amp;tableName=4.reg_fotografico&amp;fileName="&amp;AS307                         )
                          )</f>
        <v/>
      </c>
      <c r="AV307" s="54" t="str">
        <f t="shared" si="5"/>
        <v/>
      </c>
    </row>
    <row r="308" ht="22.5" customHeight="1">
      <c r="AT308" s="54" t="str">
        <f t="array" ref="AT308">IF(
                AS308 = "",
                "",
                       IF(
                           AS308 ="FOTOGRAFIA",
                           "LINK",
                           "https://www.appsheet.com/template/gettablefileurl?appName=APP022ParticMagnMTV2-924373673-26-05-14&amp;tableName=4.reg_fotografico&amp;fileName="&amp;AS308                         )
                          )</f>
        <v/>
      </c>
      <c r="AV308" s="54" t="str">
        <f t="shared" si="5"/>
        <v/>
      </c>
    </row>
    <row r="309" ht="22.5" customHeight="1">
      <c r="AT309" s="54" t="str">
        <f t="array" ref="AT309">IF(
                AS309 = "",
                "",
                       IF(
                           AS309 ="FOTOGRAFIA",
                           "LINK",
                           "https://www.appsheet.com/template/gettablefileurl?appName=APP022ParticMagnMTV2-924373673-26-05-14&amp;tableName=4.reg_fotografico&amp;fileName="&amp;AS309                         )
                          )</f>
        <v/>
      </c>
      <c r="AV309" s="54" t="str">
        <f t="shared" si="5"/>
        <v/>
      </c>
    </row>
    <row r="310" ht="22.5" customHeight="1">
      <c r="AT310" s="54" t="str">
        <f t="array" ref="AT310">IF(
                AS310 = "",
                "",
                       IF(
                           AS310 ="FOTOGRAFIA",
                           "LINK",
                           "https://www.appsheet.com/template/gettablefileurl?appName=APP022ParticMagnMTV2-924373673-26-05-14&amp;tableName=4.reg_fotografico&amp;fileName="&amp;AS310                         )
                          )</f>
        <v/>
      </c>
      <c r="AV310" s="54" t="str">
        <f t="shared" si="5"/>
        <v/>
      </c>
    </row>
    <row r="311" ht="22.5" customHeight="1">
      <c r="AT311" s="54" t="str">
        <f t="array" ref="AT311">IF(
                AS311 = "",
                "",
                       IF(
                           AS311 ="FOTOGRAFIA",
                           "LINK",
                           "https://www.appsheet.com/template/gettablefileurl?appName=APP022ParticMagnMTV2-924373673-26-05-14&amp;tableName=4.reg_fotografico&amp;fileName="&amp;AS311                         )
                          )</f>
        <v/>
      </c>
      <c r="AV311" s="54" t="str">
        <f t="shared" si="5"/>
        <v/>
      </c>
    </row>
    <row r="312" ht="22.5" customHeight="1">
      <c r="AT312" s="54" t="str">
        <f t="array" ref="AT312">IF(
                AS312 = "",
                "",
                       IF(
                           AS312 ="FOTOGRAFIA",
                           "LINK",
                           "https://www.appsheet.com/template/gettablefileurl?appName=APP022ParticMagnMTV2-924373673-26-05-14&amp;tableName=4.reg_fotografico&amp;fileName="&amp;AS312                         )
                          )</f>
        <v/>
      </c>
      <c r="AV312" s="54" t="str">
        <f t="shared" si="5"/>
        <v/>
      </c>
    </row>
    <row r="313" ht="22.5" customHeight="1">
      <c r="AT313" s="54" t="str">
        <f t="array" ref="AT313">IF(
                AS313 = "",
                "",
                       IF(
                           AS313 ="FOTOGRAFIA",
                           "LINK",
                           "https://www.appsheet.com/template/gettablefileurl?appName=APP022ParticMagnMTV2-924373673-26-05-14&amp;tableName=4.reg_fotografico&amp;fileName="&amp;AS313                         )
                          )</f>
        <v/>
      </c>
      <c r="AV313" s="54" t="str">
        <f t="shared" si="5"/>
        <v/>
      </c>
    </row>
    <row r="314" ht="22.5" customHeight="1">
      <c r="AT314" s="54" t="str">
        <f t="array" ref="AT314">IF(
                AS314 = "",
                "",
                       IF(
                           AS314 ="FOTOGRAFIA",
                           "LINK",
                           "https://www.appsheet.com/template/gettablefileurl?appName=APP022ParticMagnMTV2-924373673-26-05-14&amp;tableName=4.reg_fotografico&amp;fileName="&amp;AS314                         )
                          )</f>
        <v/>
      </c>
      <c r="AV314" s="54" t="str">
        <f t="shared" si="5"/>
        <v/>
      </c>
    </row>
    <row r="315" ht="22.5" customHeight="1">
      <c r="AT315" s="54" t="str">
        <f t="array" ref="AT315">IF(
                AS315 = "",
                "",
                       IF(
                           AS315 ="FOTOGRAFIA",
                           "LINK",
                           "https://www.appsheet.com/template/gettablefileurl?appName=APP022ParticMagnMTV2-924373673-26-05-14&amp;tableName=4.reg_fotografico&amp;fileName="&amp;AS315                         )
                          )</f>
        <v/>
      </c>
      <c r="AV315" s="54" t="str">
        <f t="shared" si="5"/>
        <v/>
      </c>
    </row>
    <row r="316" ht="22.5" customHeight="1">
      <c r="AT316" s="54" t="str">
        <f t="array" ref="AT316">IF(
                AS316 = "",
                "",
                       IF(
                           AS316 ="FOTOGRAFIA",
                           "LINK",
                           "https://www.appsheet.com/template/gettablefileurl?appName=APP022ParticMagnMTV2-924373673-26-05-14&amp;tableName=4.reg_fotografico&amp;fileName="&amp;AS316                         )
                          )</f>
        <v/>
      </c>
      <c r="AV316" s="54" t="str">
        <f t="shared" si="5"/>
        <v/>
      </c>
    </row>
    <row r="317" ht="22.5" customHeight="1">
      <c r="AT317" s="54" t="str">
        <f t="array" ref="AT317">IF(
                AS317 = "",
                "",
                       IF(
                           AS317 ="FOTOGRAFIA",
                           "LINK",
                           "https://www.appsheet.com/template/gettablefileurl?appName=APP022ParticMagnMTV2-924373673-26-05-14&amp;tableName=4.reg_fotografico&amp;fileName="&amp;AS317                         )
                          )</f>
        <v/>
      </c>
      <c r="AV317" s="54" t="str">
        <f t="shared" si="5"/>
        <v/>
      </c>
    </row>
    <row r="318" ht="22.5" customHeight="1">
      <c r="AT318" s="54" t="str">
        <f t="array" ref="AT318">IF(
                AS318 = "",
                "",
                       IF(
                           AS318 ="FOTOGRAFIA",
                           "LINK",
                           "https://www.appsheet.com/template/gettablefileurl?appName=APP022ParticMagnMTV2-924373673-26-05-14&amp;tableName=4.reg_fotografico&amp;fileName="&amp;AS318                         )
                          )</f>
        <v/>
      </c>
      <c r="AV318" s="54" t="str">
        <f t="shared" si="5"/>
        <v/>
      </c>
    </row>
    <row r="319" ht="22.5" customHeight="1">
      <c r="AT319" s="54" t="str">
        <f t="array" ref="AT319">IF(
                AS319 = "",
                "",
                       IF(
                           AS319 ="FOTOGRAFIA",
                           "LINK",
                           "https://www.appsheet.com/template/gettablefileurl?appName=APP022ParticMagnMTV2-924373673-26-05-14&amp;tableName=4.reg_fotografico&amp;fileName="&amp;AS319                         )
                          )</f>
        <v/>
      </c>
      <c r="AV319" s="54" t="str">
        <f t="shared" si="5"/>
        <v/>
      </c>
    </row>
    <row r="320" ht="22.5" customHeight="1">
      <c r="AT320" s="54" t="str">
        <f t="array" ref="AT320">IF(
                AS320 = "",
                "",
                       IF(
                           AS320 ="FOTOGRAFIA",
                           "LINK",
                           "https://www.appsheet.com/template/gettablefileurl?appName=APP022ParticMagnMTV2-924373673-26-05-14&amp;tableName=4.reg_fotografico&amp;fileName="&amp;AS320                         )
                          )</f>
        <v/>
      </c>
      <c r="AV320" s="54" t="str">
        <f t="shared" si="5"/>
        <v/>
      </c>
    </row>
    <row r="321" ht="22.5" customHeight="1">
      <c r="AT321" s="54" t="str">
        <f t="array" ref="AT321">IF(
                AS321 = "",
                "",
                       IF(
                           AS321 ="FOTOGRAFIA",
                           "LINK",
                           "https://www.appsheet.com/template/gettablefileurl?appName=APP022ParticMagnMTV2-924373673-26-05-14&amp;tableName=4.reg_fotografico&amp;fileName="&amp;AS321                         )
                          )</f>
        <v/>
      </c>
      <c r="AV321" s="54" t="str">
        <f t="shared" si="5"/>
        <v/>
      </c>
    </row>
    <row r="322" ht="22.5" customHeight="1">
      <c r="AT322" s="54" t="str">
        <f t="array" ref="AT322">IF(
                AS322 = "",
                "",
                       IF(
                           AS322 ="FOTOGRAFIA",
                           "LINK",
                           "https://www.appsheet.com/template/gettablefileurl?appName=APP022ParticMagnMTV2-924373673-26-05-14&amp;tableName=4.reg_fotografico&amp;fileName="&amp;AS322                         )
                          )</f>
        <v/>
      </c>
      <c r="AV322" s="54" t="str">
        <f t="shared" si="5"/>
        <v/>
      </c>
    </row>
    <row r="323" ht="22.5" customHeight="1">
      <c r="AT323" s="54" t="str">
        <f t="array" ref="AT323">IF(
                AS323 = "",
                "",
                       IF(
                           AS323 ="FOTOGRAFIA",
                           "LINK",
                           "https://www.appsheet.com/template/gettablefileurl?appName=APP022ParticMagnMTV2-924373673-26-05-14&amp;tableName=4.reg_fotografico&amp;fileName="&amp;AS323                         )
                          )</f>
        <v/>
      </c>
      <c r="AV323" s="54" t="str">
        <f t="shared" si="5"/>
        <v/>
      </c>
    </row>
    <row r="324" ht="22.5" customHeight="1">
      <c r="AT324" s="54" t="str">
        <f t="array" ref="AT324">IF(
                AS324 = "",
                "",
                       IF(
                           AS324 ="FOTOGRAFIA",
                           "LINK",
                           "https://www.appsheet.com/template/gettablefileurl?appName=APP022ParticMagnMTV2-924373673-26-05-14&amp;tableName=4.reg_fotografico&amp;fileName="&amp;AS324                         )
                          )</f>
        <v/>
      </c>
      <c r="AV324" s="54" t="str">
        <f t="shared" si="5"/>
        <v/>
      </c>
    </row>
    <row r="325" ht="22.5" customHeight="1">
      <c r="AT325" s="54" t="str">
        <f t="array" ref="AT325">IF(
                AS325 = "",
                "",
                       IF(
                           AS325 ="FOTOGRAFIA",
                           "LINK",
                           "https://www.appsheet.com/template/gettablefileurl?appName=APP022ParticMagnMTV2-924373673-26-05-14&amp;tableName=4.reg_fotografico&amp;fileName="&amp;AS325                         )
                          )</f>
        <v/>
      </c>
      <c r="AV325" s="54" t="str">
        <f t="shared" si="5"/>
        <v/>
      </c>
    </row>
    <row r="326" ht="22.5" customHeight="1">
      <c r="AT326" s="54" t="str">
        <f t="array" ref="AT326">IF(
                AS326 = "",
                "",
                       IF(
                           AS326 ="FOTOGRAFIA",
                           "LINK",
                           "https://www.appsheet.com/template/gettablefileurl?appName=APP022ParticMagnMTV2-924373673-26-05-14&amp;tableName=4.reg_fotografico&amp;fileName="&amp;AS326                         )
                          )</f>
        <v/>
      </c>
      <c r="AV326" s="54" t="str">
        <f t="shared" si="5"/>
        <v/>
      </c>
    </row>
    <row r="327" ht="22.5" customHeight="1">
      <c r="AT327" s="54" t="str">
        <f t="array" ref="AT327">IF(
                AS327 = "",
                "",
                       IF(
                           AS327 ="FOTOGRAFIA",
                           "LINK",
                           "https://www.appsheet.com/template/gettablefileurl?appName=APP022ParticMagnMTV2-924373673-26-05-14&amp;tableName=4.reg_fotografico&amp;fileName="&amp;AS327                         )
                          )</f>
        <v/>
      </c>
      <c r="AV327" s="54" t="str">
        <f t="shared" si="5"/>
        <v/>
      </c>
    </row>
    <row r="328" ht="22.5" customHeight="1">
      <c r="AT328" s="54" t="str">
        <f t="array" ref="AT328">IF(
                AS328 = "",
                "",
                       IF(
                           AS328 ="FOTOGRAFIA",
                           "LINK",
                           "https://www.appsheet.com/template/gettablefileurl?appName=APP022ParticMagnMTV2-924373673-26-05-14&amp;tableName=4.reg_fotografico&amp;fileName="&amp;AS328                         )
                          )</f>
        <v/>
      </c>
      <c r="AV328" s="54" t="str">
        <f t="shared" si="5"/>
        <v/>
      </c>
    </row>
    <row r="329" ht="22.5" customHeight="1">
      <c r="AT329" s="54" t="str">
        <f t="array" ref="AT329">IF(
                AS329 = "",
                "",
                       IF(
                           AS329 ="FOTOGRAFIA",
                           "LINK",
                           "https://www.appsheet.com/template/gettablefileurl?appName=APP022ParticMagnMTV2-924373673-26-05-14&amp;tableName=4.reg_fotografico&amp;fileName="&amp;AS329                         )
                          )</f>
        <v/>
      </c>
      <c r="AV329" s="54" t="str">
        <f t="shared" si="5"/>
        <v/>
      </c>
    </row>
    <row r="330" ht="22.5" customHeight="1">
      <c r="AT330" s="54" t="str">
        <f t="array" ref="AT330">IF(
                AS330 = "",
                "",
                       IF(
                           AS330 ="FOTOGRAFIA",
                           "LINK",
                           "https://www.appsheet.com/template/gettablefileurl?appName=APP022ParticMagnMTV2-924373673-26-05-14&amp;tableName=4.reg_fotografico&amp;fileName="&amp;AS330                         )
                          )</f>
        <v/>
      </c>
      <c r="AV330" s="54" t="str">
        <f t="shared" si="5"/>
        <v/>
      </c>
    </row>
    <row r="331" ht="22.5" customHeight="1">
      <c r="AT331" s="54" t="str">
        <f t="array" ref="AT331">IF(
                AS331 = "",
                "",
                       IF(
                           AS331 ="FOTOGRAFIA",
                           "LINK",
                           "https://www.appsheet.com/template/gettablefileurl?appName=APP022ParticMagnMTV2-924373673-26-05-14&amp;tableName=4.reg_fotografico&amp;fileName="&amp;AS331                         )
                          )</f>
        <v/>
      </c>
      <c r="AV331" s="54" t="str">
        <f t="shared" si="5"/>
        <v/>
      </c>
    </row>
    <row r="332" ht="22.5" customHeight="1">
      <c r="AT332" s="54" t="str">
        <f t="array" ref="AT332">IF(
                AS332 = "",
                "",
                       IF(
                           AS332 ="FOTOGRAFIA",
                           "LINK",
                           "https://www.appsheet.com/template/gettablefileurl?appName=APP022ParticMagnMTV2-924373673-26-05-14&amp;tableName=4.reg_fotografico&amp;fileName="&amp;AS332                         )
                          )</f>
        <v/>
      </c>
      <c r="AV332" s="54" t="str">
        <f t="shared" si="5"/>
        <v/>
      </c>
    </row>
    <row r="333" ht="22.5" customHeight="1">
      <c r="AT333" s="54" t="str">
        <f t="array" ref="AT333">IF(
                AS333 = "",
                "",
                       IF(
                           AS333 ="FOTOGRAFIA",
                           "LINK",
                           "https://www.appsheet.com/template/gettablefileurl?appName=APP022ParticMagnMTV2-924373673-26-05-14&amp;tableName=4.reg_fotografico&amp;fileName="&amp;AS333                         )
                          )</f>
        <v/>
      </c>
      <c r="AV333" s="54" t="str">
        <f t="shared" si="5"/>
        <v/>
      </c>
    </row>
    <row r="334" ht="22.5" customHeight="1">
      <c r="AT334" s="54" t="str">
        <f t="array" ref="AT334">IF(
                AS334 = "",
                "",
                       IF(
                           AS334 ="FOTOGRAFIA",
                           "LINK",
                           "https://www.appsheet.com/template/gettablefileurl?appName=APP022ParticMagnMTV2-924373673-26-05-14&amp;tableName=4.reg_fotografico&amp;fileName="&amp;AS334                         )
                          )</f>
        <v/>
      </c>
      <c r="AV334" s="54" t="str">
        <f t="shared" si="5"/>
        <v/>
      </c>
    </row>
    <row r="335" ht="22.5" customHeight="1">
      <c r="AT335" s="54" t="str">
        <f t="array" ref="AT335">IF(
                AS335 = "",
                "",
                       IF(
                           AS335 ="FOTOGRAFIA",
                           "LINK",
                           "https://www.appsheet.com/template/gettablefileurl?appName=APP022ParticMagnMTV2-924373673-26-05-14&amp;tableName=4.reg_fotografico&amp;fileName="&amp;AS335                         )
                          )</f>
        <v/>
      </c>
      <c r="AV335" s="54" t="str">
        <f t="shared" si="5"/>
        <v/>
      </c>
    </row>
    <row r="336" ht="22.5" customHeight="1">
      <c r="AT336" s="54" t="str">
        <f t="array" ref="AT336">IF(
                AS336 = "",
                "",
                       IF(
                           AS336 ="FOTOGRAFIA",
                           "LINK",
                           "https://www.appsheet.com/template/gettablefileurl?appName=APP022ParticMagnMTV2-924373673-26-05-14&amp;tableName=4.reg_fotografico&amp;fileName="&amp;AS336                         )
                          )</f>
        <v/>
      </c>
      <c r="AV336" s="54" t="str">
        <f t="shared" si="5"/>
        <v/>
      </c>
    </row>
    <row r="337" ht="22.5" customHeight="1">
      <c r="AT337" s="54" t="str">
        <f t="array" ref="AT337">IF(
                AS337 = "",
                "",
                       IF(
                           AS337 ="FOTOGRAFIA",
                           "LINK",
                           "https://www.appsheet.com/template/gettablefileurl?appName=APP022ParticMagnMTV2-924373673-26-05-14&amp;tableName=4.reg_fotografico&amp;fileName="&amp;AS337                         )
                          )</f>
        <v/>
      </c>
      <c r="AV337" s="54" t="str">
        <f t="shared" si="5"/>
        <v/>
      </c>
    </row>
    <row r="338" ht="22.5" customHeight="1">
      <c r="AT338" s="54" t="str">
        <f t="array" ref="AT338">IF(
                AS338 = "",
                "",
                       IF(
                           AS338 ="FOTOGRAFIA",
                           "LINK",
                           "https://www.appsheet.com/template/gettablefileurl?appName=APP022ParticMagnMTV2-924373673-26-05-14&amp;tableName=4.reg_fotografico&amp;fileName="&amp;AS338                         )
                          )</f>
        <v/>
      </c>
      <c r="AV338" s="54" t="str">
        <f t="shared" si="5"/>
        <v/>
      </c>
    </row>
    <row r="339" ht="22.5" customHeight="1">
      <c r="AT339" s="54" t="str">
        <f t="array" ref="AT339">IF(
                AS339 = "",
                "",
                       IF(
                           AS339 ="FOTOGRAFIA",
                           "LINK",
                           "https://www.appsheet.com/template/gettablefileurl?appName=APP022ParticMagnMTV2-924373673-26-05-14&amp;tableName=4.reg_fotografico&amp;fileName="&amp;AS339                         )
                          )</f>
        <v/>
      </c>
      <c r="AV339" s="54" t="str">
        <f t="shared" si="5"/>
        <v/>
      </c>
    </row>
    <row r="340" ht="22.5" customHeight="1">
      <c r="AT340" s="54" t="str">
        <f t="array" ref="AT340">IF(
                AS340 = "",
                "",
                       IF(
                           AS340 ="FOTOGRAFIA",
                           "LINK",
                           "https://www.appsheet.com/template/gettablefileurl?appName=APP022ParticMagnMTV2-924373673-26-05-14&amp;tableName=4.reg_fotografico&amp;fileName="&amp;AS340                         )
                          )</f>
        <v/>
      </c>
      <c r="AV340" s="54" t="str">
        <f t="shared" si="5"/>
        <v/>
      </c>
    </row>
    <row r="341" ht="22.5" customHeight="1">
      <c r="AT341" s="54" t="str">
        <f t="array" ref="AT341">IF(
                AS341 = "",
                "",
                       IF(
                           AS341 ="FOTOGRAFIA",
                           "LINK",
                           "https://www.appsheet.com/template/gettablefileurl?appName=APP022ParticMagnMTV2-924373673-26-05-14&amp;tableName=4.reg_fotografico&amp;fileName="&amp;AS341                         )
                          )</f>
        <v/>
      </c>
      <c r="AV341" s="54" t="str">
        <f t="shared" si="5"/>
        <v/>
      </c>
    </row>
    <row r="342" ht="22.5" customHeight="1">
      <c r="AT342" s="54" t="str">
        <f t="array" ref="AT342">IF(
                AS342 = "",
                "",
                       IF(
                           AS342 ="FOTOGRAFIA",
                           "LINK",
                           "https://www.appsheet.com/template/gettablefileurl?appName=APP022ParticMagnMTV2-924373673-26-05-14&amp;tableName=4.reg_fotografico&amp;fileName="&amp;AS342                         )
                          )</f>
        <v/>
      </c>
      <c r="AV342" s="54" t="str">
        <f t="shared" si="5"/>
        <v/>
      </c>
    </row>
    <row r="343" ht="22.5" customHeight="1">
      <c r="AT343" s="54" t="str">
        <f t="array" ref="AT343">IF(
                AS343 = "",
                "",
                       IF(
                           AS343 ="FOTOGRAFIA",
                           "LINK",
                           "https://www.appsheet.com/template/gettablefileurl?appName=APP022ParticMagnMTV2-924373673-26-05-14&amp;tableName=4.reg_fotografico&amp;fileName="&amp;AS343                         )
                          )</f>
        <v/>
      </c>
      <c r="AV343" s="54" t="str">
        <f t="shared" si="5"/>
        <v/>
      </c>
    </row>
    <row r="344" ht="22.5" customHeight="1">
      <c r="AT344" s="54" t="str">
        <f t="array" ref="AT344">IF(
                AS344 = "",
                "",
                       IF(
                           AS344 ="FOTOGRAFIA",
                           "LINK",
                           "https://www.appsheet.com/template/gettablefileurl?appName=APP022ParticMagnMTV2-924373673-26-05-14&amp;tableName=4.reg_fotografico&amp;fileName="&amp;AS344                         )
                          )</f>
        <v/>
      </c>
      <c r="AV344" s="54" t="str">
        <f t="shared" si="5"/>
        <v/>
      </c>
    </row>
    <row r="345" ht="22.5" customHeight="1">
      <c r="AT345" s="54" t="str">
        <f t="array" ref="AT345">IF(
                AS345 = "",
                "",
                       IF(
                           AS345 ="FOTOGRAFIA",
                           "LINK",
                           "https://www.appsheet.com/template/gettablefileurl?appName=APP022ParticMagnMTV2-924373673-26-05-14&amp;tableName=4.reg_fotografico&amp;fileName="&amp;AS345                         )
                          )</f>
        <v/>
      </c>
      <c r="AV345" s="54" t="str">
        <f t="shared" si="5"/>
        <v/>
      </c>
    </row>
    <row r="346" ht="22.5" customHeight="1">
      <c r="AT346" s="54" t="str">
        <f t="array" ref="AT346">IF(
                AS346 = "",
                "",
                       IF(
                           AS346 ="FOTOGRAFIA",
                           "LINK",
                           "https://www.appsheet.com/template/gettablefileurl?appName=APP022ParticMagnMTV2-924373673-26-05-14&amp;tableName=4.reg_fotografico&amp;fileName="&amp;AS346                         )
                          )</f>
        <v/>
      </c>
      <c r="AV346" s="54" t="str">
        <f t="shared" si="5"/>
        <v/>
      </c>
    </row>
    <row r="347" ht="22.5" customHeight="1">
      <c r="AT347" s="54" t="str">
        <f t="array" ref="AT347">IF(
                AS347 = "",
                "",
                       IF(
                           AS347 ="FOTOGRAFIA",
                           "LINK",
                           "https://www.appsheet.com/template/gettablefileurl?appName=APP022ParticMagnMTV2-924373673-26-05-14&amp;tableName=4.reg_fotografico&amp;fileName="&amp;AS347                         )
                          )</f>
        <v/>
      </c>
      <c r="AV347" s="54" t="str">
        <f t="shared" si="5"/>
        <v/>
      </c>
    </row>
    <row r="348" ht="22.5" customHeight="1">
      <c r="AT348" s="54" t="str">
        <f t="array" ref="AT348">IF(
                AS348 = "",
                "",
                       IF(
                           AS348 ="FOTOGRAFIA",
                           "LINK",
                           "https://www.appsheet.com/template/gettablefileurl?appName=APP022ParticMagnMTV2-924373673-26-05-14&amp;tableName=4.reg_fotografico&amp;fileName="&amp;AS348                         )
                          )</f>
        <v/>
      </c>
      <c r="AV348" s="54" t="str">
        <f t="shared" si="5"/>
        <v/>
      </c>
    </row>
    <row r="349" ht="22.5" customHeight="1">
      <c r="AT349" s="54" t="str">
        <f t="array" ref="AT349">IF(
                AS349 = "",
                "",
                       IF(
                           AS349 ="FOTOGRAFIA",
                           "LINK",
                           "https://www.appsheet.com/template/gettablefileurl?appName=APP022ParticMagnMTV2-924373673-26-05-14&amp;tableName=4.reg_fotografico&amp;fileName="&amp;AS349                         )
                          )</f>
        <v/>
      </c>
      <c r="AV349" s="54" t="str">
        <f t="shared" si="5"/>
        <v/>
      </c>
    </row>
    <row r="350" ht="22.5" customHeight="1">
      <c r="AT350" s="54" t="str">
        <f t="array" ref="AT350">IF(
                AS350 = "",
                "",
                       IF(
                           AS350 ="FOTOGRAFIA",
                           "LINK",
                           "https://www.appsheet.com/template/gettablefileurl?appName=APP022ParticMagnMTV2-924373673-26-05-14&amp;tableName=4.reg_fotografico&amp;fileName="&amp;AS350                         )
                          )</f>
        <v/>
      </c>
      <c r="AV350" s="54" t="str">
        <f t="shared" si="5"/>
        <v/>
      </c>
    </row>
    <row r="351" ht="22.5" customHeight="1">
      <c r="AT351" s="54" t="str">
        <f t="array" ref="AT351">IF(
                AS351 = "",
                "",
                       IF(
                           AS351 ="FOTOGRAFIA",
                           "LINK",
                           "https://www.appsheet.com/template/gettablefileurl?appName=APP022ParticMagnMTV2-924373673-26-05-14&amp;tableName=4.reg_fotografico&amp;fileName="&amp;AS351                         )
                          )</f>
        <v/>
      </c>
      <c r="AV351" s="54" t="str">
        <f t="shared" si="5"/>
        <v/>
      </c>
    </row>
    <row r="352" ht="22.5" customHeight="1">
      <c r="AT352" s="54" t="str">
        <f t="array" ref="AT352">IF(
                AS352 = "",
                "",
                       IF(
                           AS352 ="FOTOGRAFIA",
                           "LINK",
                           "https://www.appsheet.com/template/gettablefileurl?appName=APP022ParticMagnMTV2-924373673-26-05-14&amp;tableName=4.reg_fotografico&amp;fileName="&amp;AS352                         )
                          )</f>
        <v/>
      </c>
      <c r="AV352" s="54" t="str">
        <f t="shared" si="5"/>
        <v/>
      </c>
    </row>
    <row r="353" ht="22.5" customHeight="1">
      <c r="AT353" s="54" t="str">
        <f t="array" ref="AT353">IF(
                AS353 = "",
                "",
                       IF(
                           AS353 ="FOTOGRAFIA",
                           "LINK",
                           "https://www.appsheet.com/template/gettablefileurl?appName=APP022ParticMagnMTV2-924373673-26-05-14&amp;tableName=4.reg_fotografico&amp;fileName="&amp;AS353                         )
                          )</f>
        <v/>
      </c>
      <c r="AV353" s="54" t="str">
        <f t="shared" si="5"/>
        <v/>
      </c>
    </row>
    <row r="354" ht="22.5" customHeight="1">
      <c r="AT354" s="54" t="str">
        <f t="array" ref="AT354">IF(
                AS354 = "",
                "",
                       IF(
                           AS354 ="FOTOGRAFIA",
                           "LINK",
                           "https://www.appsheet.com/template/gettablefileurl?appName=APP022ParticMagnMTV2-924373673-26-05-14&amp;tableName=4.reg_fotografico&amp;fileName="&amp;AS354                         )
                          )</f>
        <v/>
      </c>
      <c r="AV354" s="54" t="str">
        <f t="shared" si="5"/>
        <v/>
      </c>
    </row>
    <row r="355" ht="22.5" customHeight="1">
      <c r="AT355" s="54" t="str">
        <f t="array" ref="AT355">IF(
                AS355 = "",
                "",
                       IF(
                           AS355 ="FOTOGRAFIA",
                           "LINK",
                           "https://www.appsheet.com/template/gettablefileurl?appName=APP022ParticMagnMTV2-924373673-26-05-14&amp;tableName=4.reg_fotografico&amp;fileName="&amp;AS355                         )
                          )</f>
        <v/>
      </c>
      <c r="AV355" s="54" t="str">
        <f t="shared" si="5"/>
        <v/>
      </c>
    </row>
    <row r="356" ht="22.5" customHeight="1">
      <c r="AT356" s="54" t="str">
        <f t="array" ref="AT356">IF(
                AS356 = "",
                "",
                       IF(
                           AS356 ="FOTOGRAFIA",
                           "LINK",
                           "https://www.appsheet.com/template/gettablefileurl?appName=APP022ParticMagnMTV2-924373673-26-05-14&amp;tableName=4.reg_fotografico&amp;fileName="&amp;AS356                         )
                          )</f>
        <v/>
      </c>
      <c r="AV356" s="54" t="str">
        <f t="shared" si="5"/>
        <v/>
      </c>
    </row>
    <row r="357" ht="22.5" customHeight="1">
      <c r="AT357" s="54" t="str">
        <f t="array" ref="AT357">IF(
                AS357 = "",
                "",
                       IF(
                           AS357 ="FOTOGRAFIA",
                           "LINK",
                           "https://www.appsheet.com/template/gettablefileurl?appName=APP022ParticMagnMTV2-924373673-26-05-14&amp;tableName=4.reg_fotografico&amp;fileName="&amp;AS357                         )
                          )</f>
        <v/>
      </c>
      <c r="AV357" s="54" t="str">
        <f t="shared" si="5"/>
        <v/>
      </c>
    </row>
    <row r="358" ht="22.5" customHeight="1">
      <c r="AT358" s="54" t="str">
        <f t="array" ref="AT358">IF(
                AS358 = "",
                "",
                       IF(
                           AS358 ="FOTOGRAFIA",
                           "LINK",
                           "https://www.appsheet.com/template/gettablefileurl?appName=APP022ParticMagnMTV2-924373673-26-05-14&amp;tableName=4.reg_fotografico&amp;fileName="&amp;AS358                         )
                          )</f>
        <v/>
      </c>
      <c r="AV358" s="54" t="str">
        <f t="shared" si="5"/>
        <v/>
      </c>
    </row>
    <row r="359" ht="22.5" customHeight="1">
      <c r="AT359" s="54" t="str">
        <f t="array" ref="AT359">IF(
                AS359 = "",
                "",
                       IF(
                           AS359 ="FOTOGRAFIA",
                           "LINK",
                           "https://www.appsheet.com/template/gettablefileurl?appName=APP022ParticMagnMTV2-924373673-26-05-14&amp;tableName=4.reg_fotografico&amp;fileName="&amp;AS359                         )
                          )</f>
        <v/>
      </c>
      <c r="AV359" s="54" t="str">
        <f t="shared" si="5"/>
        <v/>
      </c>
    </row>
    <row r="360" ht="22.5" customHeight="1">
      <c r="AT360" s="54" t="str">
        <f t="array" ref="AT360">IF(
                AS360 = "",
                "",
                       IF(
                           AS360 ="FOTOGRAFIA",
                           "LINK",
                           "https://www.appsheet.com/template/gettablefileurl?appName=APP022ParticMagnMTV2-924373673-26-05-14&amp;tableName=4.reg_fotografico&amp;fileName="&amp;AS360                         )
                          )</f>
        <v/>
      </c>
      <c r="AV360" s="54" t="str">
        <f t="shared" si="5"/>
        <v/>
      </c>
    </row>
    <row r="361" ht="22.5" customHeight="1">
      <c r="AT361" s="54" t="str">
        <f t="array" ref="AT361">IF(
                AS361 = "",
                "",
                       IF(
                           AS361 ="FOTOGRAFIA",
                           "LINK",
                           "https://www.appsheet.com/template/gettablefileurl?appName=APP022ParticMagnMTV2-924373673-26-05-14&amp;tableName=4.reg_fotografico&amp;fileName="&amp;AS361                         )
                          )</f>
        <v/>
      </c>
      <c r="AV361" s="54" t="str">
        <f t="shared" si="5"/>
        <v/>
      </c>
    </row>
    <row r="362" ht="22.5" customHeight="1">
      <c r="AT362" s="54" t="str">
        <f t="array" ref="AT362">IF(
                AS362 = "",
                "",
                       IF(
                           AS362 ="FOTOGRAFIA",
                           "LINK",
                           "https://www.appsheet.com/template/gettablefileurl?appName=APP022ParticMagnMTV2-924373673-26-05-14&amp;tableName=4.reg_fotografico&amp;fileName="&amp;AS362                         )
                          )</f>
        <v/>
      </c>
      <c r="AV362" s="54" t="str">
        <f t="shared" si="5"/>
        <v/>
      </c>
    </row>
    <row r="363" ht="22.5" customHeight="1">
      <c r="AT363" s="54" t="str">
        <f t="array" ref="AT363">IF(
                AS363 = "",
                "",
                       IF(
                           AS363 ="FOTOGRAFIA",
                           "LINK",
                           "https://www.appsheet.com/template/gettablefileurl?appName=APP022ParticMagnMTV2-924373673-26-05-14&amp;tableName=4.reg_fotografico&amp;fileName="&amp;AS363                         )
                          )</f>
        <v/>
      </c>
      <c r="AV363" s="54" t="str">
        <f t="shared" si="5"/>
        <v/>
      </c>
    </row>
    <row r="364" ht="22.5" customHeight="1">
      <c r="AT364" s="54" t="str">
        <f t="array" ref="AT364">IF(
                AS364 = "",
                "",
                       IF(
                           AS364 ="FOTOGRAFIA",
                           "LINK",
                           "https://www.appsheet.com/template/gettablefileurl?appName=APP022ParticMagnMTV2-924373673-26-05-14&amp;tableName=4.reg_fotografico&amp;fileName="&amp;AS364                         )
                          )</f>
        <v/>
      </c>
      <c r="AV364" s="54" t="str">
        <f t="shared" si="5"/>
        <v/>
      </c>
    </row>
    <row r="365" ht="22.5" customHeight="1">
      <c r="AT365" s="54" t="str">
        <f t="array" ref="AT365">IF(
                AS365 = "",
                "",
                       IF(
                           AS365 ="FOTOGRAFIA",
                           "LINK",
                           "https://www.appsheet.com/template/gettablefileurl?appName=APP022ParticMagnMTV2-924373673-26-05-14&amp;tableName=4.reg_fotografico&amp;fileName="&amp;AS365                         )
                          )</f>
        <v/>
      </c>
      <c r="AV365" s="54" t="str">
        <f t="shared" si="5"/>
        <v/>
      </c>
    </row>
    <row r="366" ht="22.5" customHeight="1">
      <c r="AT366" s="54" t="str">
        <f t="array" ref="AT366">IF(
                AS366 = "",
                "",
                       IF(
                           AS366 ="FOTOGRAFIA",
                           "LINK",
                           "https://www.appsheet.com/template/gettablefileurl?appName=APP022ParticMagnMTV2-924373673-26-05-14&amp;tableName=4.reg_fotografico&amp;fileName="&amp;AS366                         )
                          )</f>
        <v/>
      </c>
      <c r="AV366" s="54" t="str">
        <f t="shared" si="5"/>
        <v/>
      </c>
    </row>
    <row r="367" ht="22.5" customHeight="1">
      <c r="AT367" s="54" t="str">
        <f t="array" ref="AT367">IF(
                AS367 = "",
                "",
                       IF(
                           AS367 ="FOTOGRAFIA",
                           "LINK",
                           "https://www.appsheet.com/template/gettablefileurl?appName=APP022ParticMagnMTV2-924373673-26-05-14&amp;tableName=4.reg_fotografico&amp;fileName="&amp;AS367                         )
                          )</f>
        <v/>
      </c>
      <c r="AV367" s="54" t="str">
        <f t="shared" si="5"/>
        <v/>
      </c>
    </row>
    <row r="368" ht="22.5" customHeight="1">
      <c r="AT368" s="54" t="str">
        <f t="array" ref="AT368">IF(
                AS368 = "",
                "",
                       IF(
                           AS368 ="FOTOGRAFIA",
                           "LINK",
                           "https://www.appsheet.com/template/gettablefileurl?appName=APP022ParticMagnMTV2-924373673-26-05-14&amp;tableName=4.reg_fotografico&amp;fileName="&amp;AS368                         )
                          )</f>
        <v/>
      </c>
      <c r="AV368" s="54" t="str">
        <f t="shared" si="5"/>
        <v/>
      </c>
    </row>
    <row r="369" ht="22.5" customHeight="1">
      <c r="AT369" s="54" t="str">
        <f t="array" ref="AT369">IF(
                AS369 = "",
                "",
                       IF(
                           AS369 ="FOTOGRAFIA",
                           "LINK",
                           "https://www.appsheet.com/template/gettablefileurl?appName=APP022ParticMagnMTV2-924373673-26-05-14&amp;tableName=4.reg_fotografico&amp;fileName="&amp;AS369                         )
                          )</f>
        <v/>
      </c>
      <c r="AV369" s="54" t="str">
        <f t="shared" si="5"/>
        <v/>
      </c>
    </row>
    <row r="370" ht="22.5" customHeight="1">
      <c r="AT370" s="54" t="str">
        <f t="array" ref="AT370">IF(
                AS370 = "",
                "",
                       IF(
                           AS370 ="FOTOGRAFIA",
                           "LINK",
                           "https://www.appsheet.com/template/gettablefileurl?appName=APP022ParticMagnMTV2-924373673-26-05-14&amp;tableName=4.reg_fotografico&amp;fileName="&amp;AS370                         )
                          )</f>
        <v/>
      </c>
      <c r="AV370" s="54" t="str">
        <f t="shared" si="5"/>
        <v/>
      </c>
    </row>
    <row r="371" ht="22.5" customHeight="1">
      <c r="AT371" s="54" t="str">
        <f t="array" ref="AT371">IF(
                AS371 = "",
                "",
                       IF(
                           AS371 ="FOTOGRAFIA",
                           "LINK",
                           "https://www.appsheet.com/template/gettablefileurl?appName=APP022ParticMagnMTV2-924373673-26-05-14&amp;tableName=4.reg_fotografico&amp;fileName="&amp;AS371                         )
                          )</f>
        <v/>
      </c>
      <c r="AV371" s="54" t="str">
        <f t="shared" si="5"/>
        <v/>
      </c>
    </row>
    <row r="372" ht="22.5" customHeight="1">
      <c r="AT372" s="54" t="str">
        <f t="array" ref="AT372">IF(
                AS372 = "",
                "",
                       IF(
                           AS372 ="FOTOGRAFIA",
                           "LINK",
                           "https://www.appsheet.com/template/gettablefileurl?appName=APP022ParticMagnMTV2-924373673-26-05-14&amp;tableName=4.reg_fotografico&amp;fileName="&amp;AS372                         )
                          )</f>
        <v/>
      </c>
      <c r="AV372" s="54" t="str">
        <f t="shared" si="5"/>
        <v/>
      </c>
    </row>
    <row r="373" ht="22.5" customHeight="1">
      <c r="AT373" s="54" t="str">
        <f t="array" ref="AT373">IF(
                AS373 = "",
                "",
                       IF(
                           AS373 ="FOTOGRAFIA",
                           "LINK",
                           "https://www.appsheet.com/template/gettablefileurl?appName=APP022ParticMagnMTV2-924373673-26-05-14&amp;tableName=4.reg_fotografico&amp;fileName="&amp;AS373                         )
                          )</f>
        <v/>
      </c>
      <c r="AV373" s="54" t="str">
        <f t="shared" si="5"/>
        <v/>
      </c>
    </row>
    <row r="374" ht="22.5" customHeight="1">
      <c r="AT374" s="54" t="str">
        <f t="array" ref="AT374">IF(
                AS374 = "",
                "",
                       IF(
                           AS374 ="FOTOGRAFIA",
                           "LINK",
                           "https://www.appsheet.com/template/gettablefileurl?appName=APP022ParticMagnMTV2-924373673-26-05-14&amp;tableName=4.reg_fotografico&amp;fileName="&amp;AS374                         )
                          )</f>
        <v/>
      </c>
      <c r="AV374" s="54" t="str">
        <f t="shared" si="5"/>
        <v/>
      </c>
    </row>
    <row r="375" ht="22.5" customHeight="1">
      <c r="AT375" s="54" t="str">
        <f t="array" ref="AT375">IF(
                AS375 = "",
                "",
                       IF(
                           AS375 ="FOTOGRAFIA",
                           "LINK",
                           "https://www.appsheet.com/template/gettablefileurl?appName=APP022ParticMagnMTV2-924373673-26-05-14&amp;tableName=4.reg_fotografico&amp;fileName="&amp;AS375                         )
                          )</f>
        <v/>
      </c>
      <c r="AV375" s="54" t="str">
        <f t="shared" si="5"/>
        <v/>
      </c>
    </row>
    <row r="376" ht="22.5" customHeight="1">
      <c r="AT376" s="54" t="str">
        <f t="array" ref="AT376">IF(
                AS376 = "",
                "",
                       IF(
                           AS376 ="FOTOGRAFIA",
                           "LINK",
                           "https://www.appsheet.com/template/gettablefileurl?appName=APP022ParticMagnMTV2-924373673-26-05-14&amp;tableName=4.reg_fotografico&amp;fileName="&amp;AS376                         )
                          )</f>
        <v/>
      </c>
      <c r="AV376" s="54" t="str">
        <f t="shared" si="5"/>
        <v/>
      </c>
    </row>
    <row r="377" ht="22.5" customHeight="1">
      <c r="AT377" s="54" t="str">
        <f t="array" ref="AT377">IF(
                AS377 = "",
                "",
                       IF(
                           AS377 ="FOTOGRAFIA",
                           "LINK",
                           "https://www.appsheet.com/template/gettablefileurl?appName=APP022ParticMagnMTV2-924373673-26-05-14&amp;tableName=4.reg_fotografico&amp;fileName="&amp;AS377                         )
                          )</f>
        <v/>
      </c>
      <c r="AV377" s="54" t="str">
        <f t="shared" si="5"/>
        <v/>
      </c>
    </row>
    <row r="378" ht="22.5" customHeight="1">
      <c r="AT378" s="54" t="str">
        <f t="array" ref="AT378">IF(
                AS378 = "",
                "",
                       IF(
                           AS378 ="FOTOGRAFIA",
                           "LINK",
                           "https://www.appsheet.com/template/gettablefileurl?appName=APP022ParticMagnMTV2-924373673-26-05-14&amp;tableName=4.reg_fotografico&amp;fileName="&amp;AS378                         )
                          )</f>
        <v/>
      </c>
      <c r="AV378" s="54" t="str">
        <f t="shared" si="5"/>
        <v/>
      </c>
    </row>
    <row r="379" ht="22.5" customHeight="1">
      <c r="AT379" s="54" t="str">
        <f t="array" ref="AT379">IF(
                AS379 = "",
                "",
                       IF(
                           AS379 ="FOTOGRAFIA",
                           "LINK",
                           "https://www.appsheet.com/template/gettablefileurl?appName=APP022ParticMagnMTV2-924373673-26-05-14&amp;tableName=4.reg_fotografico&amp;fileName="&amp;AS379                         )
                          )</f>
        <v/>
      </c>
      <c r="AV379" s="54" t="str">
        <f t="shared" si="5"/>
        <v/>
      </c>
    </row>
    <row r="380" ht="22.5" customHeight="1">
      <c r="AT380" s="54" t="str">
        <f t="array" ref="AT380">IF(
                AS380 = "",
                "",
                       IF(
                           AS380 ="FOTOGRAFIA",
                           "LINK",
                           "https://www.appsheet.com/template/gettablefileurl?appName=APP022ParticMagnMTV2-924373673-26-05-14&amp;tableName=4.reg_fotografico&amp;fileName="&amp;AS380                         )
                          )</f>
        <v/>
      </c>
      <c r="AV380" s="54" t="str">
        <f t="shared" si="5"/>
        <v/>
      </c>
    </row>
    <row r="381" ht="22.5" customHeight="1">
      <c r="AT381" s="54" t="str">
        <f t="array" ref="AT381">IF(
                AS381 = "",
                "",
                       IF(
                           AS381 ="FOTOGRAFIA",
                           "LINK",
                           "https://www.appsheet.com/template/gettablefileurl?appName=APP022ParticMagnMTV2-924373673-26-05-14&amp;tableName=4.reg_fotografico&amp;fileName="&amp;AS381                         )
                          )</f>
        <v/>
      </c>
      <c r="AV381" s="54" t="str">
        <f t="shared" si="5"/>
        <v/>
      </c>
    </row>
    <row r="382" ht="22.5" customHeight="1">
      <c r="AT382" s="54" t="str">
        <f t="array" ref="AT382">IF(
                AS382 = "",
                "",
                       IF(
                           AS382 ="FOTOGRAFIA",
                           "LINK",
                           "https://www.appsheet.com/template/gettablefileurl?appName=APP022ParticMagnMTV2-924373673-26-05-14&amp;tableName=4.reg_fotografico&amp;fileName="&amp;AS382                         )
                          )</f>
        <v/>
      </c>
      <c r="AV382" s="54" t="str">
        <f t="shared" si="5"/>
        <v/>
      </c>
    </row>
    <row r="383" ht="22.5" customHeight="1">
      <c r="AT383" s="54" t="str">
        <f t="array" ref="AT383">IF(
                AS383 = "",
                "",
                       IF(
                           AS383 ="FOTOGRAFIA",
                           "LINK",
                           "https://www.appsheet.com/template/gettablefileurl?appName=APP022ParticMagnMTV2-924373673-26-05-14&amp;tableName=4.reg_fotografico&amp;fileName="&amp;AS383                         )
                          )</f>
        <v/>
      </c>
      <c r="AV383" s="54" t="str">
        <f t="shared" si="5"/>
        <v/>
      </c>
    </row>
    <row r="384" ht="22.5" customHeight="1">
      <c r="AT384" s="54" t="str">
        <f t="array" ref="AT384">IF(
                AS384 = "",
                "",
                       IF(
                           AS384 ="FOTOGRAFIA",
                           "LINK",
                           "https://www.appsheet.com/template/gettablefileurl?appName=APP022ParticMagnMTV2-924373673-26-05-14&amp;tableName=4.reg_fotografico&amp;fileName="&amp;AS384                         )
                          )</f>
        <v/>
      </c>
      <c r="AV384" s="54" t="str">
        <f t="shared" si="5"/>
        <v/>
      </c>
    </row>
    <row r="385" ht="22.5" customHeight="1">
      <c r="AT385" s="54" t="str">
        <f t="array" ref="AT385">IF(
                AS385 = "",
                "",
                       IF(
                           AS385 ="FOTOGRAFIA",
                           "LINK",
                           "https://www.appsheet.com/template/gettablefileurl?appName=APP022ParticMagnMTV2-924373673-26-05-14&amp;tableName=4.reg_fotografico&amp;fileName="&amp;AS385                         )
                          )</f>
        <v/>
      </c>
      <c r="AV385" s="54" t="str">
        <f t="shared" si="5"/>
        <v/>
      </c>
    </row>
    <row r="386" ht="22.5" customHeight="1">
      <c r="AT386" s="54" t="str">
        <f t="array" ref="AT386">IF(
                AS386 = "",
                "",
                       IF(
                           AS386 ="FOTOGRAFIA",
                           "LINK",
                           "https://www.appsheet.com/template/gettablefileurl?appName=APP022ParticMagnMTV2-924373673-26-05-14&amp;tableName=4.reg_fotografico&amp;fileName="&amp;AS386                         )
                          )</f>
        <v/>
      </c>
      <c r="AV386" s="54" t="str">
        <f t="shared" si="5"/>
        <v/>
      </c>
    </row>
    <row r="387" ht="22.5" customHeight="1">
      <c r="AT387" s="54" t="str">
        <f t="array" ref="AT387">IF(
                AS387 = "",
                "",
                       IF(
                           AS387 ="FOTOGRAFIA",
                           "LINK",
                           "https://www.appsheet.com/template/gettablefileurl?appName=APP022ParticMagnMTV2-924373673-26-05-14&amp;tableName=4.reg_fotografico&amp;fileName="&amp;AS387                         )
                          )</f>
        <v/>
      </c>
      <c r="AV387" s="54" t="str">
        <f t="shared" si="5"/>
        <v/>
      </c>
    </row>
    <row r="388" ht="22.5" customHeight="1">
      <c r="AT388" s="54" t="str">
        <f t="array" ref="AT388">IF(
                AS388 = "",
                "",
                       IF(
                           AS388 ="FOTOGRAFIA",
                           "LINK",
                           "https://www.appsheet.com/template/gettablefileurl?appName=APP022ParticMagnMTV2-924373673-26-05-14&amp;tableName=4.reg_fotografico&amp;fileName="&amp;AS388                         )
                          )</f>
        <v/>
      </c>
      <c r="AV388" s="54" t="str">
        <f t="shared" si="5"/>
        <v/>
      </c>
    </row>
    <row r="389" ht="22.5" customHeight="1">
      <c r="AT389" s="54" t="str">
        <f t="array" ref="AT389">IF(
                AS389 = "",
                "",
                       IF(
                           AS389 ="FOTOGRAFIA",
                           "LINK",
                           "https://www.appsheet.com/template/gettablefileurl?appName=APP022ParticMagnMTV2-924373673-26-05-14&amp;tableName=4.reg_fotografico&amp;fileName="&amp;AS389                         )
                          )</f>
        <v/>
      </c>
      <c r="AV389" s="54" t="str">
        <f t="shared" si="5"/>
        <v/>
      </c>
    </row>
    <row r="390" ht="22.5" customHeight="1">
      <c r="AT390" s="54" t="str">
        <f t="array" ref="AT390">IF(
                AS390 = "",
                "",
                       IF(
                           AS390 ="FOTOGRAFIA",
                           "LINK",
                           "https://www.appsheet.com/template/gettablefileurl?appName=APP022ParticMagnMTV2-924373673-26-05-14&amp;tableName=4.reg_fotografico&amp;fileName="&amp;AS390                         )
                          )</f>
        <v/>
      </c>
      <c r="AV390" s="54" t="str">
        <f t="shared" si="5"/>
        <v/>
      </c>
    </row>
    <row r="391" ht="22.5" customHeight="1">
      <c r="AT391" s="54" t="str">
        <f t="array" ref="AT391">IF(
                AS391 = "",
                "",
                       IF(
                           AS391 ="FOTOGRAFIA",
                           "LINK",
                           "https://www.appsheet.com/template/gettablefileurl?appName=APP022ParticMagnMTV2-924373673-26-05-14&amp;tableName=4.reg_fotografico&amp;fileName="&amp;AS391                         )
                          )</f>
        <v/>
      </c>
      <c r="AV391" s="54" t="str">
        <f t="shared" si="5"/>
        <v/>
      </c>
    </row>
    <row r="392" ht="22.5" customHeight="1">
      <c r="AT392" s="54" t="str">
        <f t="array" ref="AT392">IF(
                AS392 = "",
                "",
                       IF(
                           AS392 ="FOTOGRAFIA",
                           "LINK",
                           "https://www.appsheet.com/template/gettablefileurl?appName=APP022ParticMagnMTV2-924373673-26-05-14&amp;tableName=4.reg_fotografico&amp;fileName="&amp;AS392                         )
                          )</f>
        <v/>
      </c>
      <c r="AV392" s="54" t="str">
        <f t="shared" si="5"/>
        <v/>
      </c>
    </row>
    <row r="393" ht="22.5" customHeight="1">
      <c r="AT393" s="54" t="str">
        <f t="array" ref="AT393">IF(
                AS393 = "",
                "",
                       IF(
                           AS393 ="FOTOGRAFIA",
                           "LINK",
                           "https://www.appsheet.com/template/gettablefileurl?appName=APP022ParticMagnMTV2-924373673-26-05-14&amp;tableName=4.reg_fotografico&amp;fileName="&amp;AS393                         )
                          )</f>
        <v/>
      </c>
      <c r="AV393" s="54" t="str">
        <f t="shared" si="5"/>
        <v/>
      </c>
    </row>
    <row r="394" ht="22.5" customHeight="1">
      <c r="AT394" s="54" t="str">
        <f t="array" ref="AT394">IF(
                AS394 = "",
                "",
                       IF(
                           AS394 ="FOTOGRAFIA",
                           "LINK",
                           "https://www.appsheet.com/template/gettablefileurl?appName=APP022ParticMagnMTV2-924373673-26-05-14&amp;tableName=4.reg_fotografico&amp;fileName="&amp;AS394                         )
                          )</f>
        <v/>
      </c>
      <c r="AV394" s="54" t="str">
        <f t="shared" si="5"/>
        <v/>
      </c>
    </row>
    <row r="395" ht="22.5" customHeight="1">
      <c r="AT395" s="54" t="str">
        <f t="array" ref="AT395">IF(
                AS395 = "",
                "",
                       IF(
                           AS395 ="FOTOGRAFIA",
                           "LINK",
                           "https://www.appsheet.com/template/gettablefileurl?appName=APP022ParticMagnMTV2-924373673-26-05-14&amp;tableName=4.reg_fotografico&amp;fileName="&amp;AS395                         )
                          )</f>
        <v/>
      </c>
      <c r="AV395" s="54" t="str">
        <f t="shared" si="5"/>
        <v/>
      </c>
    </row>
    <row r="396" ht="22.5" customHeight="1">
      <c r="AT396" s="54" t="str">
        <f t="array" ref="AT396">IF(
                AS396 = "",
                "",
                       IF(
                           AS396 ="FOTOGRAFIA",
                           "LINK",
                           "https://www.appsheet.com/template/gettablefileurl?appName=APP022ParticMagnMTV2-924373673-26-05-14&amp;tableName=4.reg_fotografico&amp;fileName="&amp;AS396                         )
                          )</f>
        <v/>
      </c>
      <c r="AV396" s="54" t="str">
        <f t="shared" si="5"/>
        <v/>
      </c>
    </row>
    <row r="397" ht="22.5" customHeight="1">
      <c r="AT397" s="54" t="str">
        <f t="array" ref="AT397">IF(
                AS397 = "",
                "",
                       IF(
                           AS397 ="FOTOGRAFIA",
                           "LINK",
                           "https://www.appsheet.com/template/gettablefileurl?appName=APP022ParticMagnMTV2-924373673-26-05-14&amp;tableName=4.reg_fotografico&amp;fileName="&amp;AS397                         )
                          )</f>
        <v/>
      </c>
      <c r="AV397" s="54" t="str">
        <f t="shared" si="5"/>
        <v/>
      </c>
    </row>
    <row r="398" ht="22.5" customHeight="1">
      <c r="AT398" s="54" t="str">
        <f t="array" ref="AT398">IF(
                AS398 = "",
                "",
                       IF(
                           AS398 ="FOTOGRAFIA",
                           "LINK",
                           "https://www.appsheet.com/template/gettablefileurl?appName=APP022ParticMagnMTV2-924373673-26-05-14&amp;tableName=4.reg_fotografico&amp;fileName="&amp;AS398                         )
                          )</f>
        <v/>
      </c>
      <c r="AV398" s="54" t="str">
        <f t="shared" si="5"/>
        <v/>
      </c>
    </row>
    <row r="399" ht="22.5" customHeight="1">
      <c r="AT399" s="54" t="str">
        <f t="array" ref="AT399">IF(
                AS399 = "",
                "",
                       IF(
                           AS399 ="FOTOGRAFIA",
                           "LINK",
                           "https://www.appsheet.com/template/gettablefileurl?appName=APP022ParticMagnMTV2-924373673-26-05-14&amp;tableName=4.reg_fotografico&amp;fileName="&amp;AS399                         )
                          )</f>
        <v/>
      </c>
      <c r="AV399" s="54" t="str">
        <f t="shared" si="5"/>
        <v/>
      </c>
    </row>
    <row r="400" ht="22.5" customHeight="1">
      <c r="AT400" s="54" t="str">
        <f t="array" ref="AT400">IF(
                AS400 = "",
                "",
                       IF(
                           AS400 ="FOTOGRAFIA",
                           "LINK",
                           "https://www.appsheet.com/template/gettablefileurl?appName=APP022ParticMagnMTV2-924373673-26-05-14&amp;tableName=4.reg_fotografico&amp;fileName="&amp;AS400                         )
                          )</f>
        <v/>
      </c>
      <c r="AV400" s="54" t="str">
        <f t="shared" si="5"/>
        <v/>
      </c>
    </row>
    <row r="401" ht="22.5" customHeight="1">
      <c r="AT401" s="54" t="str">
        <f t="array" ref="AT401">IF(
                AS401 = "",
                "",
                       IF(
                           AS401 ="FOTOGRAFIA",
                           "LINK",
                           "https://www.appsheet.com/template/gettablefileurl?appName=APP022ParticMagnMTV2-924373673-26-05-14&amp;tableName=4.reg_fotografico&amp;fileName="&amp;AS401                         )
                          )</f>
        <v/>
      </c>
      <c r="AV401" s="54" t="str">
        <f t="shared" si="5"/>
        <v/>
      </c>
    </row>
    <row r="402" ht="22.5" customHeight="1">
      <c r="AT402" s="54" t="str">
        <f t="array" ref="AT402">IF(
                AS402 = "",
                "",
                       IF(
                           AS402 ="FOTOGRAFIA",
                           "LINK",
                           "https://www.appsheet.com/template/gettablefileurl?appName=APP022ParticMagnMTV2-924373673-26-05-14&amp;tableName=4.reg_fotografico&amp;fileName="&amp;AS402                         )
                          )</f>
        <v/>
      </c>
      <c r="AV402" s="54" t="str">
        <f t="shared" si="5"/>
        <v/>
      </c>
    </row>
    <row r="403" ht="22.5" customHeight="1">
      <c r="AT403" s="54" t="str">
        <f t="array" ref="AT403">IF(
                AS403 = "",
                "",
                       IF(
                           AS403 ="FOTOGRAFIA",
                           "LINK",
                           "https://www.appsheet.com/template/gettablefileurl?appName=APP022ParticMagnMTV2-924373673-26-05-14&amp;tableName=4.reg_fotografico&amp;fileName="&amp;AS403                         )
                          )</f>
        <v/>
      </c>
      <c r="AV403" s="54" t="str">
        <f t="shared" si="5"/>
        <v/>
      </c>
    </row>
    <row r="404" ht="22.5" customHeight="1">
      <c r="AT404" s="54" t="str">
        <f t="array" ref="AT404">IF(
                AS404 = "",
                "",
                       IF(
                           AS404 ="FOTOGRAFIA",
                           "LINK",
                           "https://www.appsheet.com/template/gettablefileurl?appName=APP022ParticMagnMTV2-924373673-26-05-14&amp;tableName=4.reg_fotografico&amp;fileName="&amp;AS404                         )
                          )</f>
        <v/>
      </c>
      <c r="AV404" s="54" t="str">
        <f t="shared" si="5"/>
        <v/>
      </c>
    </row>
    <row r="405" ht="22.5" customHeight="1">
      <c r="AT405" s="54" t="str">
        <f t="array" ref="AT405">IF(
                AS405 = "",
                "",
                       IF(
                           AS405 ="FOTOGRAFIA",
                           "LINK",
                           "https://www.appsheet.com/template/gettablefileurl?appName=APP022ParticMagnMTV2-924373673-26-05-14&amp;tableName=4.reg_fotografico&amp;fileName="&amp;AS405                         )
                          )</f>
        <v/>
      </c>
      <c r="AV405" s="54" t="str">
        <f t="shared" si="5"/>
        <v/>
      </c>
    </row>
    <row r="406" ht="22.5" customHeight="1">
      <c r="AT406" s="54" t="str">
        <f t="array" ref="AT406">IF(
                AS406 = "",
                "",
                       IF(
                           AS406 ="FOTOGRAFIA",
                           "LINK",
                           "https://www.appsheet.com/template/gettablefileurl?appName=APP022ParticMagnMTV2-924373673-26-05-14&amp;tableName=4.reg_fotografico&amp;fileName="&amp;AS406                         )
                          )</f>
        <v/>
      </c>
      <c r="AV406" s="54" t="str">
        <f t="shared" si="5"/>
        <v/>
      </c>
    </row>
    <row r="407" ht="22.5" customHeight="1">
      <c r="AT407" s="54" t="str">
        <f t="array" ref="AT407">IF(
                AS407 = "",
                "",
                       IF(
                           AS407 ="FOTOGRAFIA",
                           "LINK",
                           "https://www.appsheet.com/template/gettablefileurl?appName=APP022ParticMagnMTV2-924373673-26-05-14&amp;tableName=4.reg_fotografico&amp;fileName="&amp;AS407                         )
                          )</f>
        <v/>
      </c>
      <c r="AV407" s="54" t="str">
        <f t="shared" si="5"/>
        <v/>
      </c>
    </row>
    <row r="408" ht="22.5" customHeight="1">
      <c r="AT408" s="54" t="str">
        <f t="array" ref="AT408">IF(
                AS408 = "",
                "",
                       IF(
                           AS408 ="FOTOGRAFIA",
                           "LINK",
                           "https://www.appsheet.com/template/gettablefileurl?appName=APP022ParticMagnMTV2-924373673-26-05-14&amp;tableName=4.reg_fotografico&amp;fileName="&amp;AS408                         )
                          )</f>
        <v/>
      </c>
      <c r="AV408" s="54" t="str">
        <f t="shared" si="5"/>
        <v/>
      </c>
    </row>
    <row r="409" ht="22.5" customHeight="1">
      <c r="AT409" s="54" t="str">
        <f t="array" ref="AT409">IF(
                AS409 = "",
                "",
                       IF(
                           AS409 ="FOTOGRAFIA",
                           "LINK",
                           "https://www.appsheet.com/template/gettablefileurl?appName=APP022ParticMagnMTV2-924373673-26-05-14&amp;tableName=4.reg_fotografico&amp;fileName="&amp;AS409                         )
                          )</f>
        <v/>
      </c>
      <c r="AV409" s="54" t="str">
        <f t="shared" si="5"/>
        <v/>
      </c>
    </row>
    <row r="410" ht="22.5" customHeight="1">
      <c r="AT410" s="54" t="str">
        <f t="array" ref="AT410">IF(
                AS410 = "",
                "",
                       IF(
                           AS410 ="FOTOGRAFIA",
                           "LINK",
                           "https://www.appsheet.com/template/gettablefileurl?appName=APP022ParticMagnMTV2-924373673-26-05-14&amp;tableName=4.reg_fotografico&amp;fileName="&amp;AS410                         )
                          )</f>
        <v/>
      </c>
      <c r="AV410" s="54" t="str">
        <f t="shared" si="5"/>
        <v/>
      </c>
    </row>
    <row r="411" ht="22.5" customHeight="1">
      <c r="AT411" s="54" t="str">
        <f t="array" ref="AT411">IF(
                AS411 = "",
                "",
                       IF(
                           AS411 ="FOTOGRAFIA",
                           "LINK",
                           "https://www.appsheet.com/template/gettablefileurl?appName=APP022ParticMagnMTV2-924373673-26-05-14&amp;tableName=4.reg_fotografico&amp;fileName="&amp;AS411                         )
                          )</f>
        <v/>
      </c>
      <c r="AV411" s="54" t="str">
        <f t="shared" si="5"/>
        <v/>
      </c>
    </row>
    <row r="412" ht="22.5" customHeight="1">
      <c r="AT412" s="54" t="str">
        <f t="array" ref="AT412">IF(
                AS412 = "",
                "",
                       IF(
                           AS412 ="FOTOGRAFIA",
                           "LINK",
                           "https://www.appsheet.com/template/gettablefileurl?appName=APP022ParticMagnMTV2-924373673-26-05-14&amp;tableName=4.reg_fotografico&amp;fileName="&amp;AS412                         )
                          )</f>
        <v/>
      </c>
      <c r="AV412" s="54" t="str">
        <f t="shared" si="5"/>
        <v/>
      </c>
    </row>
    <row r="413" ht="22.5" customHeight="1">
      <c r="AT413" s="54" t="str">
        <f t="array" ref="AT413">IF(
                AS413 = "",
                "",
                       IF(
                           AS413 ="FOTOGRAFIA",
                           "LINK",
                           "https://www.appsheet.com/template/gettablefileurl?appName=APP022ParticMagnMTV2-924373673-26-05-14&amp;tableName=4.reg_fotografico&amp;fileName="&amp;AS413                         )
                          )</f>
        <v/>
      </c>
      <c r="AV413" s="54" t="str">
        <f t="shared" si="5"/>
        <v/>
      </c>
    </row>
    <row r="414" ht="22.5" customHeight="1">
      <c r="AT414" s="54" t="str">
        <f t="array" ref="AT414">IF(
                AS414 = "",
                "",
                       IF(
                           AS414 ="FOTOGRAFIA",
                           "LINK",
                           "https://www.appsheet.com/template/gettablefileurl?appName=APP022ParticMagnMTV2-924373673-26-05-14&amp;tableName=4.reg_fotografico&amp;fileName="&amp;AS414                         )
                          )</f>
        <v/>
      </c>
      <c r="AV414" s="54" t="str">
        <f t="shared" si="5"/>
        <v/>
      </c>
    </row>
    <row r="415" ht="22.5" customHeight="1">
      <c r="AT415" s="54" t="str">
        <f t="array" ref="AT415">IF(
                AS415 = "",
                "",
                       IF(
                           AS415 ="FOTOGRAFIA",
                           "LINK",
                           "https://www.appsheet.com/template/gettablefileurl?appName=APP022ParticMagnMTV2-924373673-26-05-14&amp;tableName=4.reg_fotografico&amp;fileName="&amp;AS415                         )
                          )</f>
        <v/>
      </c>
      <c r="AV415" s="54" t="str">
        <f t="shared" si="5"/>
        <v/>
      </c>
    </row>
    <row r="416" ht="22.5" customHeight="1">
      <c r="AT416" s="54" t="str">
        <f t="array" ref="AT416">IF(
                AS416 = "",
                "",
                       IF(
                           AS416 ="FOTOGRAFIA",
                           "LINK",
                           "https://www.appsheet.com/template/gettablefileurl?appName=APP022ParticMagnMTV2-924373673-26-05-14&amp;tableName=4.reg_fotografico&amp;fileName="&amp;AS416                         )
                          )</f>
        <v/>
      </c>
      <c r="AV416" s="54" t="str">
        <f t="shared" si="5"/>
        <v/>
      </c>
    </row>
    <row r="417" ht="22.5" customHeight="1">
      <c r="AT417" s="54" t="str">
        <f t="array" ref="AT417">IF(
                AS417 = "",
                "",
                       IF(
                           AS417 ="FOTOGRAFIA",
                           "LINK",
                           "https://www.appsheet.com/template/gettablefileurl?appName=APP022ParticMagnMTV2-924373673-26-05-14&amp;tableName=4.reg_fotografico&amp;fileName="&amp;AS417                         )
                          )</f>
        <v/>
      </c>
      <c r="AV417" s="54" t="str">
        <f t="shared" si="5"/>
        <v/>
      </c>
    </row>
    <row r="418" ht="22.5" customHeight="1">
      <c r="AT418" s="54" t="str">
        <f t="array" ref="AT418">IF(
                AS418 = "",
                "",
                       IF(
                           AS418 ="FOTOGRAFIA",
                           "LINK",
                           "https://www.appsheet.com/template/gettablefileurl?appName=APP022ParticMagnMTV2-924373673-26-05-14&amp;tableName=4.reg_fotografico&amp;fileName="&amp;AS418                         )
                          )</f>
        <v/>
      </c>
      <c r="AV418" s="54" t="str">
        <f t="shared" si="5"/>
        <v/>
      </c>
    </row>
    <row r="419" ht="22.5" customHeight="1">
      <c r="AT419" s="54" t="str">
        <f t="array" ref="AT419">IF(
                AS419 = "",
                "",
                       IF(
                           AS419 ="FOTOGRAFIA",
                           "LINK",
                           "https://www.appsheet.com/template/gettablefileurl?appName=APP022ParticMagnMTV2-924373673-26-05-14&amp;tableName=4.reg_fotografico&amp;fileName="&amp;AS419                         )
                          )</f>
        <v/>
      </c>
      <c r="AV419" s="54" t="str">
        <f t="shared" si="5"/>
        <v/>
      </c>
    </row>
    <row r="420" ht="22.5" customHeight="1">
      <c r="AT420" s="54" t="str">
        <f t="array" ref="AT420">IF(
                AS420 = "",
                "",
                       IF(
                           AS420 ="FOTOGRAFIA",
                           "LINK",
                           "https://www.appsheet.com/template/gettablefileurl?appName=APP022ParticMagnMTV2-924373673-26-05-14&amp;tableName=4.reg_fotografico&amp;fileName="&amp;AS420                         )
                          )</f>
        <v/>
      </c>
      <c r="AV420" s="54" t="str">
        <f t="shared" si="5"/>
        <v/>
      </c>
    </row>
    <row r="421" ht="22.5" customHeight="1">
      <c r="AT421" s="54" t="str">
        <f t="array" ref="AT421">IF(
                AS421 = "",
                "",
                       IF(
                           AS421 ="FOTOGRAFIA",
                           "LINK",
                           "https://www.appsheet.com/template/gettablefileurl?appName=APP022ParticMagnMTV2-924373673-26-05-14&amp;tableName=4.reg_fotografico&amp;fileName="&amp;AS421                         )
                          )</f>
        <v/>
      </c>
      <c r="AV421" s="54" t="str">
        <f t="shared" si="5"/>
        <v/>
      </c>
    </row>
    <row r="422" ht="22.5" customHeight="1">
      <c r="AT422" s="54" t="str">
        <f t="array" ref="AT422">IF(
                AS422 = "",
                "",
                       IF(
                           AS422 ="FOTOGRAFIA",
                           "LINK",
                           "https://www.appsheet.com/template/gettablefileurl?appName=APP022ParticMagnMTV2-924373673-26-05-14&amp;tableName=4.reg_fotografico&amp;fileName="&amp;AS422                         )
                          )</f>
        <v/>
      </c>
      <c r="AV422" s="54" t="str">
        <f t="shared" si="5"/>
        <v/>
      </c>
    </row>
    <row r="423" ht="22.5" customHeight="1">
      <c r="AT423" s="54" t="str">
        <f t="array" ref="AT423">IF(
                AS423 = "",
                "",
                       IF(
                           AS423 ="FOTOGRAFIA",
                           "LINK",
                           "https://www.appsheet.com/template/gettablefileurl?appName=APP022ParticMagnMTV2-924373673-26-05-14&amp;tableName=4.reg_fotografico&amp;fileName="&amp;AS423                         )
                          )</f>
        <v/>
      </c>
      <c r="AV423" s="54" t="str">
        <f t="shared" si="5"/>
        <v/>
      </c>
    </row>
    <row r="424" ht="22.5" customHeight="1">
      <c r="AT424" s="54" t="str">
        <f t="array" ref="AT424">IF(
                AS424 = "",
                "",
                       IF(
                           AS424 ="FOTOGRAFIA",
                           "LINK",
                           "https://www.appsheet.com/template/gettablefileurl?appName=APP022ParticMagnMTV2-924373673-26-05-14&amp;tableName=4.reg_fotografico&amp;fileName="&amp;AS424                         )
                          )</f>
        <v/>
      </c>
      <c r="AV424" s="54" t="str">
        <f t="shared" si="5"/>
        <v/>
      </c>
    </row>
    <row r="425" ht="22.5" customHeight="1">
      <c r="AT425" s="54" t="str">
        <f t="array" ref="AT425">IF(
                AS425 = "",
                "",
                       IF(
                           AS425 ="FOTOGRAFIA",
                           "LINK",
                           "https://www.appsheet.com/template/gettablefileurl?appName=APP022ParticMagnMTV2-924373673-26-05-14&amp;tableName=4.reg_fotografico&amp;fileName="&amp;AS425                         )
                          )</f>
        <v/>
      </c>
      <c r="AV425" s="54" t="str">
        <f t="shared" si="5"/>
        <v/>
      </c>
    </row>
    <row r="426" ht="22.5" customHeight="1">
      <c r="AT426" s="54" t="str">
        <f t="array" ref="AT426">IF(
                AS426 = "",
                "",
                       IF(
                           AS426 ="FOTOGRAFIA",
                           "LINK",
                           "https://www.appsheet.com/template/gettablefileurl?appName=APP022ParticMagnMTV2-924373673-26-05-14&amp;tableName=4.reg_fotografico&amp;fileName="&amp;AS426                         )
                          )</f>
        <v/>
      </c>
      <c r="AV426" s="54" t="str">
        <f t="shared" si="5"/>
        <v/>
      </c>
    </row>
    <row r="427" ht="22.5" customHeight="1">
      <c r="AT427" s="54" t="str">
        <f t="array" ref="AT427">IF(
                AS427 = "",
                "",
                       IF(
                           AS427 ="FOTOGRAFIA",
                           "LINK",
                           "https://www.appsheet.com/template/gettablefileurl?appName=APP022ParticMagnMTV2-924373673-26-05-14&amp;tableName=4.reg_fotografico&amp;fileName="&amp;AS427                         )
                          )</f>
        <v/>
      </c>
      <c r="AV427" s="54" t="str">
        <f t="shared" si="5"/>
        <v/>
      </c>
    </row>
    <row r="428" ht="22.5" customHeight="1">
      <c r="AT428" s="54" t="str">
        <f t="array" ref="AT428">IF(
                AS428 = "",
                "",
                       IF(
                           AS428 ="FOTOGRAFIA",
                           "LINK",
                           "https://www.appsheet.com/template/gettablefileurl?appName=APP022ParticMagnMTV2-924373673-26-05-14&amp;tableName=4.reg_fotografico&amp;fileName="&amp;AS428                         )
                          )</f>
        <v/>
      </c>
      <c r="AV428" s="54" t="str">
        <f t="shared" si="5"/>
        <v/>
      </c>
    </row>
    <row r="429" ht="22.5" customHeight="1">
      <c r="AT429" s="54" t="str">
        <f t="array" ref="AT429">IF(
                AS429 = "",
                "",
                       IF(
                           AS429 ="FOTOGRAFIA",
                           "LINK",
                           "https://www.appsheet.com/template/gettablefileurl?appName=APP022ParticMagnMTV2-924373673-26-05-14&amp;tableName=4.reg_fotografico&amp;fileName="&amp;AS429                         )
                          )</f>
        <v/>
      </c>
      <c r="AV429" s="54" t="str">
        <f t="shared" si="5"/>
        <v/>
      </c>
    </row>
    <row r="430" ht="22.5" customHeight="1">
      <c r="AT430" s="54" t="str">
        <f t="array" ref="AT430">IF(
                AS430 = "",
                "",
                       IF(
                           AS430 ="FOTOGRAFIA",
                           "LINK",
                           "https://www.appsheet.com/template/gettablefileurl?appName=APP022ParticMagnMTV2-924373673-26-05-14&amp;tableName=4.reg_fotografico&amp;fileName="&amp;AS430                         )
                          )</f>
        <v/>
      </c>
      <c r="AV430" s="54" t="str">
        <f t="shared" si="5"/>
        <v/>
      </c>
    </row>
    <row r="431" ht="22.5" customHeight="1">
      <c r="AT431" s="54" t="str">
        <f t="array" ref="AT431">IF(
                AS431 = "",
                "",
                       IF(
                           AS431 ="FOTOGRAFIA",
                           "LINK",
                           "https://www.appsheet.com/template/gettablefileurl?appName=APP022ParticMagnMTV2-924373673-26-05-14&amp;tableName=4.reg_fotografico&amp;fileName="&amp;AS431                         )
                          )</f>
        <v/>
      </c>
      <c r="AV431" s="54" t="str">
        <f t="shared" si="5"/>
        <v/>
      </c>
    </row>
    <row r="432" ht="22.5" customHeight="1">
      <c r="AT432" s="54" t="str">
        <f t="array" ref="AT432">IF(
                AS432 = "",
                "",
                       IF(
                           AS432 ="FOTOGRAFIA",
                           "LINK",
                           "https://www.appsheet.com/template/gettablefileurl?appName=APP022ParticMagnMTV2-924373673-26-05-14&amp;tableName=4.reg_fotografico&amp;fileName="&amp;AS432                         )
                          )</f>
        <v/>
      </c>
      <c r="AV432" s="54" t="str">
        <f t="shared" si="5"/>
        <v/>
      </c>
    </row>
    <row r="433" ht="22.5" customHeight="1">
      <c r="AT433" s="54" t="str">
        <f t="array" ref="AT433">IF(
                AS433 = "",
                "",
                       IF(
                           AS433 ="FOTOGRAFIA",
                           "LINK",
                           "https://www.appsheet.com/template/gettablefileurl?appName=APP022ParticMagnMTV2-924373673-26-05-14&amp;tableName=4.reg_fotografico&amp;fileName="&amp;AS433                         )
                          )</f>
        <v/>
      </c>
      <c r="AV433" s="54" t="str">
        <f t="shared" si="5"/>
        <v/>
      </c>
    </row>
    <row r="434" ht="22.5" customHeight="1">
      <c r="AT434" s="54" t="str">
        <f t="array" ref="AT434">IF(
                AS434 = "",
                "",
                       IF(
                           AS434 ="FOTOGRAFIA",
                           "LINK",
                           "https://www.appsheet.com/template/gettablefileurl?appName=APP022ParticMagnMTV2-924373673-26-05-14&amp;tableName=4.reg_fotografico&amp;fileName="&amp;AS434                         )
                          )</f>
        <v/>
      </c>
      <c r="AV434" s="54" t="str">
        <f t="shared" si="5"/>
        <v/>
      </c>
    </row>
    <row r="435" ht="22.5" customHeight="1">
      <c r="AT435" s="54" t="str">
        <f t="array" ref="AT435">IF(
                AS435 = "",
                "",
                       IF(
                           AS435 ="FOTOGRAFIA",
                           "LINK",
                           "https://www.appsheet.com/template/gettablefileurl?appName=APP022ParticMagnMTV2-924373673-26-05-14&amp;tableName=4.reg_fotografico&amp;fileName="&amp;AS435                         )
                          )</f>
        <v/>
      </c>
      <c r="AV435" s="54" t="str">
        <f t="shared" si="5"/>
        <v/>
      </c>
    </row>
    <row r="436" ht="22.5" customHeight="1">
      <c r="AT436" s="54" t="str">
        <f t="array" ref="AT436">IF(
                AS436 = "",
                "",
                       IF(
                           AS436 ="FOTOGRAFIA",
                           "LINK",
                           "https://www.appsheet.com/template/gettablefileurl?appName=APP022ParticMagnMTV2-924373673-26-05-14&amp;tableName=4.reg_fotografico&amp;fileName="&amp;AS436                         )
                          )</f>
        <v/>
      </c>
      <c r="AV436" s="54" t="str">
        <f t="shared" si="5"/>
        <v/>
      </c>
    </row>
    <row r="437" ht="22.5" customHeight="1">
      <c r="AT437" s="54" t="str">
        <f t="array" ref="AT437">IF(
                AS437 = "",
                "",
                       IF(
                           AS437 ="FOTOGRAFIA",
                           "LINK",
                           "https://www.appsheet.com/template/gettablefileurl?appName=APP022ParticMagnMTV2-924373673-26-05-14&amp;tableName=4.reg_fotografico&amp;fileName="&amp;AS437                         )
                          )</f>
        <v/>
      </c>
      <c r="AV437" s="54" t="str">
        <f t="shared" si="5"/>
        <v/>
      </c>
    </row>
    <row r="438" ht="22.5" customHeight="1">
      <c r="AT438" s="54" t="str">
        <f t="array" ref="AT438">IF(
                AS438 = "",
                "",
                       IF(
                           AS438 ="FOTOGRAFIA",
                           "LINK",
                           "https://www.appsheet.com/template/gettablefileurl?appName=APP022ParticMagnMTV2-924373673-26-05-14&amp;tableName=4.reg_fotografico&amp;fileName="&amp;AS438                         )
                          )</f>
        <v/>
      </c>
      <c r="AV438" s="54" t="str">
        <f t="shared" si="5"/>
        <v/>
      </c>
    </row>
    <row r="439" ht="22.5" customHeight="1">
      <c r="AT439" s="54" t="str">
        <f t="array" ref="AT439">IF(
                AS439 = "",
                "",
                       IF(
                           AS439 ="FOTOGRAFIA",
                           "LINK",
                           "https://www.appsheet.com/template/gettablefileurl?appName=APP022ParticMagnMTV2-924373673-26-05-14&amp;tableName=4.reg_fotografico&amp;fileName="&amp;AS439                         )
                          )</f>
        <v/>
      </c>
      <c r="AV439" s="54" t="str">
        <f t="shared" si="5"/>
        <v/>
      </c>
    </row>
    <row r="440" ht="22.5" customHeight="1">
      <c r="AT440" s="54" t="str">
        <f t="array" ref="AT440">IF(
                AS440 = "",
                "",
                       IF(
                           AS440 ="FOTOGRAFIA",
                           "LINK",
                           "https://www.appsheet.com/template/gettablefileurl?appName=APP022ParticMagnMTV2-924373673-26-05-14&amp;tableName=4.reg_fotografico&amp;fileName="&amp;AS440                         )
                          )</f>
        <v/>
      </c>
      <c r="AV440" s="54" t="str">
        <f t="shared" si="5"/>
        <v/>
      </c>
    </row>
    <row r="441" ht="22.5" customHeight="1">
      <c r="AT441" s="54" t="str">
        <f t="array" ref="AT441">IF(
                AS441 = "",
                "",
                       IF(
                           AS441 ="FOTOGRAFIA",
                           "LINK",
                           "https://www.appsheet.com/template/gettablefileurl?appName=APP022ParticMagnMTV2-924373673-26-05-14&amp;tableName=4.reg_fotografico&amp;fileName="&amp;AS441                         )
                          )</f>
        <v/>
      </c>
      <c r="AV441" s="54" t="str">
        <f t="shared" si="5"/>
        <v/>
      </c>
    </row>
    <row r="442" ht="22.5" customHeight="1">
      <c r="AT442" s="54" t="str">
        <f t="array" ref="AT442">IF(
                AS442 = "",
                "",
                       IF(
                           AS442 ="FOTOGRAFIA",
                           "LINK",
                           "https://www.appsheet.com/template/gettablefileurl?appName=APP022ParticMagnMTV2-924373673-26-05-14&amp;tableName=4.reg_fotografico&amp;fileName="&amp;AS442                         )
                          )</f>
        <v/>
      </c>
      <c r="AV442" s="54" t="str">
        <f t="shared" si="5"/>
        <v/>
      </c>
    </row>
    <row r="443" ht="22.5" customHeight="1">
      <c r="AT443" s="54" t="str">
        <f t="array" ref="AT443">IF(
                AS443 = "",
                "",
                       IF(
                           AS443 ="FOTOGRAFIA",
                           "LINK",
                           "https://www.appsheet.com/template/gettablefileurl?appName=APP022ParticMagnMTV2-924373673-26-05-14&amp;tableName=4.reg_fotografico&amp;fileName="&amp;AS443                         )
                          )</f>
        <v/>
      </c>
      <c r="AV443" s="54" t="str">
        <f t="shared" si="5"/>
        <v/>
      </c>
    </row>
    <row r="444" ht="22.5" customHeight="1">
      <c r="AT444" s="54" t="str">
        <f t="array" ref="AT444">IF(
                AS444 = "",
                "",
                       IF(
                           AS444 ="FOTOGRAFIA",
                           "LINK",
                           "https://www.appsheet.com/template/gettablefileurl?appName=APP022ParticMagnMTV2-924373673-26-05-14&amp;tableName=4.reg_fotografico&amp;fileName="&amp;AS444                         )
                          )</f>
        <v/>
      </c>
      <c r="AV444" s="54" t="str">
        <f t="shared" si="5"/>
        <v/>
      </c>
    </row>
    <row r="445" ht="22.5" customHeight="1">
      <c r="AT445" s="54" t="str">
        <f t="array" ref="AT445">IF(
                AS445 = "",
                "",
                       IF(
                           AS445 ="FOTOGRAFIA",
                           "LINK",
                           "https://www.appsheet.com/template/gettablefileurl?appName=APP022ParticMagnMTV2-924373673-26-05-14&amp;tableName=4.reg_fotografico&amp;fileName="&amp;AS445                         )
                          )</f>
        <v/>
      </c>
      <c r="AV445" s="54" t="str">
        <f t="shared" si="5"/>
        <v/>
      </c>
    </row>
    <row r="446" ht="22.5" customHeight="1">
      <c r="AT446" s="54" t="str">
        <f t="array" ref="AT446">IF(
                AS446 = "",
                "",
                       IF(
                           AS446 ="FOTOGRAFIA",
                           "LINK",
                           "https://www.appsheet.com/template/gettablefileurl?appName=APP022ParticMagnMTV2-924373673-26-05-14&amp;tableName=4.reg_fotografico&amp;fileName="&amp;AS446                         )
                          )</f>
        <v/>
      </c>
      <c r="AV446" s="54" t="str">
        <f t="shared" si="5"/>
        <v/>
      </c>
    </row>
    <row r="447" ht="22.5" customHeight="1">
      <c r="AT447" s="54" t="str">
        <f t="array" ref="AT447">IF(
                AS447 = "",
                "",
                       IF(
                           AS447 ="FOTOGRAFIA",
                           "LINK",
                           "https://www.appsheet.com/template/gettablefileurl?appName=APP022ParticMagnMTV2-924373673-26-05-14&amp;tableName=4.reg_fotografico&amp;fileName="&amp;AS447                         )
                          )</f>
        <v/>
      </c>
      <c r="AV447" s="54" t="str">
        <f t="shared" si="5"/>
        <v/>
      </c>
    </row>
    <row r="448" ht="22.5" customHeight="1">
      <c r="AT448" s="54" t="str">
        <f t="array" ref="AT448">IF(
                AS448 = "",
                "",
                       IF(
                           AS448 ="FOTOGRAFIA",
                           "LINK",
                           "https://www.appsheet.com/template/gettablefileurl?appName=APP022ParticMagnMTV2-924373673-26-05-14&amp;tableName=4.reg_fotografico&amp;fileName="&amp;AS448                         )
                          )</f>
        <v/>
      </c>
      <c r="AV448" s="54" t="str">
        <f t="shared" si="5"/>
        <v/>
      </c>
    </row>
    <row r="449" ht="22.5" customHeight="1">
      <c r="AT449" s="54" t="str">
        <f t="array" ref="AT449">IF(
                AS449 = "",
                "",
                       IF(
                           AS449 ="FOTOGRAFIA",
                           "LINK",
                           "https://www.appsheet.com/template/gettablefileurl?appName=APP022ParticMagnMTV2-924373673-26-05-14&amp;tableName=4.reg_fotografico&amp;fileName="&amp;AS449                         )
                          )</f>
        <v/>
      </c>
      <c r="AV449" s="54" t="str">
        <f t="shared" si="5"/>
        <v/>
      </c>
    </row>
    <row r="450" ht="22.5" customHeight="1">
      <c r="AT450" s="54" t="str">
        <f t="array" ref="AT450">IF(
                AS450 = "",
                "",
                       IF(
                           AS450 ="FOTOGRAFIA",
                           "LINK",
                           "https://www.appsheet.com/template/gettablefileurl?appName=APP022ParticMagnMTV2-924373673-26-05-14&amp;tableName=4.reg_fotografico&amp;fileName="&amp;AS450                         )
                          )</f>
        <v/>
      </c>
      <c r="AV450" s="54" t="str">
        <f t="shared" si="5"/>
        <v/>
      </c>
    </row>
    <row r="451" ht="22.5" customHeight="1">
      <c r="AT451" s="54" t="str">
        <f t="array" ref="AT451">IF(
                AS451 = "",
                "",
                       IF(
                           AS451 ="FOTOGRAFIA",
                           "LINK",
                           "https://www.appsheet.com/template/gettablefileurl?appName=APP022ParticMagnMTV2-924373673-26-05-14&amp;tableName=4.reg_fotografico&amp;fileName="&amp;AS451                         )
                          )</f>
        <v/>
      </c>
      <c r="AV451" s="54" t="str">
        <f t="shared" si="5"/>
        <v/>
      </c>
    </row>
    <row r="452" ht="22.5" customHeight="1">
      <c r="AT452" s="54" t="str">
        <f t="array" ref="AT452">IF(
                AS452 = "",
                "",
                       IF(
                           AS452 ="FOTOGRAFIA",
                           "LINK",
                           "https://www.appsheet.com/template/gettablefileurl?appName=APP022ParticMagnMTV2-924373673-26-05-14&amp;tableName=4.reg_fotografico&amp;fileName="&amp;AS452                         )
                          )</f>
        <v/>
      </c>
      <c r="AV452" s="54" t="str">
        <f t="shared" si="5"/>
        <v/>
      </c>
    </row>
    <row r="453" ht="22.5" customHeight="1">
      <c r="AT453" s="54" t="str">
        <f t="array" ref="AT453">IF(
                AS453 = "",
                "",
                       IF(
                           AS453 ="FOTOGRAFIA",
                           "LINK",
                           "https://www.appsheet.com/template/gettablefileurl?appName=APP022ParticMagnMTV2-924373673-26-05-14&amp;tableName=4.reg_fotografico&amp;fileName="&amp;AS453                         )
                          )</f>
        <v/>
      </c>
      <c r="AV453" s="54" t="str">
        <f t="shared" si="5"/>
        <v/>
      </c>
    </row>
    <row r="454" ht="22.5" customHeight="1">
      <c r="AT454" s="54" t="str">
        <f t="array" ref="AT454">IF(
                AS454 = "",
                "",
                       IF(
                           AS454 ="FOTOGRAFIA",
                           "LINK",
                           "https://www.appsheet.com/template/gettablefileurl?appName=APP022ParticMagnMTV2-924373673-26-05-14&amp;tableName=4.reg_fotografico&amp;fileName="&amp;AS454                         )
                          )</f>
        <v/>
      </c>
      <c r="AV454" s="54" t="str">
        <f t="shared" si="5"/>
        <v/>
      </c>
    </row>
    <row r="455" ht="22.5" customHeight="1">
      <c r="AT455" s="54" t="str">
        <f t="array" ref="AT455">IF(
                AS455 = "",
                "",
                       IF(
                           AS455 ="FOTOGRAFIA",
                           "LINK",
                           "https://www.appsheet.com/template/gettablefileurl?appName=APP022ParticMagnMTV2-924373673-26-05-14&amp;tableName=4.reg_fotografico&amp;fileName="&amp;AS455                         )
                          )</f>
        <v/>
      </c>
      <c r="AV455" s="54" t="str">
        <f t="shared" si="5"/>
        <v/>
      </c>
    </row>
    <row r="456" ht="22.5" customHeight="1">
      <c r="AT456" s="54" t="str">
        <f t="array" ref="AT456">IF(
                AS456 = "",
                "",
                       IF(
                           AS456 ="FOTOGRAFIA",
                           "LINK",
                           "https://www.appsheet.com/template/gettablefileurl?appName=APP022ParticMagnMTV2-924373673-26-05-14&amp;tableName=4.reg_fotografico&amp;fileName="&amp;AS456                         )
                          )</f>
        <v/>
      </c>
      <c r="AV456" s="54" t="str">
        <f t="shared" si="5"/>
        <v/>
      </c>
    </row>
    <row r="457" ht="22.5" customHeight="1">
      <c r="AT457" s="54" t="str">
        <f t="array" ref="AT457">IF(
                AS457 = "",
                "",
                       IF(
                           AS457 ="FOTOGRAFIA",
                           "LINK",
                           "https://www.appsheet.com/template/gettablefileurl?appName=APP022ParticMagnMTV2-924373673-26-05-14&amp;tableName=4.reg_fotografico&amp;fileName="&amp;AS457                         )
                          )</f>
        <v/>
      </c>
      <c r="AV457" s="54" t="str">
        <f t="shared" si="5"/>
        <v/>
      </c>
    </row>
    <row r="458" ht="22.5" customHeight="1">
      <c r="AT458" s="54" t="str">
        <f t="array" ref="AT458">IF(
                AS458 = "",
                "",
                       IF(
                           AS458 ="FOTOGRAFIA",
                           "LINK",
                           "https://www.appsheet.com/template/gettablefileurl?appName=APP022ParticMagnMTV2-924373673-26-05-14&amp;tableName=4.reg_fotografico&amp;fileName="&amp;AS458                         )
                          )</f>
        <v/>
      </c>
      <c r="AV458" s="54" t="str">
        <f t="shared" si="5"/>
        <v/>
      </c>
    </row>
    <row r="459" ht="22.5" customHeight="1">
      <c r="AT459" s="54" t="str">
        <f t="array" ref="AT459">IF(
                AS459 = "",
                "",
                       IF(
                           AS459 ="FOTOGRAFIA",
                           "LINK",
                           "https://www.appsheet.com/template/gettablefileurl?appName=APP022ParticMagnMTV2-924373673-26-05-14&amp;tableName=4.reg_fotografico&amp;fileName="&amp;AS459                         )
                          )</f>
        <v/>
      </c>
      <c r="AV459" s="54" t="str">
        <f t="shared" si="5"/>
        <v/>
      </c>
    </row>
    <row r="460" ht="22.5" customHeight="1">
      <c r="AT460" s="54" t="str">
        <f t="array" ref="AT460">IF(
                AS460 = "",
                "",
                       IF(
                           AS460 ="FOTOGRAFIA",
                           "LINK",
                           "https://www.appsheet.com/template/gettablefileurl?appName=APP022ParticMagnMTV2-924373673-26-05-14&amp;tableName=4.reg_fotografico&amp;fileName="&amp;AS460                         )
                          )</f>
        <v/>
      </c>
      <c r="AV460" s="54" t="str">
        <f t="shared" si="5"/>
        <v/>
      </c>
    </row>
    <row r="461" ht="22.5" customHeight="1">
      <c r="AT461" s="54" t="str">
        <f t="array" ref="AT461">IF(
                AS461 = "",
                "",
                       IF(
                           AS461 ="FOTOGRAFIA",
                           "LINK",
                           "https://www.appsheet.com/template/gettablefileurl?appName=APP022ParticMagnMTV2-924373673-26-05-14&amp;tableName=4.reg_fotografico&amp;fileName="&amp;AS461                         )
                          )</f>
        <v/>
      </c>
      <c r="AV461" s="54" t="str">
        <f t="shared" si="5"/>
        <v/>
      </c>
    </row>
    <row r="462" ht="22.5" customHeight="1">
      <c r="AT462" s="54" t="str">
        <f t="array" ref="AT462">IF(
                AS462 = "",
                "",
                       IF(
                           AS462 ="FOTOGRAFIA",
                           "LINK",
                           "https://www.appsheet.com/template/gettablefileurl?appName=APP022ParticMagnMTV2-924373673-26-05-14&amp;tableName=4.reg_fotografico&amp;fileName="&amp;AS462                         )
                          )</f>
        <v/>
      </c>
      <c r="AV462" s="54" t="str">
        <f t="shared" si="5"/>
        <v/>
      </c>
    </row>
    <row r="463" ht="22.5" customHeight="1">
      <c r="AT463" s="54" t="str">
        <f t="array" ref="AT463">IF(
                AS463 = "",
                "",
                       IF(
                           AS463 ="FOTOGRAFIA",
                           "LINK",
                           "https://www.appsheet.com/template/gettablefileurl?appName=APP022ParticMagnMTV2-924373673-26-05-14&amp;tableName=4.reg_fotografico&amp;fileName="&amp;AS463                         )
                          )</f>
        <v/>
      </c>
      <c r="AV463" s="54" t="str">
        <f t="shared" si="5"/>
        <v/>
      </c>
    </row>
    <row r="464" ht="22.5" customHeight="1">
      <c r="AT464" s="54" t="str">
        <f t="array" ref="AT464">IF(
                AS464 = "",
                "",
                       IF(
                           AS464 ="FOTOGRAFIA",
                           "LINK",
                           "https://www.appsheet.com/template/gettablefileurl?appName=APP022ParticMagnMTV2-924373673-26-05-14&amp;tableName=4.reg_fotografico&amp;fileName="&amp;AS464                         )
                          )</f>
        <v/>
      </c>
      <c r="AV464" s="54" t="str">
        <f t="shared" si="5"/>
        <v/>
      </c>
    </row>
    <row r="465" ht="22.5" customHeight="1">
      <c r="AT465" s="54" t="str">
        <f t="array" ref="AT465">IF(
                AS465 = "",
                "",
                       IF(
                           AS465 ="FOTOGRAFIA",
                           "LINK",
                           "https://www.appsheet.com/template/gettablefileurl?appName=APP022ParticMagnMTV2-924373673-26-05-14&amp;tableName=4.reg_fotografico&amp;fileName="&amp;AS465                         )
                          )</f>
        <v/>
      </c>
      <c r="AV465" s="54" t="str">
        <f t="shared" si="5"/>
        <v/>
      </c>
    </row>
    <row r="466" ht="22.5" customHeight="1">
      <c r="AT466" s="54" t="str">
        <f t="array" ref="AT466">IF(
                AS466 = "",
                "",
                       IF(
                           AS466 ="FOTOGRAFIA",
                           "LINK",
                           "https://www.appsheet.com/template/gettablefileurl?appName=APP022ParticMagnMTV2-924373673-26-05-14&amp;tableName=4.reg_fotografico&amp;fileName="&amp;AS466                         )
                          )</f>
        <v/>
      </c>
      <c r="AV466" s="54" t="str">
        <f t="shared" si="5"/>
        <v/>
      </c>
    </row>
    <row r="467" ht="22.5" customHeight="1">
      <c r="AT467" s="54" t="str">
        <f t="array" ref="AT467">IF(
                AS467 = "",
                "",
                       IF(
                           AS467 ="FOTOGRAFIA",
                           "LINK",
                           "https://www.appsheet.com/template/gettablefileurl?appName=APP022ParticMagnMTV2-924373673-26-05-14&amp;tableName=4.reg_fotografico&amp;fileName="&amp;AS467                         )
                          )</f>
        <v/>
      </c>
      <c r="AV467" s="54" t="str">
        <f t="shared" si="5"/>
        <v/>
      </c>
    </row>
    <row r="468" ht="22.5" customHeight="1">
      <c r="AT468" s="54" t="str">
        <f t="array" ref="AT468">IF(
                AS468 = "",
                "",
                       IF(
                           AS468 ="FOTOGRAFIA",
                           "LINK",
                           "https://www.appsheet.com/template/gettablefileurl?appName=APP022ParticMagnMTV2-924373673-26-05-14&amp;tableName=4.reg_fotografico&amp;fileName="&amp;AS468                         )
                          )</f>
        <v/>
      </c>
      <c r="AV468" s="54" t="str">
        <f t="shared" si="5"/>
        <v/>
      </c>
    </row>
    <row r="469" ht="22.5" customHeight="1">
      <c r="AT469" s="54" t="str">
        <f t="array" ref="AT469">IF(
                AS469 = "",
                "",
                       IF(
                           AS469 ="FOTOGRAFIA",
                           "LINK",
                           "https://www.appsheet.com/template/gettablefileurl?appName=APP022ParticMagnMTV2-924373673-26-05-14&amp;tableName=4.reg_fotografico&amp;fileName="&amp;AS469                         )
                          )</f>
        <v/>
      </c>
      <c r="AV469" s="54" t="str">
        <f t="shared" si="5"/>
        <v/>
      </c>
    </row>
    <row r="470" ht="22.5" customHeight="1">
      <c r="AT470" s="54" t="str">
        <f t="array" ref="AT470">IF(
                AS470 = "",
                "",
                       IF(
                           AS470 ="FOTOGRAFIA",
                           "LINK",
                           "https://www.appsheet.com/template/gettablefileurl?appName=APP022ParticMagnMTV2-924373673-26-05-14&amp;tableName=4.reg_fotografico&amp;fileName="&amp;AS470                         )
                          )</f>
        <v/>
      </c>
      <c r="AV470" s="54" t="str">
        <f t="shared" si="5"/>
        <v/>
      </c>
    </row>
    <row r="471" ht="22.5" customHeight="1">
      <c r="AT471" s="54" t="str">
        <f t="array" ref="AT471">IF(
                AS471 = "",
                "",
                       IF(
                           AS471 ="FOTOGRAFIA",
                           "LINK",
                           "https://www.appsheet.com/template/gettablefileurl?appName=APP022ParticMagnMTV2-924373673-26-05-14&amp;tableName=4.reg_fotografico&amp;fileName="&amp;AS471                         )
                          )</f>
        <v/>
      </c>
      <c r="AV471" s="54" t="str">
        <f t="shared" si="5"/>
        <v/>
      </c>
    </row>
    <row r="472" ht="22.5" customHeight="1">
      <c r="AT472" s="54" t="str">
        <f t="array" ref="AT472">IF(
                AS472 = "",
                "",
                       IF(
                           AS472 ="FOTOGRAFIA",
                           "LINK",
                           "https://www.appsheet.com/template/gettablefileurl?appName=APP022ParticMagnMTV2-924373673-26-05-14&amp;tableName=4.reg_fotografico&amp;fileName="&amp;AS472                         )
                          )</f>
        <v/>
      </c>
      <c r="AV472" s="54" t="str">
        <f t="shared" si="5"/>
        <v/>
      </c>
    </row>
    <row r="473" ht="22.5" customHeight="1">
      <c r="AT473" s="54" t="str">
        <f t="array" ref="AT473">IF(
                AS473 = "",
                "",
                       IF(
                           AS473 ="FOTOGRAFIA",
                           "LINK",
                           "https://www.appsheet.com/template/gettablefileurl?appName=APP022ParticMagnMTV2-924373673-26-05-14&amp;tableName=4.reg_fotografico&amp;fileName="&amp;AS473                         )
                          )</f>
        <v/>
      </c>
      <c r="AV473" s="54" t="str">
        <f t="shared" si="5"/>
        <v/>
      </c>
    </row>
    <row r="474" ht="22.5" customHeight="1">
      <c r="AT474" s="54" t="str">
        <f t="array" ref="AT474">IF(
                AS474 = "",
                "",
                       IF(
                           AS474 ="FOTOGRAFIA",
                           "LINK",
                           "https://www.appsheet.com/template/gettablefileurl?appName=APP022ParticMagnMTV2-924373673-26-05-14&amp;tableName=4.reg_fotografico&amp;fileName="&amp;AS474                         )
                          )</f>
        <v/>
      </c>
      <c r="AV474" s="54" t="str">
        <f t="shared" si="5"/>
        <v/>
      </c>
    </row>
    <row r="475" ht="22.5" customHeight="1">
      <c r="AT475" s="54" t="str">
        <f t="array" ref="AT475">IF(
                AS475 = "",
                "",
                       IF(
                           AS475 ="FOTOGRAFIA",
                           "LINK",
                           "https://www.appsheet.com/template/gettablefileurl?appName=APP022ParticMagnMTV2-924373673-26-05-14&amp;tableName=4.reg_fotografico&amp;fileName="&amp;AS475                         )
                          )</f>
        <v/>
      </c>
      <c r="AV475" s="54" t="str">
        <f t="shared" si="5"/>
        <v/>
      </c>
    </row>
    <row r="476" ht="22.5" customHeight="1">
      <c r="AT476" s="54" t="str">
        <f t="array" ref="AT476">IF(
                AS476 = "",
                "",
                       IF(
                           AS476 ="FOTOGRAFIA",
                           "LINK",
                           "https://www.appsheet.com/template/gettablefileurl?appName=APP022ParticMagnMTV2-924373673-26-05-14&amp;tableName=4.reg_fotografico&amp;fileName="&amp;AS476                         )
                          )</f>
        <v/>
      </c>
      <c r="AV476" s="54" t="str">
        <f t="shared" si="5"/>
        <v/>
      </c>
    </row>
    <row r="477" ht="22.5" customHeight="1">
      <c r="AT477" s="54" t="str">
        <f t="array" ref="AT477">IF(
                AS477 = "",
                "",
                       IF(
                           AS477 ="FOTOGRAFIA",
                           "LINK",
                           "https://www.appsheet.com/template/gettablefileurl?appName=APP022ParticMagnMTV2-924373673-26-05-14&amp;tableName=4.reg_fotografico&amp;fileName="&amp;AS477                         )
                          )</f>
        <v/>
      </c>
      <c r="AV477" s="54" t="str">
        <f t="shared" si="5"/>
        <v/>
      </c>
    </row>
    <row r="478" ht="22.5" customHeight="1">
      <c r="AT478" s="54" t="str">
        <f t="array" ref="AT478">IF(
                AS478 = "",
                "",
                       IF(
                           AS478 ="FOTOGRAFIA",
                           "LINK",
                           "https://www.appsheet.com/template/gettablefileurl?appName=APP022ParticMagnMTV2-924373673-26-05-14&amp;tableName=4.reg_fotografico&amp;fileName="&amp;AS478                         )
                          )</f>
        <v/>
      </c>
      <c r="AV478" s="54" t="str">
        <f t="shared" si="5"/>
        <v/>
      </c>
    </row>
    <row r="479" ht="22.5" customHeight="1">
      <c r="AT479" s="54" t="str">
        <f t="array" ref="AT479">IF(
                AS479 = "",
                "",
                       IF(
                           AS479 ="FOTOGRAFIA",
                           "LINK",
                           "https://www.appsheet.com/template/gettablefileurl?appName=APP022ParticMagnMTV2-924373673-26-05-14&amp;tableName=4.reg_fotografico&amp;fileName="&amp;AS479                         )
                          )</f>
        <v/>
      </c>
      <c r="AV479" s="54" t="str">
        <f t="shared" si="5"/>
        <v/>
      </c>
    </row>
    <row r="480" ht="22.5" customHeight="1">
      <c r="AT480" s="54" t="str">
        <f t="array" ref="AT480">IF(
                AS480 = "",
                "",
                       IF(
                           AS480 ="FOTOGRAFIA",
                           "LINK",
                           "https://www.appsheet.com/template/gettablefileurl?appName=APP022ParticMagnMTV2-924373673-26-05-14&amp;tableName=4.reg_fotografico&amp;fileName="&amp;AS480                         )
                          )</f>
        <v/>
      </c>
      <c r="AV480" s="54" t="str">
        <f t="shared" si="5"/>
        <v/>
      </c>
    </row>
    <row r="481" ht="22.5" customHeight="1">
      <c r="AT481" s="54" t="str">
        <f t="array" ref="AT481">IF(
                AS481 = "",
                "",
                       IF(
                           AS481 ="FOTOGRAFIA",
                           "LINK",
                           "https://www.appsheet.com/template/gettablefileurl?appName=APP022ParticMagnMTV2-924373673-26-05-14&amp;tableName=4.reg_fotografico&amp;fileName="&amp;AS481                         )
                          )</f>
        <v/>
      </c>
      <c r="AV481" s="54" t="str">
        <f t="shared" si="5"/>
        <v/>
      </c>
    </row>
    <row r="482" ht="22.5" customHeight="1">
      <c r="AT482" s="54" t="str">
        <f t="array" ref="AT482">IF(
                AS482 = "",
                "",
                       IF(
                           AS482 ="FOTOGRAFIA",
                           "LINK",
                           "https://www.appsheet.com/template/gettablefileurl?appName=APP022ParticMagnMTV2-924373673-26-05-14&amp;tableName=4.reg_fotografico&amp;fileName="&amp;AS482                         )
                          )</f>
        <v/>
      </c>
      <c r="AV482" s="54" t="str">
        <f t="shared" si="5"/>
        <v/>
      </c>
    </row>
    <row r="483" ht="22.5" customHeight="1">
      <c r="AT483" s="54" t="str">
        <f t="array" ref="AT483">IF(
                AS483 = "",
                "",
                       IF(
                           AS483 ="FOTOGRAFIA",
                           "LINK",
                           "https://www.appsheet.com/template/gettablefileurl?appName=APP022ParticMagnMTV2-924373673-26-05-14&amp;tableName=4.reg_fotografico&amp;fileName="&amp;AS483                         )
                          )</f>
        <v/>
      </c>
      <c r="AV483" s="54" t="str">
        <f t="shared" si="5"/>
        <v/>
      </c>
    </row>
    <row r="484" ht="22.5" customHeight="1">
      <c r="AT484" s="54" t="str">
        <f t="array" ref="AT484">IF(
                AS484 = "",
                "",
                       IF(
                           AS484 ="FOTOGRAFIA",
                           "LINK",
                           "https://www.appsheet.com/template/gettablefileurl?appName=APP022ParticMagnMTV2-924373673-26-05-14&amp;tableName=4.reg_fotografico&amp;fileName="&amp;AS484                         )
                          )</f>
        <v/>
      </c>
      <c r="AV484" s="54" t="str">
        <f t="shared" si="5"/>
        <v/>
      </c>
    </row>
    <row r="485" ht="22.5" customHeight="1">
      <c r="AT485" s="54" t="str">
        <f t="array" ref="AT485">IF(
                AS485 = "",
                "",
                       IF(
                           AS485 ="FOTOGRAFIA",
                           "LINK",
                           "https://www.appsheet.com/template/gettablefileurl?appName=APP022ParticMagnMTV2-924373673-26-05-14&amp;tableName=4.reg_fotografico&amp;fileName="&amp;AS485                         )
                          )</f>
        <v/>
      </c>
      <c r="AV485" s="54" t="str">
        <f t="shared" si="5"/>
        <v/>
      </c>
    </row>
    <row r="486" ht="22.5" customHeight="1">
      <c r="AT486" s="54" t="str">
        <f t="array" ref="AT486">IF(
                AS486 = "",
                "",
                       IF(
                           AS486 ="FOTOGRAFIA",
                           "LINK",
                           "https://www.appsheet.com/template/gettablefileurl?appName=APP022ParticMagnMTV2-924373673-26-05-14&amp;tableName=4.reg_fotografico&amp;fileName="&amp;AS486                         )
                          )</f>
        <v/>
      </c>
      <c r="AV486" s="54" t="str">
        <f t="shared" si="5"/>
        <v/>
      </c>
    </row>
    <row r="487" ht="22.5" customHeight="1">
      <c r="AT487" s="54" t="str">
        <f t="array" ref="AT487">IF(
                AS487 = "",
                "",
                       IF(
                           AS487 ="FOTOGRAFIA",
                           "LINK",
                           "https://www.appsheet.com/template/gettablefileurl?appName=APP022ParticMagnMTV2-924373673-26-05-14&amp;tableName=4.reg_fotografico&amp;fileName="&amp;AS487                         )
                          )</f>
        <v/>
      </c>
      <c r="AV487" s="54" t="str">
        <f t="shared" si="5"/>
        <v/>
      </c>
    </row>
    <row r="488" ht="22.5" customHeight="1">
      <c r="AT488" s="54" t="str">
        <f t="array" ref="AT488">IF(
                AS488 = "",
                "",
                       IF(
                           AS488 ="FOTOGRAFIA",
                           "LINK",
                           "https://www.appsheet.com/template/gettablefileurl?appName=APP022ParticMagnMTV2-924373673-26-05-14&amp;tableName=4.reg_fotografico&amp;fileName="&amp;AS488                         )
                          )</f>
        <v/>
      </c>
      <c r="AV488" s="54" t="str">
        <f t="shared" si="5"/>
        <v/>
      </c>
    </row>
    <row r="489" ht="22.5" customHeight="1">
      <c r="AT489" s="54" t="str">
        <f t="array" ref="AT489">IF(
                AS489 = "",
                "",
                       IF(
                           AS489 ="FOTOGRAFIA",
                           "LINK",
                           "https://www.appsheet.com/template/gettablefileurl?appName=APP022ParticMagnMTV2-924373673-26-05-14&amp;tableName=4.reg_fotografico&amp;fileName="&amp;AS489                         )
                          )</f>
        <v/>
      </c>
      <c r="AV489" s="54" t="str">
        <f t="shared" si="5"/>
        <v/>
      </c>
    </row>
    <row r="490" ht="22.5" customHeight="1">
      <c r="AT490" s="54" t="str">
        <f t="array" ref="AT490">IF(
                AS490 = "",
                "",
                       IF(
                           AS490 ="FOTOGRAFIA",
                           "LINK",
                           "https://www.appsheet.com/template/gettablefileurl?appName=APP022ParticMagnMTV2-924373673-26-05-14&amp;tableName=4.reg_fotografico&amp;fileName="&amp;AS490                         )
                          )</f>
        <v/>
      </c>
      <c r="AV490" s="54" t="str">
        <f t="shared" si="5"/>
        <v/>
      </c>
    </row>
    <row r="491" ht="22.5" customHeight="1">
      <c r="AT491" s="54" t="str">
        <f t="array" ref="AT491">IF(
                AS491 = "",
                "",
                       IF(
                           AS491 ="FOTOGRAFIA",
                           "LINK",
                           "https://www.appsheet.com/template/gettablefileurl?appName=APP022ParticMagnMTV2-924373673-26-05-14&amp;tableName=4.reg_fotografico&amp;fileName="&amp;AS491                         )
                          )</f>
        <v/>
      </c>
      <c r="AV491" s="54" t="str">
        <f t="shared" si="5"/>
        <v/>
      </c>
    </row>
    <row r="492" ht="22.5" customHeight="1">
      <c r="AT492" s="54" t="str">
        <f t="array" ref="AT492">IF(
                AS492 = "",
                "",
                       IF(
                           AS492 ="FOTOGRAFIA",
                           "LINK",
                           "https://www.appsheet.com/template/gettablefileurl?appName=APP022ParticMagnMTV2-924373673-26-05-14&amp;tableName=4.reg_fotografico&amp;fileName="&amp;AS492                         )
                          )</f>
        <v/>
      </c>
      <c r="AV492" s="54" t="str">
        <f t="shared" si="5"/>
        <v/>
      </c>
    </row>
    <row r="493" ht="22.5" customHeight="1">
      <c r="AT493" s="54" t="str">
        <f t="array" ref="AT493">IF(
                AS493 = "",
                "",
                       IF(
                           AS493 ="FOTOGRAFIA",
                           "LINK",
                           "https://www.appsheet.com/template/gettablefileurl?appName=APP022ParticMagnMTV2-924373673-26-05-14&amp;tableName=4.reg_fotografico&amp;fileName="&amp;AS493                         )
                          )</f>
        <v/>
      </c>
      <c r="AV493" s="54" t="str">
        <f t="shared" si="5"/>
        <v/>
      </c>
    </row>
    <row r="494" ht="22.5" customHeight="1">
      <c r="AT494" s="54" t="str">
        <f t="array" ref="AT494">IF(
                AS494 = "",
                "",
                       IF(
                           AS494 ="FOTOGRAFIA",
                           "LINK",
                           "https://www.appsheet.com/template/gettablefileurl?appName=APP022ParticMagnMTV2-924373673-26-05-14&amp;tableName=4.reg_fotografico&amp;fileName="&amp;AS494                         )
                          )</f>
        <v/>
      </c>
      <c r="AV494" s="54" t="str">
        <f t="shared" si="5"/>
        <v/>
      </c>
    </row>
    <row r="495" ht="22.5" customHeight="1">
      <c r="AT495" s="54" t="str">
        <f t="array" ref="AT495">IF(
                AS495 = "",
                "",
                       IF(
                           AS495 ="FOTOGRAFIA",
                           "LINK",
                           "https://www.appsheet.com/template/gettablefileurl?appName=APP022ParticMagnMTV2-924373673-26-05-14&amp;tableName=4.reg_fotografico&amp;fileName="&amp;AS495                         )
                          )</f>
        <v/>
      </c>
      <c r="AV495" s="54" t="str">
        <f t="shared" si="5"/>
        <v/>
      </c>
    </row>
    <row r="496" ht="22.5" customHeight="1">
      <c r="AT496" s="54" t="str">
        <f t="array" ref="AT496">IF(
                AS496 = "",
                "",
                       IF(
                           AS496 ="FOTOGRAFIA",
                           "LINK",
                           "https://www.appsheet.com/template/gettablefileurl?appName=APP022ParticMagnMTV2-924373673-26-05-14&amp;tableName=4.reg_fotografico&amp;fileName="&amp;AS496                         )
                          )</f>
        <v/>
      </c>
      <c r="AV496" s="54" t="str">
        <f t="shared" si="5"/>
        <v/>
      </c>
    </row>
    <row r="497" ht="22.5" customHeight="1">
      <c r="AT497" s="54" t="str">
        <f t="array" ref="AT497">IF(
                AS497 = "",
                "",
                       IF(
                           AS497 ="FOTOGRAFIA",
                           "LINK",
                           "https://www.appsheet.com/template/gettablefileurl?appName=APP022ParticMagnMTV2-924373673-26-05-14&amp;tableName=4.reg_fotografico&amp;fileName="&amp;AS497                         )
                          )</f>
        <v/>
      </c>
      <c r="AV497" s="54" t="str">
        <f t="shared" si="5"/>
        <v/>
      </c>
    </row>
    <row r="498" ht="22.5" customHeight="1">
      <c r="AT498" s="54" t="str">
        <f t="array" ref="AT498">IF(
                AS498 = "",
                "",
                       IF(
                           AS498 ="FOTOGRAFIA",
                           "LINK",
                           "https://www.appsheet.com/template/gettablefileurl?appName=APP022ParticMagnMTV2-924373673-26-05-14&amp;tableName=4.reg_fotografico&amp;fileName="&amp;AS498                         )
                          )</f>
        <v/>
      </c>
      <c r="AV498" s="54" t="str">
        <f t="shared" si="5"/>
        <v/>
      </c>
    </row>
    <row r="499" ht="22.5" customHeight="1">
      <c r="AT499" s="54" t="str">
        <f t="array" ref="AT499">IF(
                AS499 = "",
                "",
                       IF(
                           AS499 ="FOTOGRAFIA",
                           "LINK",
                           "https://www.appsheet.com/template/gettablefileurl?appName=APP022ParticMagnMTV2-924373673-26-05-14&amp;tableName=4.reg_fotografico&amp;fileName="&amp;AS499                         )
                          )</f>
        <v/>
      </c>
      <c r="AV499" s="54" t="str">
        <f t="shared" si="5"/>
        <v/>
      </c>
    </row>
    <row r="500" ht="22.5" customHeight="1">
      <c r="AT500" s="54" t="str">
        <f t="array" ref="AT500">IF(
                AS500 = "",
                "",
                       IF(
                           AS500 ="FOTOGRAFIA",
                           "LINK",
                           "https://www.appsheet.com/template/gettablefileurl?appName=APP022ParticMagnMTV2-924373673-26-05-14&amp;tableName=4.reg_fotografico&amp;fileName="&amp;AS500                         )
                          )</f>
        <v/>
      </c>
      <c r="AV500" s="54" t="str">
        <f t="shared" si="5"/>
        <v/>
      </c>
    </row>
    <row r="501" ht="22.5" customHeight="1">
      <c r="AT501" s="54" t="str">
        <f t="array" ref="AT501">IF(
                AS501 = "",
                "",
                       IF(
                           AS501 ="FOTOGRAFIA",
                           "LINK",
                           "https://www.appsheet.com/template/gettablefileurl?appName=APP022ParticMagnMTV2-924373673-26-05-14&amp;tableName=4.reg_fotografico&amp;fileName="&amp;AS501                         )
                          )</f>
        <v/>
      </c>
      <c r="AV501" s="54" t="str">
        <f t="shared" si="5"/>
        <v/>
      </c>
    </row>
    <row r="502" ht="22.5" customHeight="1">
      <c r="AT502" s="54" t="str">
        <f t="array" ref="AT502">IF(
                AS502 = "",
                "",
                       IF(
                           AS502 ="FOTOGRAFIA",
                           "LINK",
                           "https://www.appsheet.com/template/gettablefileurl?appName=APP022ParticMagnMTV2-924373673-26-05-14&amp;tableName=4.reg_fotografico&amp;fileName="&amp;AS502                         )
                          )</f>
        <v/>
      </c>
      <c r="AV502" s="54" t="str">
        <f t="shared" si="5"/>
        <v/>
      </c>
    </row>
    <row r="503" ht="22.5" customHeight="1">
      <c r="AT503" s="54" t="str">
        <f t="array" ref="AT503">IF(
                AS503 = "",
                "",
                       IF(
                           AS503 ="FOTOGRAFIA",
                           "LINK",
                           "https://www.appsheet.com/template/gettablefileurl?appName=APP022ParticMagnMTV2-924373673-26-05-14&amp;tableName=4.reg_fotografico&amp;fileName="&amp;AS503                         )
                          )</f>
        <v/>
      </c>
      <c r="AV503" s="54" t="str">
        <f t="shared" si="5"/>
        <v/>
      </c>
    </row>
    <row r="504" ht="22.5" customHeight="1">
      <c r="AT504" s="54" t="str">
        <f t="array" ref="AT504">IF(
                AS504 = "",
                "",
                       IF(
                           AS504 ="FOTOGRAFIA",
                           "LINK",
                           "https://www.appsheet.com/template/gettablefileurl?appName=APP022ParticMagnMTV2-924373673-26-05-14&amp;tableName=4.reg_fotografico&amp;fileName="&amp;AS504                         )
                          )</f>
        <v/>
      </c>
      <c r="AV504" s="54" t="str">
        <f t="shared" si="5"/>
        <v/>
      </c>
    </row>
    <row r="505" ht="22.5" customHeight="1">
      <c r="AT505" s="54" t="str">
        <f t="array" ref="AT505">IF(
                AS505 = "",
                "",
                       IF(
                           AS505 ="FOTOGRAFIA",
                           "LINK",
                           "https://www.appsheet.com/template/gettablefileurl?appName=APP022ParticMagnMTV2-924373673-26-05-14&amp;tableName=4.reg_fotografico&amp;fileName="&amp;AS505                         )
                          )</f>
        <v/>
      </c>
      <c r="AV505" s="54" t="str">
        <f t="shared" si="5"/>
        <v/>
      </c>
    </row>
    <row r="506" ht="22.5" customHeight="1">
      <c r="AT506" s="54" t="str">
        <f t="array" ref="AT506">IF(
                AS506 = "",
                "",
                       IF(
                           AS506 ="FOTOGRAFIA",
                           "LINK",
                           "https://www.appsheet.com/template/gettablefileurl?appName=APP022ParticMagnMTV2-924373673-26-05-14&amp;tableName=4.reg_fotografico&amp;fileName="&amp;AS506                         )
                          )</f>
        <v/>
      </c>
      <c r="AV506" s="54" t="str">
        <f t="shared" si="5"/>
        <v/>
      </c>
    </row>
    <row r="507" ht="22.5" customHeight="1">
      <c r="AT507" s="54" t="str">
        <f t="array" ref="AT507">IF(
                AS507 = "",
                "",
                       IF(
                           AS507 ="FOTOGRAFIA",
                           "LINK",
                           "https://www.appsheet.com/template/gettablefileurl?appName=APP022ParticMagnMTV2-924373673-26-05-14&amp;tableName=4.reg_fotografico&amp;fileName="&amp;AS507                         )
                          )</f>
        <v/>
      </c>
      <c r="AV507" s="54" t="str">
        <f t="shared" si="5"/>
        <v/>
      </c>
    </row>
    <row r="508" ht="22.5" customHeight="1">
      <c r="AT508" s="54" t="str">
        <f t="array" ref="AT508">IF(
                AS508 = "",
                "",
                       IF(
                           AS508 ="FOTOGRAFIA",
                           "LINK",
                           "https://www.appsheet.com/template/gettablefileurl?appName=APP022ParticMagnMTV2-924373673-26-05-14&amp;tableName=4.reg_fotografico&amp;fileName="&amp;AS508                         )
                          )</f>
        <v/>
      </c>
      <c r="AV508" s="54" t="str">
        <f t="shared" si="5"/>
        <v/>
      </c>
    </row>
    <row r="509" ht="22.5" customHeight="1">
      <c r="AT509" s="54" t="str">
        <f t="array" ref="AT509">IF(
                AS509 = "",
                "",
                       IF(
                           AS509 ="FOTOGRAFIA",
                           "LINK",
                           "https://www.appsheet.com/template/gettablefileurl?appName=APP022ParticMagnMTV2-924373673-26-05-14&amp;tableName=4.reg_fotografico&amp;fileName="&amp;AS509                         )
                          )</f>
        <v/>
      </c>
      <c r="AV509" s="54" t="str">
        <f t="shared" si="5"/>
        <v/>
      </c>
    </row>
    <row r="510" ht="22.5" customHeight="1">
      <c r="AT510" s="54" t="str">
        <f t="array" ref="AT510">IF(
                AS510 = "",
                "",
                       IF(
                           AS510 ="FOTOGRAFIA",
                           "LINK",
                           "https://www.appsheet.com/template/gettablefileurl?appName=APP022ParticMagnMTV2-924373673-26-05-14&amp;tableName=4.reg_fotografico&amp;fileName="&amp;AS510                         )
                          )</f>
        <v/>
      </c>
      <c r="AV510" s="54" t="str">
        <f t="shared" si="5"/>
        <v/>
      </c>
    </row>
    <row r="511" ht="22.5" customHeight="1">
      <c r="AT511" s="54" t="str">
        <f t="array" ref="AT511">IF(
                AS511 = "",
                "",
                       IF(
                           AS511 ="FOTOGRAFIA",
                           "LINK",
                           "https://www.appsheet.com/template/gettablefileurl?appName=APP022ParticMagnMTV2-924373673-26-05-14&amp;tableName=4.reg_fotografico&amp;fileName="&amp;AS511                         )
                          )</f>
        <v/>
      </c>
      <c r="AV511" s="54" t="str">
        <f t="shared" si="5"/>
        <v/>
      </c>
    </row>
    <row r="512" ht="22.5" customHeight="1">
      <c r="AT512" s="54" t="str">
        <f t="array" ref="AT512">IF(
                AS512 = "",
                "",
                       IF(
                           AS512 ="FOTOGRAFIA",
                           "LINK",
                           "https://www.appsheet.com/template/gettablefileurl?appName=APP022ParticMagnMTV2-924373673-26-05-14&amp;tableName=4.reg_fotografico&amp;fileName="&amp;AS512                         )
                          )</f>
        <v/>
      </c>
      <c r="AV512" s="54" t="str">
        <f t="shared" si="5"/>
        <v/>
      </c>
    </row>
    <row r="513" ht="22.5" customHeight="1">
      <c r="AT513" s="54" t="str">
        <f t="array" ref="AT513">IF(
                AS513 = "",
                "",
                       IF(
                           AS513 ="FOTOGRAFIA",
                           "LINK",
                           "https://www.appsheet.com/template/gettablefileurl?appName=APP022ParticMagnMTV2-924373673-26-05-14&amp;tableName=4.reg_fotografico&amp;fileName="&amp;AS513                         )
                          )</f>
        <v/>
      </c>
      <c r="AV513" s="54" t="str">
        <f t="shared" si="5"/>
        <v/>
      </c>
    </row>
    <row r="514" ht="22.5" customHeight="1">
      <c r="AT514" s="54" t="str">
        <f t="array" ref="AT514">IF(
                AS514 = "",
                "",
                       IF(
                           AS514 ="FOTOGRAFIA",
                           "LINK",
                           "https://www.appsheet.com/template/gettablefileurl?appName=APP022ParticMagnMTV2-924373673-26-05-14&amp;tableName=4.reg_fotografico&amp;fileName="&amp;AS514                         )
                          )</f>
        <v/>
      </c>
      <c r="AV514" s="54" t="str">
        <f t="shared" si="5"/>
        <v/>
      </c>
    </row>
    <row r="515" ht="22.5" customHeight="1">
      <c r="AT515" s="54" t="str">
        <f t="array" ref="AT515">IF(
                AS515 = "",
                "",
                       IF(
                           AS515 ="FOTOGRAFIA",
                           "LINK",
                           "https://www.appsheet.com/template/gettablefileurl?appName=APP022ParticMagnMTV2-924373673-26-05-14&amp;tableName=4.reg_fotografico&amp;fileName="&amp;AS515                         )
                          )</f>
        <v/>
      </c>
      <c r="AV515" s="54" t="str">
        <f t="shared" si="5"/>
        <v/>
      </c>
    </row>
    <row r="516" ht="22.5" customHeight="1">
      <c r="AT516" s="54" t="str">
        <f t="array" ref="AT516">IF(
                AS516 = "",
                "",
                       IF(
                           AS516 ="FOTOGRAFIA",
                           "LINK",
                           "https://www.appsheet.com/template/gettablefileurl?appName=APP022ParticMagnMTV2-924373673-26-05-14&amp;tableName=4.reg_fotografico&amp;fileName="&amp;AS516                         )
                          )</f>
        <v/>
      </c>
      <c r="AV516" s="54" t="str">
        <f t="shared" si="5"/>
        <v/>
      </c>
    </row>
    <row r="517" ht="22.5" customHeight="1">
      <c r="AT517" s="54" t="str">
        <f t="array" ref="AT517">IF(
                AS517 = "",
                "",
                       IF(
                           AS517 ="FOTOGRAFIA",
                           "LINK",
                           "https://www.appsheet.com/template/gettablefileurl?appName=APP022ParticMagnMTV2-924373673-26-05-14&amp;tableName=4.reg_fotografico&amp;fileName="&amp;AS517                         )
                          )</f>
        <v/>
      </c>
      <c r="AV517" s="54" t="str">
        <f t="shared" si="5"/>
        <v/>
      </c>
    </row>
    <row r="518" ht="22.5" customHeight="1">
      <c r="AT518" s="54" t="str">
        <f t="array" ref="AT518">IF(
                AS518 = "",
                "",
                       IF(
                           AS518 ="FOTOGRAFIA",
                           "LINK",
                           "https://www.appsheet.com/template/gettablefileurl?appName=APP022ParticMagnMTV2-924373673-26-05-14&amp;tableName=4.reg_fotografico&amp;fileName="&amp;AS518                         )
                          )</f>
        <v/>
      </c>
      <c r="AV518" s="54" t="str">
        <f t="shared" si="5"/>
        <v/>
      </c>
    </row>
    <row r="519" ht="22.5" customHeight="1">
      <c r="AT519" s="54" t="str">
        <f t="array" ref="AT519">IF(
                AS519 = "",
                "",
                       IF(
                           AS519 ="FOTOGRAFIA",
                           "LINK",
                           "https://www.appsheet.com/template/gettablefileurl?appName=APP022ParticMagnMTV2-924373673-26-05-14&amp;tableName=4.reg_fotografico&amp;fileName="&amp;AS519                         )
                          )</f>
        <v/>
      </c>
      <c r="AV519" s="54" t="str">
        <f t="shared" si="5"/>
        <v/>
      </c>
    </row>
    <row r="520" ht="22.5" customHeight="1">
      <c r="AT520" s="54" t="str">
        <f t="array" ref="AT520">IF(
                AS520 = "",
                "",
                       IF(
                           AS520 ="FOTOGRAFIA",
                           "LINK",
                           "https://www.appsheet.com/template/gettablefileurl?appName=APP022ParticMagnMTV2-924373673-26-05-14&amp;tableName=4.reg_fotografico&amp;fileName="&amp;AS520                         )
                          )</f>
        <v/>
      </c>
      <c r="AV520" s="54" t="str">
        <f t="shared" si="5"/>
        <v/>
      </c>
    </row>
    <row r="521" ht="22.5" customHeight="1">
      <c r="AT521" s="54" t="str">
        <f t="array" ref="AT521">IF(
                AS521 = "",
                "",
                       IF(
                           AS521 ="FOTOGRAFIA",
                           "LINK",
                           "https://www.appsheet.com/template/gettablefileurl?appName=APP022ParticMagnMTV2-924373673-26-05-14&amp;tableName=4.reg_fotografico&amp;fileName="&amp;AS521                         )
                          )</f>
        <v/>
      </c>
      <c r="AV521" s="54" t="str">
        <f t="shared" si="5"/>
        <v/>
      </c>
    </row>
    <row r="522" ht="22.5" customHeight="1">
      <c r="AT522" s="54" t="str">
        <f t="array" ref="AT522">IF(
                AS522 = "",
                "",
                       IF(
                           AS522 ="FOTOGRAFIA",
                           "LINK",
                           "https://www.appsheet.com/template/gettablefileurl?appName=APP022ParticMagnMTV2-924373673-26-05-14&amp;tableName=4.reg_fotografico&amp;fileName="&amp;AS522                         )
                          )</f>
        <v/>
      </c>
      <c r="AV522" s="54" t="str">
        <f t="shared" si="5"/>
        <v/>
      </c>
    </row>
    <row r="523" ht="22.5" customHeight="1">
      <c r="AT523" s="54" t="str">
        <f t="array" ref="AT523">IF(
                AS523 = "",
                "",
                       IF(
                           AS523 ="FOTOGRAFIA",
                           "LINK",
                           "https://www.appsheet.com/template/gettablefileurl?appName=APP022ParticMagnMTV2-924373673-26-05-14&amp;tableName=4.reg_fotografico&amp;fileName="&amp;AS523                         )
                          )</f>
        <v/>
      </c>
      <c r="AV523" s="54" t="str">
        <f t="shared" si="5"/>
        <v/>
      </c>
    </row>
    <row r="524" ht="22.5" customHeight="1">
      <c r="AT524" s="54" t="str">
        <f t="array" ref="AT524">IF(
                AS524 = "",
                "",
                       IF(
                           AS524 ="FOTOGRAFIA",
                           "LINK",
                           "https://www.appsheet.com/template/gettablefileurl?appName=APP022ParticMagnMTV2-924373673-26-05-14&amp;tableName=4.reg_fotografico&amp;fileName="&amp;AS524                         )
                          )</f>
        <v/>
      </c>
      <c r="AV524" s="54" t="str">
        <f t="shared" si="5"/>
        <v/>
      </c>
    </row>
    <row r="525" ht="22.5" customHeight="1">
      <c r="AT525" s="54" t="str">
        <f t="array" ref="AT525">IF(
                AS525 = "",
                "",
                       IF(
                           AS525 ="FOTOGRAFIA",
                           "LINK",
                           "https://www.appsheet.com/template/gettablefileurl?appName=APP022ParticMagnMTV2-924373673-26-05-14&amp;tableName=4.reg_fotografico&amp;fileName="&amp;AS525                         )
                          )</f>
        <v/>
      </c>
      <c r="AV525" s="54" t="str">
        <f t="shared" si="5"/>
        <v/>
      </c>
    </row>
    <row r="526" ht="22.5" customHeight="1">
      <c r="AT526" s="54" t="str">
        <f t="array" ref="AT526">IF(
                AS526 = "",
                "",
                       IF(
                           AS526 ="FOTOGRAFIA",
                           "LINK",
                           "https://www.appsheet.com/template/gettablefileurl?appName=APP022ParticMagnMTV2-924373673-26-05-14&amp;tableName=4.reg_fotografico&amp;fileName="&amp;AS526                         )
                          )</f>
        <v/>
      </c>
      <c r="AV526" s="54" t="str">
        <f t="shared" si="5"/>
        <v/>
      </c>
    </row>
    <row r="527" ht="22.5" customHeight="1">
      <c r="AT527" s="54" t="str">
        <f t="array" ref="AT527">IF(
                AS527 = "",
                "",
                       IF(
                           AS527 ="FOTOGRAFIA",
                           "LINK",
                           "https://www.appsheet.com/template/gettablefileurl?appName=APP022ParticMagnMTV2-924373673-26-05-14&amp;tableName=4.reg_fotografico&amp;fileName="&amp;AS527                         )
                          )</f>
        <v/>
      </c>
      <c r="AV527" s="54" t="str">
        <f t="shared" si="5"/>
        <v/>
      </c>
    </row>
    <row r="528" ht="22.5" customHeight="1">
      <c r="AT528" s="54" t="str">
        <f t="array" ref="AT528">IF(
                AS528 = "",
                "",
                       IF(
                           AS528 ="FOTOGRAFIA",
                           "LINK",
                           "https://www.appsheet.com/template/gettablefileurl?appName=APP022ParticMagnMTV2-924373673-26-05-14&amp;tableName=4.reg_fotografico&amp;fileName="&amp;AS528                         )
                          )</f>
        <v/>
      </c>
      <c r="AV528" s="54" t="str">
        <f t="shared" si="5"/>
        <v/>
      </c>
    </row>
    <row r="529" ht="22.5" customHeight="1">
      <c r="AT529" s="54" t="str">
        <f t="array" ref="AT529">IF(
                AS529 = "",
                "",
                       IF(
                           AS529 ="FOTOGRAFIA",
                           "LINK",
                           "https://www.appsheet.com/template/gettablefileurl?appName=APP022ParticMagnMTV2-924373673-26-05-14&amp;tableName=4.reg_fotografico&amp;fileName="&amp;AS529                         )
                          )</f>
        <v/>
      </c>
      <c r="AV529" s="54" t="str">
        <f t="shared" si="5"/>
        <v/>
      </c>
    </row>
    <row r="530" ht="22.5" customHeight="1">
      <c r="AT530" s="54" t="str">
        <f t="array" ref="AT530">IF(
                AS530 = "",
                "",
                       IF(
                           AS530 ="FOTOGRAFIA",
                           "LINK",
                           "https://www.appsheet.com/template/gettablefileurl?appName=APP022ParticMagnMTV2-924373673-26-05-14&amp;tableName=4.reg_fotografico&amp;fileName="&amp;AS530                         )
                          )</f>
        <v/>
      </c>
      <c r="AV530" s="54" t="str">
        <f t="shared" si="5"/>
        <v/>
      </c>
    </row>
    <row r="531" ht="22.5" customHeight="1">
      <c r="AT531" s="54" t="str">
        <f t="array" ref="AT531">IF(
                AS531 = "",
                "",
                       IF(
                           AS531 ="FOTOGRAFIA",
                           "LINK",
                           "https://www.appsheet.com/template/gettablefileurl?appName=APP022ParticMagnMTV2-924373673-26-05-14&amp;tableName=4.reg_fotografico&amp;fileName="&amp;AS531                         )
                          )</f>
        <v/>
      </c>
      <c r="AV531" s="54" t="str">
        <f t="shared" si="5"/>
        <v/>
      </c>
    </row>
    <row r="532" ht="22.5" customHeight="1">
      <c r="AT532" s="54" t="str">
        <f t="array" ref="AT532">IF(
                AS532 = "",
                "",
                       IF(
                           AS532 ="FOTOGRAFIA",
                           "LINK",
                           "https://www.appsheet.com/template/gettablefileurl?appName=APP022ParticMagnMTV2-924373673-26-05-14&amp;tableName=4.reg_fotografico&amp;fileName="&amp;AS532                         )
                          )</f>
        <v/>
      </c>
      <c r="AV532" s="54" t="str">
        <f t="shared" si="5"/>
        <v/>
      </c>
    </row>
    <row r="533" ht="22.5" customHeight="1">
      <c r="AT533" s="54" t="str">
        <f t="array" ref="AT533">IF(
                AS533 = "",
                "",
                       IF(
                           AS533 ="FOTOGRAFIA",
                           "LINK",
                           "https://www.appsheet.com/template/gettablefileurl?appName=APP022ParticMagnMTV2-924373673-26-05-14&amp;tableName=4.reg_fotografico&amp;fileName="&amp;AS533                         )
                          )</f>
        <v/>
      </c>
      <c r="AV533" s="54" t="str">
        <f t="shared" si="5"/>
        <v/>
      </c>
    </row>
    <row r="534" ht="22.5" customHeight="1">
      <c r="AT534" s="54" t="str">
        <f t="array" ref="AT534">IF(
                AS534 = "",
                "",
                       IF(
                           AS534 ="FOTOGRAFIA",
                           "LINK",
                           "https://www.appsheet.com/template/gettablefileurl?appName=APP022ParticMagnMTV2-924373673-26-05-14&amp;tableName=4.reg_fotografico&amp;fileName="&amp;AS534                         )
                          )</f>
        <v/>
      </c>
      <c r="AV534" s="54" t="str">
        <f t="shared" si="5"/>
        <v/>
      </c>
    </row>
    <row r="535" ht="22.5" customHeight="1">
      <c r="AT535" s="54" t="str">
        <f t="array" ref="AT535">IF(
                AS535 = "",
                "",
                       IF(
                           AS535 ="FOTOGRAFIA",
                           "LINK",
                           "https://www.appsheet.com/template/gettablefileurl?appName=APP022ParticMagnMTV2-924373673-26-05-14&amp;tableName=4.reg_fotografico&amp;fileName="&amp;AS535                         )
                          )</f>
        <v/>
      </c>
      <c r="AV535" s="54" t="str">
        <f t="shared" si="5"/>
        <v/>
      </c>
    </row>
    <row r="536" ht="22.5" customHeight="1">
      <c r="AT536" s="54" t="str">
        <f t="array" ref="AT536">IF(
                AS536 = "",
                "",
                       IF(
                           AS536 ="FOTOGRAFIA",
                           "LINK",
                           "https://www.appsheet.com/template/gettablefileurl?appName=APP022ParticMagnMTV2-924373673-26-05-14&amp;tableName=4.reg_fotografico&amp;fileName="&amp;AS536                         )
                          )</f>
        <v/>
      </c>
      <c r="AV536" s="54" t="str">
        <f t="shared" si="5"/>
        <v/>
      </c>
    </row>
    <row r="537" ht="22.5" customHeight="1">
      <c r="AT537" s="54" t="str">
        <f t="array" ref="AT537">IF(
                AS537 = "",
                "",
                       IF(
                           AS537 ="FOTOGRAFIA",
                           "LINK",
                           "https://www.appsheet.com/template/gettablefileurl?appName=APP022ParticMagnMTV2-924373673-26-05-14&amp;tableName=4.reg_fotografico&amp;fileName="&amp;AS537                         )
                          )</f>
        <v/>
      </c>
      <c r="AV537" s="54" t="str">
        <f t="shared" si="5"/>
        <v/>
      </c>
    </row>
    <row r="538" ht="22.5" customHeight="1">
      <c r="AT538" s="54" t="str">
        <f t="array" ref="AT538">IF(
                AS538 = "",
                "",
                       IF(
                           AS538 ="FOTOGRAFIA",
                           "LINK",
                           "https://www.appsheet.com/template/gettablefileurl?appName=APP022ParticMagnMTV2-924373673-26-05-14&amp;tableName=4.reg_fotografico&amp;fileName="&amp;AS538                         )
                          )</f>
        <v/>
      </c>
      <c r="AV538" s="54" t="str">
        <f t="shared" si="5"/>
        <v/>
      </c>
    </row>
    <row r="539" ht="22.5" customHeight="1">
      <c r="AT539" s="54" t="str">
        <f t="array" ref="AT539">IF(
                AS539 = "",
                "",
                       IF(
                           AS539 ="FOTOGRAFIA",
                           "LINK",
                           "https://www.appsheet.com/template/gettablefileurl?appName=APP022ParticMagnMTV2-924373673-26-05-14&amp;tableName=4.reg_fotografico&amp;fileName="&amp;AS539                         )
                          )</f>
        <v/>
      </c>
      <c r="AV539" s="54" t="str">
        <f t="shared" si="5"/>
        <v/>
      </c>
    </row>
    <row r="540" ht="22.5" customHeight="1">
      <c r="AT540" s="54" t="str">
        <f t="array" ref="AT540">IF(
                AS540 = "",
                "",
                       IF(
                           AS540 ="FOTOGRAFIA",
                           "LINK",
                           "https://www.appsheet.com/template/gettablefileurl?appName=APP022ParticMagnMTV2-924373673-26-05-14&amp;tableName=4.reg_fotografico&amp;fileName="&amp;AS540                         )
                          )</f>
        <v/>
      </c>
      <c r="AV540" s="54" t="str">
        <f t="shared" si="5"/>
        <v/>
      </c>
    </row>
    <row r="541" ht="22.5" customHeight="1">
      <c r="AT541" s="54" t="str">
        <f t="array" ref="AT541">IF(
                AS541 = "",
                "",
                       IF(
                           AS541 ="FOTOGRAFIA",
                           "LINK",
                           "https://www.appsheet.com/template/gettablefileurl?appName=APP022ParticMagnMTV2-924373673-26-05-14&amp;tableName=4.reg_fotografico&amp;fileName="&amp;AS541                         )
                          )</f>
        <v/>
      </c>
      <c r="AV541" s="54" t="str">
        <f t="shared" si="5"/>
        <v/>
      </c>
    </row>
    <row r="542" ht="22.5" customHeight="1">
      <c r="AT542" s="54" t="str">
        <f t="array" ref="AT542">IF(
                AS542 = "",
                "",
                       IF(
                           AS542 ="FOTOGRAFIA",
                           "LINK",
                           "https://www.appsheet.com/template/gettablefileurl?appName=APP022ParticMagnMTV2-924373673-26-05-14&amp;tableName=4.reg_fotografico&amp;fileName="&amp;AS542                         )
                          )</f>
        <v/>
      </c>
      <c r="AV542" s="54" t="str">
        <f t="shared" si="5"/>
        <v/>
      </c>
    </row>
    <row r="543" ht="22.5" customHeight="1">
      <c r="AT543" s="54" t="str">
        <f t="array" ref="AT543">IF(
                AS543 = "",
                "",
                       IF(
                           AS543 ="FOTOGRAFIA",
                           "LINK",
                           "https://www.appsheet.com/template/gettablefileurl?appName=APP022ParticMagnMTV2-924373673-26-05-14&amp;tableName=4.reg_fotografico&amp;fileName="&amp;AS543                         )
                          )</f>
        <v/>
      </c>
      <c r="AV543" s="54" t="str">
        <f t="shared" si="5"/>
        <v/>
      </c>
    </row>
    <row r="544" ht="22.5" customHeight="1">
      <c r="AT544" s="54" t="str">
        <f t="array" ref="AT544">IF(
                AS544 = "",
                "",
                       IF(
                           AS544 ="FOTOGRAFIA",
                           "LINK",
                           "https://www.appsheet.com/template/gettablefileurl?appName=APP022ParticMagnMTV2-924373673-26-05-14&amp;tableName=4.reg_fotografico&amp;fileName="&amp;AS544                         )
                          )</f>
        <v/>
      </c>
      <c r="AV544" s="54" t="str">
        <f t="shared" si="5"/>
        <v/>
      </c>
    </row>
    <row r="545" ht="22.5" customHeight="1">
      <c r="AT545" s="54" t="str">
        <f t="array" ref="AT545">IF(
                AS545 = "",
                "",
                       IF(
                           AS545 ="FOTOGRAFIA",
                           "LINK",
                           "https://www.appsheet.com/template/gettablefileurl?appName=APP022ParticMagnMTV2-924373673-26-05-14&amp;tableName=4.reg_fotografico&amp;fileName="&amp;AS545                         )
                          )</f>
        <v/>
      </c>
      <c r="AV545" s="54" t="str">
        <f t="shared" si="5"/>
        <v/>
      </c>
    </row>
    <row r="546" ht="22.5" customHeight="1">
      <c r="AT546" s="54" t="str">
        <f t="array" ref="AT546">IF(
                AS546 = "",
                "",
                       IF(
                           AS546 ="FOTOGRAFIA",
                           "LINK",
                           "https://www.appsheet.com/template/gettablefileurl?appName=APP022ParticMagnMTV2-924373673-26-05-14&amp;tableName=4.reg_fotografico&amp;fileName="&amp;AS546                         )
                          )</f>
        <v/>
      </c>
      <c r="AV546" s="54" t="str">
        <f t="shared" si="5"/>
        <v/>
      </c>
    </row>
    <row r="547" ht="22.5" customHeight="1">
      <c r="AT547" s="54" t="str">
        <f t="array" ref="AT547">IF(
                AS547 = "",
                "",
                       IF(
                           AS547 ="FOTOGRAFIA",
                           "LINK",
                           "https://www.appsheet.com/template/gettablefileurl?appName=APP022ParticMagnMTV2-924373673-26-05-14&amp;tableName=4.reg_fotografico&amp;fileName="&amp;AS547                         )
                          )</f>
        <v/>
      </c>
      <c r="AV547" s="54" t="str">
        <f t="shared" si="5"/>
        <v/>
      </c>
    </row>
    <row r="548" ht="22.5" customHeight="1">
      <c r="AT548" s="54" t="str">
        <f t="array" ref="AT548">IF(
                AS548 = "",
                "",
                       IF(
                           AS548 ="FOTOGRAFIA",
                           "LINK",
                           "https://www.appsheet.com/template/gettablefileurl?appName=APP022ParticMagnMTV2-924373673-26-05-14&amp;tableName=4.reg_fotografico&amp;fileName="&amp;AS548                         )
                          )</f>
        <v/>
      </c>
      <c r="AV548" s="54" t="str">
        <f t="shared" si="5"/>
        <v/>
      </c>
    </row>
    <row r="549" ht="22.5" customHeight="1">
      <c r="AT549" s="54" t="str">
        <f t="array" ref="AT549">IF(
                AS549 = "",
                "",
                       IF(
                           AS549 ="FOTOGRAFIA",
                           "LINK",
                           "https://www.appsheet.com/template/gettablefileurl?appName=APP022ParticMagnMTV2-924373673-26-05-14&amp;tableName=4.reg_fotografico&amp;fileName="&amp;AS549                         )
                          )</f>
        <v/>
      </c>
      <c r="AV549" s="54" t="str">
        <f t="shared" si="5"/>
        <v/>
      </c>
    </row>
    <row r="550" ht="22.5" customHeight="1">
      <c r="AT550" s="54" t="str">
        <f t="array" ref="AT550">IF(
                AS550 = "",
                "",
                       IF(
                           AS550 ="FOTOGRAFIA",
                           "LINK",
                           "https://www.appsheet.com/template/gettablefileurl?appName=APP022ParticMagnMTV2-924373673-26-05-14&amp;tableName=4.reg_fotografico&amp;fileName="&amp;AS550                         )
                          )</f>
        <v/>
      </c>
      <c r="AV550" s="54" t="str">
        <f t="shared" si="5"/>
        <v/>
      </c>
    </row>
    <row r="551" ht="22.5" customHeight="1">
      <c r="AT551" s="54" t="str">
        <f t="array" ref="AT551">IF(
                AS551 = "",
                "",
                       IF(
                           AS551 ="FOTOGRAFIA",
                           "LINK",
                           "https://www.appsheet.com/template/gettablefileurl?appName=APP022ParticMagnMTV2-924373673-26-05-14&amp;tableName=4.reg_fotografico&amp;fileName="&amp;AS551                         )
                          )</f>
        <v/>
      </c>
      <c r="AV551" s="54" t="str">
        <f t="shared" si="5"/>
        <v/>
      </c>
    </row>
    <row r="552" ht="22.5" customHeight="1">
      <c r="AT552" s="54" t="str">
        <f t="array" ref="AT552">IF(
                AS552 = "",
                "",
                       IF(
                           AS552 ="FOTOGRAFIA",
                           "LINK",
                           "https://www.appsheet.com/template/gettablefileurl?appName=APP022ParticMagnMTV2-924373673-26-05-14&amp;tableName=4.reg_fotografico&amp;fileName="&amp;AS552                         )
                          )</f>
        <v/>
      </c>
      <c r="AV552" s="54" t="str">
        <f t="shared" si="5"/>
        <v/>
      </c>
    </row>
    <row r="553" ht="22.5" customHeight="1">
      <c r="AT553" s="54" t="str">
        <f t="array" ref="AT553">IF(
                AS553 = "",
                "",
                       IF(
                           AS553 ="FOTOGRAFIA",
                           "LINK",
                           "https://www.appsheet.com/template/gettablefileurl?appName=APP022ParticMagnMTV2-924373673-26-05-14&amp;tableName=4.reg_fotografico&amp;fileName="&amp;AS553                         )
                          )</f>
        <v/>
      </c>
      <c r="AV553" s="54" t="str">
        <f t="shared" si="5"/>
        <v/>
      </c>
    </row>
    <row r="554" ht="22.5" customHeight="1">
      <c r="AT554" s="54" t="str">
        <f t="array" ref="AT554">IF(
                AS554 = "",
                "",
                       IF(
                           AS554 ="FOTOGRAFIA",
                           "LINK",
                           "https://www.appsheet.com/template/gettablefileurl?appName=APP022ParticMagnMTV2-924373673-26-05-14&amp;tableName=4.reg_fotografico&amp;fileName="&amp;AS554                         )
                          )</f>
        <v/>
      </c>
      <c r="AV554" s="54" t="str">
        <f t="shared" si="5"/>
        <v/>
      </c>
    </row>
    <row r="555" ht="22.5" customHeight="1">
      <c r="AT555" s="54" t="str">
        <f t="array" ref="AT555">IF(
                AS555 = "",
                "",
                       IF(
                           AS555 ="FOTOGRAFIA",
                           "LINK",
                           "https://www.appsheet.com/template/gettablefileurl?appName=APP022ParticMagnMTV2-924373673-26-05-14&amp;tableName=4.reg_fotografico&amp;fileName="&amp;AS555                         )
                          )</f>
        <v/>
      </c>
      <c r="AV555" s="54" t="str">
        <f t="shared" si="5"/>
        <v/>
      </c>
    </row>
    <row r="556" ht="22.5" customHeight="1">
      <c r="AT556" s="54" t="str">
        <f t="array" ref="AT556">IF(
                AS556 = "",
                "",
                       IF(
                           AS556 ="FOTOGRAFIA",
                           "LINK",
                           "https://www.appsheet.com/template/gettablefileurl?appName=APP022ParticMagnMTV2-924373673-26-05-14&amp;tableName=4.reg_fotografico&amp;fileName="&amp;AS556                         )
                          )</f>
        <v/>
      </c>
      <c r="AV556" s="54" t="str">
        <f t="shared" si="5"/>
        <v/>
      </c>
    </row>
    <row r="557" ht="22.5" customHeight="1">
      <c r="AT557" s="54" t="str">
        <f t="array" ref="AT557">IF(
                AS557 = "",
                "",
                       IF(
                           AS557 ="FOTOGRAFIA",
                           "LINK",
                           "https://www.appsheet.com/template/gettablefileurl?appName=APP022ParticMagnMTV2-924373673-26-05-14&amp;tableName=4.reg_fotografico&amp;fileName="&amp;AS557                         )
                          )</f>
        <v/>
      </c>
      <c r="AV557" s="54" t="str">
        <f t="shared" si="5"/>
        <v/>
      </c>
    </row>
    <row r="558" ht="22.5" customHeight="1">
      <c r="AT558" s="54" t="str">
        <f t="array" ref="AT558">IF(
                AS558 = "",
                "",
                       IF(
                           AS558 ="FOTOGRAFIA",
                           "LINK",
                           "https://www.appsheet.com/template/gettablefileurl?appName=APP022ParticMagnMTV2-924373673-26-05-14&amp;tableName=4.reg_fotografico&amp;fileName="&amp;AS558                         )
                          )</f>
        <v/>
      </c>
      <c r="AV558" s="54" t="str">
        <f t="shared" si="5"/>
        <v/>
      </c>
    </row>
    <row r="559" ht="22.5" customHeight="1">
      <c r="AT559" s="54" t="str">
        <f t="array" ref="AT559">IF(
                AS559 = "",
                "",
                       IF(
                           AS559 ="FOTOGRAFIA",
                           "LINK",
                           "https://www.appsheet.com/template/gettablefileurl?appName=APP022ParticMagnMTV2-924373673-26-05-14&amp;tableName=4.reg_fotografico&amp;fileName="&amp;AS559                         )
                          )</f>
        <v/>
      </c>
      <c r="AV559" s="54" t="str">
        <f t="shared" si="5"/>
        <v/>
      </c>
    </row>
    <row r="560" ht="22.5" customHeight="1">
      <c r="AT560" s="54" t="str">
        <f t="array" ref="AT560">IF(
                AS560 = "",
                "",
                       IF(
                           AS560 ="FOTOGRAFIA",
                           "LINK",
                           "https://www.appsheet.com/template/gettablefileurl?appName=APP022ParticMagnMTV2-924373673-26-05-14&amp;tableName=4.reg_fotografico&amp;fileName="&amp;AS560                         )
                          )</f>
        <v/>
      </c>
      <c r="AV560" s="54" t="str">
        <f t="shared" si="5"/>
        <v/>
      </c>
    </row>
    <row r="561" ht="22.5" customHeight="1">
      <c r="AT561" s="54" t="str">
        <f t="array" ref="AT561">IF(
                AS561 = "",
                "",
                       IF(
                           AS561 ="FOTOGRAFIA",
                           "LINK",
                           "https://www.appsheet.com/template/gettablefileurl?appName=APP022ParticMagnMTV2-924373673-26-05-14&amp;tableName=4.reg_fotografico&amp;fileName="&amp;AS561                         )
                          )</f>
        <v/>
      </c>
      <c r="AV561" s="54" t="str">
        <f t="shared" si="5"/>
        <v/>
      </c>
    </row>
    <row r="562" ht="22.5" customHeight="1">
      <c r="AT562" s="54" t="str">
        <f t="array" ref="AT562">IF(
                AS562 = "",
                "",
                       IF(
                           AS562 ="FOTOGRAFIA",
                           "LINK",
                           "https://www.appsheet.com/template/gettablefileurl?appName=APP022ParticMagnMTV2-924373673-26-05-14&amp;tableName=4.reg_fotografico&amp;fileName="&amp;AS562                         )
                          )</f>
        <v/>
      </c>
      <c r="AV562" s="54" t="str">
        <f t="shared" si="5"/>
        <v/>
      </c>
    </row>
    <row r="563" ht="22.5" customHeight="1">
      <c r="AT563" s="54" t="str">
        <f t="array" ref="AT563">IF(
                AS563 = "",
                "",
                       IF(
                           AS563 ="FOTOGRAFIA",
                           "LINK",
                           "https://www.appsheet.com/template/gettablefileurl?appName=APP022ParticMagnMTV2-924373673-26-05-14&amp;tableName=4.reg_fotografico&amp;fileName="&amp;AS563                         )
                          )</f>
        <v/>
      </c>
      <c r="AV563" s="54" t="str">
        <f t="shared" si="5"/>
        <v/>
      </c>
    </row>
    <row r="564" ht="22.5" customHeight="1">
      <c r="AT564" s="54" t="str">
        <f t="array" ref="AT564">IF(
                AS564 = "",
                "",
                       IF(
                           AS564 ="FOTOGRAFIA",
                           "LINK",
                           "https://www.appsheet.com/template/gettablefileurl?appName=APP022ParticMagnMTV2-924373673-26-05-14&amp;tableName=4.reg_fotografico&amp;fileName="&amp;AS564                         )
                          )</f>
        <v/>
      </c>
      <c r="AV564" s="54" t="str">
        <f t="shared" si="5"/>
        <v/>
      </c>
    </row>
    <row r="565" ht="22.5" customHeight="1">
      <c r="AT565" s="54" t="str">
        <f t="array" ref="AT565">IF(
                AS565 = "",
                "",
                       IF(
                           AS565 ="FOTOGRAFIA",
                           "LINK",
                           "https://www.appsheet.com/template/gettablefileurl?appName=APP022ParticMagnMTV2-924373673-26-05-14&amp;tableName=4.reg_fotografico&amp;fileName="&amp;AS565                         )
                          )</f>
        <v/>
      </c>
      <c r="AV565" s="54" t="str">
        <f t="shared" si="5"/>
        <v/>
      </c>
    </row>
    <row r="566" ht="22.5" customHeight="1">
      <c r="AT566" s="54" t="str">
        <f t="array" ref="AT566">IF(
                AS566 = "",
                "",
                       IF(
                           AS566 ="FOTOGRAFIA",
                           "LINK",
                           "https://www.appsheet.com/template/gettablefileurl?appName=APP022ParticMagnMTV2-924373673-26-05-14&amp;tableName=4.reg_fotografico&amp;fileName="&amp;AS566                         )
                          )</f>
        <v/>
      </c>
      <c r="AV566" s="54" t="str">
        <f t="shared" si="5"/>
        <v/>
      </c>
    </row>
    <row r="567" ht="22.5" customHeight="1">
      <c r="AT567" s="54" t="str">
        <f t="array" ref="AT567">IF(
                AS567 = "",
                "",
                       IF(
                           AS567 ="FOTOGRAFIA",
                           "LINK",
                           "https://www.appsheet.com/template/gettablefileurl?appName=APP022ParticMagnMTV2-924373673-26-05-14&amp;tableName=4.reg_fotografico&amp;fileName="&amp;AS567                         )
                          )</f>
        <v/>
      </c>
      <c r="AV567" s="54" t="str">
        <f t="shared" si="5"/>
        <v/>
      </c>
    </row>
    <row r="568" ht="22.5" customHeight="1">
      <c r="AT568" s="54" t="str">
        <f t="array" ref="AT568">IF(
                AS568 = "",
                "",
                       IF(
                           AS568 ="FOTOGRAFIA",
                           "LINK",
                           "https://www.appsheet.com/template/gettablefileurl?appName=APP022ParticMagnMTV2-924373673-26-05-14&amp;tableName=4.reg_fotografico&amp;fileName="&amp;AS568                         )
                          )</f>
        <v/>
      </c>
      <c r="AV568" s="54" t="str">
        <f t="shared" si="5"/>
        <v/>
      </c>
    </row>
    <row r="569" ht="22.5" customHeight="1">
      <c r="AT569" s="54" t="str">
        <f t="array" ref="AT569">IF(
                AS569 = "",
                "",
                       IF(
                           AS569 ="FOTOGRAFIA",
                           "LINK",
                           "https://www.appsheet.com/template/gettablefileurl?appName=APP022ParticMagnMTV2-924373673-26-05-14&amp;tableName=4.reg_fotografico&amp;fileName="&amp;AS569                         )
                          )</f>
        <v/>
      </c>
      <c r="AV569" s="54" t="str">
        <f t="shared" si="5"/>
        <v/>
      </c>
    </row>
    <row r="570" ht="22.5" customHeight="1">
      <c r="AT570" s="54" t="str">
        <f t="array" ref="AT570">IF(
                AS570 = "",
                "",
                       IF(
                           AS570 ="FOTOGRAFIA",
                           "LINK",
                           "https://www.appsheet.com/template/gettablefileurl?appName=APP022ParticMagnMTV2-924373673-26-05-14&amp;tableName=4.reg_fotografico&amp;fileName="&amp;AS570                         )
                          )</f>
        <v/>
      </c>
      <c r="AV570" s="54" t="str">
        <f t="shared" si="5"/>
        <v/>
      </c>
    </row>
    <row r="571" ht="22.5" customHeight="1">
      <c r="AT571" s="54" t="str">
        <f t="array" ref="AT571">IF(
                AS571 = "",
                "",
                       IF(
                           AS571 ="FOTOGRAFIA",
                           "LINK",
                           "https://www.appsheet.com/template/gettablefileurl?appName=APP022ParticMagnMTV2-924373673-26-05-14&amp;tableName=4.reg_fotografico&amp;fileName="&amp;AS571                         )
                          )</f>
        <v/>
      </c>
      <c r="AV571" s="54" t="str">
        <f t="shared" si="5"/>
        <v/>
      </c>
    </row>
    <row r="572" ht="22.5" customHeight="1">
      <c r="AT572" s="54" t="str">
        <f t="array" ref="AT572">IF(
                AS572 = "",
                "",
                       IF(
                           AS572 ="FOTOGRAFIA",
                           "LINK",
                           "https://www.appsheet.com/template/gettablefileurl?appName=APP022ParticMagnMTV2-924373673-26-05-14&amp;tableName=4.reg_fotografico&amp;fileName="&amp;AS572                         )
                          )</f>
        <v/>
      </c>
      <c r="AV572" s="54" t="str">
        <f t="shared" si="5"/>
        <v/>
      </c>
    </row>
    <row r="573" ht="22.5" customHeight="1">
      <c r="AT573" s="54" t="str">
        <f t="array" ref="AT573">IF(
                AS573 = "",
                "",
                       IF(
                           AS573 ="FOTOGRAFIA",
                           "LINK",
                           "https://www.appsheet.com/template/gettablefileurl?appName=APP022ParticMagnMTV2-924373673-26-05-14&amp;tableName=4.reg_fotografico&amp;fileName="&amp;AS573                         )
                          )</f>
        <v/>
      </c>
      <c r="AV573" s="54" t="str">
        <f t="shared" si="5"/>
        <v/>
      </c>
    </row>
    <row r="574" ht="22.5" customHeight="1">
      <c r="AT574" s="54" t="str">
        <f t="array" ref="AT574">IF(
                AS574 = "",
                "",
                       IF(
                           AS574 ="FOTOGRAFIA",
                           "LINK",
                           "https://www.appsheet.com/template/gettablefileurl?appName=APP022ParticMagnMTV2-924373673-26-05-14&amp;tableName=4.reg_fotografico&amp;fileName="&amp;AS574                         )
                          )</f>
        <v/>
      </c>
      <c r="AV574" s="54" t="str">
        <f t="shared" si="5"/>
        <v/>
      </c>
    </row>
    <row r="575" ht="22.5" customHeight="1">
      <c r="AT575" s="54" t="str">
        <f t="array" ref="AT575">IF(
                AS575 = "",
                "",
                       IF(
                           AS575 ="FOTOGRAFIA",
                           "LINK",
                           "https://www.appsheet.com/template/gettablefileurl?appName=APP022ParticMagnMTV2-924373673-26-05-14&amp;tableName=4.reg_fotografico&amp;fileName="&amp;AS575                         )
                          )</f>
        <v/>
      </c>
      <c r="AV575" s="54" t="str">
        <f t="shared" si="5"/>
        <v/>
      </c>
    </row>
    <row r="576" ht="22.5" customHeight="1">
      <c r="AT576" s="54" t="str">
        <f t="array" ref="AT576">IF(
                AS576 = "",
                "",
                       IF(
                           AS576 ="FOTOGRAFIA",
                           "LINK",
                           "https://www.appsheet.com/template/gettablefileurl?appName=APP022ParticMagnMTV2-924373673-26-05-14&amp;tableName=4.reg_fotografico&amp;fileName="&amp;AS576                         )
                          )</f>
        <v/>
      </c>
      <c r="AV576" s="54" t="str">
        <f t="shared" si="5"/>
        <v/>
      </c>
    </row>
    <row r="577" ht="22.5" customHeight="1">
      <c r="AT577" s="54" t="str">
        <f t="array" ref="AT577">IF(
                AS577 = "",
                "",
                       IF(
                           AS577 ="FOTOGRAFIA",
                           "LINK",
                           "https://www.appsheet.com/template/gettablefileurl?appName=APP022ParticMagnMTV2-924373673-26-05-14&amp;tableName=4.reg_fotografico&amp;fileName="&amp;AS577                         )
                          )</f>
        <v/>
      </c>
      <c r="AV577" s="54" t="str">
        <f t="shared" si="5"/>
        <v/>
      </c>
    </row>
    <row r="578" ht="22.5" customHeight="1">
      <c r="AT578" s="54" t="str">
        <f t="array" ref="AT578">IF(
                AS578 = "",
                "",
                       IF(
                           AS578 ="FOTOGRAFIA",
                           "LINK",
                           "https://www.appsheet.com/template/gettablefileurl?appName=APP022ParticMagnMTV2-924373673-26-05-14&amp;tableName=4.reg_fotografico&amp;fileName="&amp;AS578                         )
                          )</f>
        <v/>
      </c>
      <c r="AV578" s="54" t="str">
        <f t="shared" si="5"/>
        <v/>
      </c>
    </row>
    <row r="579" ht="22.5" customHeight="1">
      <c r="AT579" s="54" t="str">
        <f t="array" ref="AT579">IF(
                AS579 = "",
                "",
                       IF(
                           AS579 ="FOTOGRAFIA",
                           "LINK",
                           "https://www.appsheet.com/template/gettablefileurl?appName=APP022ParticMagnMTV2-924373673-26-05-14&amp;tableName=4.reg_fotografico&amp;fileName="&amp;AS579                         )
                          )</f>
        <v/>
      </c>
      <c r="AV579" s="54" t="str">
        <f t="shared" si="5"/>
        <v/>
      </c>
    </row>
    <row r="580" ht="22.5" customHeight="1">
      <c r="AT580" s="54" t="str">
        <f t="array" ref="AT580">IF(
                AS580 = "",
                "",
                       IF(
                           AS580 ="FOTOGRAFIA",
                           "LINK",
                           "https://www.appsheet.com/template/gettablefileurl?appName=APP022ParticMagnMTV2-924373673-26-05-14&amp;tableName=4.reg_fotografico&amp;fileName="&amp;AS580                         )
                          )</f>
        <v/>
      </c>
      <c r="AV580" s="54" t="str">
        <f t="shared" si="5"/>
        <v/>
      </c>
    </row>
    <row r="581" ht="22.5" customHeight="1">
      <c r="AT581" s="54" t="str">
        <f t="array" ref="AT581">IF(
                AS581 = "",
                "",
                       IF(
                           AS581 ="FOTOGRAFIA",
                           "LINK",
                           "https://www.appsheet.com/template/gettablefileurl?appName=APP022ParticMagnMTV2-924373673-26-05-14&amp;tableName=4.reg_fotografico&amp;fileName="&amp;AS581                         )
                          )</f>
        <v/>
      </c>
      <c r="AV581" s="54" t="str">
        <f t="shared" si="5"/>
        <v/>
      </c>
    </row>
    <row r="582" ht="22.5" customHeight="1">
      <c r="AT582" s="54" t="str">
        <f t="array" ref="AT582">IF(
                AS582 = "",
                "",
                       IF(
                           AS582 ="FOTOGRAFIA",
                           "LINK",
                           "https://www.appsheet.com/template/gettablefileurl?appName=APP022ParticMagnMTV2-924373673-26-05-14&amp;tableName=4.reg_fotografico&amp;fileName="&amp;AS582                         )
                          )</f>
        <v/>
      </c>
      <c r="AV582" s="54" t="str">
        <f t="shared" si="5"/>
        <v/>
      </c>
    </row>
    <row r="583" ht="22.5" customHeight="1">
      <c r="AT583" s="54" t="str">
        <f t="array" ref="AT583">IF(
                AS583 = "",
                "",
                       IF(
                           AS583 ="FOTOGRAFIA",
                           "LINK",
                           "https://www.appsheet.com/template/gettablefileurl?appName=APP022ParticMagnMTV2-924373673-26-05-14&amp;tableName=4.reg_fotografico&amp;fileName="&amp;AS583                         )
                          )</f>
        <v/>
      </c>
      <c r="AV583" s="54" t="str">
        <f t="shared" si="5"/>
        <v/>
      </c>
    </row>
    <row r="584" ht="22.5" customHeight="1">
      <c r="AT584" s="54" t="str">
        <f t="array" ref="AT584">IF(
                AS584 = "",
                "",
                       IF(
                           AS584 ="FOTOGRAFIA",
                           "LINK",
                           "https://www.appsheet.com/template/gettablefileurl?appName=APP022ParticMagnMTV2-924373673-26-05-14&amp;tableName=4.reg_fotografico&amp;fileName="&amp;AS584                         )
                          )</f>
        <v/>
      </c>
      <c r="AV584" s="54" t="str">
        <f t="shared" si="5"/>
        <v/>
      </c>
    </row>
    <row r="585" ht="22.5" customHeight="1">
      <c r="AT585" s="54" t="str">
        <f t="array" ref="AT585">IF(
                AS585 = "",
                "",
                       IF(
                           AS585 ="FOTOGRAFIA",
                           "LINK",
                           "https://www.appsheet.com/template/gettablefileurl?appName=APP022ParticMagnMTV2-924373673-26-05-14&amp;tableName=4.reg_fotografico&amp;fileName="&amp;AS585                         )
                          )</f>
        <v/>
      </c>
      <c r="AV585" s="54" t="str">
        <f t="shared" si="5"/>
        <v/>
      </c>
    </row>
    <row r="586" ht="22.5" customHeight="1">
      <c r="AT586" s="54" t="str">
        <f t="array" ref="AT586">IF(
                AS586 = "",
                "",
                       IF(
                           AS586 ="FOTOGRAFIA",
                           "LINK",
                           "https://www.appsheet.com/template/gettablefileurl?appName=APP022ParticMagnMTV2-924373673-26-05-14&amp;tableName=4.reg_fotografico&amp;fileName="&amp;AS586                         )
                          )</f>
        <v/>
      </c>
      <c r="AV586" s="54" t="str">
        <f t="shared" si="5"/>
        <v/>
      </c>
    </row>
    <row r="587" ht="22.5" customHeight="1">
      <c r="AT587" s="54" t="str">
        <f t="array" ref="AT587">IF(
                AS587 = "",
                "",
                       IF(
                           AS587 ="FOTOGRAFIA",
                           "LINK",
                           "https://www.appsheet.com/template/gettablefileurl?appName=APP022ParticMagnMTV2-924373673-26-05-14&amp;tableName=4.reg_fotografico&amp;fileName="&amp;AS587                         )
                          )</f>
        <v/>
      </c>
      <c r="AV587" s="54" t="str">
        <f t="shared" si="5"/>
        <v/>
      </c>
    </row>
    <row r="588" ht="22.5" customHeight="1">
      <c r="AT588" s="54" t="str">
        <f t="array" ref="AT588">IF(
                AS588 = "",
                "",
                       IF(
                           AS588 ="FOTOGRAFIA",
                           "LINK",
                           "https://www.appsheet.com/template/gettablefileurl?appName=APP022ParticMagnMTV2-924373673-26-05-14&amp;tableName=4.reg_fotografico&amp;fileName="&amp;AS588                         )
                          )</f>
        <v/>
      </c>
      <c r="AV588" s="54" t="str">
        <f t="shared" si="5"/>
        <v/>
      </c>
    </row>
    <row r="589" ht="22.5" customHeight="1">
      <c r="AT589" s="54" t="str">
        <f t="array" ref="AT589">IF(
                AS589 = "",
                "",
                       IF(
                           AS589 ="FOTOGRAFIA",
                           "LINK",
                           "https://www.appsheet.com/template/gettablefileurl?appName=APP022ParticMagnMTV2-924373673-26-05-14&amp;tableName=4.reg_fotografico&amp;fileName="&amp;AS589                         )
                          )</f>
        <v/>
      </c>
      <c r="AV589" s="54" t="str">
        <f t="shared" si="5"/>
        <v/>
      </c>
    </row>
    <row r="590" ht="22.5" customHeight="1">
      <c r="AT590" s="54" t="str">
        <f t="array" ref="AT590">IF(
                AS590 = "",
                "",
                       IF(
                           AS590 ="FOTOGRAFIA",
                           "LINK",
                           "https://www.appsheet.com/template/gettablefileurl?appName=APP022ParticMagnMTV2-924373673-26-05-14&amp;tableName=4.reg_fotografico&amp;fileName="&amp;AS590                         )
                          )</f>
        <v/>
      </c>
      <c r="AV590" s="54" t="str">
        <f t="shared" si="5"/>
        <v/>
      </c>
    </row>
    <row r="591" ht="22.5" customHeight="1">
      <c r="AT591" s="54" t="str">
        <f t="array" ref="AT591">IF(
                AS591 = "",
                "",
                       IF(
                           AS591 ="FOTOGRAFIA",
                           "LINK",
                           "https://www.appsheet.com/template/gettablefileurl?appName=APP022ParticMagnMTV2-924373673-26-05-14&amp;tableName=4.reg_fotografico&amp;fileName="&amp;AS591                         )
                          )</f>
        <v/>
      </c>
      <c r="AV591" s="54" t="str">
        <f t="shared" si="5"/>
        <v/>
      </c>
    </row>
    <row r="592" ht="22.5" customHeight="1">
      <c r="AT592" s="54" t="str">
        <f t="array" ref="AT592">IF(
                AS592 = "",
                "",
                       IF(
                           AS592 ="FOTOGRAFIA",
                           "LINK",
                           "https://www.appsheet.com/template/gettablefileurl?appName=APP022ParticMagnMTV2-924373673-26-05-14&amp;tableName=4.reg_fotografico&amp;fileName="&amp;AS592                         )
                          )</f>
        <v/>
      </c>
      <c r="AV592" s="54" t="str">
        <f t="shared" si="5"/>
        <v/>
      </c>
    </row>
    <row r="593" ht="22.5" customHeight="1">
      <c r="AT593" s="54" t="str">
        <f t="array" ref="AT593">IF(
                AS593 = "",
                "",
                       IF(
                           AS593 ="FOTOGRAFIA",
                           "LINK",
                           "https://www.appsheet.com/template/gettablefileurl?appName=APP022ParticMagnMTV2-924373673-26-05-14&amp;tableName=4.reg_fotografico&amp;fileName="&amp;AS593                         )
                          )</f>
        <v/>
      </c>
      <c r="AV593" s="54" t="str">
        <f t="shared" si="5"/>
        <v/>
      </c>
    </row>
    <row r="594" ht="22.5" customHeight="1">
      <c r="AT594" s="54" t="str">
        <f t="array" ref="AT594">IF(
                AS594 = "",
                "",
                       IF(
                           AS594 ="FOTOGRAFIA",
                           "LINK",
                           "https://www.appsheet.com/template/gettablefileurl?appName=APP022ParticMagnMTV2-924373673-26-05-14&amp;tableName=4.reg_fotografico&amp;fileName="&amp;AS594                         )
                          )</f>
        <v/>
      </c>
      <c r="AV594" s="54" t="str">
        <f t="shared" si="5"/>
        <v/>
      </c>
    </row>
    <row r="595" ht="22.5" customHeight="1">
      <c r="AT595" s="54" t="str">
        <f t="array" ref="AT595">IF(
                AS595 = "",
                "",
                       IF(
                           AS595 ="FOTOGRAFIA",
                           "LINK",
                           "https://www.appsheet.com/template/gettablefileurl?appName=APP022ParticMagnMTV2-924373673-26-05-14&amp;tableName=4.reg_fotografico&amp;fileName="&amp;AS595                         )
                          )</f>
        <v/>
      </c>
      <c r="AV595" s="54" t="str">
        <f t="shared" si="5"/>
        <v/>
      </c>
    </row>
    <row r="596" ht="22.5" customHeight="1">
      <c r="AT596" s="54" t="str">
        <f t="array" ref="AT596">IF(
                AS596 = "",
                "",
                       IF(
                           AS596 ="FOTOGRAFIA",
                           "LINK",
                           "https://www.appsheet.com/template/gettablefileurl?appName=APP022ParticMagnMTV2-924373673-26-05-14&amp;tableName=4.reg_fotografico&amp;fileName="&amp;AS596                         )
                          )</f>
        <v/>
      </c>
      <c r="AV596" s="54" t="str">
        <f t="shared" si="5"/>
        <v/>
      </c>
    </row>
    <row r="597" ht="22.5" customHeight="1">
      <c r="AT597" s="54" t="str">
        <f t="array" ref="AT597">IF(
                AS597 = "",
                "",
                       IF(
                           AS597 ="FOTOGRAFIA",
                           "LINK",
                           "https://www.appsheet.com/template/gettablefileurl?appName=APP022ParticMagnMTV2-924373673-26-05-14&amp;tableName=4.reg_fotografico&amp;fileName="&amp;AS597                         )
                          )</f>
        <v/>
      </c>
      <c r="AV597" s="54" t="str">
        <f t="shared" si="5"/>
        <v/>
      </c>
    </row>
    <row r="598" ht="22.5" customHeight="1">
      <c r="AT598" s="54" t="str">
        <f t="array" ref="AT598">IF(
                AS598 = "",
                "",
                       IF(
                           AS598 ="FOTOGRAFIA",
                           "LINK",
                           "https://www.appsheet.com/template/gettablefileurl?appName=APP022ParticMagnMTV2-924373673-26-05-14&amp;tableName=4.reg_fotografico&amp;fileName="&amp;AS598                         )
                          )</f>
        <v/>
      </c>
      <c r="AV598" s="54" t="str">
        <f t="shared" si="5"/>
        <v/>
      </c>
    </row>
    <row r="599" ht="22.5" customHeight="1">
      <c r="AT599" s="54" t="str">
        <f t="array" ref="AT599">IF(
                AS599 = "",
                "",
                       IF(
                           AS599 ="FOTOGRAFIA",
                           "LINK",
                           "https://www.appsheet.com/template/gettablefileurl?appName=APP022ParticMagnMTV2-924373673-26-05-14&amp;tableName=4.reg_fotografico&amp;fileName="&amp;AS599                         )
                          )</f>
        <v/>
      </c>
      <c r="AV599" s="54" t="str">
        <f t="shared" si="5"/>
        <v/>
      </c>
    </row>
    <row r="600" ht="22.5" customHeight="1">
      <c r="AT600" s="54" t="str">
        <f t="array" ref="AT600">IF(
                AS600 = "",
                "",
                       IF(
                           AS600 ="FOTOGRAFIA",
                           "LINK",
                           "https://www.appsheet.com/template/gettablefileurl?appName=APP022ParticMagnMTV2-924373673-26-05-14&amp;tableName=4.reg_fotografico&amp;fileName="&amp;AS600                         )
                          )</f>
        <v/>
      </c>
      <c r="AV600" s="54" t="str">
        <f t="shared" si="5"/>
        <v/>
      </c>
    </row>
    <row r="601" ht="22.5" customHeight="1">
      <c r="AT601" s="54" t="str">
        <f t="array" ref="AT601">IF(
                AS601 = "",
                "",
                       IF(
                           AS601 ="FOTOGRAFIA",
                           "LINK",
                           "https://www.appsheet.com/template/gettablefileurl?appName=APP022ParticMagnMTV2-924373673-26-05-14&amp;tableName=4.reg_fotografico&amp;fileName="&amp;AS601                         )
                          )</f>
        <v/>
      </c>
      <c r="AV601" s="54" t="str">
        <f t="shared" si="5"/>
        <v/>
      </c>
    </row>
    <row r="602" ht="22.5" customHeight="1">
      <c r="AT602" s="54" t="str">
        <f t="array" ref="AT602">IF(
                AS602 = "",
                "",
                       IF(
                           AS602 ="FOTOGRAFIA",
                           "LINK",
                           "https://www.appsheet.com/template/gettablefileurl?appName=APP022ParticMagnMTV2-924373673-26-05-14&amp;tableName=4.reg_fotografico&amp;fileName="&amp;AS602                         )
                          )</f>
        <v/>
      </c>
      <c r="AV602" s="54" t="str">
        <f t="shared" si="5"/>
        <v/>
      </c>
    </row>
    <row r="603" ht="22.5" customHeight="1">
      <c r="AT603" s="54" t="str">
        <f t="array" ref="AT603">IF(
                AS603 = "",
                "",
                       IF(
                           AS603 ="FOTOGRAFIA",
                           "LINK",
                           "https://www.appsheet.com/template/gettablefileurl?appName=APP022ParticMagnMTV2-924373673-26-05-14&amp;tableName=4.reg_fotografico&amp;fileName="&amp;AS603                         )
                          )</f>
        <v/>
      </c>
      <c r="AV603" s="54" t="str">
        <f t="shared" si="5"/>
        <v/>
      </c>
    </row>
    <row r="604" ht="22.5" customHeight="1">
      <c r="AT604" s="54" t="str">
        <f t="array" ref="AT604">IF(
                AS604 = "",
                "",
                       IF(
                           AS604 ="FOTOGRAFIA",
                           "LINK",
                           "https://www.appsheet.com/template/gettablefileurl?appName=APP022ParticMagnMTV2-924373673-26-05-14&amp;tableName=4.reg_fotografico&amp;fileName="&amp;AS604                         )
                          )</f>
        <v/>
      </c>
      <c r="AV604" s="54" t="str">
        <f t="shared" si="5"/>
        <v/>
      </c>
    </row>
    <row r="605" ht="22.5" customHeight="1">
      <c r="AT605" s="54" t="str">
        <f t="array" ref="AT605">IF(
                AS605 = "",
                "",
                       IF(
                           AS605 ="FOTOGRAFIA",
                           "LINK",
                           "https://www.appsheet.com/template/gettablefileurl?appName=APP022ParticMagnMTV2-924373673-26-05-14&amp;tableName=4.reg_fotografico&amp;fileName="&amp;AS605                         )
                          )</f>
        <v/>
      </c>
      <c r="AV605" s="54" t="str">
        <f t="shared" si="5"/>
        <v/>
      </c>
    </row>
    <row r="606" ht="22.5" customHeight="1">
      <c r="AT606" s="54" t="str">
        <f t="array" ref="AT606">IF(
                AS606 = "",
                "",
                       IF(
                           AS606 ="FOTOGRAFIA",
                           "LINK",
                           "https://www.appsheet.com/template/gettablefileurl?appName=APP022ParticMagnMTV2-924373673-26-05-14&amp;tableName=4.reg_fotografico&amp;fileName="&amp;AS606                         )
                          )</f>
        <v/>
      </c>
      <c r="AV606" s="54" t="str">
        <f t="shared" si="5"/>
        <v/>
      </c>
    </row>
    <row r="607" ht="22.5" customHeight="1">
      <c r="AT607" s="54" t="str">
        <f t="array" ref="AT607">IF(
                AS607 = "",
                "",
                       IF(
                           AS607 ="FOTOGRAFIA",
                           "LINK",
                           "https://www.appsheet.com/template/gettablefileurl?appName=APP022ParticMagnMTV2-924373673-26-05-14&amp;tableName=4.reg_fotografico&amp;fileName="&amp;AS607                         )
                          )</f>
        <v/>
      </c>
      <c r="AV607" s="54" t="str">
        <f t="shared" si="5"/>
        <v/>
      </c>
    </row>
    <row r="608" ht="22.5" customHeight="1">
      <c r="AT608" s="54" t="str">
        <f t="array" ref="AT608">IF(
                AS608 = "",
                "",
                       IF(
                           AS608 ="FOTOGRAFIA",
                           "LINK",
                           "https://www.appsheet.com/template/gettablefileurl?appName=APP022ParticMagnMTV2-924373673-26-05-14&amp;tableName=4.reg_fotografico&amp;fileName="&amp;AS608                         )
                          )</f>
        <v/>
      </c>
      <c r="AV608" s="54" t="str">
        <f t="shared" si="5"/>
        <v/>
      </c>
    </row>
    <row r="609" ht="22.5" customHeight="1">
      <c r="AT609" s="54" t="str">
        <f t="array" ref="AT609">IF(
                AS609 = "",
                "",
                       IF(
                           AS609 ="FOTOGRAFIA",
                           "LINK",
                           "https://www.appsheet.com/template/gettablefileurl?appName=APP022ParticMagnMTV2-924373673-26-05-14&amp;tableName=4.reg_fotografico&amp;fileName="&amp;AS609                         )
                          )</f>
        <v/>
      </c>
      <c r="AV609" s="54" t="str">
        <f t="shared" si="5"/>
        <v/>
      </c>
    </row>
    <row r="610" ht="22.5" customHeight="1">
      <c r="AT610" s="54" t="str">
        <f t="array" ref="AT610">IF(
                AS610 = "",
                "",
                       IF(
                           AS610 ="FOTOGRAFIA",
                           "LINK",
                           "https://www.appsheet.com/template/gettablefileurl?appName=APP022ParticMagnMTV2-924373673-26-05-14&amp;tableName=4.reg_fotografico&amp;fileName="&amp;AS610                         )
                          )</f>
        <v/>
      </c>
      <c r="AV610" s="54" t="str">
        <f t="shared" si="5"/>
        <v/>
      </c>
    </row>
    <row r="611" ht="22.5" customHeight="1">
      <c r="AT611" s="54" t="str">
        <f t="array" ref="AT611">IF(
                AS611 = "",
                "",
                       IF(
                           AS611 ="FOTOGRAFIA",
                           "LINK",
                           "https://www.appsheet.com/template/gettablefileurl?appName=APP022ParticMagnMTV2-924373673-26-05-14&amp;tableName=4.reg_fotografico&amp;fileName="&amp;AS611                         )
                          )</f>
        <v/>
      </c>
      <c r="AV611" s="54" t="str">
        <f t="shared" si="5"/>
        <v/>
      </c>
    </row>
    <row r="612" ht="22.5" customHeight="1">
      <c r="AT612" s="54" t="str">
        <f t="array" ref="AT612">IF(
                AS612 = "",
                "",
                       IF(
                           AS612 ="FOTOGRAFIA",
                           "LINK",
                           "https://www.appsheet.com/template/gettablefileurl?appName=APP022ParticMagnMTV2-924373673-26-05-14&amp;tableName=4.reg_fotografico&amp;fileName="&amp;AS612                         )
                          )</f>
        <v/>
      </c>
      <c r="AV612" s="54" t="str">
        <f t="shared" si="5"/>
        <v/>
      </c>
    </row>
    <row r="613" ht="22.5" customHeight="1">
      <c r="AT613" s="54" t="str">
        <f t="array" ref="AT613">IF(
                AS613 = "",
                "",
                       IF(
                           AS613 ="FOTOGRAFIA",
                           "LINK",
                           "https://www.appsheet.com/template/gettablefileurl?appName=APP022ParticMagnMTV2-924373673-26-05-14&amp;tableName=4.reg_fotografico&amp;fileName="&amp;AS613                         )
                          )</f>
        <v/>
      </c>
      <c r="AV613" s="54" t="str">
        <f t="shared" si="5"/>
        <v/>
      </c>
    </row>
    <row r="614" ht="22.5" customHeight="1">
      <c r="AT614" s="54" t="str">
        <f t="array" ref="AT614">IF(
                AS614 = "",
                "",
                       IF(
                           AS614 ="FOTOGRAFIA",
                           "LINK",
                           "https://www.appsheet.com/template/gettablefileurl?appName=APP022ParticMagnMTV2-924373673-26-05-14&amp;tableName=4.reg_fotografico&amp;fileName="&amp;AS614                         )
                          )</f>
        <v/>
      </c>
      <c r="AV614" s="54" t="str">
        <f t="shared" si="5"/>
        <v/>
      </c>
    </row>
    <row r="615" ht="22.5" customHeight="1">
      <c r="AT615" s="54" t="str">
        <f t="array" ref="AT615">IF(
                AS615 = "",
                "",
                       IF(
                           AS615 ="FOTOGRAFIA",
                           "LINK",
                           "https://www.appsheet.com/template/gettablefileurl?appName=APP022ParticMagnMTV2-924373673-26-05-14&amp;tableName=4.reg_fotografico&amp;fileName="&amp;AS615                         )
                          )</f>
        <v/>
      </c>
      <c r="AV615" s="54" t="str">
        <f t="shared" si="5"/>
        <v/>
      </c>
    </row>
    <row r="616" ht="22.5" customHeight="1">
      <c r="AT616" s="54" t="str">
        <f t="array" ref="AT616">IF(
                AS616 = "",
                "",
                       IF(
                           AS616 ="FOTOGRAFIA",
                           "LINK",
                           "https://www.appsheet.com/template/gettablefileurl?appName=APP022ParticMagnMTV2-924373673-26-05-14&amp;tableName=4.reg_fotografico&amp;fileName="&amp;AS616                         )
                          )</f>
        <v/>
      </c>
      <c r="AV616" s="54" t="str">
        <f t="shared" si="5"/>
        <v/>
      </c>
    </row>
    <row r="617" ht="22.5" customHeight="1">
      <c r="AT617" s="54" t="str">
        <f t="array" ref="AT617">IF(
                AS617 = "",
                "",
                       IF(
                           AS617 ="FOTOGRAFIA",
                           "LINK",
                           "https://www.appsheet.com/template/gettablefileurl?appName=APP022ParticMagnMTV2-924373673-26-05-14&amp;tableName=4.reg_fotografico&amp;fileName="&amp;AS617                         )
                          )</f>
        <v/>
      </c>
      <c r="AV617" s="54" t="str">
        <f t="shared" si="5"/>
        <v/>
      </c>
    </row>
    <row r="618" ht="22.5" customHeight="1">
      <c r="AT618" s="54" t="str">
        <f t="array" ref="AT618">IF(
                AS618 = "",
                "",
                       IF(
                           AS618 ="FOTOGRAFIA",
                           "LINK",
                           "https://www.appsheet.com/template/gettablefileurl?appName=APP022ParticMagnMTV2-924373673-26-05-14&amp;tableName=4.reg_fotografico&amp;fileName="&amp;AS618                         )
                          )</f>
        <v/>
      </c>
      <c r="AV618" s="54" t="str">
        <f t="shared" si="5"/>
        <v/>
      </c>
    </row>
    <row r="619" ht="22.5" customHeight="1">
      <c r="AT619" s="54" t="str">
        <f t="array" ref="AT619">IF(
                AS619 = "",
                "",
                       IF(
                           AS619 ="FOTOGRAFIA",
                           "LINK",
                           "https://www.appsheet.com/template/gettablefileurl?appName=APP022ParticMagnMTV2-924373673-26-05-14&amp;tableName=4.reg_fotografico&amp;fileName="&amp;AS619                         )
                          )</f>
        <v/>
      </c>
      <c r="AV619" s="54" t="str">
        <f t="shared" si="5"/>
        <v/>
      </c>
    </row>
    <row r="620" ht="22.5" customHeight="1">
      <c r="AT620" s="54" t="str">
        <f t="array" ref="AT620">IF(
                AS620 = "",
                "",
                       IF(
                           AS620 ="FOTOGRAFIA",
                           "LINK",
                           "https://www.appsheet.com/template/gettablefileurl?appName=APP022ParticMagnMTV2-924373673-26-05-14&amp;tableName=4.reg_fotografico&amp;fileName="&amp;AS620                         )
                          )</f>
        <v/>
      </c>
      <c r="AV620" s="54" t="str">
        <f t="shared" si="5"/>
        <v/>
      </c>
    </row>
    <row r="621" ht="22.5" customHeight="1">
      <c r="AT621" s="54" t="str">
        <f t="array" ref="AT621">IF(
                AS621 = "",
                "",
                       IF(
                           AS621 ="FOTOGRAFIA",
                           "LINK",
                           "https://www.appsheet.com/template/gettablefileurl?appName=APP022ParticMagnMTV2-924373673-26-05-14&amp;tableName=4.reg_fotografico&amp;fileName="&amp;AS621                         )
                          )</f>
        <v/>
      </c>
      <c r="AV621" s="54" t="str">
        <f t="shared" si="5"/>
        <v/>
      </c>
    </row>
    <row r="622" ht="22.5" customHeight="1">
      <c r="AT622" s="54" t="str">
        <f t="array" ref="AT622">IF(
                AS622 = "",
                "",
                       IF(
                           AS622 ="FOTOGRAFIA",
                           "LINK",
                           "https://www.appsheet.com/template/gettablefileurl?appName=APP022ParticMagnMTV2-924373673-26-05-14&amp;tableName=4.reg_fotografico&amp;fileName="&amp;AS622                         )
                          )</f>
        <v/>
      </c>
      <c r="AV622" s="54" t="str">
        <f t="shared" si="5"/>
        <v/>
      </c>
    </row>
    <row r="623" ht="22.5" customHeight="1">
      <c r="AT623" s="54" t="str">
        <f t="array" ref="AT623">IF(
                AS623 = "",
                "",
                       IF(
                           AS623 ="FOTOGRAFIA",
                           "LINK",
                           "https://www.appsheet.com/template/gettablefileurl?appName=APP022ParticMagnMTV2-924373673-26-05-14&amp;tableName=4.reg_fotografico&amp;fileName="&amp;AS623                         )
                          )</f>
        <v/>
      </c>
      <c r="AV623" s="54" t="str">
        <f t="shared" si="5"/>
        <v/>
      </c>
    </row>
    <row r="624" ht="22.5" customHeight="1">
      <c r="AT624" s="54" t="str">
        <f t="array" ref="AT624">IF(
                AS624 = "",
                "",
                       IF(
                           AS624 ="FOTOGRAFIA",
                           "LINK",
                           "https://www.appsheet.com/template/gettablefileurl?appName=APP022ParticMagnMTV2-924373673-26-05-14&amp;tableName=4.reg_fotografico&amp;fileName="&amp;AS624                         )
                          )</f>
        <v/>
      </c>
      <c r="AV624" s="54" t="str">
        <f t="shared" si="5"/>
        <v/>
      </c>
    </row>
    <row r="625" ht="22.5" customHeight="1">
      <c r="AT625" s="54" t="str">
        <f t="array" ref="AT625">IF(
                AS625 = "",
                "",
                       IF(
                           AS625 ="FOTOGRAFIA",
                           "LINK",
                           "https://www.appsheet.com/template/gettablefileurl?appName=APP022ParticMagnMTV2-924373673-26-05-14&amp;tableName=4.reg_fotografico&amp;fileName="&amp;AS625                         )
                          )</f>
        <v/>
      </c>
      <c r="AV625" s="54" t="str">
        <f t="shared" si="5"/>
        <v/>
      </c>
    </row>
    <row r="626" ht="22.5" customHeight="1">
      <c r="AT626" s="54" t="str">
        <f t="array" ref="AT626">IF(
                AS626 = "",
                "",
                       IF(
                           AS626 ="FOTOGRAFIA",
                           "LINK",
                           "https://www.appsheet.com/template/gettablefileurl?appName=APP022ParticMagnMTV2-924373673-26-05-14&amp;tableName=4.reg_fotografico&amp;fileName="&amp;AS626                         )
                          )</f>
        <v/>
      </c>
      <c r="AV626" s="54" t="str">
        <f t="shared" si="5"/>
        <v/>
      </c>
    </row>
    <row r="627" ht="22.5" customHeight="1">
      <c r="AT627" s="54" t="str">
        <f t="array" ref="AT627">IF(
                AS627 = "",
                "",
                       IF(
                           AS627 ="FOTOGRAFIA",
                           "LINK",
                           "https://www.appsheet.com/template/gettablefileurl?appName=APP022ParticMagnMTV2-924373673-26-05-14&amp;tableName=4.reg_fotografico&amp;fileName="&amp;AS627                         )
                          )</f>
        <v/>
      </c>
      <c r="AV627" s="54" t="str">
        <f t="shared" si="5"/>
        <v/>
      </c>
    </row>
    <row r="628" ht="22.5" customHeight="1">
      <c r="AT628" s="54" t="str">
        <f t="array" ref="AT628">IF(
                AS628 = "",
                "",
                       IF(
                           AS628 ="FOTOGRAFIA",
                           "LINK",
                           "https://www.appsheet.com/template/gettablefileurl?appName=APP022ParticMagnMTV2-924373673-26-05-14&amp;tableName=4.reg_fotografico&amp;fileName="&amp;AS628                         )
                          )</f>
        <v/>
      </c>
      <c r="AV628" s="54" t="str">
        <f t="shared" si="5"/>
        <v/>
      </c>
    </row>
    <row r="629" ht="22.5" customHeight="1">
      <c r="AT629" s="54" t="str">
        <f t="array" ref="AT629">IF(
                AS629 = "",
                "",
                       IF(
                           AS629 ="FOTOGRAFIA",
                           "LINK",
                           "https://www.appsheet.com/template/gettablefileurl?appName=APP022ParticMagnMTV2-924373673-26-05-14&amp;tableName=4.reg_fotografico&amp;fileName="&amp;AS629                         )
                          )</f>
        <v/>
      </c>
      <c r="AV629" s="54" t="str">
        <f t="shared" si="5"/>
        <v/>
      </c>
    </row>
    <row r="630" ht="22.5" customHeight="1">
      <c r="AT630" s="54" t="str">
        <f t="array" ref="AT630">IF(
                AS630 = "",
                "",
                       IF(
                           AS630 ="FOTOGRAFIA",
                           "LINK",
                           "https://www.appsheet.com/template/gettablefileurl?appName=APP022ParticMagnMTV2-924373673-26-05-14&amp;tableName=4.reg_fotografico&amp;fileName="&amp;AS630                         )
                          )</f>
        <v/>
      </c>
      <c r="AV630" s="54" t="str">
        <f t="shared" si="5"/>
        <v/>
      </c>
    </row>
    <row r="631" ht="22.5" customHeight="1">
      <c r="AT631" s="54" t="str">
        <f t="array" ref="AT631">IF(
                AS631 = "",
                "",
                       IF(
                           AS631 ="FOTOGRAFIA",
                           "LINK",
                           "https://www.appsheet.com/template/gettablefileurl?appName=APP022ParticMagnMTV2-924373673-26-05-14&amp;tableName=4.reg_fotografico&amp;fileName="&amp;AS631                         )
                          )</f>
        <v/>
      </c>
      <c r="AV631" s="54" t="str">
        <f t="shared" si="5"/>
        <v/>
      </c>
    </row>
    <row r="632" ht="22.5" customHeight="1">
      <c r="AT632" s="54" t="str">
        <f t="array" ref="AT632">IF(
                AS632 = "",
                "",
                       IF(
                           AS632 ="FOTOGRAFIA",
                           "LINK",
                           "https://www.appsheet.com/template/gettablefileurl?appName=APP022ParticMagnMTV2-924373673-26-05-14&amp;tableName=4.reg_fotografico&amp;fileName="&amp;AS632                         )
                          )</f>
        <v/>
      </c>
      <c r="AV632" s="54" t="str">
        <f t="shared" si="5"/>
        <v/>
      </c>
    </row>
    <row r="633" ht="22.5" customHeight="1">
      <c r="AT633" s="54" t="str">
        <f t="array" ref="AT633">IF(
                AS633 = "",
                "",
                       IF(
                           AS633 ="FOTOGRAFIA",
                           "LINK",
                           "https://www.appsheet.com/template/gettablefileurl?appName=APP022ParticMagnMTV2-924373673-26-05-14&amp;tableName=4.reg_fotografico&amp;fileName="&amp;AS633                         )
                          )</f>
        <v/>
      </c>
      <c r="AV633" s="54" t="str">
        <f t="shared" si="5"/>
        <v/>
      </c>
    </row>
    <row r="634" ht="22.5" customHeight="1">
      <c r="AT634" s="54" t="str">
        <f t="array" ref="AT634">IF(
                AS634 = "",
                "",
                       IF(
                           AS634 ="FOTOGRAFIA",
                           "LINK",
                           "https://www.appsheet.com/template/gettablefileurl?appName=APP022ParticMagnMTV2-924373673-26-05-14&amp;tableName=4.reg_fotografico&amp;fileName="&amp;AS634                         )
                          )</f>
        <v/>
      </c>
      <c r="AV634" s="54" t="str">
        <f t="shared" si="5"/>
        <v/>
      </c>
    </row>
    <row r="635" ht="22.5" customHeight="1">
      <c r="AT635" s="54" t="str">
        <f t="array" ref="AT635">IF(
                AS635 = "",
                "",
                       IF(
                           AS635 ="FOTOGRAFIA",
                           "LINK",
                           "https://www.appsheet.com/template/gettablefileurl?appName=APP022ParticMagnMTV2-924373673-26-05-14&amp;tableName=4.reg_fotografico&amp;fileName="&amp;AS635                         )
                          )</f>
        <v/>
      </c>
      <c r="AV635" s="54" t="str">
        <f t="shared" si="5"/>
        <v/>
      </c>
    </row>
    <row r="636" ht="22.5" customHeight="1">
      <c r="AT636" s="54" t="str">
        <f t="array" ref="AT636">IF(
                AS636 = "",
                "",
                       IF(
                           AS636 ="FOTOGRAFIA",
                           "LINK",
                           "https://www.appsheet.com/template/gettablefileurl?appName=APP022ParticMagnMTV2-924373673-26-05-14&amp;tableName=4.reg_fotografico&amp;fileName="&amp;AS636                         )
                          )</f>
        <v/>
      </c>
      <c r="AV636" s="54" t="str">
        <f t="shared" si="5"/>
        <v/>
      </c>
    </row>
    <row r="637" ht="22.5" customHeight="1">
      <c r="AT637" s="54" t="str">
        <f t="array" ref="AT637">IF(
                AS637 = "",
                "",
                       IF(
                           AS637 ="FOTOGRAFIA",
                           "LINK",
                           "https://www.appsheet.com/template/gettablefileurl?appName=APP022ParticMagnMTV2-924373673-26-05-14&amp;tableName=4.reg_fotografico&amp;fileName="&amp;AS637                         )
                          )</f>
        <v/>
      </c>
      <c r="AV637" s="54" t="str">
        <f t="shared" si="5"/>
        <v/>
      </c>
    </row>
    <row r="638" ht="22.5" customHeight="1">
      <c r="AT638" s="54" t="str">
        <f t="array" ref="AT638">IF(
                AS638 = "",
                "",
                       IF(
                           AS638 ="FOTOGRAFIA",
                           "LINK",
                           "https://www.appsheet.com/template/gettablefileurl?appName=APP022ParticMagnMTV2-924373673-26-05-14&amp;tableName=4.reg_fotografico&amp;fileName="&amp;AS638                         )
                          )</f>
        <v/>
      </c>
      <c r="AV638" s="54" t="str">
        <f t="shared" si="5"/>
        <v/>
      </c>
    </row>
    <row r="639" ht="22.5" customHeight="1">
      <c r="AT639" s="54" t="str">
        <f t="array" ref="AT639">IF(
                AS639 = "",
                "",
                       IF(
                           AS639 ="FOTOGRAFIA",
                           "LINK",
                           "https://www.appsheet.com/template/gettablefileurl?appName=APP022ParticMagnMTV2-924373673-26-05-14&amp;tableName=4.reg_fotografico&amp;fileName="&amp;AS639                         )
                          )</f>
        <v/>
      </c>
      <c r="AV639" s="54" t="str">
        <f t="shared" si="5"/>
        <v/>
      </c>
    </row>
    <row r="640" ht="22.5" customHeight="1">
      <c r="AT640" s="54" t="str">
        <f t="array" ref="AT640">IF(
                AS640 = "",
                "",
                       IF(
                           AS640 ="FOTOGRAFIA",
                           "LINK",
                           "https://www.appsheet.com/template/gettablefileurl?appName=APP022ParticMagnMTV2-924373673-26-05-14&amp;tableName=4.reg_fotografico&amp;fileName="&amp;AS640                         )
                          )</f>
        <v/>
      </c>
      <c r="AV640" s="54" t="str">
        <f t="shared" si="5"/>
        <v/>
      </c>
    </row>
    <row r="641" ht="22.5" customHeight="1">
      <c r="AT641" s="54" t="str">
        <f t="array" ref="AT641">IF(
                AS641 = "",
                "",
                       IF(
                           AS641 ="FOTOGRAFIA",
                           "LINK",
                           "https://www.appsheet.com/template/gettablefileurl?appName=APP022ParticMagnMTV2-924373673-26-05-14&amp;tableName=4.reg_fotografico&amp;fileName="&amp;AS641                         )
                          )</f>
        <v/>
      </c>
      <c r="AV641" s="54" t="str">
        <f t="shared" si="5"/>
        <v/>
      </c>
    </row>
    <row r="642" ht="22.5" customHeight="1">
      <c r="AT642" s="54" t="str">
        <f t="array" ref="AT642">IF(
                AS642 = "",
                "",
                       IF(
                           AS642 ="FOTOGRAFIA",
                           "LINK",
                           "https://www.appsheet.com/template/gettablefileurl?appName=APP022ParticMagnMTV2-924373673-26-05-14&amp;tableName=4.reg_fotografico&amp;fileName="&amp;AS642                         )
                          )</f>
        <v/>
      </c>
      <c r="AV642" s="54" t="str">
        <f t="shared" si="5"/>
        <v/>
      </c>
    </row>
    <row r="643" ht="22.5" customHeight="1">
      <c r="AT643" s="54" t="str">
        <f t="array" ref="AT643">IF(
                AS643 = "",
                "",
                       IF(
                           AS643 ="FOTOGRAFIA",
                           "LINK",
                           "https://www.appsheet.com/template/gettablefileurl?appName=APP022ParticMagnMTV2-924373673-26-05-14&amp;tableName=4.reg_fotografico&amp;fileName="&amp;AS643                         )
                          )</f>
        <v/>
      </c>
      <c r="AV643" s="54" t="str">
        <f t="shared" si="5"/>
        <v/>
      </c>
    </row>
    <row r="644" ht="22.5" customHeight="1">
      <c r="AT644" s="54" t="str">
        <f t="array" ref="AT644">IF(
                AS644 = "",
                "",
                       IF(
                           AS644 ="FOTOGRAFIA",
                           "LINK",
                           "https://www.appsheet.com/template/gettablefileurl?appName=APP022ParticMagnMTV2-924373673-26-05-14&amp;tableName=4.reg_fotografico&amp;fileName="&amp;AS644                         )
                          )</f>
        <v/>
      </c>
      <c r="AV644" s="54" t="str">
        <f t="shared" si="5"/>
        <v/>
      </c>
    </row>
    <row r="645" ht="22.5" customHeight="1">
      <c r="AT645" s="54" t="str">
        <f t="array" ref="AT645">IF(
                AS645 = "",
                "",
                       IF(
                           AS645 ="FOTOGRAFIA",
                           "LINK",
                           "https://www.appsheet.com/template/gettablefileurl?appName=APP022ParticMagnMTV2-924373673-26-05-14&amp;tableName=4.reg_fotografico&amp;fileName="&amp;AS645                         )
                          )</f>
        <v/>
      </c>
      <c r="AV645" s="54" t="str">
        <f t="shared" si="5"/>
        <v/>
      </c>
    </row>
    <row r="646" ht="22.5" customHeight="1">
      <c r="AT646" s="54" t="str">
        <f t="array" ref="AT646">IF(
                AS646 = "",
                "",
                       IF(
                           AS646 ="FOTOGRAFIA",
                           "LINK",
                           "https://www.appsheet.com/template/gettablefileurl?appName=APP022ParticMagnMTV2-924373673-26-05-14&amp;tableName=4.reg_fotografico&amp;fileName="&amp;AS646                         )
                          )</f>
        <v/>
      </c>
      <c r="AV646" s="54" t="str">
        <f t="shared" si="5"/>
        <v/>
      </c>
    </row>
    <row r="647" ht="22.5" customHeight="1">
      <c r="AT647" s="54" t="str">
        <f t="array" ref="AT647">IF(
                AS647 = "",
                "",
                       IF(
                           AS647 ="FOTOGRAFIA",
                           "LINK",
                           "https://www.appsheet.com/template/gettablefileurl?appName=APP022ParticMagnMTV2-924373673-26-05-14&amp;tableName=4.reg_fotografico&amp;fileName="&amp;AS647                         )
                          )</f>
        <v/>
      </c>
      <c r="AV647" s="54" t="str">
        <f t="shared" si="5"/>
        <v/>
      </c>
    </row>
    <row r="648" ht="22.5" customHeight="1">
      <c r="AT648" s="54" t="str">
        <f t="array" ref="AT648">IF(
                AS648 = "",
                "",
                       IF(
                           AS648 ="FOTOGRAFIA",
                           "LINK",
                           "https://www.appsheet.com/template/gettablefileurl?appName=APP022ParticMagnMTV2-924373673-26-05-14&amp;tableName=4.reg_fotografico&amp;fileName="&amp;AS648                         )
                          )</f>
        <v/>
      </c>
      <c r="AV648" s="54" t="str">
        <f t="shared" si="5"/>
        <v/>
      </c>
    </row>
    <row r="649" ht="22.5" customHeight="1">
      <c r="AT649" s="54" t="str">
        <f t="array" ref="AT649">IF(
                AS649 = "",
                "",
                       IF(
                           AS649 ="FOTOGRAFIA",
                           "LINK",
                           "https://www.appsheet.com/template/gettablefileurl?appName=APP022ParticMagnMTV2-924373673-26-05-14&amp;tableName=4.reg_fotografico&amp;fileName="&amp;AS649                         )
                          )</f>
        <v/>
      </c>
      <c r="AV649" s="54" t="str">
        <f t="shared" si="5"/>
        <v/>
      </c>
    </row>
    <row r="650" ht="22.5" customHeight="1">
      <c r="AT650" s="54" t="str">
        <f t="array" ref="AT650">IF(
                AS650 = "",
                "",
                       IF(
                           AS650 ="FOTOGRAFIA",
                           "LINK",
                           "https://www.appsheet.com/template/gettablefileurl?appName=APP022ParticMagnMTV2-924373673-26-05-14&amp;tableName=4.reg_fotografico&amp;fileName="&amp;AS650                         )
                          )</f>
        <v/>
      </c>
      <c r="AV650" s="54" t="str">
        <f t="shared" si="5"/>
        <v/>
      </c>
    </row>
    <row r="651" ht="22.5" customHeight="1">
      <c r="AT651" s="54" t="str">
        <f t="array" ref="AT651">IF(
                AS651 = "",
                "",
                       IF(
                           AS651 ="FOTOGRAFIA",
                           "LINK",
                           "https://www.appsheet.com/template/gettablefileurl?appName=APP022ParticMagnMTV2-924373673-26-05-14&amp;tableName=4.reg_fotografico&amp;fileName="&amp;AS651                         )
                          )</f>
        <v/>
      </c>
      <c r="AV651" s="54" t="str">
        <f t="shared" si="5"/>
        <v/>
      </c>
    </row>
    <row r="652" ht="22.5" customHeight="1">
      <c r="AT652" s="54" t="str">
        <f t="array" ref="AT652">IF(
                AS652 = "",
                "",
                       IF(
                           AS652 ="FOTOGRAFIA",
                           "LINK",
                           "https://www.appsheet.com/template/gettablefileurl?appName=APP022ParticMagnMTV2-924373673-26-05-14&amp;tableName=4.reg_fotografico&amp;fileName="&amp;AS652                         )
                          )</f>
        <v/>
      </c>
      <c r="AV652" s="54" t="str">
        <f t="shared" si="5"/>
        <v/>
      </c>
    </row>
    <row r="653" ht="22.5" customHeight="1">
      <c r="AT653" s="54" t="str">
        <f t="array" ref="AT653">IF(
                AS653 = "",
                "",
                       IF(
                           AS653 ="FOTOGRAFIA",
                           "LINK",
                           "https://www.appsheet.com/template/gettablefileurl?appName=APP022ParticMagnMTV2-924373673-26-05-14&amp;tableName=4.reg_fotografico&amp;fileName="&amp;AS653                         )
                          )</f>
        <v/>
      </c>
      <c r="AV653" s="54" t="str">
        <f t="shared" si="5"/>
        <v/>
      </c>
    </row>
    <row r="654" ht="22.5" customHeight="1">
      <c r="AT654" s="54" t="str">
        <f t="array" ref="AT654">IF(
                AS654 = "",
                "",
                       IF(
                           AS654 ="FOTOGRAFIA",
                           "LINK",
                           "https://www.appsheet.com/template/gettablefileurl?appName=APP022ParticMagnMTV2-924373673-26-05-14&amp;tableName=4.reg_fotografico&amp;fileName="&amp;AS654                         )
                          )</f>
        <v/>
      </c>
      <c r="AV654" s="54" t="str">
        <f t="shared" si="5"/>
        <v/>
      </c>
    </row>
    <row r="655" ht="22.5" customHeight="1">
      <c r="AT655" s="54" t="str">
        <f t="array" ref="AT655">IF(
                AS655 = "",
                "",
                       IF(
                           AS655 ="FOTOGRAFIA",
                           "LINK",
                           "https://www.appsheet.com/template/gettablefileurl?appName=APP022ParticMagnMTV2-924373673-26-05-14&amp;tableName=4.reg_fotografico&amp;fileName="&amp;AS655                         )
                          )</f>
        <v/>
      </c>
      <c r="AV655" s="54" t="str">
        <f t="shared" si="5"/>
        <v/>
      </c>
    </row>
    <row r="656" ht="22.5" customHeight="1">
      <c r="AT656" s="54" t="str">
        <f t="array" ref="AT656">IF(
                AS656 = "",
                "",
                       IF(
                           AS656 ="FOTOGRAFIA",
                           "LINK",
                           "https://www.appsheet.com/template/gettablefileurl?appName=APP022ParticMagnMTV2-924373673-26-05-14&amp;tableName=4.reg_fotografico&amp;fileName="&amp;AS656                         )
                          )</f>
        <v/>
      </c>
      <c r="AV656" s="54" t="str">
        <f t="shared" si="5"/>
        <v/>
      </c>
    </row>
    <row r="657" ht="22.5" customHeight="1">
      <c r="AT657" s="54" t="str">
        <f t="array" ref="AT657">IF(
                AS657 = "",
                "",
                       IF(
                           AS657 ="FOTOGRAFIA",
                           "LINK",
                           "https://www.appsheet.com/template/gettablefileurl?appName=APP022ParticMagnMTV2-924373673-26-05-14&amp;tableName=4.reg_fotografico&amp;fileName="&amp;AS657                         )
                          )</f>
        <v/>
      </c>
      <c r="AV657" s="54" t="str">
        <f t="shared" si="5"/>
        <v/>
      </c>
    </row>
    <row r="658" ht="22.5" customHeight="1">
      <c r="AT658" s="54" t="str">
        <f t="array" ref="AT658">IF(
                AS658 = "",
                "",
                       IF(
                           AS658 ="FOTOGRAFIA",
                           "LINK",
                           "https://www.appsheet.com/template/gettablefileurl?appName=APP022ParticMagnMTV2-924373673-26-05-14&amp;tableName=4.reg_fotografico&amp;fileName="&amp;AS658                         )
                          )</f>
        <v/>
      </c>
      <c r="AV658" s="54" t="str">
        <f t="shared" si="5"/>
        <v/>
      </c>
    </row>
    <row r="659" ht="22.5" customHeight="1">
      <c r="AT659" s="54" t="str">
        <f t="array" ref="AT659">IF(
                AS659 = "",
                "",
                       IF(
                           AS659 ="FOTOGRAFIA",
                           "LINK",
                           "https://www.appsheet.com/template/gettablefileurl?appName=APP022ParticMagnMTV2-924373673-26-05-14&amp;tableName=4.reg_fotografico&amp;fileName="&amp;AS659                         )
                          )</f>
        <v/>
      </c>
      <c r="AV659" s="54" t="str">
        <f t="shared" si="5"/>
        <v/>
      </c>
    </row>
    <row r="660" ht="22.5" customHeight="1">
      <c r="AT660" s="54" t="str">
        <f t="array" ref="AT660">IF(
                AS660 = "",
                "",
                       IF(
                           AS660 ="FOTOGRAFIA",
                           "LINK",
                           "https://www.appsheet.com/template/gettablefileurl?appName=APP022ParticMagnMTV2-924373673-26-05-14&amp;tableName=4.reg_fotografico&amp;fileName="&amp;AS660                         )
                          )</f>
        <v/>
      </c>
      <c r="AV660" s="54" t="str">
        <f t="shared" si="5"/>
        <v/>
      </c>
    </row>
    <row r="661" ht="22.5" customHeight="1">
      <c r="AT661" s="54" t="str">
        <f t="array" ref="AT661">IF(
                AS661 = "",
                "",
                       IF(
                           AS661 ="FOTOGRAFIA",
                           "LINK",
                           "https://www.appsheet.com/template/gettablefileurl?appName=APP022ParticMagnMTV2-924373673-26-05-14&amp;tableName=4.reg_fotografico&amp;fileName="&amp;AS661                         )
                          )</f>
        <v/>
      </c>
      <c r="AV661" s="54" t="str">
        <f t="shared" si="5"/>
        <v/>
      </c>
    </row>
    <row r="662" ht="22.5" customHeight="1">
      <c r="AT662" s="54" t="str">
        <f t="array" ref="AT662">IF(
                AS662 = "",
                "",
                       IF(
                           AS662 ="FOTOGRAFIA",
                           "LINK",
                           "https://www.appsheet.com/template/gettablefileurl?appName=APP022ParticMagnMTV2-924373673-26-05-14&amp;tableName=4.reg_fotografico&amp;fileName="&amp;AS662                         )
                          )</f>
        <v/>
      </c>
      <c r="AV662" s="54" t="str">
        <f t="shared" si="5"/>
        <v/>
      </c>
    </row>
    <row r="663" ht="22.5" customHeight="1">
      <c r="AT663" s="54" t="str">
        <f t="array" ref="AT663">IF(
                AS663 = "",
                "",
                       IF(
                           AS663 ="FOTOGRAFIA",
                           "LINK",
                           "https://www.appsheet.com/template/gettablefileurl?appName=APP022ParticMagnMTV2-924373673-26-05-14&amp;tableName=4.reg_fotografico&amp;fileName="&amp;AS663                         )
                          )</f>
        <v/>
      </c>
      <c r="AV663" s="54" t="str">
        <f t="shared" si="5"/>
        <v/>
      </c>
    </row>
    <row r="664" ht="22.5" customHeight="1">
      <c r="AT664" s="54" t="str">
        <f t="array" ref="AT664">IF(
                AS664 = "",
                "",
                       IF(
                           AS664 ="FOTOGRAFIA",
                           "LINK",
                           "https://www.appsheet.com/template/gettablefileurl?appName=APP022ParticMagnMTV2-924373673-26-05-14&amp;tableName=4.reg_fotografico&amp;fileName="&amp;AS664                         )
                          )</f>
        <v/>
      </c>
      <c r="AV664" s="54" t="str">
        <f t="shared" si="5"/>
        <v/>
      </c>
    </row>
    <row r="665" ht="22.5" customHeight="1">
      <c r="AT665" s="54" t="str">
        <f t="array" ref="AT665">IF(
                AS665 = "",
                "",
                       IF(
                           AS665 ="FOTOGRAFIA",
                           "LINK",
                           "https://www.appsheet.com/template/gettablefileurl?appName=APP022ParticMagnMTV2-924373673-26-05-14&amp;tableName=4.reg_fotografico&amp;fileName="&amp;AS665                         )
                          )</f>
        <v/>
      </c>
      <c r="AV665" s="54" t="str">
        <f t="shared" si="5"/>
        <v/>
      </c>
    </row>
    <row r="666" ht="22.5" customHeight="1">
      <c r="AT666" s="54" t="str">
        <f t="array" ref="AT666">IF(
                AS666 = "",
                "",
                       IF(
                           AS666 ="FOTOGRAFIA",
                           "LINK",
                           "https://www.appsheet.com/template/gettablefileurl?appName=APP022ParticMagnMTV2-924373673-26-05-14&amp;tableName=4.reg_fotografico&amp;fileName="&amp;AS666                         )
                          )</f>
        <v/>
      </c>
      <c r="AV666" s="54" t="str">
        <f t="shared" si="5"/>
        <v/>
      </c>
    </row>
    <row r="667" ht="22.5" customHeight="1">
      <c r="AT667" s="54" t="str">
        <f t="array" ref="AT667">IF(
                AS667 = "",
                "",
                       IF(
                           AS667 ="FOTOGRAFIA",
                           "LINK",
                           "https://www.appsheet.com/template/gettablefileurl?appName=APP022ParticMagnMTV2-924373673-26-05-14&amp;tableName=4.reg_fotografico&amp;fileName="&amp;AS667                         )
                          )</f>
        <v/>
      </c>
      <c r="AV667" s="54" t="str">
        <f t="shared" si="5"/>
        <v/>
      </c>
    </row>
    <row r="668" ht="22.5" customHeight="1">
      <c r="AT668" s="54" t="str">
        <f t="array" ref="AT668">IF(
                AS668 = "",
                "",
                       IF(
                           AS668 ="FOTOGRAFIA",
                           "LINK",
                           "https://www.appsheet.com/template/gettablefileurl?appName=APP022ParticMagnMTV2-924373673-26-05-14&amp;tableName=4.reg_fotografico&amp;fileName="&amp;AS668                         )
                          )</f>
        <v/>
      </c>
      <c r="AV668" s="54" t="str">
        <f t="shared" si="5"/>
        <v/>
      </c>
    </row>
    <row r="669" ht="22.5" customHeight="1">
      <c r="AT669" s="54" t="str">
        <f t="array" ref="AT669">IF(
                AS669 = "",
                "",
                       IF(
                           AS669 ="FOTOGRAFIA",
                           "LINK",
                           "https://www.appsheet.com/template/gettablefileurl?appName=APP022ParticMagnMTV2-924373673-26-05-14&amp;tableName=4.reg_fotografico&amp;fileName="&amp;AS669                         )
                          )</f>
        <v/>
      </c>
      <c r="AV669" s="54" t="str">
        <f t="shared" si="5"/>
        <v/>
      </c>
    </row>
    <row r="670" ht="22.5" customHeight="1">
      <c r="AT670" s="54" t="str">
        <f t="array" ref="AT670">IF(
                AS670 = "",
                "",
                       IF(
                           AS670 ="FOTOGRAFIA",
                           "LINK",
                           "https://www.appsheet.com/template/gettablefileurl?appName=APP022ParticMagnMTV2-924373673-26-05-14&amp;tableName=4.reg_fotografico&amp;fileName="&amp;AS670                         )
                          )</f>
        <v/>
      </c>
      <c r="AV670" s="54" t="str">
        <f t="shared" si="5"/>
        <v/>
      </c>
    </row>
    <row r="671" ht="22.5" customHeight="1">
      <c r="AT671" s="54" t="str">
        <f t="array" ref="AT671">IF(
                AS671 = "",
                "",
                       IF(
                           AS671 ="FOTOGRAFIA",
                           "LINK",
                           "https://www.appsheet.com/template/gettablefileurl?appName=APP022ParticMagnMTV2-924373673-26-05-14&amp;tableName=4.reg_fotografico&amp;fileName="&amp;AS671                         )
                          )</f>
        <v/>
      </c>
      <c r="AV671" s="54" t="str">
        <f t="shared" si="5"/>
        <v/>
      </c>
    </row>
    <row r="672" ht="22.5" customHeight="1">
      <c r="AT672" s="54" t="str">
        <f t="array" ref="AT672">IF(
                AS672 = "",
                "",
                       IF(
                           AS672 ="FOTOGRAFIA",
                           "LINK",
                           "https://www.appsheet.com/template/gettablefileurl?appName=APP022ParticMagnMTV2-924373673-26-05-14&amp;tableName=4.reg_fotografico&amp;fileName="&amp;AS672                         )
                          )</f>
        <v/>
      </c>
      <c r="AV672" s="54" t="str">
        <f t="shared" si="5"/>
        <v/>
      </c>
    </row>
    <row r="673" ht="22.5" customHeight="1">
      <c r="AT673" s="54" t="str">
        <f t="array" ref="AT673">IF(
                AS673 = "",
                "",
                       IF(
                           AS673 ="FOTOGRAFIA",
                           "LINK",
                           "https://www.appsheet.com/template/gettablefileurl?appName=APP022ParticMagnMTV2-924373673-26-05-14&amp;tableName=4.reg_fotografico&amp;fileName="&amp;AS673                         )
                          )</f>
        <v/>
      </c>
      <c r="AV673" s="54" t="str">
        <f t="shared" si="5"/>
        <v/>
      </c>
    </row>
    <row r="674" ht="22.5" customHeight="1">
      <c r="AT674" s="54" t="str">
        <f t="array" ref="AT674">IF(
                AS674 = "",
                "",
                       IF(
                           AS674 ="FOTOGRAFIA",
                           "LINK",
                           "https://www.appsheet.com/template/gettablefileurl?appName=APP022ParticMagnMTV2-924373673-26-05-14&amp;tableName=4.reg_fotografico&amp;fileName="&amp;AS674                         )
                          )</f>
        <v/>
      </c>
      <c r="AV674" s="54" t="str">
        <f t="shared" si="5"/>
        <v/>
      </c>
    </row>
    <row r="675" ht="22.5" customHeight="1">
      <c r="AT675" s="54" t="str">
        <f t="array" ref="AT675">IF(
                AS675 = "",
                "",
                       IF(
                           AS675 ="FOTOGRAFIA",
                           "LINK",
                           "https://www.appsheet.com/template/gettablefileurl?appName=APP022ParticMagnMTV2-924373673-26-05-14&amp;tableName=4.reg_fotografico&amp;fileName="&amp;AS675                         )
                          )</f>
        <v/>
      </c>
      <c r="AV675" s="54" t="str">
        <f t="shared" si="5"/>
        <v/>
      </c>
    </row>
    <row r="676" ht="22.5" customHeight="1">
      <c r="AT676" s="54" t="str">
        <f t="array" ref="AT676">IF(
                AS676 = "",
                "",
                       IF(
                           AS676 ="FOTOGRAFIA",
                           "LINK",
                           "https://www.appsheet.com/template/gettablefileurl?appName=APP022ParticMagnMTV2-924373673-26-05-14&amp;tableName=4.reg_fotografico&amp;fileName="&amp;AS676                         )
                          )</f>
        <v/>
      </c>
      <c r="AV676" s="54" t="str">
        <f t="shared" si="5"/>
        <v/>
      </c>
    </row>
    <row r="677" ht="22.5" customHeight="1">
      <c r="AT677" s="54" t="str">
        <f t="array" ref="AT677">IF(
                AS677 = "",
                "",
                       IF(
                           AS677 ="FOTOGRAFIA",
                           "LINK",
                           "https://www.appsheet.com/template/gettablefileurl?appName=APP022ParticMagnMTV2-924373673-26-05-14&amp;tableName=4.reg_fotografico&amp;fileName="&amp;AS677                         )
                          )</f>
        <v/>
      </c>
      <c r="AV677" s="54" t="str">
        <f t="shared" si="5"/>
        <v/>
      </c>
    </row>
    <row r="678" ht="22.5" customHeight="1">
      <c r="AT678" s="54" t="str">
        <f t="array" ref="AT678">IF(
                AS678 = "",
                "",
                       IF(
                           AS678 ="FOTOGRAFIA",
                           "LINK",
                           "https://www.appsheet.com/template/gettablefileurl?appName=APP022ParticMagnMTV2-924373673-26-05-14&amp;tableName=4.reg_fotografico&amp;fileName="&amp;AS678                         )
                          )</f>
        <v/>
      </c>
      <c r="AV678" s="54" t="str">
        <f t="shared" si="5"/>
        <v/>
      </c>
    </row>
    <row r="679" ht="22.5" customHeight="1">
      <c r="AT679" s="54" t="str">
        <f t="array" ref="AT679">IF(
                AS679 = "",
                "",
                       IF(
                           AS679 ="FOTOGRAFIA",
                           "LINK",
                           "https://www.appsheet.com/template/gettablefileurl?appName=APP022ParticMagnMTV2-924373673-26-05-14&amp;tableName=4.reg_fotografico&amp;fileName="&amp;AS679                         )
                          )</f>
        <v/>
      </c>
      <c r="AV679" s="54" t="str">
        <f t="shared" si="5"/>
        <v/>
      </c>
    </row>
    <row r="680" ht="22.5" customHeight="1">
      <c r="AT680" s="54" t="str">
        <f t="array" ref="AT680">IF(
                AS680 = "",
                "",
                       IF(
                           AS680 ="FOTOGRAFIA",
                           "LINK",
                           "https://www.appsheet.com/template/gettablefileurl?appName=APP022ParticMagnMTV2-924373673-26-05-14&amp;tableName=4.reg_fotografico&amp;fileName="&amp;AS680                         )
                          )</f>
        <v/>
      </c>
      <c r="AV680" s="54" t="str">
        <f t="shared" si="5"/>
        <v/>
      </c>
    </row>
    <row r="681" ht="22.5" customHeight="1">
      <c r="AT681" s="54" t="str">
        <f t="array" ref="AT681">IF(
                AS681 = "",
                "",
                       IF(
                           AS681 ="FOTOGRAFIA",
                           "LINK",
                           "https://www.appsheet.com/template/gettablefileurl?appName=APP022ParticMagnMTV2-924373673-26-05-14&amp;tableName=4.reg_fotografico&amp;fileName="&amp;AS681                         )
                          )</f>
        <v/>
      </c>
      <c r="AV681" s="54" t="str">
        <f t="shared" si="5"/>
        <v/>
      </c>
    </row>
    <row r="682" ht="22.5" customHeight="1">
      <c r="AT682" s="54" t="str">
        <f t="array" ref="AT682">IF(
                AS682 = "",
                "",
                       IF(
                           AS682 ="FOTOGRAFIA",
                           "LINK",
                           "https://www.appsheet.com/template/gettablefileurl?appName=APP022ParticMagnMTV2-924373673-26-05-14&amp;tableName=4.reg_fotografico&amp;fileName="&amp;AS682                         )
                          )</f>
        <v/>
      </c>
      <c r="AV682" s="54" t="str">
        <f t="shared" si="5"/>
        <v/>
      </c>
    </row>
    <row r="683" ht="22.5" customHeight="1">
      <c r="AT683" s="54" t="str">
        <f t="array" ref="AT683">IF(
                AS683 = "",
                "",
                       IF(
                           AS683 ="FOTOGRAFIA",
                           "LINK",
                           "https://www.appsheet.com/template/gettablefileurl?appName=APP022ParticMagnMTV2-924373673-26-05-14&amp;tableName=4.reg_fotografico&amp;fileName="&amp;AS683                         )
                          )</f>
        <v/>
      </c>
      <c r="AV683" s="54" t="str">
        <f t="shared" si="5"/>
        <v/>
      </c>
    </row>
    <row r="684" ht="22.5" customHeight="1">
      <c r="AT684" s="54" t="str">
        <f t="array" ref="AT684">IF(
                AS684 = "",
                "",
                       IF(
                           AS684 ="FOTOGRAFIA",
                           "LINK",
                           "https://www.appsheet.com/template/gettablefileurl?appName=APP022ParticMagnMTV2-924373673-26-05-14&amp;tableName=4.reg_fotografico&amp;fileName="&amp;AS684                         )
                          )</f>
        <v/>
      </c>
      <c r="AV684" s="54" t="str">
        <f t="shared" si="5"/>
        <v/>
      </c>
    </row>
    <row r="685" ht="22.5" customHeight="1">
      <c r="AT685" s="54" t="str">
        <f t="array" ref="AT685">IF(
                AS685 = "",
                "",
                       IF(
                           AS685 ="FOTOGRAFIA",
                           "LINK",
                           "https://www.appsheet.com/template/gettablefileurl?appName=APP022ParticMagnMTV2-924373673-26-05-14&amp;tableName=4.reg_fotografico&amp;fileName="&amp;AS685                         )
                          )</f>
        <v/>
      </c>
      <c r="AV685" s="54" t="str">
        <f t="shared" si="5"/>
        <v/>
      </c>
    </row>
    <row r="686" ht="22.5" customHeight="1">
      <c r="AT686" s="54" t="str">
        <f t="array" ref="AT686">IF(
                AS686 = "",
                "",
                       IF(
                           AS686 ="FOTOGRAFIA",
                           "LINK",
                           "https://www.appsheet.com/template/gettablefileurl?appName=APP022ParticMagnMTV2-924373673-26-05-14&amp;tableName=4.reg_fotografico&amp;fileName="&amp;AS686                         )
                          )</f>
        <v/>
      </c>
      <c r="AV686" s="54" t="str">
        <f t="shared" si="5"/>
        <v/>
      </c>
    </row>
    <row r="687" ht="22.5" customHeight="1">
      <c r="AT687" s="54" t="str">
        <f t="array" ref="AT687">IF(
                AS687 = "",
                "",
                       IF(
                           AS687 ="FOTOGRAFIA",
                           "LINK",
                           "https://www.appsheet.com/template/gettablefileurl?appName=APP022ParticMagnMTV2-924373673-26-05-14&amp;tableName=4.reg_fotografico&amp;fileName="&amp;AS687                         )
                          )</f>
        <v/>
      </c>
      <c r="AV687" s="54" t="str">
        <f t="shared" si="5"/>
        <v/>
      </c>
    </row>
    <row r="688" ht="22.5" customHeight="1">
      <c r="AT688" s="54" t="str">
        <f t="array" ref="AT688">IF(
                AS688 = "",
                "",
                       IF(
                           AS688 ="FOTOGRAFIA",
                           "LINK",
                           "https://www.appsheet.com/template/gettablefileurl?appName=APP022ParticMagnMTV2-924373673-26-05-14&amp;tableName=4.reg_fotografico&amp;fileName="&amp;AS688                         )
                          )</f>
        <v/>
      </c>
      <c r="AV688" s="54" t="str">
        <f t="shared" si="5"/>
        <v/>
      </c>
    </row>
    <row r="689" ht="22.5" customHeight="1">
      <c r="AT689" s="54" t="str">
        <f t="array" ref="AT689">IF(
                AS689 = "",
                "",
                       IF(
                           AS689 ="FOTOGRAFIA",
                           "LINK",
                           "https://www.appsheet.com/template/gettablefileurl?appName=APP022ParticMagnMTV2-924373673-26-05-14&amp;tableName=4.reg_fotografico&amp;fileName="&amp;AS689                         )
                          )</f>
        <v/>
      </c>
      <c r="AV689" s="54" t="str">
        <f t="shared" si="5"/>
        <v/>
      </c>
    </row>
    <row r="690" ht="22.5" customHeight="1">
      <c r="AT690" s="54" t="str">
        <f t="array" ref="AT690">IF(
                AS690 = "",
                "",
                       IF(
                           AS690 ="FOTOGRAFIA",
                           "LINK",
                           "https://www.appsheet.com/template/gettablefileurl?appName=APP022ParticMagnMTV2-924373673-26-05-14&amp;tableName=4.reg_fotografico&amp;fileName="&amp;AS690                         )
                          )</f>
        <v/>
      </c>
      <c r="AV690" s="54" t="str">
        <f t="shared" si="5"/>
        <v/>
      </c>
    </row>
    <row r="691" ht="22.5" customHeight="1">
      <c r="AT691" s="54" t="str">
        <f t="array" ref="AT691">IF(
                AS691 = "",
                "",
                       IF(
                           AS691 ="FOTOGRAFIA",
                           "LINK",
                           "https://www.appsheet.com/template/gettablefileurl?appName=APP022ParticMagnMTV2-924373673-26-05-14&amp;tableName=4.reg_fotografico&amp;fileName="&amp;AS691                         )
                          )</f>
        <v/>
      </c>
      <c r="AV691" s="54" t="str">
        <f t="shared" si="5"/>
        <v/>
      </c>
    </row>
    <row r="692" ht="22.5" customHeight="1">
      <c r="AT692" s="54" t="str">
        <f t="array" ref="AT692">IF(
                AS692 = "",
                "",
                       IF(
                           AS692 ="FOTOGRAFIA",
                           "LINK",
                           "https://www.appsheet.com/template/gettablefileurl?appName=APP022ParticMagnMTV2-924373673-26-05-14&amp;tableName=4.reg_fotografico&amp;fileName="&amp;AS692                         )
                          )</f>
        <v/>
      </c>
      <c r="AV692" s="54" t="str">
        <f t="shared" si="5"/>
        <v/>
      </c>
    </row>
    <row r="693" ht="22.5" customHeight="1">
      <c r="AT693" s="54" t="str">
        <f t="array" ref="AT693">IF(
                AS693 = "",
                "",
                       IF(
                           AS693 ="FOTOGRAFIA",
                           "LINK",
                           "https://www.appsheet.com/template/gettablefileurl?appName=APP022ParticMagnMTV2-924373673-26-05-14&amp;tableName=4.reg_fotografico&amp;fileName="&amp;AS693                         )
                          )</f>
        <v/>
      </c>
      <c r="AV693" s="54" t="str">
        <f t="shared" si="5"/>
        <v/>
      </c>
    </row>
    <row r="694" ht="22.5" customHeight="1">
      <c r="AT694" s="54" t="str">
        <f t="array" ref="AT694">IF(
                AS694 = "",
                "",
                       IF(
                           AS694 ="FOTOGRAFIA",
                           "LINK",
                           "https://www.appsheet.com/template/gettablefileurl?appName=APP022ParticMagnMTV2-924373673-26-05-14&amp;tableName=4.reg_fotografico&amp;fileName="&amp;AS694                         )
                          )</f>
        <v/>
      </c>
      <c r="AV694" s="54" t="str">
        <f t="shared" si="5"/>
        <v/>
      </c>
    </row>
    <row r="695" ht="22.5" customHeight="1">
      <c r="AT695" s="54" t="str">
        <f t="array" ref="AT695">IF(
                AS695 = "",
                "",
                       IF(
                           AS695 ="FOTOGRAFIA",
                           "LINK",
                           "https://www.appsheet.com/template/gettablefileurl?appName=APP022ParticMagnMTV2-924373673-26-05-14&amp;tableName=4.reg_fotografico&amp;fileName="&amp;AS695                         )
                          )</f>
        <v/>
      </c>
      <c r="AV695" s="54" t="str">
        <f t="shared" si="5"/>
        <v/>
      </c>
    </row>
    <row r="696" ht="22.5" customHeight="1">
      <c r="AT696" s="54" t="str">
        <f t="array" ref="AT696">IF(
                AS696 = "",
                "",
                       IF(
                           AS696 ="FOTOGRAFIA",
                           "LINK",
                           "https://www.appsheet.com/template/gettablefileurl?appName=APP022ParticMagnMTV2-924373673-26-05-14&amp;tableName=4.reg_fotografico&amp;fileName="&amp;AS696                         )
                          )</f>
        <v/>
      </c>
      <c r="AV696" s="54" t="str">
        <f t="shared" si="5"/>
        <v/>
      </c>
    </row>
    <row r="697" ht="22.5" customHeight="1">
      <c r="AT697" s="54" t="str">
        <f t="array" ref="AT697">IF(
                AS697 = "",
                "",
                       IF(
                           AS697 ="FOTOGRAFIA",
                           "LINK",
                           "https://www.appsheet.com/template/gettablefileurl?appName=APP022ParticMagnMTV2-924373673-26-05-14&amp;tableName=4.reg_fotografico&amp;fileName="&amp;AS697                         )
                          )</f>
        <v/>
      </c>
      <c r="AV697" s="54" t="str">
        <f t="shared" si="5"/>
        <v/>
      </c>
    </row>
    <row r="698" ht="22.5" customHeight="1">
      <c r="AT698" s="54" t="str">
        <f t="array" ref="AT698">IF(
                AS698 = "",
                "",
                       IF(
                           AS698 ="FOTOGRAFIA",
                           "LINK",
                           "https://www.appsheet.com/template/gettablefileurl?appName=APP022ParticMagnMTV2-924373673-26-05-14&amp;tableName=4.reg_fotografico&amp;fileName="&amp;AS698                         )
                          )</f>
        <v/>
      </c>
      <c r="AV698" s="54" t="str">
        <f t="shared" si="5"/>
        <v/>
      </c>
    </row>
    <row r="699" ht="22.5" customHeight="1">
      <c r="AT699" s="54" t="str">
        <f t="array" ref="AT699">IF(
                AS699 = "",
                "",
                       IF(
                           AS699 ="FOTOGRAFIA",
                           "LINK",
                           "https://www.appsheet.com/template/gettablefileurl?appName=APP022ParticMagnMTV2-924373673-26-05-14&amp;tableName=4.reg_fotografico&amp;fileName="&amp;AS699                         )
                          )</f>
        <v/>
      </c>
      <c r="AV699" s="54" t="str">
        <f t="shared" si="5"/>
        <v/>
      </c>
    </row>
    <row r="700" ht="22.5" customHeight="1">
      <c r="AT700" s="54" t="str">
        <f t="array" ref="AT700">IF(
                AS700 = "",
                "",
                       IF(
                           AS700 ="FOTOGRAFIA",
                           "LINK",
                           "https://www.appsheet.com/template/gettablefileurl?appName=APP022ParticMagnMTV2-924373673-26-05-14&amp;tableName=4.reg_fotografico&amp;fileName="&amp;AS700                         )
                          )</f>
        <v/>
      </c>
      <c r="AV700" s="54" t="str">
        <f t="shared" si="5"/>
        <v/>
      </c>
    </row>
    <row r="701" ht="22.5" customHeight="1">
      <c r="AT701" s="54" t="str">
        <f t="array" ref="AT701">IF(
                AS701 = "",
                "",
                       IF(
                           AS701 ="FOTOGRAFIA",
                           "LINK",
                           "https://www.appsheet.com/template/gettablefileurl?appName=APP022ParticMagnMTV2-924373673-26-05-14&amp;tableName=4.reg_fotografico&amp;fileName="&amp;AS701                         )
                          )</f>
        <v/>
      </c>
      <c r="AV701" s="54" t="str">
        <f t="shared" si="5"/>
        <v/>
      </c>
    </row>
    <row r="702" ht="22.5" customHeight="1">
      <c r="AT702" s="54" t="str">
        <f t="array" ref="AT702">IF(
                AS702 = "",
                "",
                       IF(
                           AS702 ="FOTOGRAFIA",
                           "LINK",
                           "https://www.appsheet.com/template/gettablefileurl?appName=APP022ParticMagnMTV2-924373673-26-05-14&amp;tableName=4.reg_fotografico&amp;fileName="&amp;AS702                         )
                          )</f>
        <v/>
      </c>
      <c r="AV702" s="54" t="str">
        <f t="shared" si="5"/>
        <v/>
      </c>
    </row>
    <row r="703" ht="22.5" customHeight="1">
      <c r="AT703" s="54" t="str">
        <f t="array" ref="AT703">IF(
                AS703 = "",
                "",
                       IF(
                           AS703 ="FOTOGRAFIA",
                           "LINK",
                           "https://www.appsheet.com/template/gettablefileurl?appName=APP022ParticMagnMTV2-924373673-26-05-14&amp;tableName=4.reg_fotografico&amp;fileName="&amp;AS703                         )
                          )</f>
        <v/>
      </c>
      <c r="AV703" s="54" t="str">
        <f t="shared" si="5"/>
        <v/>
      </c>
    </row>
    <row r="704" ht="22.5" customHeight="1">
      <c r="AT704" s="54" t="str">
        <f t="array" ref="AT704">IF(
                AS704 = "",
                "",
                       IF(
                           AS704 ="FOTOGRAFIA",
                           "LINK",
                           "https://www.appsheet.com/template/gettablefileurl?appName=APP022ParticMagnMTV2-924373673-26-05-14&amp;tableName=4.reg_fotografico&amp;fileName="&amp;AS704                         )
                          )</f>
        <v/>
      </c>
      <c r="AV704" s="54" t="str">
        <f t="shared" si="5"/>
        <v/>
      </c>
    </row>
    <row r="705" ht="22.5" customHeight="1">
      <c r="AT705" s="54" t="str">
        <f t="array" ref="AT705">IF(
                AS705 = "",
                "",
                       IF(
                           AS705 ="FOTOGRAFIA",
                           "LINK",
                           "https://www.appsheet.com/template/gettablefileurl?appName=APP022ParticMagnMTV2-924373673-26-05-14&amp;tableName=4.reg_fotografico&amp;fileName="&amp;AS705                         )
                          )</f>
        <v/>
      </c>
      <c r="AV705" s="54" t="str">
        <f t="shared" si="5"/>
        <v/>
      </c>
    </row>
    <row r="706" ht="22.5" customHeight="1">
      <c r="AT706" s="54" t="str">
        <f t="array" ref="AT706">IF(
                AS706 = "",
                "",
                       IF(
                           AS706 ="FOTOGRAFIA",
                           "LINK",
                           "https://www.appsheet.com/template/gettablefileurl?appName=APP022ParticMagnMTV2-924373673-26-05-14&amp;tableName=4.reg_fotografico&amp;fileName="&amp;AS706                         )
                          )</f>
        <v/>
      </c>
      <c r="AV706" s="54" t="str">
        <f t="shared" si="5"/>
        <v/>
      </c>
    </row>
    <row r="707" ht="22.5" customHeight="1">
      <c r="AT707" s="54" t="str">
        <f t="array" ref="AT707">IF(
                AS707 = "",
                "",
                       IF(
                           AS707 ="FOTOGRAFIA",
                           "LINK",
                           "https://www.appsheet.com/template/gettablefileurl?appName=APP022ParticMagnMTV2-924373673-26-05-14&amp;tableName=4.reg_fotografico&amp;fileName="&amp;AS707                         )
                          )</f>
        <v/>
      </c>
      <c r="AV707" s="54" t="str">
        <f t="shared" si="5"/>
        <v/>
      </c>
    </row>
    <row r="708" ht="22.5" customHeight="1">
      <c r="AT708" s="54" t="str">
        <f t="array" ref="AT708">IF(
                AS708 = "",
                "",
                       IF(
                           AS708 ="FOTOGRAFIA",
                           "LINK",
                           "https://www.appsheet.com/template/gettablefileurl?appName=APP022ParticMagnMTV2-924373673-26-05-14&amp;tableName=4.reg_fotografico&amp;fileName="&amp;AS708                         )
                          )</f>
        <v/>
      </c>
      <c r="AV708" s="54" t="str">
        <f t="shared" si="5"/>
        <v/>
      </c>
    </row>
    <row r="709" ht="22.5" customHeight="1">
      <c r="AT709" s="54" t="str">
        <f t="array" ref="AT709">IF(
                AS709 = "",
                "",
                       IF(
                           AS709 ="FOTOGRAFIA",
                           "LINK",
                           "https://www.appsheet.com/template/gettablefileurl?appName=APP022ParticMagnMTV2-924373673-26-05-14&amp;tableName=4.reg_fotografico&amp;fileName="&amp;AS709                         )
                          )</f>
        <v/>
      </c>
      <c r="AV709" s="54" t="str">
        <f t="shared" si="5"/>
        <v/>
      </c>
    </row>
    <row r="710" ht="22.5" customHeight="1">
      <c r="AT710" s="54" t="str">
        <f t="array" ref="AT710">IF(
                AS710 = "",
                "",
                       IF(
                           AS710 ="FOTOGRAFIA",
                           "LINK",
                           "https://www.appsheet.com/template/gettablefileurl?appName=APP022ParticMagnMTV2-924373673-26-05-14&amp;tableName=4.reg_fotografico&amp;fileName="&amp;AS710                         )
                          )</f>
        <v/>
      </c>
      <c r="AV710" s="54" t="str">
        <f t="shared" si="5"/>
        <v/>
      </c>
    </row>
    <row r="711" ht="22.5" customHeight="1">
      <c r="AT711" s="54" t="str">
        <f t="array" ref="AT711">IF(
                AS711 = "",
                "",
                       IF(
                           AS711 ="FOTOGRAFIA",
                           "LINK",
                           "https://www.appsheet.com/template/gettablefileurl?appName=APP022ParticMagnMTV2-924373673-26-05-14&amp;tableName=4.reg_fotografico&amp;fileName="&amp;AS711                         )
                          )</f>
        <v/>
      </c>
      <c r="AV711" s="54" t="str">
        <f t="shared" si="5"/>
        <v/>
      </c>
    </row>
    <row r="712" ht="22.5" customHeight="1">
      <c r="AT712" s="54" t="str">
        <f t="array" ref="AT712">IF(
                AS712 = "",
                "",
                       IF(
                           AS712 ="FOTOGRAFIA",
                           "LINK",
                           "https://www.appsheet.com/template/gettablefileurl?appName=APP022ParticMagnMTV2-924373673-26-05-14&amp;tableName=4.reg_fotografico&amp;fileName="&amp;AS712                         )
                          )</f>
        <v/>
      </c>
      <c r="AV712" s="54" t="str">
        <f t="shared" si="5"/>
        <v/>
      </c>
    </row>
    <row r="713" ht="22.5" customHeight="1">
      <c r="AT713" s="54" t="str">
        <f t="array" ref="AT713">IF(
                AS713 = "",
                "",
                       IF(
                           AS713 ="FOTOGRAFIA",
                           "LINK",
                           "https://www.appsheet.com/template/gettablefileurl?appName=APP022ParticMagnMTV2-924373673-26-05-14&amp;tableName=4.reg_fotografico&amp;fileName="&amp;AS713                         )
                          )</f>
        <v/>
      </c>
      <c r="AV713" s="54" t="str">
        <f t="shared" si="5"/>
        <v/>
      </c>
    </row>
    <row r="714" ht="22.5" customHeight="1">
      <c r="AT714" s="54" t="str">
        <f t="array" ref="AT714">IF(
                AS714 = "",
                "",
                       IF(
                           AS714 ="FOTOGRAFIA",
                           "LINK",
                           "https://www.appsheet.com/template/gettablefileurl?appName=APP022ParticMagnMTV2-924373673-26-05-14&amp;tableName=4.reg_fotografico&amp;fileName="&amp;AS714                         )
                          )</f>
        <v/>
      </c>
      <c r="AV714" s="54" t="str">
        <f t="shared" si="5"/>
        <v/>
      </c>
    </row>
    <row r="715" ht="22.5" customHeight="1">
      <c r="AT715" s="54" t="str">
        <f t="array" ref="AT715">IF(
                AS715 = "",
                "",
                       IF(
                           AS715 ="FOTOGRAFIA",
                           "LINK",
                           "https://www.appsheet.com/template/gettablefileurl?appName=APP022ParticMagnMTV2-924373673-26-05-14&amp;tableName=4.reg_fotografico&amp;fileName="&amp;AS715                         )
                          )</f>
        <v/>
      </c>
      <c r="AV715" s="54" t="str">
        <f t="shared" si="5"/>
        <v/>
      </c>
    </row>
    <row r="716" ht="22.5" customHeight="1">
      <c r="AT716" s="54" t="str">
        <f t="array" ref="AT716">IF(
                AS716 = "",
                "",
                       IF(
                           AS716 ="FOTOGRAFIA",
                           "LINK",
                           "https://www.appsheet.com/template/gettablefileurl?appName=APP022ParticMagnMTV2-924373673-26-05-14&amp;tableName=4.reg_fotografico&amp;fileName="&amp;AS716                         )
                          )</f>
        <v/>
      </c>
      <c r="AV716" s="54" t="str">
        <f t="shared" si="5"/>
        <v/>
      </c>
    </row>
    <row r="717" ht="22.5" customHeight="1">
      <c r="AT717" s="54" t="str">
        <f t="array" ref="AT717">IF(
                AS717 = "",
                "",
                       IF(
                           AS717 ="FOTOGRAFIA",
                           "LINK",
                           "https://www.appsheet.com/template/gettablefileurl?appName=APP022ParticMagnMTV2-924373673-26-05-14&amp;tableName=4.reg_fotografico&amp;fileName="&amp;AS717                         )
                          )</f>
        <v/>
      </c>
      <c r="AV717" s="54" t="str">
        <f t="shared" si="5"/>
        <v/>
      </c>
    </row>
    <row r="718" ht="22.5" customHeight="1">
      <c r="AT718" s="54" t="str">
        <f t="array" ref="AT718">IF(
                AS718 = "",
                "",
                       IF(
                           AS718 ="FOTOGRAFIA",
                           "LINK",
                           "https://www.appsheet.com/template/gettablefileurl?appName=APP022ParticMagnMTV2-924373673-26-05-14&amp;tableName=4.reg_fotografico&amp;fileName="&amp;AS718                         )
                          )</f>
        <v/>
      </c>
      <c r="AV718" s="54" t="str">
        <f t="shared" si="5"/>
        <v/>
      </c>
    </row>
    <row r="719" ht="22.5" customHeight="1">
      <c r="AT719" s="54" t="str">
        <f t="array" ref="AT719">IF(
                AS719 = "",
                "",
                       IF(
                           AS719 ="FOTOGRAFIA",
                           "LINK",
                           "https://www.appsheet.com/template/gettablefileurl?appName=APP022ParticMagnMTV2-924373673-26-05-14&amp;tableName=4.reg_fotografico&amp;fileName="&amp;AS719                         )
                          )</f>
        <v/>
      </c>
      <c r="AV719" s="54" t="str">
        <f t="shared" si="5"/>
        <v/>
      </c>
    </row>
    <row r="720" ht="22.5" customHeight="1">
      <c r="AT720" s="54" t="str">
        <f t="array" ref="AT720">IF(
                AS720 = "",
                "",
                       IF(
                           AS720 ="FOTOGRAFIA",
                           "LINK",
                           "https://www.appsheet.com/template/gettablefileurl?appName=APP022ParticMagnMTV2-924373673-26-05-14&amp;tableName=4.reg_fotografico&amp;fileName="&amp;AS720                         )
                          )</f>
        <v/>
      </c>
      <c r="AV720" s="54" t="str">
        <f t="shared" si="5"/>
        <v/>
      </c>
    </row>
    <row r="721" ht="22.5" customHeight="1">
      <c r="AT721" s="54" t="str">
        <f t="array" ref="AT721">IF(
                AS721 = "",
                "",
                       IF(
                           AS721 ="FOTOGRAFIA",
                           "LINK",
                           "https://www.appsheet.com/template/gettablefileurl?appName=APP022ParticMagnMTV2-924373673-26-05-14&amp;tableName=4.reg_fotografico&amp;fileName="&amp;AS721                         )
                          )</f>
        <v/>
      </c>
      <c r="AV721" s="54" t="str">
        <f t="shared" si="5"/>
        <v/>
      </c>
    </row>
    <row r="722" ht="22.5" customHeight="1">
      <c r="AT722" s="54" t="str">
        <f t="array" ref="AT722">IF(
                AS722 = "",
                "",
                       IF(
                           AS722 ="FOTOGRAFIA",
                           "LINK",
                           "https://www.appsheet.com/template/gettablefileurl?appName=APP022ParticMagnMTV2-924373673-26-05-14&amp;tableName=4.reg_fotografico&amp;fileName="&amp;AS722                         )
                          )</f>
        <v/>
      </c>
      <c r="AV722" s="54" t="str">
        <f t="shared" si="5"/>
        <v/>
      </c>
    </row>
    <row r="723" ht="22.5" customHeight="1">
      <c r="AT723" s="54" t="str">
        <f t="array" ref="AT723">IF(
                AS723 = "",
                "",
                       IF(
                           AS723 ="FOTOGRAFIA",
                           "LINK",
                           "https://www.appsheet.com/template/gettablefileurl?appName=APP022ParticMagnMTV2-924373673-26-05-14&amp;tableName=4.reg_fotografico&amp;fileName="&amp;AS723                         )
                          )</f>
        <v/>
      </c>
      <c r="AV723" s="54" t="str">
        <f t="shared" si="5"/>
        <v/>
      </c>
    </row>
    <row r="724" ht="22.5" customHeight="1">
      <c r="AT724" s="54" t="str">
        <f t="array" ref="AT724">IF(
                AS724 = "",
                "",
                       IF(
                           AS724 ="FOTOGRAFIA",
                           "LINK",
                           "https://www.appsheet.com/template/gettablefileurl?appName=APP022ParticMagnMTV2-924373673-26-05-14&amp;tableName=4.reg_fotografico&amp;fileName="&amp;AS724                         )
                          )</f>
        <v/>
      </c>
      <c r="AV724" s="54" t="str">
        <f t="shared" si="5"/>
        <v/>
      </c>
    </row>
    <row r="725" ht="22.5" customHeight="1">
      <c r="AT725" s="54" t="str">
        <f t="array" ref="AT725">IF(
                AS725 = "",
                "",
                       IF(
                           AS725 ="FOTOGRAFIA",
                           "LINK",
                           "https://www.appsheet.com/template/gettablefileurl?appName=APP022ParticMagnMTV2-924373673-26-05-14&amp;tableName=4.reg_fotografico&amp;fileName="&amp;AS725                         )
                          )</f>
        <v/>
      </c>
      <c r="AV725" s="54" t="str">
        <f t="shared" si="5"/>
        <v/>
      </c>
    </row>
    <row r="726" ht="22.5" customHeight="1">
      <c r="AT726" s="54" t="str">
        <f t="array" ref="AT726">IF(
                AS726 = "",
                "",
                       IF(
                           AS726 ="FOTOGRAFIA",
                           "LINK",
                           "https://www.appsheet.com/template/gettablefileurl?appName=APP022ParticMagnMTV2-924373673-26-05-14&amp;tableName=4.reg_fotografico&amp;fileName="&amp;AS726                         )
                          )</f>
        <v/>
      </c>
      <c r="AV726" s="54" t="str">
        <f t="shared" si="5"/>
        <v/>
      </c>
    </row>
    <row r="727" ht="22.5" customHeight="1">
      <c r="AT727" s="54" t="str">
        <f t="array" ref="AT727">IF(
                AS727 = "",
                "",
                       IF(
                           AS727 ="FOTOGRAFIA",
                           "LINK",
                           "https://www.appsheet.com/template/gettablefileurl?appName=APP022ParticMagnMTV2-924373673-26-05-14&amp;tableName=4.reg_fotografico&amp;fileName="&amp;AS727                         )
                          )</f>
        <v/>
      </c>
      <c r="AV727" s="54" t="str">
        <f t="shared" si="5"/>
        <v/>
      </c>
    </row>
    <row r="728" ht="22.5" customHeight="1">
      <c r="AT728" s="54" t="str">
        <f t="array" ref="AT728">IF(
                AS728 = "",
                "",
                       IF(
                           AS728 ="FOTOGRAFIA",
                           "LINK",
                           "https://www.appsheet.com/template/gettablefileurl?appName=APP022ParticMagnMTV2-924373673-26-05-14&amp;tableName=4.reg_fotografico&amp;fileName="&amp;AS728                         )
                          )</f>
        <v/>
      </c>
      <c r="AV728" s="54" t="str">
        <f t="shared" si="5"/>
        <v/>
      </c>
    </row>
    <row r="729" ht="22.5" customHeight="1">
      <c r="AT729" s="54" t="str">
        <f t="array" ref="AT729">IF(
                AS729 = "",
                "",
                       IF(
                           AS729 ="FOTOGRAFIA",
                           "LINK",
                           "https://www.appsheet.com/template/gettablefileurl?appName=APP022ParticMagnMTV2-924373673-26-05-14&amp;tableName=4.reg_fotografico&amp;fileName="&amp;AS729                         )
                          )</f>
        <v/>
      </c>
      <c r="AV729" s="54" t="str">
        <f t="shared" si="5"/>
        <v/>
      </c>
    </row>
    <row r="730" ht="22.5" customHeight="1">
      <c r="AT730" s="54" t="str">
        <f t="array" ref="AT730">IF(
                AS730 = "",
                "",
                       IF(
                           AS730 ="FOTOGRAFIA",
                           "LINK",
                           "https://www.appsheet.com/template/gettablefileurl?appName=APP022ParticMagnMTV2-924373673-26-05-14&amp;tableName=4.reg_fotografico&amp;fileName="&amp;AS730                         )
                          )</f>
        <v/>
      </c>
      <c r="AV730" s="54" t="str">
        <f t="shared" si="5"/>
        <v/>
      </c>
    </row>
    <row r="731" ht="22.5" customHeight="1">
      <c r="AT731" s="54" t="str">
        <f t="array" ref="AT731">IF(
                AS731 = "",
                "",
                       IF(
                           AS731 ="FOTOGRAFIA",
                           "LINK",
                           "https://www.appsheet.com/template/gettablefileurl?appName=APP022ParticMagnMTV2-924373673-26-05-14&amp;tableName=4.reg_fotografico&amp;fileName="&amp;AS731                         )
                          )</f>
        <v/>
      </c>
      <c r="AV731" s="54" t="str">
        <f t="shared" si="5"/>
        <v/>
      </c>
    </row>
    <row r="732" ht="22.5" customHeight="1">
      <c r="AT732" s="54" t="str">
        <f t="array" ref="AT732">IF(
                AS732 = "",
                "",
                       IF(
                           AS732 ="FOTOGRAFIA",
                           "LINK",
                           "https://www.appsheet.com/template/gettablefileurl?appName=APP022ParticMagnMTV2-924373673-26-05-14&amp;tableName=4.reg_fotografico&amp;fileName="&amp;AS732                         )
                          )</f>
        <v/>
      </c>
      <c r="AV732" s="54" t="str">
        <f t="shared" si="5"/>
        <v/>
      </c>
    </row>
    <row r="733" ht="22.5" customHeight="1">
      <c r="AT733" s="54" t="str">
        <f t="array" ref="AT733">IF(
                AS733 = "",
                "",
                       IF(
                           AS733 ="FOTOGRAFIA",
                           "LINK",
                           "https://www.appsheet.com/template/gettablefileurl?appName=APP022ParticMagnMTV2-924373673-26-05-14&amp;tableName=4.reg_fotografico&amp;fileName="&amp;AS733                         )
                          )</f>
        <v/>
      </c>
      <c r="AV733" s="54" t="str">
        <f t="shared" si="5"/>
        <v/>
      </c>
    </row>
    <row r="734" ht="22.5" customHeight="1">
      <c r="AT734" s="54" t="str">
        <f t="array" ref="AT734">IF(
                AS734 = "",
                "",
                       IF(
                           AS734 ="FOTOGRAFIA",
                           "LINK",
                           "https://www.appsheet.com/template/gettablefileurl?appName=APP022ParticMagnMTV2-924373673-26-05-14&amp;tableName=4.reg_fotografico&amp;fileName="&amp;AS734                         )
                          )</f>
        <v/>
      </c>
      <c r="AV734" s="54" t="str">
        <f t="shared" si="5"/>
        <v/>
      </c>
    </row>
    <row r="735" ht="22.5" customHeight="1">
      <c r="AT735" s="54" t="str">
        <f t="array" ref="AT735">IF(
                AS735 = "",
                "",
                       IF(
                           AS735 ="FOTOGRAFIA",
                           "LINK",
                           "https://www.appsheet.com/template/gettablefileurl?appName=APP022ParticMagnMTV2-924373673-26-05-14&amp;tableName=4.reg_fotografico&amp;fileName="&amp;AS735                         )
                          )</f>
        <v/>
      </c>
      <c r="AV735" s="54" t="str">
        <f t="shared" si="5"/>
        <v/>
      </c>
    </row>
    <row r="736" ht="22.5" customHeight="1">
      <c r="AT736" s="54" t="str">
        <f t="array" ref="AT736">IF(
                AS736 = "",
                "",
                       IF(
                           AS736 ="FOTOGRAFIA",
                           "LINK",
                           "https://www.appsheet.com/template/gettablefileurl?appName=APP022ParticMagnMTV2-924373673-26-05-14&amp;tableName=4.reg_fotografico&amp;fileName="&amp;AS736                         )
                          )</f>
        <v/>
      </c>
      <c r="AV736" s="54" t="str">
        <f t="shared" si="5"/>
        <v/>
      </c>
    </row>
    <row r="737" ht="22.5" customHeight="1">
      <c r="AT737" s="54" t="str">
        <f t="array" ref="AT737">IF(
                AS737 = "",
                "",
                       IF(
                           AS737 ="FOTOGRAFIA",
                           "LINK",
                           "https://www.appsheet.com/template/gettablefileurl?appName=APP022ParticMagnMTV2-924373673-26-05-14&amp;tableName=4.reg_fotografico&amp;fileName="&amp;AS737                         )
                          )</f>
        <v/>
      </c>
      <c r="AV737" s="54" t="str">
        <f t="shared" si="5"/>
        <v/>
      </c>
    </row>
    <row r="738" ht="22.5" customHeight="1">
      <c r="AT738" s="54" t="str">
        <f t="array" ref="AT738">IF(
                AS738 = "",
                "",
                       IF(
                           AS738 ="FOTOGRAFIA",
                           "LINK",
                           "https://www.appsheet.com/template/gettablefileurl?appName=APP022ParticMagnMTV2-924373673-26-05-14&amp;tableName=4.reg_fotografico&amp;fileName="&amp;AS738                         )
                          )</f>
        <v/>
      </c>
      <c r="AV738" s="54" t="str">
        <f t="shared" si="5"/>
        <v/>
      </c>
    </row>
    <row r="739" ht="22.5" customHeight="1">
      <c r="AT739" s="54" t="str">
        <f t="array" ref="AT739">IF(
                AS739 = "",
                "",
                       IF(
                           AS739 ="FOTOGRAFIA",
                           "LINK",
                           "https://www.appsheet.com/template/gettablefileurl?appName=APP022ParticMagnMTV2-924373673-26-05-14&amp;tableName=4.reg_fotografico&amp;fileName="&amp;AS739                         )
                          )</f>
        <v/>
      </c>
      <c r="AV739" s="54" t="str">
        <f t="shared" si="5"/>
        <v/>
      </c>
    </row>
    <row r="740" ht="22.5" customHeight="1">
      <c r="AT740" s="54" t="str">
        <f t="array" ref="AT740">IF(
                AS740 = "",
                "",
                       IF(
                           AS740 ="FOTOGRAFIA",
                           "LINK",
                           "https://www.appsheet.com/template/gettablefileurl?appName=APP022ParticMagnMTV2-924373673-26-05-14&amp;tableName=4.reg_fotografico&amp;fileName="&amp;AS740                         )
                          )</f>
        <v/>
      </c>
      <c r="AV740" s="54" t="str">
        <f t="shared" si="5"/>
        <v/>
      </c>
    </row>
    <row r="741" ht="22.5" customHeight="1">
      <c r="AT741" s="54" t="str">
        <f t="array" ref="AT741">IF(
                AS741 = "",
                "",
                       IF(
                           AS741 ="FOTOGRAFIA",
                           "LINK",
                           "https://www.appsheet.com/template/gettablefileurl?appName=APP022ParticMagnMTV2-924373673-26-05-14&amp;tableName=4.reg_fotografico&amp;fileName="&amp;AS741                         )
                          )</f>
        <v/>
      </c>
      <c r="AV741" s="54" t="str">
        <f t="shared" si="5"/>
        <v/>
      </c>
    </row>
    <row r="742" ht="22.5" customHeight="1">
      <c r="AT742" s="54" t="str">
        <f t="array" ref="AT742">IF(
                AS742 = "",
                "",
                       IF(
                           AS742 ="FOTOGRAFIA",
                           "LINK",
                           "https://www.appsheet.com/template/gettablefileurl?appName=APP022ParticMagnMTV2-924373673-26-05-14&amp;tableName=4.reg_fotografico&amp;fileName="&amp;AS742                         )
                          )</f>
        <v/>
      </c>
      <c r="AV742" s="54" t="str">
        <f t="shared" si="5"/>
        <v/>
      </c>
    </row>
    <row r="743" ht="22.5" customHeight="1">
      <c r="AT743" s="54" t="str">
        <f t="array" ref="AT743">IF(
                AS743 = "",
                "",
                       IF(
                           AS743 ="FOTOGRAFIA",
                           "LINK",
                           "https://www.appsheet.com/template/gettablefileurl?appName=APP022ParticMagnMTV2-924373673-26-05-14&amp;tableName=4.reg_fotografico&amp;fileName="&amp;AS743                         )
                          )</f>
        <v/>
      </c>
      <c r="AV743" s="54" t="str">
        <f t="shared" si="5"/>
        <v/>
      </c>
    </row>
    <row r="744" ht="22.5" customHeight="1">
      <c r="AT744" s="54" t="str">
        <f t="array" ref="AT744">IF(
                AS744 = "",
                "",
                       IF(
                           AS744 ="FOTOGRAFIA",
                           "LINK",
                           "https://www.appsheet.com/template/gettablefileurl?appName=APP022ParticMagnMTV2-924373673-26-05-14&amp;tableName=4.reg_fotografico&amp;fileName="&amp;AS744                         )
                          )</f>
        <v/>
      </c>
      <c r="AV744" s="54" t="str">
        <f t="shared" si="5"/>
        <v/>
      </c>
    </row>
    <row r="745" ht="22.5" customHeight="1">
      <c r="AT745" s="54" t="str">
        <f t="array" ref="AT745">IF(
                AS745 = "",
                "",
                       IF(
                           AS745 ="FOTOGRAFIA",
                           "LINK",
                           "https://www.appsheet.com/template/gettablefileurl?appName=APP022ParticMagnMTV2-924373673-26-05-14&amp;tableName=4.reg_fotografico&amp;fileName="&amp;AS745                         )
                          )</f>
        <v/>
      </c>
      <c r="AV745" s="54" t="str">
        <f t="shared" si="5"/>
        <v/>
      </c>
    </row>
    <row r="746" ht="22.5" customHeight="1">
      <c r="AT746" s="54" t="str">
        <f t="array" ref="AT746">IF(
                AS746 = "",
                "",
                       IF(
                           AS746 ="FOTOGRAFIA",
                           "LINK",
                           "https://www.appsheet.com/template/gettablefileurl?appName=APP022ParticMagnMTV2-924373673-26-05-14&amp;tableName=4.reg_fotografico&amp;fileName="&amp;AS746                         )
                          )</f>
        <v/>
      </c>
      <c r="AV746" s="54" t="str">
        <f t="shared" si="5"/>
        <v/>
      </c>
    </row>
    <row r="747" ht="22.5" customHeight="1">
      <c r="AT747" s="54" t="str">
        <f t="array" ref="AT747">IF(
                AS747 = "",
                "",
                       IF(
                           AS747 ="FOTOGRAFIA",
                           "LINK",
                           "https://www.appsheet.com/template/gettablefileurl?appName=APP022ParticMagnMTV2-924373673-26-05-14&amp;tableName=4.reg_fotografico&amp;fileName="&amp;AS747                         )
                          )</f>
        <v/>
      </c>
      <c r="AV747" s="54" t="str">
        <f t="shared" si="5"/>
        <v/>
      </c>
    </row>
    <row r="748" ht="22.5" customHeight="1">
      <c r="AT748" s="54" t="str">
        <f t="array" ref="AT748">IF(
                AS748 = "",
                "",
                       IF(
                           AS748 ="FOTOGRAFIA",
                           "LINK",
                           "https://www.appsheet.com/template/gettablefileurl?appName=APP022ParticMagnMTV2-924373673-26-05-14&amp;tableName=4.reg_fotografico&amp;fileName="&amp;AS748                         )
                          )</f>
        <v/>
      </c>
      <c r="AV748" s="54" t="str">
        <f t="shared" si="5"/>
        <v/>
      </c>
    </row>
    <row r="749" ht="22.5" customHeight="1">
      <c r="AT749" s="54" t="str">
        <f t="array" ref="AT749">IF(
                AS749 = "",
                "",
                       IF(
                           AS749 ="FOTOGRAFIA",
                           "LINK",
                           "https://www.appsheet.com/template/gettablefileurl?appName=APP022ParticMagnMTV2-924373673-26-05-14&amp;tableName=4.reg_fotografico&amp;fileName="&amp;AS749                         )
                          )</f>
        <v/>
      </c>
      <c r="AV749" s="54" t="str">
        <f t="shared" si="5"/>
        <v/>
      </c>
    </row>
    <row r="750" ht="22.5" customHeight="1">
      <c r="AT750" s="54" t="str">
        <f t="array" ref="AT750">IF(
                AS750 = "",
                "",
                       IF(
                           AS750 ="FOTOGRAFIA",
                           "LINK",
                           "https://www.appsheet.com/template/gettablefileurl?appName=APP022ParticMagnMTV2-924373673-26-05-14&amp;tableName=4.reg_fotografico&amp;fileName="&amp;AS750                         )
                          )</f>
        <v/>
      </c>
      <c r="AV750" s="54" t="str">
        <f t="shared" si="5"/>
        <v/>
      </c>
    </row>
    <row r="751" ht="22.5" customHeight="1">
      <c r="AT751" s="54" t="str">
        <f t="array" ref="AT751">IF(
                AS751 = "",
                "",
                       IF(
                           AS751 ="FOTOGRAFIA",
                           "LINK",
                           "https://www.appsheet.com/template/gettablefileurl?appName=APP022ParticMagnMTV2-924373673-26-05-14&amp;tableName=4.reg_fotografico&amp;fileName="&amp;AS751                         )
                          )</f>
        <v/>
      </c>
      <c r="AV751" s="54" t="str">
        <f t="shared" si="5"/>
        <v/>
      </c>
    </row>
    <row r="752" ht="22.5" customHeight="1">
      <c r="AT752" s="54" t="str">
        <f t="array" ref="AT752">IF(
                AS752 = "",
                "",
                       IF(
                           AS752 ="FOTOGRAFIA",
                           "LINK",
                           "https://www.appsheet.com/template/gettablefileurl?appName=APP022ParticMagnMTV2-924373673-26-05-14&amp;tableName=4.reg_fotografico&amp;fileName="&amp;AS752                         )
                          )</f>
        <v/>
      </c>
      <c r="AV752" s="54" t="str">
        <f t="shared" si="5"/>
        <v/>
      </c>
    </row>
    <row r="753" ht="22.5" customHeight="1">
      <c r="AT753" s="54" t="str">
        <f t="array" ref="AT753">IF(
                AS753 = "",
                "",
                       IF(
                           AS753 ="FOTOGRAFIA",
                           "LINK",
                           "https://www.appsheet.com/template/gettablefileurl?appName=APP022ParticMagnMTV2-924373673-26-05-14&amp;tableName=4.reg_fotografico&amp;fileName="&amp;AS753                         )
                          )</f>
        <v/>
      </c>
      <c r="AV753" s="54" t="str">
        <f t="shared" si="5"/>
        <v/>
      </c>
    </row>
    <row r="754" ht="22.5" customHeight="1">
      <c r="AT754" s="54" t="str">
        <f t="array" ref="AT754">IF(
                AS754 = "",
                "",
                       IF(
                           AS754 ="FOTOGRAFIA",
                           "LINK",
                           "https://www.appsheet.com/template/gettablefileurl?appName=APP022ParticMagnMTV2-924373673-26-05-14&amp;tableName=4.reg_fotografico&amp;fileName="&amp;AS754                         )
                          )</f>
        <v/>
      </c>
      <c r="AV754" s="54" t="str">
        <f t="shared" si="5"/>
        <v/>
      </c>
    </row>
    <row r="755" ht="22.5" customHeight="1">
      <c r="AT755" s="54" t="str">
        <f t="array" ref="AT755">IF(
                AS755 = "",
                "",
                       IF(
                           AS755 ="FOTOGRAFIA",
                           "LINK",
                           "https://www.appsheet.com/template/gettablefileurl?appName=APP022ParticMagnMTV2-924373673-26-05-14&amp;tableName=4.reg_fotografico&amp;fileName="&amp;AS755                         )
                          )</f>
        <v/>
      </c>
      <c r="AV755" s="54" t="str">
        <f t="shared" si="5"/>
        <v/>
      </c>
    </row>
    <row r="756" ht="22.5" customHeight="1">
      <c r="AT756" s="54" t="str">
        <f t="array" ref="AT756">IF(
                AS756 = "",
                "",
                       IF(
                           AS756 ="FOTOGRAFIA",
                           "LINK",
                           "https://www.appsheet.com/template/gettablefileurl?appName=APP022ParticMagnMTV2-924373673-26-05-14&amp;tableName=4.reg_fotografico&amp;fileName="&amp;AS756                         )
                          )</f>
        <v/>
      </c>
      <c r="AV756" s="54" t="str">
        <f t="shared" si="5"/>
        <v/>
      </c>
    </row>
    <row r="757" ht="22.5" customHeight="1">
      <c r="AT757" s="54" t="str">
        <f t="array" ref="AT757">IF(
                AS757 = "",
                "",
                       IF(
                           AS757 ="FOTOGRAFIA",
                           "LINK",
                           "https://www.appsheet.com/template/gettablefileurl?appName=APP022ParticMagnMTV2-924373673-26-05-14&amp;tableName=4.reg_fotografico&amp;fileName="&amp;AS757                         )
                          )</f>
        <v/>
      </c>
      <c r="AV757" s="54" t="str">
        <f t="shared" si="5"/>
        <v/>
      </c>
    </row>
    <row r="758" ht="22.5" customHeight="1">
      <c r="AT758" s="54" t="str">
        <f t="array" ref="AT758">IF(
                AS758 = "",
                "",
                       IF(
                           AS758 ="FOTOGRAFIA",
                           "LINK",
                           "https://www.appsheet.com/template/gettablefileurl?appName=APP022ParticMagnMTV2-924373673-26-05-14&amp;tableName=4.reg_fotografico&amp;fileName="&amp;AS758                         )
                          )</f>
        <v/>
      </c>
      <c r="AV758" s="54" t="str">
        <f t="shared" si="5"/>
        <v/>
      </c>
    </row>
    <row r="759" ht="22.5" customHeight="1">
      <c r="AT759" s="54" t="str">
        <f t="array" ref="AT759">IF(
                AS759 = "",
                "",
                       IF(
                           AS759 ="FOTOGRAFIA",
                           "LINK",
                           "https://www.appsheet.com/template/gettablefileurl?appName=APP022ParticMagnMTV2-924373673-26-05-14&amp;tableName=4.reg_fotografico&amp;fileName="&amp;AS759                         )
                          )</f>
        <v/>
      </c>
      <c r="AV759" s="54" t="str">
        <f t="shared" si="5"/>
        <v/>
      </c>
    </row>
    <row r="760" ht="22.5" customHeight="1">
      <c r="AT760" s="54" t="str">
        <f t="array" ref="AT760">IF(
                AS760 = "",
                "",
                       IF(
                           AS760 ="FOTOGRAFIA",
                           "LINK",
                           "https://www.appsheet.com/template/gettablefileurl?appName=APP022ParticMagnMTV2-924373673-26-05-14&amp;tableName=4.reg_fotografico&amp;fileName="&amp;AS760                         )
                          )</f>
        <v/>
      </c>
      <c r="AV760" s="54" t="str">
        <f t="shared" si="5"/>
        <v/>
      </c>
    </row>
    <row r="761" ht="22.5" customHeight="1">
      <c r="AT761" s="54" t="str">
        <f t="array" ref="AT761">IF(
                AS761 = "",
                "",
                       IF(
                           AS761 ="FOTOGRAFIA",
                           "LINK",
                           "https://www.appsheet.com/template/gettablefileurl?appName=APP022ParticMagnMTV2-924373673-26-05-14&amp;tableName=4.reg_fotografico&amp;fileName="&amp;AS761                         )
                          )</f>
        <v/>
      </c>
      <c r="AV761" s="54" t="str">
        <f t="shared" si="5"/>
        <v/>
      </c>
    </row>
    <row r="762" ht="22.5" customHeight="1">
      <c r="AT762" s="54" t="str">
        <f t="array" ref="AT762">IF(
                AS762 = "",
                "",
                       IF(
                           AS762 ="FOTOGRAFIA",
                           "LINK",
                           "https://www.appsheet.com/template/gettablefileurl?appName=APP022ParticMagnMTV2-924373673-26-05-14&amp;tableName=4.reg_fotografico&amp;fileName="&amp;AS762                         )
                          )</f>
        <v/>
      </c>
      <c r="AV762" s="54" t="str">
        <f t="shared" si="5"/>
        <v/>
      </c>
    </row>
    <row r="763" ht="22.5" customHeight="1">
      <c r="AT763" s="54" t="str">
        <f t="array" ref="AT763">IF(
                AS763 = "",
                "",
                       IF(
                           AS763 ="FOTOGRAFIA",
                           "LINK",
                           "https://www.appsheet.com/template/gettablefileurl?appName=APP022ParticMagnMTV2-924373673-26-05-14&amp;tableName=4.reg_fotografico&amp;fileName="&amp;AS763                         )
                          )</f>
        <v/>
      </c>
      <c r="AV763" s="54" t="str">
        <f t="shared" si="5"/>
        <v/>
      </c>
    </row>
    <row r="764" ht="22.5" customHeight="1">
      <c r="AT764" s="54" t="str">
        <f t="array" ref="AT764">IF(
                AS764 = "",
                "",
                       IF(
                           AS764 ="FOTOGRAFIA",
                           "LINK",
                           "https://www.appsheet.com/template/gettablefileurl?appName=APP022ParticMagnMTV2-924373673-26-05-14&amp;tableName=4.reg_fotografico&amp;fileName="&amp;AS764                         )
                          )</f>
        <v/>
      </c>
      <c r="AV764" s="54" t="str">
        <f t="shared" si="5"/>
        <v/>
      </c>
    </row>
    <row r="765" ht="22.5" customHeight="1">
      <c r="AT765" s="54" t="str">
        <f t="array" ref="AT765">IF(
                AS765 = "",
                "",
                       IF(
                           AS765 ="FOTOGRAFIA",
                           "LINK",
                           "https://www.appsheet.com/template/gettablefileurl?appName=APP022ParticMagnMTV2-924373673-26-05-14&amp;tableName=4.reg_fotografico&amp;fileName="&amp;AS765                         )
                          )</f>
        <v/>
      </c>
      <c r="AV765" s="54" t="str">
        <f t="shared" si="5"/>
        <v/>
      </c>
    </row>
    <row r="766" ht="22.5" customHeight="1">
      <c r="AT766" s="54" t="str">
        <f t="array" ref="AT766">IF(
                AS766 = "",
                "",
                       IF(
                           AS766 ="FOTOGRAFIA",
                           "LINK",
                           "https://www.appsheet.com/template/gettablefileurl?appName=APP022ParticMagnMTV2-924373673-26-05-14&amp;tableName=4.reg_fotografico&amp;fileName="&amp;AS766                         )
                          )</f>
        <v/>
      </c>
      <c r="AV766" s="54" t="str">
        <f t="shared" si="5"/>
        <v/>
      </c>
    </row>
    <row r="767" ht="22.5" customHeight="1">
      <c r="AT767" s="54" t="str">
        <f t="array" ref="AT767">IF(
                AS767 = "",
                "",
                       IF(
                           AS767 ="FOTOGRAFIA",
                           "LINK",
                           "https://www.appsheet.com/template/gettablefileurl?appName=APP022ParticMagnMTV2-924373673-26-05-14&amp;tableName=4.reg_fotografico&amp;fileName="&amp;AS767                         )
                          )</f>
        <v/>
      </c>
      <c r="AV767" s="54" t="str">
        <f t="shared" si="5"/>
        <v/>
      </c>
    </row>
    <row r="768" ht="22.5" customHeight="1">
      <c r="AT768" s="54" t="str">
        <f t="array" ref="AT768">IF(
                AS768 = "",
                "",
                       IF(
                           AS768 ="FOTOGRAFIA",
                           "LINK",
                           "https://www.appsheet.com/template/gettablefileurl?appName=APP022ParticMagnMTV2-924373673-26-05-14&amp;tableName=4.reg_fotografico&amp;fileName="&amp;AS768                         )
                          )</f>
        <v/>
      </c>
      <c r="AV768" s="54" t="str">
        <f t="shared" si="5"/>
        <v/>
      </c>
    </row>
    <row r="769" ht="22.5" customHeight="1">
      <c r="AT769" s="54" t="str">
        <f t="array" ref="AT769">IF(
                AS769 = "",
                "",
                       IF(
                           AS769 ="FOTOGRAFIA",
                           "LINK",
                           "https://www.appsheet.com/template/gettablefileurl?appName=APP022ParticMagnMTV2-924373673-26-05-14&amp;tableName=4.reg_fotografico&amp;fileName="&amp;AS769                         )
                          )</f>
        <v/>
      </c>
      <c r="AV769" s="54" t="str">
        <f t="shared" si="5"/>
        <v/>
      </c>
    </row>
    <row r="770" ht="22.5" customHeight="1">
      <c r="AT770" s="54" t="str">
        <f t="array" ref="AT770">IF(
                AS770 = "",
                "",
                       IF(
                           AS770 ="FOTOGRAFIA",
                           "LINK",
                           "https://www.appsheet.com/template/gettablefileurl?appName=APP022ParticMagnMTV2-924373673-26-05-14&amp;tableName=4.reg_fotografico&amp;fileName="&amp;AS770                         )
                          )</f>
        <v/>
      </c>
      <c r="AV770" s="54" t="str">
        <f t="shared" si="5"/>
        <v/>
      </c>
    </row>
    <row r="771" ht="22.5" customHeight="1">
      <c r="AT771" s="54" t="str">
        <f t="array" ref="AT771">IF(
                AS771 = "",
                "",
                       IF(
                           AS771 ="FOTOGRAFIA",
                           "LINK",
                           "https://www.appsheet.com/template/gettablefileurl?appName=APP022ParticMagnMTV2-924373673-26-05-14&amp;tableName=4.reg_fotografico&amp;fileName="&amp;AS771                         )
                          )</f>
        <v/>
      </c>
      <c r="AV771" s="54" t="str">
        <f t="shared" si="5"/>
        <v/>
      </c>
    </row>
    <row r="772" ht="22.5" customHeight="1">
      <c r="AT772" s="54" t="str">
        <f t="array" ref="AT772">IF(
                AS772 = "",
                "",
                       IF(
                           AS772 ="FOTOGRAFIA",
                           "LINK",
                           "https://www.appsheet.com/template/gettablefileurl?appName=APP022ParticMagnMTV2-924373673-26-05-14&amp;tableName=4.reg_fotografico&amp;fileName="&amp;AS772                         )
                          )</f>
        <v/>
      </c>
      <c r="AV772" s="54" t="str">
        <f t="shared" si="5"/>
        <v/>
      </c>
    </row>
    <row r="773" ht="22.5" customHeight="1">
      <c r="AT773" s="54" t="str">
        <f t="array" ref="AT773">IF(
                AS773 = "",
                "",
                       IF(
                           AS773 ="FOTOGRAFIA",
                           "LINK",
                           "https://www.appsheet.com/template/gettablefileurl?appName=APP022ParticMagnMTV2-924373673-26-05-14&amp;tableName=4.reg_fotografico&amp;fileName="&amp;AS773                         )
                          )</f>
        <v/>
      </c>
      <c r="AV773" s="54" t="str">
        <f t="shared" si="5"/>
        <v/>
      </c>
    </row>
    <row r="774" ht="22.5" customHeight="1">
      <c r="AT774" s="54" t="str">
        <f t="array" ref="AT774">IF(
                AS774 = "",
                "",
                       IF(
                           AS774 ="FOTOGRAFIA",
                           "LINK",
                           "https://www.appsheet.com/template/gettablefileurl?appName=APP022ParticMagnMTV2-924373673-26-05-14&amp;tableName=4.reg_fotografico&amp;fileName="&amp;AS774                         )
                          )</f>
        <v/>
      </c>
      <c r="AV774" s="54" t="str">
        <f t="shared" si="5"/>
        <v/>
      </c>
    </row>
    <row r="775" ht="22.5" customHeight="1">
      <c r="AT775" s="54" t="str">
        <f t="array" ref="AT775">IF(
                AS775 = "",
                "",
                       IF(
                           AS775 ="FOTOGRAFIA",
                           "LINK",
                           "https://www.appsheet.com/template/gettablefileurl?appName=APP022ParticMagnMTV2-924373673-26-05-14&amp;tableName=4.reg_fotografico&amp;fileName="&amp;AS775                         )
                          )</f>
        <v/>
      </c>
      <c r="AV775" s="54" t="str">
        <f t="shared" si="5"/>
        <v/>
      </c>
    </row>
    <row r="776" ht="22.5" customHeight="1">
      <c r="AT776" s="54" t="str">
        <f t="array" ref="AT776">IF(
                AS776 = "",
                "",
                       IF(
                           AS776 ="FOTOGRAFIA",
                           "LINK",
                           "https://www.appsheet.com/template/gettablefileurl?appName=APP022ParticMagnMTV2-924373673-26-05-14&amp;tableName=4.reg_fotografico&amp;fileName="&amp;AS776                         )
                          )</f>
        <v/>
      </c>
      <c r="AV776" s="54" t="str">
        <f t="shared" si="5"/>
        <v/>
      </c>
    </row>
    <row r="777" ht="22.5" customHeight="1">
      <c r="AT777" s="54" t="str">
        <f t="array" ref="AT777">IF(
                AS777 = "",
                "",
                       IF(
                           AS777 ="FOTOGRAFIA",
                           "LINK",
                           "https://www.appsheet.com/template/gettablefileurl?appName=APP022ParticMagnMTV2-924373673-26-05-14&amp;tableName=4.reg_fotografico&amp;fileName="&amp;AS777                         )
                          )</f>
        <v/>
      </c>
      <c r="AV777" s="54" t="str">
        <f t="shared" si="5"/>
        <v/>
      </c>
    </row>
    <row r="778" ht="22.5" customHeight="1">
      <c r="AT778" s="54" t="str">
        <f t="array" ref="AT778">IF(
                AS778 = "",
                "",
                       IF(
                           AS778 ="FOTOGRAFIA",
                           "LINK",
                           "https://www.appsheet.com/template/gettablefileurl?appName=APP022ParticMagnMTV2-924373673-26-05-14&amp;tableName=4.reg_fotografico&amp;fileName="&amp;AS778                         )
                          )</f>
        <v/>
      </c>
      <c r="AV778" s="54" t="str">
        <f t="shared" si="5"/>
        <v/>
      </c>
    </row>
    <row r="779" ht="22.5" customHeight="1">
      <c r="AT779" s="54" t="str">
        <f t="array" ref="AT779">IF(
                AS779 = "",
                "",
                       IF(
                           AS779 ="FOTOGRAFIA",
                           "LINK",
                           "https://www.appsheet.com/template/gettablefileurl?appName=APP022ParticMagnMTV2-924373673-26-05-14&amp;tableName=4.reg_fotografico&amp;fileName="&amp;AS779                         )
                          )</f>
        <v/>
      </c>
      <c r="AV779" s="54" t="str">
        <f t="shared" si="5"/>
        <v/>
      </c>
    </row>
    <row r="780" ht="22.5" customHeight="1">
      <c r="AT780" s="54" t="str">
        <f t="array" ref="AT780">IF(
                AS780 = "",
                "",
                       IF(
                           AS780 ="FOTOGRAFIA",
                           "LINK",
                           "https://www.appsheet.com/template/gettablefileurl?appName=APP022ParticMagnMTV2-924373673-26-05-14&amp;tableName=4.reg_fotografico&amp;fileName="&amp;AS780                         )
                          )</f>
        <v/>
      </c>
      <c r="AV780" s="54" t="str">
        <f t="shared" si="5"/>
        <v/>
      </c>
    </row>
    <row r="781" ht="22.5" customHeight="1">
      <c r="AT781" s="54" t="str">
        <f t="array" ref="AT781">IF(
                AS781 = "",
                "",
                       IF(
                           AS781 ="FOTOGRAFIA",
                           "LINK",
                           "https://www.appsheet.com/template/gettablefileurl?appName=APP022ParticMagnMTV2-924373673-26-05-14&amp;tableName=4.reg_fotografico&amp;fileName="&amp;AS781                         )
                          )</f>
        <v/>
      </c>
      <c r="AV781" s="54" t="str">
        <f t="shared" si="5"/>
        <v/>
      </c>
    </row>
    <row r="782" ht="22.5" customHeight="1">
      <c r="AT782" s="54" t="str">
        <f t="array" ref="AT782">IF(
                AS782 = "",
                "",
                       IF(
                           AS782 ="FOTOGRAFIA",
                           "LINK",
                           "https://www.appsheet.com/template/gettablefileurl?appName=APP022ParticMagnMTV2-924373673-26-05-14&amp;tableName=4.reg_fotografico&amp;fileName="&amp;AS782                         )
                          )</f>
        <v/>
      </c>
      <c r="AV782" s="54" t="str">
        <f t="shared" si="5"/>
        <v/>
      </c>
    </row>
    <row r="783" ht="22.5" customHeight="1">
      <c r="AT783" s="54" t="str">
        <f t="array" ref="AT783">IF(
                AS783 = "",
                "",
                       IF(
                           AS783 ="FOTOGRAFIA",
                           "LINK",
                           "https://www.appsheet.com/template/gettablefileurl?appName=APP022ParticMagnMTV2-924373673-26-05-14&amp;tableName=4.reg_fotografico&amp;fileName="&amp;AS783                         )
                          )</f>
        <v/>
      </c>
      <c r="AV783" s="54" t="str">
        <f t="shared" si="5"/>
        <v/>
      </c>
    </row>
    <row r="784" ht="22.5" customHeight="1">
      <c r="AT784" s="54" t="str">
        <f t="array" ref="AT784">IF(
                AS784 = "",
                "",
                       IF(
                           AS784 ="FOTOGRAFIA",
                           "LINK",
                           "https://www.appsheet.com/template/gettablefileurl?appName=APP022ParticMagnMTV2-924373673-26-05-14&amp;tableName=4.reg_fotografico&amp;fileName="&amp;AS784                         )
                          )</f>
        <v/>
      </c>
      <c r="AV784" s="54" t="str">
        <f t="shared" si="5"/>
        <v/>
      </c>
    </row>
    <row r="785" ht="22.5" customHeight="1">
      <c r="AT785" s="54" t="str">
        <f t="array" ref="AT785">IF(
                AS785 = "",
                "",
                       IF(
                           AS785 ="FOTOGRAFIA",
                           "LINK",
                           "https://www.appsheet.com/template/gettablefileurl?appName=APP022ParticMagnMTV2-924373673-26-05-14&amp;tableName=4.reg_fotografico&amp;fileName="&amp;AS785                         )
                          )</f>
        <v/>
      </c>
      <c r="AV785" s="54" t="str">
        <f t="shared" si="5"/>
        <v/>
      </c>
    </row>
    <row r="786" ht="22.5" customHeight="1">
      <c r="AT786" s="54" t="str">
        <f t="array" ref="AT786">IF(
                AS786 = "",
                "",
                       IF(
                           AS786 ="FOTOGRAFIA",
                           "LINK",
                           "https://www.appsheet.com/template/gettablefileurl?appName=APP022ParticMagnMTV2-924373673-26-05-14&amp;tableName=4.reg_fotografico&amp;fileName="&amp;AS786                         )
                          )</f>
        <v/>
      </c>
      <c r="AV786" s="54" t="str">
        <f t="shared" si="5"/>
        <v/>
      </c>
    </row>
    <row r="787" ht="22.5" customHeight="1">
      <c r="AT787" s="54" t="str">
        <f t="array" ref="AT787">IF(
                AS787 = "",
                "",
                       IF(
                           AS787 ="FOTOGRAFIA",
                           "LINK",
                           "https://www.appsheet.com/template/gettablefileurl?appName=APP022ParticMagnMTV2-924373673-26-05-14&amp;tableName=4.reg_fotografico&amp;fileName="&amp;AS787                         )
                          )</f>
        <v/>
      </c>
      <c r="AV787" s="54" t="str">
        <f t="shared" si="5"/>
        <v/>
      </c>
    </row>
    <row r="788" ht="22.5" customHeight="1">
      <c r="AT788" s="54" t="str">
        <f t="array" ref="AT788">IF(
                AS788 = "",
                "",
                       IF(
                           AS788 ="FOTOGRAFIA",
                           "LINK",
                           "https://www.appsheet.com/template/gettablefileurl?appName=APP022ParticMagnMTV2-924373673-26-05-14&amp;tableName=4.reg_fotografico&amp;fileName="&amp;AS788                         )
                          )</f>
        <v/>
      </c>
      <c r="AV788" s="54" t="str">
        <f t="shared" si="5"/>
        <v/>
      </c>
    </row>
    <row r="789" ht="22.5" customHeight="1">
      <c r="AT789" s="54" t="str">
        <f t="array" ref="AT789">IF(
                AS789 = "",
                "",
                       IF(
                           AS789 ="FOTOGRAFIA",
                           "LINK",
                           "https://www.appsheet.com/template/gettablefileurl?appName=APP022ParticMagnMTV2-924373673-26-05-14&amp;tableName=4.reg_fotografico&amp;fileName="&amp;AS789                         )
                          )</f>
        <v/>
      </c>
      <c r="AV789" s="54" t="str">
        <f t="shared" si="5"/>
        <v/>
      </c>
    </row>
    <row r="790" ht="22.5" customHeight="1">
      <c r="AT790" s="54" t="str">
        <f t="array" ref="AT790">IF(
                AS790 = "",
                "",
                       IF(
                           AS790 ="FOTOGRAFIA",
                           "LINK",
                           "https://www.appsheet.com/template/gettablefileurl?appName=APP022ParticMagnMTV2-924373673-26-05-14&amp;tableName=4.reg_fotografico&amp;fileName="&amp;AS790                         )
                          )</f>
        <v/>
      </c>
      <c r="AV790" s="54" t="str">
        <f t="shared" si="5"/>
        <v/>
      </c>
    </row>
    <row r="791" ht="22.5" customHeight="1">
      <c r="AT791" s="54" t="str">
        <f t="array" ref="AT791">IF(
                AS791 = "",
                "",
                       IF(
                           AS791 ="FOTOGRAFIA",
                           "LINK",
                           "https://www.appsheet.com/template/gettablefileurl?appName=APP022ParticMagnMTV2-924373673-26-05-14&amp;tableName=4.reg_fotografico&amp;fileName="&amp;AS791                         )
                          )</f>
        <v/>
      </c>
      <c r="AV791" s="54" t="str">
        <f t="shared" si="5"/>
        <v/>
      </c>
    </row>
    <row r="792" ht="22.5" customHeight="1">
      <c r="AT792" s="54" t="str">
        <f t="array" ref="AT792">IF(
                AS792 = "",
                "",
                       IF(
                           AS792 ="FOTOGRAFIA",
                           "LINK",
                           "https://www.appsheet.com/template/gettablefileurl?appName=APP022ParticMagnMTV2-924373673-26-05-14&amp;tableName=4.reg_fotografico&amp;fileName="&amp;AS792                         )
                          )</f>
        <v/>
      </c>
      <c r="AV792" s="54" t="str">
        <f t="shared" si="5"/>
        <v/>
      </c>
    </row>
    <row r="793" ht="22.5" customHeight="1">
      <c r="AT793" s="54" t="str">
        <f t="array" ref="AT793">IF(
                AS793 = "",
                "",
                       IF(
                           AS793 ="FOTOGRAFIA",
                           "LINK",
                           "https://www.appsheet.com/template/gettablefileurl?appName=APP022ParticMagnMTV2-924373673-26-05-14&amp;tableName=4.reg_fotografico&amp;fileName="&amp;AS793                         )
                          )</f>
        <v/>
      </c>
      <c r="AV793" s="54" t="str">
        <f t="shared" si="5"/>
        <v/>
      </c>
    </row>
    <row r="794" ht="22.5" customHeight="1">
      <c r="AT794" s="54" t="str">
        <f t="array" ref="AT794">IF(
                AS794 = "",
                "",
                       IF(
                           AS794 ="FOTOGRAFIA",
                           "LINK",
                           "https://www.appsheet.com/template/gettablefileurl?appName=APP022ParticMagnMTV2-924373673-26-05-14&amp;tableName=4.reg_fotografico&amp;fileName="&amp;AS794                         )
                          )</f>
        <v/>
      </c>
      <c r="AV794" s="54" t="str">
        <f t="shared" si="5"/>
        <v/>
      </c>
    </row>
    <row r="795" ht="22.5" customHeight="1">
      <c r="AT795" s="54" t="str">
        <f t="array" ref="AT795">IF(
                AS795 = "",
                "",
                       IF(
                           AS795 ="FOTOGRAFIA",
                           "LINK",
                           "https://www.appsheet.com/template/gettablefileurl?appName=APP022ParticMagnMTV2-924373673-26-05-14&amp;tableName=4.reg_fotografico&amp;fileName="&amp;AS795                         )
                          )</f>
        <v/>
      </c>
      <c r="AV795" s="54" t="str">
        <f t="shared" si="5"/>
        <v/>
      </c>
    </row>
    <row r="796" ht="22.5" customHeight="1">
      <c r="AT796" s="54" t="str">
        <f t="array" ref="AT796">IF(
                AS796 = "",
                "",
                       IF(
                           AS796 ="FOTOGRAFIA",
                           "LINK",
                           "https://www.appsheet.com/template/gettablefileurl?appName=APP022ParticMagnMTV2-924373673-26-05-14&amp;tableName=4.reg_fotografico&amp;fileName="&amp;AS796                         )
                          )</f>
        <v/>
      </c>
      <c r="AV796" s="54" t="str">
        <f t="shared" si="5"/>
        <v/>
      </c>
    </row>
    <row r="797" ht="22.5" customHeight="1">
      <c r="AT797" s="54" t="str">
        <f t="array" ref="AT797">IF(
                AS797 = "",
                "",
                       IF(
                           AS797 ="FOTOGRAFIA",
                           "LINK",
                           "https://www.appsheet.com/template/gettablefileurl?appName=APP022ParticMagnMTV2-924373673-26-05-14&amp;tableName=4.reg_fotografico&amp;fileName="&amp;AS797                         )
                          )</f>
        <v/>
      </c>
      <c r="AV797" s="54" t="str">
        <f t="shared" si="5"/>
        <v/>
      </c>
    </row>
    <row r="798" ht="22.5" customHeight="1">
      <c r="AT798" s="54" t="str">
        <f t="array" ref="AT798">IF(
                AS798 = "",
                "",
                       IF(
                           AS798 ="FOTOGRAFIA",
                           "LINK",
                           "https://www.appsheet.com/template/gettablefileurl?appName=APP022ParticMagnMTV2-924373673-26-05-14&amp;tableName=4.reg_fotografico&amp;fileName="&amp;AS798                         )
                          )</f>
        <v/>
      </c>
      <c r="AV798" s="54" t="str">
        <f t="shared" si="5"/>
        <v/>
      </c>
    </row>
    <row r="799" ht="22.5" customHeight="1">
      <c r="AT799" s="54" t="str">
        <f t="array" ref="AT799">IF(
                AS799 = "",
                "",
                       IF(
                           AS799 ="FOTOGRAFIA",
                           "LINK",
                           "https://www.appsheet.com/template/gettablefileurl?appName=APP022ParticMagnMTV2-924373673-26-05-14&amp;tableName=4.reg_fotografico&amp;fileName="&amp;AS799                         )
                          )</f>
        <v/>
      </c>
      <c r="AV799" s="54" t="str">
        <f t="shared" si="5"/>
        <v/>
      </c>
    </row>
    <row r="800" ht="22.5" customHeight="1">
      <c r="AT800" s="54" t="str">
        <f t="array" ref="AT800">IF(
                AS800 = "",
                "",
                       IF(
                           AS800 ="FOTOGRAFIA",
                           "LINK",
                           "https://www.appsheet.com/template/gettablefileurl?appName=APP022ParticMagnMTV2-924373673-26-05-14&amp;tableName=4.reg_fotografico&amp;fileName="&amp;AS800                         )
                          )</f>
        <v/>
      </c>
      <c r="AV800" s="54" t="str">
        <f t="shared" si="5"/>
        <v/>
      </c>
    </row>
    <row r="801" ht="22.5" customHeight="1">
      <c r="AT801" s="54" t="str">
        <f t="array" ref="AT801">IF(
                AS801 = "",
                "",
                       IF(
                           AS801 ="FOTOGRAFIA",
                           "LINK",
                           "https://www.appsheet.com/template/gettablefileurl?appName=APP022ParticMagnMTV2-924373673-26-05-14&amp;tableName=4.reg_fotografico&amp;fileName="&amp;AS801                         )
                          )</f>
        <v/>
      </c>
      <c r="AV801" s="54" t="str">
        <f t="shared" si="5"/>
        <v/>
      </c>
    </row>
    <row r="802" ht="22.5" customHeight="1">
      <c r="AT802" s="54" t="str">
        <f t="array" ref="AT802">IF(
                AS802 = "",
                "",
                       IF(
                           AS802 ="FOTOGRAFIA",
                           "LINK",
                           "https://www.appsheet.com/template/gettablefileurl?appName=APP022ParticMagnMTV2-924373673-26-05-14&amp;tableName=4.reg_fotografico&amp;fileName="&amp;AS802                         )
                          )</f>
        <v/>
      </c>
      <c r="AV802" s="54" t="str">
        <f t="shared" si="5"/>
        <v/>
      </c>
    </row>
    <row r="803" ht="22.5" customHeight="1">
      <c r="AT803" s="54" t="str">
        <f t="array" ref="AT803">IF(
                AS803 = "",
                "",
                       IF(
                           AS803 ="FOTOGRAFIA",
                           "LINK",
                           "https://www.appsheet.com/template/gettablefileurl?appName=APP022ParticMagnMTV2-924373673-26-05-14&amp;tableName=4.reg_fotografico&amp;fileName="&amp;AS803                         )
                          )</f>
        <v/>
      </c>
      <c r="AV803" s="54" t="str">
        <f t="shared" si="5"/>
        <v/>
      </c>
    </row>
    <row r="804" ht="22.5" customHeight="1">
      <c r="AT804" s="54" t="str">
        <f t="array" ref="AT804">IF(
                AS804 = "",
                "",
                       IF(
                           AS804 ="FOTOGRAFIA",
                           "LINK",
                           "https://www.appsheet.com/template/gettablefileurl?appName=APP022ParticMagnMTV2-924373673-26-05-14&amp;tableName=4.reg_fotografico&amp;fileName="&amp;AS804                         )
                          )</f>
        <v/>
      </c>
      <c r="AV804" s="54" t="str">
        <f t="shared" si="5"/>
        <v/>
      </c>
    </row>
    <row r="805" ht="22.5" customHeight="1">
      <c r="AT805" s="54" t="str">
        <f t="array" ref="AT805">IF(
                AS805 = "",
                "",
                       IF(
                           AS805 ="FOTOGRAFIA",
                           "LINK",
                           "https://www.appsheet.com/template/gettablefileurl?appName=APP022ParticMagnMTV2-924373673-26-05-14&amp;tableName=4.reg_fotografico&amp;fileName="&amp;AS805                         )
                          )</f>
        <v/>
      </c>
      <c r="AV805" s="54" t="str">
        <f t="shared" si="5"/>
        <v/>
      </c>
    </row>
    <row r="806" ht="22.5" customHeight="1">
      <c r="AT806" s="54" t="str">
        <f t="array" ref="AT806">IF(
                AS806 = "",
                "",
                       IF(
                           AS806 ="FOTOGRAFIA",
                           "LINK",
                           "https://www.appsheet.com/template/gettablefileurl?appName=APP022ParticMagnMTV2-924373673-26-05-14&amp;tableName=4.reg_fotografico&amp;fileName="&amp;AS806                         )
                          )</f>
        <v/>
      </c>
      <c r="AV806" s="54" t="str">
        <f t="shared" si="5"/>
        <v/>
      </c>
    </row>
    <row r="807" ht="22.5" customHeight="1">
      <c r="AT807" s="54" t="str">
        <f t="array" ref="AT807">IF(
                AS807 = "",
                "",
                       IF(
                           AS807 ="FOTOGRAFIA",
                           "LINK",
                           "https://www.appsheet.com/template/gettablefileurl?appName=APP022ParticMagnMTV2-924373673-26-05-14&amp;tableName=4.reg_fotografico&amp;fileName="&amp;AS807                         )
                          )</f>
        <v/>
      </c>
      <c r="AV807" s="54" t="str">
        <f t="shared" si="5"/>
        <v/>
      </c>
    </row>
    <row r="808" ht="22.5" customHeight="1">
      <c r="AT808" s="54" t="str">
        <f t="array" ref="AT808">IF(
                AS808 = "",
                "",
                       IF(
                           AS808 ="FOTOGRAFIA",
                           "LINK",
                           "https://www.appsheet.com/template/gettablefileurl?appName=APP022ParticMagnMTV2-924373673-26-05-14&amp;tableName=4.reg_fotografico&amp;fileName="&amp;AS808                         )
                          )</f>
        <v/>
      </c>
      <c r="AV808" s="54" t="str">
        <f t="shared" si="5"/>
        <v/>
      </c>
    </row>
    <row r="809" ht="22.5" customHeight="1">
      <c r="AT809" s="54" t="str">
        <f t="array" ref="AT809">IF(
                AS809 = "",
                "",
                       IF(
                           AS809 ="FOTOGRAFIA",
                           "LINK",
                           "https://www.appsheet.com/template/gettablefileurl?appName=APP022ParticMagnMTV2-924373673-26-05-14&amp;tableName=4.reg_fotografico&amp;fileName="&amp;AS809                         )
                          )</f>
        <v/>
      </c>
      <c r="AV809" s="54" t="str">
        <f t="shared" si="5"/>
        <v/>
      </c>
    </row>
    <row r="810" ht="22.5" customHeight="1">
      <c r="AT810" s="54" t="str">
        <f t="array" ref="AT810">IF(
                AS810 = "",
                "",
                       IF(
                           AS810 ="FOTOGRAFIA",
                           "LINK",
                           "https://www.appsheet.com/template/gettablefileurl?appName=APP022ParticMagnMTV2-924373673-26-05-14&amp;tableName=4.reg_fotografico&amp;fileName="&amp;AS810                         )
                          )</f>
        <v/>
      </c>
      <c r="AV810" s="54" t="str">
        <f t="shared" si="5"/>
        <v/>
      </c>
    </row>
    <row r="811" ht="22.5" customHeight="1">
      <c r="AT811" s="54" t="str">
        <f t="array" ref="AT811">IF(
                AS811 = "",
                "",
                       IF(
                           AS811 ="FOTOGRAFIA",
                           "LINK",
                           "https://www.appsheet.com/template/gettablefileurl?appName=APP022ParticMagnMTV2-924373673-26-05-14&amp;tableName=4.reg_fotografico&amp;fileName="&amp;AS811                         )
                          )</f>
        <v/>
      </c>
      <c r="AV811" s="54" t="str">
        <f t="shared" si="5"/>
        <v/>
      </c>
    </row>
    <row r="812" ht="22.5" customHeight="1">
      <c r="AT812" s="54" t="str">
        <f t="array" ref="AT812">IF(
                AS812 = "",
                "",
                       IF(
                           AS812 ="FOTOGRAFIA",
                           "LINK",
                           "https://www.appsheet.com/template/gettablefileurl?appName=APP022ParticMagnMTV2-924373673-26-05-14&amp;tableName=4.reg_fotografico&amp;fileName="&amp;AS812                         )
                          )</f>
        <v/>
      </c>
      <c r="AV812" s="54" t="str">
        <f t="shared" si="5"/>
        <v/>
      </c>
    </row>
    <row r="813" ht="22.5" customHeight="1">
      <c r="AT813" s="54" t="str">
        <f t="array" ref="AT813">IF(
                AS813 = "",
                "",
                       IF(
                           AS813 ="FOTOGRAFIA",
                           "LINK",
                           "https://www.appsheet.com/template/gettablefileurl?appName=APP022ParticMagnMTV2-924373673-26-05-14&amp;tableName=4.reg_fotografico&amp;fileName="&amp;AS813                         )
                          )</f>
        <v/>
      </c>
      <c r="AV813" s="54" t="str">
        <f t="shared" si="5"/>
        <v/>
      </c>
    </row>
    <row r="814" ht="22.5" customHeight="1">
      <c r="AT814" s="54" t="str">
        <f t="array" ref="AT814">IF(
                AS814 = "",
                "",
                       IF(
                           AS814 ="FOTOGRAFIA",
                           "LINK",
                           "https://www.appsheet.com/template/gettablefileurl?appName=APP022ParticMagnMTV2-924373673-26-05-14&amp;tableName=4.reg_fotografico&amp;fileName="&amp;AS814                         )
                          )</f>
        <v/>
      </c>
      <c r="AV814" s="54" t="str">
        <f t="shared" si="5"/>
        <v/>
      </c>
    </row>
    <row r="815" ht="22.5" customHeight="1">
      <c r="AT815" s="54" t="str">
        <f t="array" ref="AT815">IF(
                AS815 = "",
                "",
                       IF(
                           AS815 ="FOTOGRAFIA",
                           "LINK",
                           "https://www.appsheet.com/template/gettablefileurl?appName=APP022ParticMagnMTV2-924373673-26-05-14&amp;tableName=4.reg_fotografico&amp;fileName="&amp;AS815                         )
                          )</f>
        <v/>
      </c>
      <c r="AV815" s="54" t="str">
        <f t="shared" si="5"/>
        <v/>
      </c>
    </row>
    <row r="816" ht="22.5" customHeight="1">
      <c r="AT816" s="54" t="str">
        <f t="array" ref="AT816">IF(
                AS816 = "",
                "",
                       IF(
                           AS816 ="FOTOGRAFIA",
                           "LINK",
                           "https://www.appsheet.com/template/gettablefileurl?appName=APP022ParticMagnMTV2-924373673-26-05-14&amp;tableName=4.reg_fotografico&amp;fileName="&amp;AS816                         )
                          )</f>
        <v/>
      </c>
      <c r="AV816" s="54" t="str">
        <f t="shared" si="5"/>
        <v/>
      </c>
    </row>
    <row r="817" ht="22.5" customHeight="1">
      <c r="AT817" s="54" t="str">
        <f t="array" ref="AT817">IF(
                AS817 = "",
                "",
                       IF(
                           AS817 ="FOTOGRAFIA",
                           "LINK",
                           "https://www.appsheet.com/template/gettablefileurl?appName=APP022ParticMagnMTV2-924373673-26-05-14&amp;tableName=4.reg_fotografico&amp;fileName="&amp;AS817                         )
                          )</f>
        <v/>
      </c>
      <c r="AV817" s="54" t="str">
        <f t="shared" si="5"/>
        <v/>
      </c>
    </row>
    <row r="818" ht="22.5" customHeight="1">
      <c r="AT818" s="54" t="str">
        <f t="array" ref="AT818">IF(
                AS818 = "",
                "",
                       IF(
                           AS818 ="FOTOGRAFIA",
                           "LINK",
                           "https://www.appsheet.com/template/gettablefileurl?appName=APP022ParticMagnMTV2-924373673-26-05-14&amp;tableName=4.reg_fotografico&amp;fileName="&amp;AS818                         )
                          )</f>
        <v/>
      </c>
      <c r="AV818" s="54" t="str">
        <f t="shared" si="5"/>
        <v/>
      </c>
    </row>
    <row r="819" ht="22.5" customHeight="1">
      <c r="AT819" s="54" t="str">
        <f t="array" ref="AT819">IF(
                AS819 = "",
                "",
                       IF(
                           AS819 ="FOTOGRAFIA",
                           "LINK",
                           "https://www.appsheet.com/template/gettablefileurl?appName=APP022ParticMagnMTV2-924373673-26-05-14&amp;tableName=4.reg_fotografico&amp;fileName="&amp;AS819                         )
                          )</f>
        <v/>
      </c>
      <c r="AV819" s="54" t="str">
        <f t="shared" si="5"/>
        <v/>
      </c>
    </row>
    <row r="820" ht="22.5" customHeight="1">
      <c r="AT820" s="54" t="str">
        <f t="array" ref="AT820">IF(
                AS820 = "",
                "",
                       IF(
                           AS820 ="FOTOGRAFIA",
                           "LINK",
                           "https://www.appsheet.com/template/gettablefileurl?appName=APP022ParticMagnMTV2-924373673-26-05-14&amp;tableName=4.reg_fotografico&amp;fileName="&amp;AS820                         )
                          )</f>
        <v/>
      </c>
      <c r="AV820" s="54" t="str">
        <f t="shared" si="5"/>
        <v/>
      </c>
    </row>
    <row r="821" ht="22.5" customHeight="1">
      <c r="AT821" s="54" t="str">
        <f t="array" ref="AT821">IF(
                AS821 = "",
                "",
                       IF(
                           AS821 ="FOTOGRAFIA",
                           "LINK",
                           "https://www.appsheet.com/template/gettablefileurl?appName=APP022ParticMagnMTV2-924373673-26-05-14&amp;tableName=4.reg_fotografico&amp;fileName="&amp;AS821                         )
                          )</f>
        <v/>
      </c>
      <c r="AV821" s="54" t="str">
        <f t="shared" si="5"/>
        <v/>
      </c>
    </row>
    <row r="822" ht="22.5" customHeight="1">
      <c r="AT822" s="54" t="str">
        <f t="array" ref="AT822">IF(
                AS822 = "",
                "",
                       IF(
                           AS822 ="FOTOGRAFIA",
                           "LINK",
                           "https://www.appsheet.com/template/gettablefileurl?appName=APP022ParticMagnMTV2-924373673-26-05-14&amp;tableName=4.reg_fotografico&amp;fileName="&amp;AS822                         )
                          )</f>
        <v/>
      </c>
      <c r="AV822" s="54" t="str">
        <f t="shared" si="5"/>
        <v/>
      </c>
    </row>
    <row r="823" ht="22.5" customHeight="1">
      <c r="AT823" s="54" t="str">
        <f t="array" ref="AT823">IF(
                AS823 = "",
                "",
                       IF(
                           AS823 ="FOTOGRAFIA",
                           "LINK",
                           "https://www.appsheet.com/template/gettablefileurl?appName=APP022ParticMagnMTV2-924373673-26-05-14&amp;tableName=4.reg_fotografico&amp;fileName="&amp;AS823                         )
                          )</f>
        <v/>
      </c>
      <c r="AV823" s="54" t="str">
        <f t="shared" si="5"/>
        <v/>
      </c>
    </row>
    <row r="824" ht="22.5" customHeight="1">
      <c r="AT824" s="54" t="str">
        <f t="array" ref="AT824">IF(
                AS824 = "",
                "",
                       IF(
                           AS824 ="FOTOGRAFIA",
                           "LINK",
                           "https://www.appsheet.com/template/gettablefileurl?appName=APP022ParticMagnMTV2-924373673-26-05-14&amp;tableName=4.reg_fotografico&amp;fileName="&amp;AS824                         )
                          )</f>
        <v/>
      </c>
      <c r="AV824" s="54" t="str">
        <f t="shared" si="5"/>
        <v/>
      </c>
    </row>
    <row r="825" ht="22.5" customHeight="1">
      <c r="AT825" s="54" t="str">
        <f t="array" ref="AT825">IF(
                AS825 = "",
                "",
                       IF(
                           AS825 ="FOTOGRAFIA",
                           "LINK",
                           "https://www.appsheet.com/template/gettablefileurl?appName=APP022ParticMagnMTV2-924373673-26-05-14&amp;tableName=4.reg_fotografico&amp;fileName="&amp;AS825                         )
                          )</f>
        <v/>
      </c>
      <c r="AV825" s="54" t="str">
        <f t="shared" si="5"/>
        <v/>
      </c>
    </row>
    <row r="826" ht="22.5" customHeight="1">
      <c r="AT826" s="54" t="str">
        <f t="array" ref="AT826">IF(
                AS826 = "",
                "",
                       IF(
                           AS826 ="FOTOGRAFIA",
                           "LINK",
                           "https://www.appsheet.com/template/gettablefileurl?appName=APP022ParticMagnMTV2-924373673-26-05-14&amp;tableName=4.reg_fotografico&amp;fileName="&amp;AS826                         )
                          )</f>
        <v/>
      </c>
      <c r="AV826" s="54" t="str">
        <f t="shared" si="5"/>
        <v/>
      </c>
    </row>
    <row r="827" ht="22.5" customHeight="1">
      <c r="AT827" s="54" t="str">
        <f t="array" ref="AT827">IF(
                AS827 = "",
                "",
                       IF(
                           AS827 ="FOTOGRAFIA",
                           "LINK",
                           "https://www.appsheet.com/template/gettablefileurl?appName=APP022ParticMagnMTV2-924373673-26-05-14&amp;tableName=4.reg_fotografico&amp;fileName="&amp;AS827                         )
                          )</f>
        <v/>
      </c>
      <c r="AV827" s="54" t="str">
        <f t="shared" si="5"/>
        <v/>
      </c>
    </row>
    <row r="828" ht="22.5" customHeight="1">
      <c r="AT828" s="54" t="str">
        <f t="array" ref="AT828">IF(
                AS828 = "",
                "",
                       IF(
                           AS828 ="FOTOGRAFIA",
                           "LINK",
                           "https://www.appsheet.com/template/gettablefileurl?appName=APP022ParticMagnMTV2-924373673-26-05-14&amp;tableName=4.reg_fotografico&amp;fileName="&amp;AS828                         )
                          )</f>
        <v/>
      </c>
      <c r="AV828" s="54" t="str">
        <f t="shared" si="5"/>
        <v/>
      </c>
    </row>
    <row r="829" ht="22.5" customHeight="1">
      <c r="AT829" s="54" t="str">
        <f t="array" ref="AT829">IF(
                AS829 = "",
                "",
                       IF(
                           AS829 ="FOTOGRAFIA",
                           "LINK",
                           "https://www.appsheet.com/template/gettablefileurl?appName=APP022ParticMagnMTV2-924373673-26-05-14&amp;tableName=4.reg_fotografico&amp;fileName="&amp;AS829                         )
                          )</f>
        <v/>
      </c>
      <c r="AV829" s="54" t="str">
        <f t="shared" si="5"/>
        <v/>
      </c>
    </row>
    <row r="830" ht="22.5" customHeight="1">
      <c r="AT830" s="54" t="str">
        <f t="array" ref="AT830">IF(
                AS830 = "",
                "",
                       IF(
                           AS830 ="FOTOGRAFIA",
                           "LINK",
                           "https://www.appsheet.com/template/gettablefileurl?appName=APP022ParticMagnMTV2-924373673-26-05-14&amp;tableName=4.reg_fotografico&amp;fileName="&amp;AS830                         )
                          )</f>
        <v/>
      </c>
      <c r="AV830" s="54" t="str">
        <f t="shared" si="5"/>
        <v/>
      </c>
    </row>
    <row r="831" ht="22.5" customHeight="1">
      <c r="AT831" s="54" t="str">
        <f t="array" ref="AT831">IF(
                AS831 = "",
                "",
                       IF(
                           AS831 ="FOTOGRAFIA",
                           "LINK",
                           "https://www.appsheet.com/template/gettablefileurl?appName=APP022ParticMagnMTV2-924373673-26-05-14&amp;tableName=4.reg_fotografico&amp;fileName="&amp;AS831                         )
                          )</f>
        <v/>
      </c>
      <c r="AV831" s="54" t="str">
        <f t="shared" si="5"/>
        <v/>
      </c>
    </row>
    <row r="832" ht="22.5" customHeight="1">
      <c r="AT832" s="54" t="str">
        <f t="array" ref="AT832">IF(
                AS832 = "",
                "",
                       IF(
                           AS832 ="FOTOGRAFIA",
                           "LINK",
                           "https://www.appsheet.com/template/gettablefileurl?appName=APP022ParticMagnMTV2-924373673-26-05-14&amp;tableName=4.reg_fotografico&amp;fileName="&amp;AS832                         )
                          )</f>
        <v/>
      </c>
      <c r="AV832" s="54" t="str">
        <f t="shared" si="5"/>
        <v/>
      </c>
    </row>
    <row r="833" ht="22.5" customHeight="1">
      <c r="AT833" s="54" t="str">
        <f t="array" ref="AT833">IF(
                AS833 = "",
                "",
                       IF(
                           AS833 ="FOTOGRAFIA",
                           "LINK",
                           "https://www.appsheet.com/template/gettablefileurl?appName=APP022ParticMagnMTV2-924373673-26-05-14&amp;tableName=4.reg_fotografico&amp;fileName="&amp;AS833                         )
                          )</f>
        <v/>
      </c>
      <c r="AV833" s="54" t="str">
        <f t="shared" si="5"/>
        <v/>
      </c>
    </row>
    <row r="834" ht="22.5" customHeight="1">
      <c r="AT834" s="54" t="str">
        <f t="array" ref="AT834">IF(
                AS834 = "",
                "",
                       IF(
                           AS834 ="FOTOGRAFIA",
                           "LINK",
                           "https://www.appsheet.com/template/gettablefileurl?appName=APP022ParticMagnMTV2-924373673-26-05-14&amp;tableName=4.reg_fotografico&amp;fileName="&amp;AS834                         )
                          )</f>
        <v/>
      </c>
      <c r="AV834" s="54" t="str">
        <f t="shared" si="5"/>
        <v/>
      </c>
    </row>
    <row r="835" ht="22.5" customHeight="1">
      <c r="AT835" s="54" t="str">
        <f t="array" ref="AT835">IF(
                AS835 = "",
                "",
                       IF(
                           AS835 ="FOTOGRAFIA",
                           "LINK",
                           "https://www.appsheet.com/template/gettablefileurl?appName=APP022ParticMagnMTV2-924373673-26-05-14&amp;tableName=4.reg_fotografico&amp;fileName="&amp;AS835                         )
                          )</f>
        <v/>
      </c>
      <c r="AV835" s="54" t="str">
        <f t="shared" si="5"/>
        <v/>
      </c>
    </row>
    <row r="836" ht="22.5" customHeight="1">
      <c r="AT836" s="54" t="str">
        <f t="array" ref="AT836">IF(
                AS836 = "",
                "",
                       IF(
                           AS836 ="FOTOGRAFIA",
                           "LINK",
                           "https://www.appsheet.com/template/gettablefileurl?appName=APP022ParticMagnMTV2-924373673-26-05-14&amp;tableName=4.reg_fotografico&amp;fileName="&amp;AS836                         )
                          )</f>
        <v/>
      </c>
      <c r="AV836" s="54" t="str">
        <f t="shared" si="5"/>
        <v/>
      </c>
    </row>
    <row r="837" ht="22.5" customHeight="1">
      <c r="AT837" s="54" t="str">
        <f t="array" ref="AT837">IF(
                AS837 = "",
                "",
                       IF(
                           AS837 ="FOTOGRAFIA",
                           "LINK",
                           "https://www.appsheet.com/template/gettablefileurl?appName=APP022ParticMagnMTV2-924373673-26-05-14&amp;tableName=4.reg_fotografico&amp;fileName="&amp;AS837                         )
                          )</f>
        <v/>
      </c>
      <c r="AV837" s="54" t="str">
        <f t="shared" si="5"/>
        <v/>
      </c>
    </row>
    <row r="838" ht="22.5" customHeight="1">
      <c r="AT838" s="54" t="str">
        <f t="array" ref="AT838">IF(
                AS838 = "",
                "",
                       IF(
                           AS838 ="FOTOGRAFIA",
                           "LINK",
                           "https://www.appsheet.com/template/gettablefileurl?appName=APP022ParticMagnMTV2-924373673-26-05-14&amp;tableName=4.reg_fotografico&amp;fileName="&amp;AS838                         )
                          )</f>
        <v/>
      </c>
      <c r="AV838" s="54" t="str">
        <f t="shared" si="5"/>
        <v/>
      </c>
    </row>
    <row r="839" ht="22.5" customHeight="1">
      <c r="AT839" s="54" t="str">
        <f t="array" ref="AT839">IF(
                AS839 = "",
                "",
                       IF(
                           AS839 ="FOTOGRAFIA",
                           "LINK",
                           "https://www.appsheet.com/template/gettablefileurl?appName=APP022ParticMagnMTV2-924373673-26-05-14&amp;tableName=4.reg_fotografico&amp;fileName="&amp;AS839                         )
                          )</f>
        <v/>
      </c>
      <c r="AV839" s="54" t="str">
        <f t="shared" si="5"/>
        <v/>
      </c>
    </row>
    <row r="840" ht="22.5" customHeight="1">
      <c r="AT840" s="54" t="str">
        <f t="array" ref="AT840">IF(
                AS840 = "",
                "",
                       IF(
                           AS840 ="FOTOGRAFIA",
                           "LINK",
                           "https://www.appsheet.com/template/gettablefileurl?appName=APP022ParticMagnMTV2-924373673-26-05-14&amp;tableName=4.reg_fotografico&amp;fileName="&amp;AS840                         )
                          )</f>
        <v/>
      </c>
      <c r="AV840" s="54" t="str">
        <f t="shared" si="5"/>
        <v/>
      </c>
    </row>
    <row r="841" ht="22.5" customHeight="1">
      <c r="AT841" s="54" t="str">
        <f t="array" ref="AT841">IF(
                AS841 = "",
                "",
                       IF(
                           AS841 ="FOTOGRAFIA",
                           "LINK",
                           "https://www.appsheet.com/template/gettablefileurl?appName=APP022ParticMagnMTV2-924373673-26-05-14&amp;tableName=4.reg_fotografico&amp;fileName="&amp;AS841                         )
                          )</f>
        <v/>
      </c>
      <c r="AV841" s="54" t="str">
        <f t="shared" si="5"/>
        <v/>
      </c>
    </row>
    <row r="842" ht="22.5" customHeight="1">
      <c r="AT842" s="54" t="str">
        <f t="array" ref="AT842">IF(
                AS842 = "",
                "",
                       IF(
                           AS842 ="FOTOGRAFIA",
                           "LINK",
                           "https://www.appsheet.com/template/gettablefileurl?appName=APP022ParticMagnMTV2-924373673-26-05-14&amp;tableName=4.reg_fotografico&amp;fileName="&amp;AS842                         )
                          )</f>
        <v/>
      </c>
      <c r="AV842" s="54" t="str">
        <f t="shared" si="5"/>
        <v/>
      </c>
    </row>
    <row r="843" ht="22.5" customHeight="1">
      <c r="AT843" s="54" t="str">
        <f t="array" ref="AT843">IF(
                AS843 = "",
                "",
                       IF(
                           AS843 ="FOTOGRAFIA",
                           "LINK",
                           "https://www.appsheet.com/template/gettablefileurl?appName=APP022ParticMagnMTV2-924373673-26-05-14&amp;tableName=4.reg_fotografico&amp;fileName="&amp;AS843                         )
                          )</f>
        <v/>
      </c>
      <c r="AV843" s="54" t="str">
        <f t="shared" si="5"/>
        <v/>
      </c>
    </row>
    <row r="844" ht="22.5" customHeight="1">
      <c r="AT844" s="54" t="str">
        <f t="array" ref="AT844">IF(
                AS844 = "",
                "",
                       IF(
                           AS844 ="FOTOGRAFIA",
                           "LINK",
                           "https://www.appsheet.com/template/gettablefileurl?appName=APP022ParticMagnMTV2-924373673-26-05-14&amp;tableName=4.reg_fotografico&amp;fileName="&amp;AS844                         )
                          )</f>
        <v/>
      </c>
      <c r="AV844" s="54" t="str">
        <f t="shared" si="5"/>
        <v/>
      </c>
    </row>
    <row r="845" ht="22.5" customHeight="1">
      <c r="AT845" s="54" t="str">
        <f t="array" ref="AT845">IF(
                AS845 = "",
                "",
                       IF(
                           AS845 ="FOTOGRAFIA",
                           "LINK",
                           "https://www.appsheet.com/template/gettablefileurl?appName=APP022ParticMagnMTV2-924373673-26-05-14&amp;tableName=4.reg_fotografico&amp;fileName="&amp;AS845                         )
                          )</f>
        <v/>
      </c>
      <c r="AV845" s="54" t="str">
        <f t="shared" si="5"/>
        <v/>
      </c>
    </row>
    <row r="846" ht="22.5" customHeight="1">
      <c r="AT846" s="54" t="str">
        <f t="array" ref="AT846">IF(
                AS846 = "",
                "",
                       IF(
                           AS846 ="FOTOGRAFIA",
                           "LINK",
                           "https://www.appsheet.com/template/gettablefileurl?appName=APP022ParticMagnMTV2-924373673-26-05-14&amp;tableName=4.reg_fotografico&amp;fileName="&amp;AS846                         )
                          )</f>
        <v/>
      </c>
      <c r="AV846" s="54" t="str">
        <f t="shared" si="5"/>
        <v/>
      </c>
    </row>
    <row r="847" ht="22.5" customHeight="1">
      <c r="AT847" s="54" t="str">
        <f t="array" ref="AT847">IF(
                AS847 = "",
                "",
                       IF(
                           AS847 ="FOTOGRAFIA",
                           "LINK",
                           "https://www.appsheet.com/template/gettablefileurl?appName=APP022ParticMagnMTV2-924373673-26-05-14&amp;tableName=4.reg_fotografico&amp;fileName="&amp;AS847                         )
                          )</f>
        <v/>
      </c>
      <c r="AV847" s="54" t="str">
        <f t="shared" si="5"/>
        <v/>
      </c>
    </row>
    <row r="848" ht="22.5" customHeight="1">
      <c r="AT848" s="54" t="str">
        <f t="array" ref="AT848">IF(
                AS848 = "",
                "",
                       IF(
                           AS848 ="FOTOGRAFIA",
                           "LINK",
                           "https://www.appsheet.com/template/gettablefileurl?appName=APP022ParticMagnMTV2-924373673-26-05-14&amp;tableName=4.reg_fotografico&amp;fileName="&amp;AS848                         )
                          )</f>
        <v/>
      </c>
      <c r="AV848" s="54" t="str">
        <f t="shared" si="5"/>
        <v/>
      </c>
    </row>
    <row r="849" ht="22.5" customHeight="1">
      <c r="AT849" s="54" t="str">
        <f t="array" ref="AT849">IF(
                AS849 = "",
                "",
                       IF(
                           AS849 ="FOTOGRAFIA",
                           "LINK",
                           "https://www.appsheet.com/template/gettablefileurl?appName=APP022ParticMagnMTV2-924373673-26-05-14&amp;tableName=4.reg_fotografico&amp;fileName="&amp;AS849                         )
                          )</f>
        <v/>
      </c>
      <c r="AV849" s="54" t="str">
        <f t="shared" si="5"/>
        <v/>
      </c>
    </row>
    <row r="850" ht="22.5" customHeight="1">
      <c r="AT850" s="54" t="str">
        <f t="array" ref="AT850">IF(
                AS850 = "",
                "",
                       IF(
                           AS850 ="FOTOGRAFIA",
                           "LINK",
                           "https://www.appsheet.com/template/gettablefileurl?appName=APP022ParticMagnMTV2-924373673-26-05-14&amp;tableName=4.reg_fotografico&amp;fileName="&amp;AS850                         )
                          )</f>
        <v/>
      </c>
      <c r="AV850" s="54" t="str">
        <f t="shared" si="5"/>
        <v/>
      </c>
    </row>
    <row r="851" ht="22.5" customHeight="1">
      <c r="AT851" s="54" t="str">
        <f t="array" ref="AT851">IF(
                AS851 = "",
                "",
                       IF(
                           AS851 ="FOTOGRAFIA",
                           "LINK",
                           "https://www.appsheet.com/template/gettablefileurl?appName=APP022ParticMagnMTV2-924373673-26-05-14&amp;tableName=4.reg_fotografico&amp;fileName="&amp;AS851                         )
                          )</f>
        <v/>
      </c>
      <c r="AV851" s="54" t="str">
        <f t="shared" si="5"/>
        <v/>
      </c>
    </row>
    <row r="852" ht="22.5" customHeight="1">
      <c r="AT852" s="54" t="str">
        <f t="array" ref="AT852">IF(
                AS852 = "",
                "",
                       IF(
                           AS852 ="FOTOGRAFIA",
                           "LINK",
                           "https://www.appsheet.com/template/gettablefileurl?appName=APP022ParticMagnMTV2-924373673-26-05-14&amp;tableName=4.reg_fotografico&amp;fileName="&amp;AS852                         )
                          )</f>
        <v/>
      </c>
      <c r="AV852" s="54" t="str">
        <f t="shared" si="5"/>
        <v/>
      </c>
    </row>
    <row r="853" ht="22.5" customHeight="1">
      <c r="AT853" s="54" t="str">
        <f t="array" ref="AT853">IF(
                AS853 = "",
                "",
                       IF(
                           AS853 ="FOTOGRAFIA",
                           "LINK",
                           "https://www.appsheet.com/template/gettablefileurl?appName=APP022ParticMagnMTV2-924373673-26-05-14&amp;tableName=4.reg_fotografico&amp;fileName="&amp;AS853                         )
                          )</f>
        <v/>
      </c>
      <c r="AV853" s="54" t="str">
        <f t="shared" si="5"/>
        <v/>
      </c>
    </row>
    <row r="854" ht="22.5" customHeight="1">
      <c r="AT854" s="54" t="str">
        <f t="array" ref="AT854">IF(
                AS854 = "",
                "",
                       IF(
                           AS854 ="FOTOGRAFIA",
                           "LINK",
                           "https://www.appsheet.com/template/gettablefileurl?appName=APP022ParticMagnMTV2-924373673-26-05-14&amp;tableName=4.reg_fotografico&amp;fileName="&amp;AS854                         )
                          )</f>
        <v/>
      </c>
      <c r="AV854" s="54" t="str">
        <f t="shared" si="5"/>
        <v/>
      </c>
    </row>
    <row r="855" ht="22.5" customHeight="1">
      <c r="AT855" s="54" t="str">
        <f t="array" ref="AT855">IF(
                AS855 = "",
                "",
                       IF(
                           AS855 ="FOTOGRAFIA",
                           "LINK",
                           "https://www.appsheet.com/template/gettablefileurl?appName=APP022ParticMagnMTV2-924373673-26-05-14&amp;tableName=4.reg_fotografico&amp;fileName="&amp;AS855                         )
                          )</f>
        <v/>
      </c>
      <c r="AV855" s="54" t="str">
        <f t="shared" si="5"/>
        <v/>
      </c>
    </row>
    <row r="856" ht="22.5" customHeight="1">
      <c r="AT856" s="54" t="str">
        <f t="array" ref="AT856">IF(
                AS856 = "",
                "",
                       IF(
                           AS856 ="FOTOGRAFIA",
                           "LINK",
                           "https://www.appsheet.com/template/gettablefileurl?appName=APP022ParticMagnMTV2-924373673-26-05-14&amp;tableName=4.reg_fotografico&amp;fileName="&amp;AS856                         )
                          )</f>
        <v/>
      </c>
      <c r="AV856" s="54" t="str">
        <f t="shared" si="5"/>
        <v/>
      </c>
    </row>
    <row r="857" ht="22.5" customHeight="1">
      <c r="AT857" s="54" t="str">
        <f t="array" ref="AT857">IF(
                AS857 = "",
                "",
                       IF(
                           AS857 ="FOTOGRAFIA",
                           "LINK",
                           "https://www.appsheet.com/template/gettablefileurl?appName=APP022ParticMagnMTV2-924373673-26-05-14&amp;tableName=4.reg_fotografico&amp;fileName="&amp;AS857                         )
                          )</f>
        <v/>
      </c>
      <c r="AV857" s="54" t="str">
        <f t="shared" si="5"/>
        <v/>
      </c>
    </row>
    <row r="858" ht="22.5" customHeight="1">
      <c r="AT858" s="54" t="str">
        <f t="array" ref="AT858">IF(
                AS858 = "",
                "",
                       IF(
                           AS858 ="FOTOGRAFIA",
                           "LINK",
                           "https://www.appsheet.com/template/gettablefileurl?appName=APP022ParticMagnMTV2-924373673-26-05-14&amp;tableName=4.reg_fotografico&amp;fileName="&amp;AS858                         )
                          )</f>
        <v/>
      </c>
      <c r="AV858" s="54" t="str">
        <f t="shared" si="5"/>
        <v/>
      </c>
    </row>
    <row r="859" ht="22.5" customHeight="1">
      <c r="AT859" s="54" t="str">
        <f t="array" ref="AT859">IF(
                AS859 = "",
                "",
                       IF(
                           AS859 ="FOTOGRAFIA",
                           "LINK",
                           "https://www.appsheet.com/template/gettablefileurl?appName=APP022ParticMagnMTV2-924373673-26-05-14&amp;tableName=4.reg_fotografico&amp;fileName="&amp;AS859                         )
                          )</f>
        <v/>
      </c>
      <c r="AV859" s="54" t="str">
        <f t="shared" si="5"/>
        <v/>
      </c>
    </row>
    <row r="860" ht="22.5" customHeight="1">
      <c r="AT860" s="54" t="str">
        <f t="array" ref="AT860">IF(
                AS860 = "",
                "",
                       IF(
                           AS860 ="FOTOGRAFIA",
                           "LINK",
                           "https://www.appsheet.com/template/gettablefileurl?appName=APP022ParticMagnMTV2-924373673-26-05-14&amp;tableName=4.reg_fotografico&amp;fileName="&amp;AS860                         )
                          )</f>
        <v/>
      </c>
      <c r="AV860" s="54" t="str">
        <f t="shared" si="5"/>
        <v/>
      </c>
    </row>
    <row r="861" ht="22.5" customHeight="1">
      <c r="AT861" s="54" t="str">
        <f t="array" ref="AT861">IF(
                AS861 = "",
                "",
                       IF(
                           AS861 ="FOTOGRAFIA",
                           "LINK",
                           "https://www.appsheet.com/template/gettablefileurl?appName=APP022ParticMagnMTV2-924373673-26-05-14&amp;tableName=4.reg_fotografico&amp;fileName="&amp;AS861                         )
                          )</f>
        <v/>
      </c>
      <c r="AV861" s="54" t="str">
        <f t="shared" si="5"/>
        <v/>
      </c>
    </row>
    <row r="862" ht="22.5" customHeight="1">
      <c r="AT862" s="54" t="str">
        <f t="array" ref="AT862">IF(
                AS862 = "",
                "",
                       IF(
                           AS862 ="FOTOGRAFIA",
                           "LINK",
                           "https://www.appsheet.com/template/gettablefileurl?appName=APP022ParticMagnMTV2-924373673-26-05-14&amp;tableName=4.reg_fotografico&amp;fileName="&amp;AS862                         )
                          )</f>
        <v/>
      </c>
      <c r="AV862" s="54" t="str">
        <f t="shared" si="5"/>
        <v/>
      </c>
    </row>
    <row r="863" ht="22.5" customHeight="1">
      <c r="AT863" s="54" t="str">
        <f t="array" ref="AT863">IF(
                AS863 = "",
                "",
                       IF(
                           AS863 ="FOTOGRAFIA",
                           "LINK",
                           "https://www.appsheet.com/template/gettablefileurl?appName=APP022ParticMagnMTV2-924373673-26-05-14&amp;tableName=4.reg_fotografico&amp;fileName="&amp;AS863                         )
                          )</f>
        <v/>
      </c>
      <c r="AV863" s="54" t="str">
        <f t="shared" si="5"/>
        <v/>
      </c>
    </row>
    <row r="864" ht="22.5" customHeight="1">
      <c r="AT864" s="54" t="str">
        <f t="array" ref="AT864">IF(
                AS864 = "",
                "",
                       IF(
                           AS864 ="FOTOGRAFIA",
                           "LINK",
                           "https://www.appsheet.com/template/gettablefileurl?appName=APP022ParticMagnMTV2-924373673-26-05-14&amp;tableName=4.reg_fotografico&amp;fileName="&amp;AS864                         )
                          )</f>
        <v/>
      </c>
      <c r="AV864" s="54" t="str">
        <f t="shared" si="5"/>
        <v/>
      </c>
    </row>
    <row r="865" ht="22.5" customHeight="1">
      <c r="AT865" s="54" t="str">
        <f t="array" ref="AT865">IF(
                AS865 = "",
                "",
                       IF(
                           AS865 ="FOTOGRAFIA",
                           "LINK",
                           "https://www.appsheet.com/template/gettablefileurl?appName=APP022ParticMagnMTV2-924373673-26-05-14&amp;tableName=4.reg_fotografico&amp;fileName="&amp;AS865                         )
                          )</f>
        <v/>
      </c>
      <c r="AV865" s="54" t="str">
        <f t="shared" si="5"/>
        <v/>
      </c>
    </row>
    <row r="866" ht="22.5" customHeight="1">
      <c r="AT866" s="54" t="str">
        <f t="array" ref="AT866">IF(
                AS866 = "",
                "",
                       IF(
                           AS866 ="FOTOGRAFIA",
                           "LINK",
                           "https://www.appsheet.com/template/gettablefileurl?appName=APP022ParticMagnMTV2-924373673-26-05-14&amp;tableName=4.reg_fotografico&amp;fileName="&amp;AS866                         )
                          )</f>
        <v/>
      </c>
      <c r="AV866" s="54" t="str">
        <f t="shared" si="5"/>
        <v/>
      </c>
    </row>
    <row r="867" ht="22.5" customHeight="1">
      <c r="AT867" s="54" t="str">
        <f t="array" ref="AT867">IF(
                AS867 = "",
                "",
                       IF(
                           AS867 ="FOTOGRAFIA",
                           "LINK",
                           "https://www.appsheet.com/template/gettablefileurl?appName=APP022ParticMagnMTV2-924373673-26-05-14&amp;tableName=4.reg_fotografico&amp;fileName="&amp;AS867                         )
                          )</f>
        <v/>
      </c>
      <c r="AV867" s="54" t="str">
        <f t="shared" si="5"/>
        <v/>
      </c>
    </row>
    <row r="868" ht="22.5" customHeight="1">
      <c r="AT868" s="54" t="str">
        <f t="array" ref="AT868">IF(
                AS868 = "",
                "",
                       IF(
                           AS868 ="FOTOGRAFIA",
                           "LINK",
                           "https://www.appsheet.com/template/gettablefileurl?appName=APP022ParticMagnMTV2-924373673-26-05-14&amp;tableName=4.reg_fotografico&amp;fileName="&amp;AS868                         )
                          )</f>
        <v/>
      </c>
      <c r="AV868" s="54" t="str">
        <f t="shared" si="5"/>
        <v/>
      </c>
    </row>
    <row r="869" ht="22.5" customHeight="1">
      <c r="AT869" s="54" t="str">
        <f t="array" ref="AT869">IF(
                AS869 = "",
                "",
                       IF(
                           AS869 ="FOTOGRAFIA",
                           "LINK",
                           "https://www.appsheet.com/template/gettablefileurl?appName=APP022ParticMagnMTV2-924373673-26-05-14&amp;tableName=4.reg_fotografico&amp;fileName="&amp;AS869                         )
                          )</f>
        <v/>
      </c>
      <c r="AV869" s="54" t="str">
        <f t="shared" si="5"/>
        <v/>
      </c>
    </row>
    <row r="870" ht="22.5" customHeight="1">
      <c r="AT870" s="54" t="str">
        <f t="array" ref="AT870">IF(
                AS870 = "",
                "",
                       IF(
                           AS870 ="FOTOGRAFIA",
                           "LINK",
                           "https://www.appsheet.com/template/gettablefileurl?appName=APP022ParticMagnMTV2-924373673-26-05-14&amp;tableName=4.reg_fotografico&amp;fileName="&amp;AS870                         )
                          )</f>
        <v/>
      </c>
      <c r="AV870" s="54" t="str">
        <f t="shared" si="5"/>
        <v/>
      </c>
    </row>
    <row r="871" ht="22.5" customHeight="1">
      <c r="AT871" s="54" t="str">
        <f t="array" ref="AT871">IF(
                AS871 = "",
                "",
                       IF(
                           AS871 ="FOTOGRAFIA",
                           "LINK",
                           "https://www.appsheet.com/template/gettablefileurl?appName=APP022ParticMagnMTV2-924373673-26-05-14&amp;tableName=4.reg_fotografico&amp;fileName="&amp;AS871                         )
                          )</f>
        <v/>
      </c>
      <c r="AV871" s="54" t="str">
        <f t="shared" si="5"/>
        <v/>
      </c>
    </row>
    <row r="872" ht="22.5" customHeight="1">
      <c r="AT872" s="54" t="str">
        <f t="array" ref="AT872">IF(
                AS872 = "",
                "",
                       IF(
                           AS872 ="FOTOGRAFIA",
                           "LINK",
                           "https://www.appsheet.com/template/gettablefileurl?appName=APP022ParticMagnMTV2-924373673-26-05-14&amp;tableName=4.reg_fotografico&amp;fileName="&amp;AS872                         )
                          )</f>
        <v/>
      </c>
      <c r="AV872" s="54" t="str">
        <f t="shared" si="5"/>
        <v/>
      </c>
    </row>
    <row r="873" ht="22.5" customHeight="1">
      <c r="AT873" s="54" t="str">
        <f t="array" ref="AT873">IF(
                AS873 = "",
                "",
                       IF(
                           AS873 ="FOTOGRAFIA",
                           "LINK",
                           "https://www.appsheet.com/template/gettablefileurl?appName=APP022ParticMagnMTV2-924373673-26-05-14&amp;tableName=4.reg_fotografico&amp;fileName="&amp;AS873                         )
                          )</f>
        <v/>
      </c>
      <c r="AV873" s="54" t="str">
        <f t="shared" si="5"/>
        <v/>
      </c>
    </row>
    <row r="874" ht="22.5" customHeight="1">
      <c r="AT874" s="54" t="str">
        <f t="array" ref="AT874">IF(
                AS874 = "",
                "",
                       IF(
                           AS874 ="FOTOGRAFIA",
                           "LINK",
                           "https://www.appsheet.com/template/gettablefileurl?appName=APP022ParticMagnMTV2-924373673-26-05-14&amp;tableName=4.reg_fotografico&amp;fileName="&amp;AS874                         )
                          )</f>
        <v/>
      </c>
      <c r="AV874" s="54" t="str">
        <f t="shared" si="5"/>
        <v/>
      </c>
    </row>
    <row r="875" ht="22.5" customHeight="1">
      <c r="AT875" s="54" t="str">
        <f t="array" ref="AT875">IF(
                AS875 = "",
                "",
                       IF(
                           AS875 ="FOTOGRAFIA",
                           "LINK",
                           "https://www.appsheet.com/template/gettablefileurl?appName=APP022ParticMagnMTV2-924373673-26-05-14&amp;tableName=4.reg_fotografico&amp;fileName="&amp;AS875                         )
                          )</f>
        <v/>
      </c>
      <c r="AV875" s="54" t="str">
        <f t="shared" si="5"/>
        <v/>
      </c>
    </row>
    <row r="876" ht="22.5" customHeight="1">
      <c r="AT876" s="54" t="str">
        <f t="array" ref="AT876">IF(
                AS876 = "",
                "",
                       IF(
                           AS876 ="FOTOGRAFIA",
                           "LINK",
                           "https://www.appsheet.com/template/gettablefileurl?appName=APP022ParticMagnMTV2-924373673-26-05-14&amp;tableName=4.reg_fotografico&amp;fileName="&amp;AS876                         )
                          )</f>
        <v/>
      </c>
      <c r="AV876" s="54" t="str">
        <f t="shared" si="5"/>
        <v/>
      </c>
    </row>
    <row r="877" ht="22.5" customHeight="1">
      <c r="AT877" s="54" t="str">
        <f t="array" ref="AT877">IF(
                AS877 = "",
                "",
                       IF(
                           AS877 ="FOTOGRAFIA",
                           "LINK",
                           "https://www.appsheet.com/template/gettablefileurl?appName=APP022ParticMagnMTV2-924373673-26-05-14&amp;tableName=4.reg_fotografico&amp;fileName="&amp;AS877                         )
                          )</f>
        <v/>
      </c>
      <c r="AV877" s="54" t="str">
        <f t="shared" si="5"/>
        <v/>
      </c>
    </row>
    <row r="878" ht="22.5" customHeight="1">
      <c r="AT878" s="54" t="str">
        <f t="array" ref="AT878">IF(
                AS878 = "",
                "",
                       IF(
                           AS878 ="FOTOGRAFIA",
                           "LINK",
                           "https://www.appsheet.com/template/gettablefileurl?appName=APP022ParticMagnMTV2-924373673-26-05-14&amp;tableName=4.reg_fotografico&amp;fileName="&amp;AS878                         )
                          )</f>
        <v/>
      </c>
      <c r="AV878" s="54" t="str">
        <f t="shared" si="5"/>
        <v/>
      </c>
    </row>
    <row r="879" ht="22.5" customHeight="1">
      <c r="AT879" s="54" t="str">
        <f t="array" ref="AT879">IF(
                AS879 = "",
                "",
                       IF(
                           AS879 ="FOTOGRAFIA",
                           "LINK",
                           "https://www.appsheet.com/template/gettablefileurl?appName=APP022ParticMagnMTV2-924373673-26-05-14&amp;tableName=4.reg_fotografico&amp;fileName="&amp;AS879                         )
                          )</f>
        <v/>
      </c>
      <c r="AV879" s="54" t="str">
        <f t="shared" si="5"/>
        <v/>
      </c>
    </row>
    <row r="880" ht="22.5" customHeight="1">
      <c r="AT880" s="54" t="str">
        <f t="array" ref="AT880">IF(
                AS880 = "",
                "",
                       IF(
                           AS880 ="FOTOGRAFIA",
                           "LINK",
                           "https://www.appsheet.com/template/gettablefileurl?appName=APP022ParticMagnMTV2-924373673-26-05-14&amp;tableName=4.reg_fotografico&amp;fileName="&amp;AS880                         )
                          )</f>
        <v/>
      </c>
      <c r="AV880" s="54" t="str">
        <f t="shared" si="5"/>
        <v/>
      </c>
    </row>
    <row r="881" ht="22.5" customHeight="1">
      <c r="AT881" s="54" t="str">
        <f t="array" ref="AT881">IF(
                AS881 = "",
                "",
                       IF(
                           AS881 ="FOTOGRAFIA",
                           "LINK",
                           "https://www.appsheet.com/template/gettablefileurl?appName=APP022ParticMagnMTV2-924373673-26-05-14&amp;tableName=4.reg_fotografico&amp;fileName="&amp;AS881                         )
                          )</f>
        <v/>
      </c>
      <c r="AV881" s="54" t="str">
        <f t="shared" si="5"/>
        <v/>
      </c>
    </row>
    <row r="882" ht="22.5" customHeight="1">
      <c r="AT882" s="54" t="str">
        <f t="array" ref="AT882">IF(
                AS882 = "",
                "",
                       IF(
                           AS882 ="FOTOGRAFIA",
                           "LINK",
                           "https://www.appsheet.com/template/gettablefileurl?appName=APP022ParticMagnMTV2-924373673-26-05-14&amp;tableName=4.reg_fotografico&amp;fileName="&amp;AS882                         )
                          )</f>
        <v/>
      </c>
      <c r="AV882" s="54" t="str">
        <f t="shared" si="5"/>
        <v/>
      </c>
    </row>
    <row r="883" ht="22.5" customHeight="1">
      <c r="AT883" s="54" t="str">
        <f t="array" ref="AT883">IF(
                AS883 = "",
                "",
                       IF(
                           AS883 ="FOTOGRAFIA",
                           "LINK",
                           "https://www.appsheet.com/template/gettablefileurl?appName=APP022ParticMagnMTV2-924373673-26-05-14&amp;tableName=4.reg_fotografico&amp;fileName="&amp;AS883                         )
                          )</f>
        <v/>
      </c>
      <c r="AV883" s="54" t="str">
        <f t="shared" si="5"/>
        <v/>
      </c>
    </row>
    <row r="884" ht="22.5" customHeight="1">
      <c r="AT884" s="54" t="str">
        <f t="array" ref="AT884">IF(
                AS884 = "",
                "",
                       IF(
                           AS884 ="FOTOGRAFIA",
                           "LINK",
                           "https://www.appsheet.com/template/gettablefileurl?appName=APP022ParticMagnMTV2-924373673-26-05-14&amp;tableName=4.reg_fotografico&amp;fileName="&amp;AS884                         )
                          )</f>
        <v/>
      </c>
      <c r="AV884" s="54" t="str">
        <f t="shared" si="5"/>
        <v/>
      </c>
    </row>
    <row r="885" ht="22.5" customHeight="1">
      <c r="AT885" s="54" t="str">
        <f t="array" ref="AT885">IF(
                AS885 = "",
                "",
                       IF(
                           AS885 ="FOTOGRAFIA",
                           "LINK",
                           "https://www.appsheet.com/template/gettablefileurl?appName=APP022ParticMagnMTV2-924373673-26-05-14&amp;tableName=4.reg_fotografico&amp;fileName="&amp;AS885                         )
                          )</f>
        <v/>
      </c>
      <c r="AV885" s="54" t="str">
        <f t="shared" si="5"/>
        <v/>
      </c>
    </row>
    <row r="886" ht="22.5" customHeight="1">
      <c r="AT886" s="54" t="str">
        <f t="array" ref="AT886">IF(
                AS886 = "",
                "",
                       IF(
                           AS886 ="FOTOGRAFIA",
                           "LINK",
                           "https://www.appsheet.com/template/gettablefileurl?appName=APP022ParticMagnMTV2-924373673-26-05-14&amp;tableName=4.reg_fotografico&amp;fileName="&amp;AS886                         )
                          )</f>
        <v/>
      </c>
      <c r="AV886" s="54" t="str">
        <f t="shared" si="5"/>
        <v/>
      </c>
    </row>
    <row r="887" ht="22.5" customHeight="1">
      <c r="AT887" s="54" t="str">
        <f t="array" ref="AT887">IF(
                AS887 = "",
                "",
                       IF(
                           AS887 ="FOTOGRAFIA",
                           "LINK",
                           "https://www.appsheet.com/template/gettablefileurl?appName=APP022ParticMagnMTV2-924373673-26-05-14&amp;tableName=4.reg_fotografico&amp;fileName="&amp;AS887                         )
                          )</f>
        <v/>
      </c>
      <c r="AV887" s="54" t="str">
        <f t="shared" si="5"/>
        <v/>
      </c>
    </row>
    <row r="888" ht="22.5" customHeight="1">
      <c r="AT888" s="54" t="str">
        <f t="array" ref="AT888">IF(
                AS888 = "",
                "",
                       IF(
                           AS888 ="FOTOGRAFIA",
                           "LINK",
                           "https://www.appsheet.com/template/gettablefileurl?appName=APP022ParticMagnMTV2-924373673-26-05-14&amp;tableName=4.reg_fotografico&amp;fileName="&amp;AS888                         )
                          )</f>
        <v/>
      </c>
      <c r="AV888" s="54" t="str">
        <f t="shared" si="5"/>
        <v/>
      </c>
    </row>
    <row r="889" ht="22.5" customHeight="1">
      <c r="AT889" s="54" t="str">
        <f t="array" ref="AT889">IF(
                AS889 = "",
                "",
                       IF(
                           AS889 ="FOTOGRAFIA",
                           "LINK",
                           "https://www.appsheet.com/template/gettablefileurl?appName=APP022ParticMagnMTV2-924373673-26-05-14&amp;tableName=4.reg_fotografico&amp;fileName="&amp;AS889                         )
                          )</f>
        <v/>
      </c>
      <c r="AV889" s="54" t="str">
        <f t="shared" si="5"/>
        <v/>
      </c>
    </row>
    <row r="890" ht="22.5" customHeight="1">
      <c r="AT890" s="54" t="str">
        <f t="array" ref="AT890">IF(
                AS890 = "",
                "",
                       IF(
                           AS890 ="FOTOGRAFIA",
                           "LINK",
                           "https://www.appsheet.com/template/gettablefileurl?appName=APP022ParticMagnMTV2-924373673-26-05-14&amp;tableName=4.reg_fotografico&amp;fileName="&amp;AS890                         )
                          )</f>
        <v/>
      </c>
      <c r="AV890" s="54" t="str">
        <f t="shared" si="5"/>
        <v/>
      </c>
    </row>
    <row r="891" ht="22.5" customHeight="1">
      <c r="AT891" s="54" t="str">
        <f t="array" ref="AT891">IF(
                AS891 = "",
                "",
                       IF(
                           AS891 ="FOTOGRAFIA",
                           "LINK",
                           "https://www.appsheet.com/template/gettablefileurl?appName=APP022ParticMagnMTV2-924373673-26-05-14&amp;tableName=4.reg_fotografico&amp;fileName="&amp;AS891                         )
                          )</f>
        <v/>
      </c>
      <c r="AV891" s="54" t="str">
        <f t="shared" si="5"/>
        <v/>
      </c>
    </row>
    <row r="892" ht="22.5" customHeight="1">
      <c r="AT892" s="54" t="str">
        <f t="array" ref="AT892">IF(
                AS892 = "",
                "",
                       IF(
                           AS892 ="FOTOGRAFIA",
                           "LINK",
                           "https://www.appsheet.com/template/gettablefileurl?appName=APP022ParticMagnMTV2-924373673-26-05-14&amp;tableName=4.reg_fotografico&amp;fileName="&amp;AS892                         )
                          )</f>
        <v/>
      </c>
      <c r="AV892" s="54" t="str">
        <f t="shared" si="5"/>
        <v/>
      </c>
    </row>
    <row r="893" ht="22.5" customHeight="1">
      <c r="AT893" s="54" t="str">
        <f t="array" ref="AT893">IF(
                AS893 = "",
                "",
                       IF(
                           AS893 ="FOTOGRAFIA",
                           "LINK",
                           "https://www.appsheet.com/template/gettablefileurl?appName=APP022ParticMagnMTV2-924373673-26-05-14&amp;tableName=4.reg_fotografico&amp;fileName="&amp;AS893                         )
                          )</f>
        <v/>
      </c>
      <c r="AV893" s="54" t="str">
        <f t="shared" si="5"/>
        <v/>
      </c>
    </row>
    <row r="894" ht="22.5" customHeight="1">
      <c r="AT894" s="54" t="str">
        <f t="array" ref="AT894">IF(
                AS894 = "",
                "",
                       IF(
                           AS894 ="FOTOGRAFIA",
                           "LINK",
                           "https://www.appsheet.com/template/gettablefileurl?appName=APP022ParticMagnMTV2-924373673-26-05-14&amp;tableName=4.reg_fotografico&amp;fileName="&amp;AS894                         )
                          )</f>
        <v/>
      </c>
      <c r="AV894" s="54" t="str">
        <f t="shared" si="5"/>
        <v/>
      </c>
    </row>
    <row r="895" ht="22.5" customHeight="1">
      <c r="AT895" s="54" t="str">
        <f t="array" ref="AT895">IF(
                AS895 = "",
                "",
                       IF(
                           AS895 ="FOTOGRAFIA",
                           "LINK",
                           "https://www.appsheet.com/template/gettablefileurl?appName=APP022ParticMagnMTV2-924373673-26-05-14&amp;tableName=4.reg_fotografico&amp;fileName="&amp;AS895                         )
                          )</f>
        <v/>
      </c>
      <c r="AV895" s="54" t="str">
        <f t="shared" si="5"/>
        <v/>
      </c>
    </row>
    <row r="896" ht="22.5" customHeight="1">
      <c r="AT896" s="54" t="str">
        <f t="array" ref="AT896">IF(
                AS896 = "",
                "",
                       IF(
                           AS896 ="FOTOGRAFIA",
                           "LINK",
                           "https://www.appsheet.com/template/gettablefileurl?appName=APP022ParticMagnMTV2-924373673-26-05-14&amp;tableName=4.reg_fotografico&amp;fileName="&amp;AS896                         )
                          )</f>
        <v/>
      </c>
      <c r="AV896" s="54" t="str">
        <f t="shared" si="5"/>
        <v/>
      </c>
    </row>
    <row r="897" ht="22.5" customHeight="1">
      <c r="AT897" s="54" t="str">
        <f t="array" ref="AT897">IF(
                AS897 = "",
                "",
                       IF(
                           AS897 ="FOTOGRAFIA",
                           "LINK",
                           "https://www.appsheet.com/template/gettablefileurl?appName=APP022ParticMagnMTV2-924373673-26-05-14&amp;tableName=4.reg_fotografico&amp;fileName="&amp;AS897                         )
                          )</f>
        <v/>
      </c>
      <c r="AV897" s="54" t="str">
        <f t="shared" si="5"/>
        <v/>
      </c>
    </row>
    <row r="898" ht="22.5" customHeight="1">
      <c r="AT898" s="54" t="str">
        <f t="array" ref="AT898">IF(
                AS898 = "",
                "",
                       IF(
                           AS898 ="FOTOGRAFIA",
                           "LINK",
                           "https://www.appsheet.com/template/gettablefileurl?appName=APP022ParticMagnMTV2-924373673-26-05-14&amp;tableName=4.reg_fotografico&amp;fileName="&amp;AS898                         )
                          )</f>
        <v/>
      </c>
      <c r="AV898" s="54" t="str">
        <f t="shared" si="5"/>
        <v/>
      </c>
    </row>
    <row r="899" ht="22.5" customHeight="1">
      <c r="AT899" s="54" t="str">
        <f t="array" ref="AT899">IF(
                AS899 = "",
                "",
                       IF(
                           AS899 ="FOTOGRAFIA",
                           "LINK",
                           "https://www.appsheet.com/template/gettablefileurl?appName=APP022ParticMagnMTV2-924373673-26-05-14&amp;tableName=4.reg_fotografico&amp;fileName="&amp;AS899                         )
                          )</f>
        <v/>
      </c>
      <c r="AV899" s="54" t="str">
        <f t="shared" si="5"/>
        <v/>
      </c>
    </row>
    <row r="900" ht="22.5" customHeight="1">
      <c r="AT900" s="54" t="str">
        <f t="array" ref="AT900">IF(
                AS900 = "",
                "",
                       IF(
                           AS900 ="FOTOGRAFIA",
                           "LINK",
                           "https://www.appsheet.com/template/gettablefileurl?appName=APP022ParticMagnMTV2-924373673-26-05-14&amp;tableName=4.reg_fotografico&amp;fileName="&amp;AS900                         )
                          )</f>
        <v/>
      </c>
      <c r="AV900" s="54" t="str">
        <f t="shared" si="5"/>
        <v/>
      </c>
    </row>
    <row r="901" ht="22.5" customHeight="1">
      <c r="AT901" s="54" t="str">
        <f t="array" ref="AT901">IF(
                AS901 = "",
                "",
                       IF(
                           AS901 ="FOTOGRAFIA",
                           "LINK",
                           "https://www.appsheet.com/template/gettablefileurl?appName=APP022ParticMagnMTV2-924373673-26-05-14&amp;tableName=4.reg_fotografico&amp;fileName="&amp;AS901                         )
                          )</f>
        <v/>
      </c>
      <c r="AV901" s="54" t="str">
        <f t="shared" si="5"/>
        <v/>
      </c>
    </row>
    <row r="902" ht="22.5" customHeight="1">
      <c r="AT902" s="54" t="str">
        <f t="array" ref="AT902">IF(
                AS902 = "",
                "",
                       IF(
                           AS902 ="FOTOGRAFIA",
                           "LINK",
                           "https://www.appsheet.com/template/gettablefileurl?appName=APP022ParticMagnMTV2-924373673-26-05-14&amp;tableName=4.reg_fotografico&amp;fileName="&amp;AS902                         )
                          )</f>
        <v/>
      </c>
      <c r="AV902" s="54" t="str">
        <f t="shared" si="5"/>
        <v/>
      </c>
    </row>
    <row r="903" ht="22.5" customHeight="1">
      <c r="AT903" s="54" t="str">
        <f t="array" ref="AT903">IF(
                AS903 = "",
                "",
                       IF(
                           AS903 ="FOTOGRAFIA",
                           "LINK",
                           "https://www.appsheet.com/template/gettablefileurl?appName=APP022ParticMagnMTV2-924373673-26-05-14&amp;tableName=4.reg_fotografico&amp;fileName="&amp;AS903                         )
                          )</f>
        <v/>
      </c>
      <c r="AV903" s="54" t="str">
        <f t="shared" si="5"/>
        <v/>
      </c>
    </row>
    <row r="904" ht="22.5" customHeight="1">
      <c r="AT904" s="54" t="str">
        <f t="array" ref="AT904">IF(
                AS904 = "",
                "",
                       IF(
                           AS904 ="FOTOGRAFIA",
                           "LINK",
                           "https://www.appsheet.com/template/gettablefileurl?appName=APP022ParticMagnMTV2-924373673-26-05-14&amp;tableName=4.reg_fotografico&amp;fileName="&amp;AS904                         )
                          )</f>
        <v/>
      </c>
      <c r="AV904" s="54" t="str">
        <f t="shared" si="5"/>
        <v/>
      </c>
    </row>
    <row r="905" ht="22.5" customHeight="1">
      <c r="AT905" s="54" t="str">
        <f t="array" ref="AT905">IF(
                AS905 = "",
                "",
                       IF(
                           AS905 ="FOTOGRAFIA",
                           "LINK",
                           "https://www.appsheet.com/template/gettablefileurl?appName=APP022ParticMagnMTV2-924373673-26-05-14&amp;tableName=4.reg_fotografico&amp;fileName="&amp;AS905                         )
                          )</f>
        <v/>
      </c>
      <c r="AV905" s="54" t="str">
        <f t="shared" si="5"/>
        <v/>
      </c>
    </row>
    <row r="906" ht="22.5" customHeight="1">
      <c r="AT906" s="54" t="str">
        <f t="array" ref="AT906">IF(
                AS906 = "",
                "",
                       IF(
                           AS906 ="FOTOGRAFIA",
                           "LINK",
                           "https://www.appsheet.com/template/gettablefileurl?appName=APP022ParticMagnMTV2-924373673-26-05-14&amp;tableName=4.reg_fotografico&amp;fileName="&amp;AS906                         )
                          )</f>
        <v/>
      </c>
      <c r="AV906" s="54" t="str">
        <f t="shared" si="5"/>
        <v/>
      </c>
    </row>
    <row r="907" ht="22.5" customHeight="1">
      <c r="AT907" s="54" t="str">
        <f t="array" ref="AT907">IF(
                AS907 = "",
                "",
                       IF(
                           AS907 ="FOTOGRAFIA",
                           "LINK",
                           "https://www.appsheet.com/template/gettablefileurl?appName=APP022ParticMagnMTV2-924373673-26-05-14&amp;tableName=4.reg_fotografico&amp;fileName="&amp;AS907                         )
                          )</f>
        <v/>
      </c>
      <c r="AV907" s="54" t="str">
        <f t="shared" si="5"/>
        <v/>
      </c>
    </row>
    <row r="908" ht="22.5" customHeight="1">
      <c r="AT908" s="54" t="str">
        <f t="array" ref="AT908">IF(
                AS908 = "",
                "",
                       IF(
                           AS908 ="FOTOGRAFIA",
                           "LINK",
                           "https://www.appsheet.com/template/gettablefileurl?appName=APP022ParticMagnMTV2-924373673-26-05-14&amp;tableName=4.reg_fotografico&amp;fileName="&amp;AS908                         )
                          )</f>
        <v/>
      </c>
      <c r="AV908" s="54" t="str">
        <f t="shared" si="5"/>
        <v/>
      </c>
    </row>
    <row r="909" ht="22.5" customHeight="1">
      <c r="AT909" s="54" t="str">
        <f t="array" ref="AT909">IF(
                AS909 = "",
                "",
                       IF(
                           AS909 ="FOTOGRAFIA",
                           "LINK",
                           "https://www.appsheet.com/template/gettablefileurl?appName=APP022ParticMagnMTV2-924373673-26-05-14&amp;tableName=4.reg_fotografico&amp;fileName="&amp;AS909                         )
                          )</f>
        <v/>
      </c>
      <c r="AV909" s="54" t="str">
        <f t="shared" si="5"/>
        <v/>
      </c>
    </row>
    <row r="910" ht="22.5" customHeight="1">
      <c r="AT910" s="54" t="str">
        <f t="array" ref="AT910">IF(
                AS910 = "",
                "",
                       IF(
                           AS910 ="FOTOGRAFIA",
                           "LINK",
                           "https://www.appsheet.com/template/gettablefileurl?appName=APP022ParticMagnMTV2-924373673-26-05-14&amp;tableName=4.reg_fotografico&amp;fileName="&amp;AS910                         )
                          )</f>
        <v/>
      </c>
      <c r="AV910" s="54" t="str">
        <f t="shared" si="5"/>
        <v/>
      </c>
    </row>
    <row r="911" ht="22.5" customHeight="1">
      <c r="AT911" s="54" t="str">
        <f t="array" ref="AT911">IF(
                AS911 = "",
                "",
                       IF(
                           AS911 ="FOTOGRAFIA",
                           "LINK",
                           "https://www.appsheet.com/template/gettablefileurl?appName=APP022ParticMagnMTV2-924373673-26-05-14&amp;tableName=4.reg_fotografico&amp;fileName="&amp;AS911                         )
                          )</f>
        <v/>
      </c>
      <c r="AV911" s="54" t="str">
        <f t="shared" si="5"/>
        <v/>
      </c>
    </row>
    <row r="912" ht="22.5" customHeight="1">
      <c r="AT912" s="54" t="str">
        <f t="array" ref="AT912">IF(
                AS912 = "",
                "",
                       IF(
                           AS912 ="FOTOGRAFIA",
                           "LINK",
                           "https://www.appsheet.com/template/gettablefileurl?appName=APP022ParticMagnMTV2-924373673-26-05-14&amp;tableName=4.reg_fotografico&amp;fileName="&amp;AS912                         )
                          )</f>
        <v/>
      </c>
      <c r="AV912" s="54" t="str">
        <f t="shared" si="5"/>
        <v/>
      </c>
    </row>
    <row r="913" ht="22.5" customHeight="1">
      <c r="AT913" s="54" t="str">
        <f t="array" ref="AT913">IF(
                AS913 = "",
                "",
                       IF(
                           AS913 ="FOTOGRAFIA",
                           "LINK",
                           "https://www.appsheet.com/template/gettablefileurl?appName=APP022ParticMagnMTV2-924373673-26-05-14&amp;tableName=4.reg_fotografico&amp;fileName="&amp;AS913                         )
                          )</f>
        <v/>
      </c>
      <c r="AV913" s="54" t="str">
        <f t="shared" si="5"/>
        <v/>
      </c>
    </row>
    <row r="914" ht="22.5" customHeight="1">
      <c r="AT914" s="54" t="str">
        <f t="array" ref="AT914">IF(
                AS914 = "",
                "",
                       IF(
                           AS914 ="FOTOGRAFIA",
                           "LINK",
                           "https://www.appsheet.com/template/gettablefileurl?appName=APP022ParticMagnMTV2-924373673-26-05-14&amp;tableName=4.reg_fotografico&amp;fileName="&amp;AS914                         )
                          )</f>
        <v/>
      </c>
      <c r="AV914" s="54" t="str">
        <f t="shared" si="5"/>
        <v/>
      </c>
    </row>
    <row r="915" ht="22.5" customHeight="1">
      <c r="AT915" s="54" t="str">
        <f t="array" ref="AT915">IF(
                AS915 = "",
                "",
                       IF(
                           AS915 ="FOTOGRAFIA",
                           "LINK",
                           "https://www.appsheet.com/template/gettablefileurl?appName=APP022ParticMagnMTV2-924373673-26-05-14&amp;tableName=4.reg_fotografico&amp;fileName="&amp;AS915                         )
                          )</f>
        <v/>
      </c>
      <c r="AV915" s="54" t="str">
        <f t="shared" si="5"/>
        <v/>
      </c>
    </row>
    <row r="916" ht="22.5" customHeight="1">
      <c r="AT916" s="54" t="str">
        <f t="array" ref="AT916">IF(
                AS916 = "",
                "",
                       IF(
                           AS916 ="FOTOGRAFIA",
                           "LINK",
                           "https://www.appsheet.com/template/gettablefileurl?appName=APP022ParticMagnMTV2-924373673-26-05-14&amp;tableName=4.reg_fotografico&amp;fileName="&amp;AS916                         )
                          )</f>
        <v/>
      </c>
      <c r="AV916" s="54" t="str">
        <f t="shared" si="5"/>
        <v/>
      </c>
    </row>
    <row r="917" ht="22.5" customHeight="1">
      <c r="AT917" s="54" t="str">
        <f t="array" ref="AT917">IF(
                AS917 = "",
                "",
                       IF(
                           AS917 ="FOTOGRAFIA",
                           "LINK",
                           "https://www.appsheet.com/template/gettablefileurl?appName=APP022ParticMagnMTV2-924373673-26-05-14&amp;tableName=4.reg_fotografico&amp;fileName="&amp;AS917                         )
                          )</f>
        <v/>
      </c>
      <c r="AV917" s="54" t="str">
        <f t="shared" si="5"/>
        <v/>
      </c>
    </row>
    <row r="918" ht="22.5" customHeight="1">
      <c r="AT918" s="54" t="str">
        <f t="array" ref="AT918">IF(
                AS918 = "",
                "",
                       IF(
                           AS918 ="FOTOGRAFIA",
                           "LINK",
                           "https://www.appsheet.com/template/gettablefileurl?appName=APP022ParticMagnMTV2-924373673-26-05-14&amp;tableName=4.reg_fotografico&amp;fileName="&amp;AS918                         )
                          )</f>
        <v/>
      </c>
      <c r="AV918" s="54" t="str">
        <f t="shared" si="5"/>
        <v/>
      </c>
    </row>
    <row r="919" ht="22.5" customHeight="1">
      <c r="AT919" s="54" t="str">
        <f t="array" ref="AT919">IF(
                AS919 = "",
                "",
                       IF(
                           AS919 ="FOTOGRAFIA",
                           "LINK",
                           "https://www.appsheet.com/template/gettablefileurl?appName=APP022ParticMagnMTV2-924373673-26-05-14&amp;tableName=4.reg_fotografico&amp;fileName="&amp;AS919                         )
                          )</f>
        <v/>
      </c>
      <c r="AV919" s="54" t="str">
        <f t="shared" si="5"/>
        <v/>
      </c>
    </row>
    <row r="920" ht="22.5" customHeight="1">
      <c r="AT920" s="54" t="str">
        <f t="array" ref="AT920">IF(
                AS920 = "",
                "",
                       IF(
                           AS920 ="FOTOGRAFIA",
                           "LINK",
                           "https://www.appsheet.com/template/gettablefileurl?appName=APP022ParticMagnMTV2-924373673-26-05-14&amp;tableName=4.reg_fotografico&amp;fileName="&amp;AS920                         )
                          )</f>
        <v/>
      </c>
      <c r="AV920" s="54" t="str">
        <f t="shared" si="5"/>
        <v/>
      </c>
    </row>
    <row r="921" ht="22.5" customHeight="1">
      <c r="AT921" s="54" t="str">
        <f t="array" ref="AT921">IF(
                AS921 = "",
                "",
                       IF(
                           AS921 ="FOTOGRAFIA",
                           "LINK",
                           "https://www.appsheet.com/template/gettablefileurl?appName=APP022ParticMagnMTV2-924373673-26-05-14&amp;tableName=4.reg_fotografico&amp;fileName="&amp;AS921                         )
                          )</f>
        <v/>
      </c>
      <c r="AV921" s="54" t="str">
        <f t="shared" si="5"/>
        <v/>
      </c>
    </row>
    <row r="922" ht="22.5" customHeight="1">
      <c r="AT922" s="54" t="str">
        <f t="array" ref="AT922">IF(
                AS922 = "",
                "",
                       IF(
                           AS922 ="FOTOGRAFIA",
                           "LINK",
                           "https://www.appsheet.com/template/gettablefileurl?appName=APP022ParticMagnMTV2-924373673-26-05-14&amp;tableName=4.reg_fotografico&amp;fileName="&amp;AS922                         )
                          )</f>
        <v/>
      </c>
      <c r="AV922" s="54" t="str">
        <f t="shared" si="5"/>
        <v/>
      </c>
    </row>
    <row r="923" ht="22.5" customHeight="1">
      <c r="AT923" s="54" t="str">
        <f t="array" ref="AT923">IF(
                AS923 = "",
                "",
                       IF(
                           AS923 ="FOTOGRAFIA",
                           "LINK",
                           "https://www.appsheet.com/template/gettablefileurl?appName=APP022ParticMagnMTV2-924373673-26-05-14&amp;tableName=4.reg_fotografico&amp;fileName="&amp;AS923                         )
                          )</f>
        <v/>
      </c>
      <c r="AV923" s="54" t="str">
        <f t="shared" si="5"/>
        <v/>
      </c>
    </row>
    <row r="924" ht="22.5" customHeight="1">
      <c r="AT924" s="54" t="str">
        <f t="array" ref="AT924">IF(
                AS924 = "",
                "",
                       IF(
                           AS924 ="FOTOGRAFIA",
                           "LINK",
                           "https://www.appsheet.com/template/gettablefileurl?appName=APP022ParticMagnMTV2-924373673-26-05-14&amp;tableName=4.reg_fotografico&amp;fileName="&amp;AS924                         )
                          )</f>
        <v/>
      </c>
      <c r="AV924" s="54" t="str">
        <f t="shared" si="5"/>
        <v/>
      </c>
    </row>
    <row r="925" ht="22.5" customHeight="1">
      <c r="AT925" s="54" t="str">
        <f t="array" ref="AT925">IF(
                AS925 = "",
                "",
                       IF(
                           AS925 ="FOTOGRAFIA",
                           "LINK",
                           "https://www.appsheet.com/template/gettablefileurl?appName=APP022ParticMagnMTV2-924373673-26-05-14&amp;tableName=4.reg_fotografico&amp;fileName="&amp;AS925                         )
                          )</f>
        <v/>
      </c>
      <c r="AV925" s="54" t="str">
        <f t="shared" si="5"/>
        <v/>
      </c>
    </row>
    <row r="926" ht="22.5" customHeight="1">
      <c r="AT926" s="54" t="str">
        <f t="array" ref="AT926">IF(
                AS926 = "",
                "",
                       IF(
                           AS926 ="FOTOGRAFIA",
                           "LINK",
                           "https://www.appsheet.com/template/gettablefileurl?appName=APP022ParticMagnMTV2-924373673-26-05-14&amp;tableName=4.reg_fotografico&amp;fileName="&amp;AS926                         )
                          )</f>
        <v/>
      </c>
      <c r="AV926" s="54" t="str">
        <f t="shared" si="5"/>
        <v/>
      </c>
    </row>
    <row r="927" ht="22.5" customHeight="1">
      <c r="AT927" s="54" t="str">
        <f t="array" ref="AT927">IF(
                AS927 = "",
                "",
                       IF(
                           AS927 ="FOTOGRAFIA",
                           "LINK",
                           "https://www.appsheet.com/template/gettablefileurl?appName=APP022ParticMagnMTV2-924373673-26-05-14&amp;tableName=4.reg_fotografico&amp;fileName="&amp;AS927                         )
                          )</f>
        <v/>
      </c>
      <c r="AV927" s="54" t="str">
        <f t="shared" si="5"/>
        <v/>
      </c>
    </row>
    <row r="928" ht="22.5" customHeight="1">
      <c r="AT928" s="54" t="str">
        <f t="array" ref="AT928">IF(
                AS928 = "",
                "",
                       IF(
                           AS928 ="FOTOGRAFIA",
                           "LINK",
                           "https://www.appsheet.com/template/gettablefileurl?appName=APP022ParticMagnMTV2-924373673-26-05-14&amp;tableName=4.reg_fotografico&amp;fileName="&amp;AS928                         )
                          )</f>
        <v/>
      </c>
      <c r="AV928" s="54" t="str">
        <f t="shared" si="5"/>
        <v/>
      </c>
    </row>
    <row r="929" ht="22.5" customHeight="1">
      <c r="AT929" s="54" t="str">
        <f t="array" ref="AT929">IF(
                AS929 = "",
                "",
                       IF(
                           AS929 ="FOTOGRAFIA",
                           "LINK",
                           "https://www.appsheet.com/template/gettablefileurl?appName=APP022ParticMagnMTV2-924373673-26-05-14&amp;tableName=4.reg_fotografico&amp;fileName="&amp;AS929                         )
                          )</f>
        <v/>
      </c>
      <c r="AV929" s="54" t="str">
        <f t="shared" si="5"/>
        <v/>
      </c>
    </row>
    <row r="930" ht="22.5" customHeight="1">
      <c r="AT930" s="54" t="str">
        <f t="array" ref="AT930">IF(
                AS930 = "",
                "",
                       IF(
                           AS930 ="FOTOGRAFIA",
                           "LINK",
                           "https://www.appsheet.com/template/gettablefileurl?appName=APP022ParticMagnMTV2-924373673-26-05-14&amp;tableName=4.reg_fotografico&amp;fileName="&amp;AS930                         )
                          )</f>
        <v/>
      </c>
      <c r="AV930" s="54" t="str">
        <f t="shared" si="5"/>
        <v/>
      </c>
    </row>
    <row r="931" ht="22.5" customHeight="1">
      <c r="AT931" s="54" t="str">
        <f t="array" ref="AT931">IF(
                AS931 = "",
                "",
                       IF(
                           AS931 ="FOTOGRAFIA",
                           "LINK",
                           "https://www.appsheet.com/template/gettablefileurl?appName=APP022ParticMagnMTV2-924373673-26-05-14&amp;tableName=4.reg_fotografico&amp;fileName="&amp;AS931                         )
                          )</f>
        <v/>
      </c>
      <c r="AV931" s="54" t="str">
        <f t="shared" si="5"/>
        <v/>
      </c>
    </row>
    <row r="932" ht="22.5" customHeight="1">
      <c r="AT932" s="54" t="str">
        <f t="array" ref="AT932">IF(
                AS932 = "",
                "",
                       IF(
                           AS932 ="FOTOGRAFIA",
                           "LINK",
                           "https://www.appsheet.com/template/gettablefileurl?appName=APP022ParticMagnMTV2-924373673-26-05-14&amp;tableName=4.reg_fotografico&amp;fileName="&amp;AS932                         )
                          )</f>
        <v/>
      </c>
      <c r="AV932" s="54" t="str">
        <f t="shared" si="5"/>
        <v/>
      </c>
    </row>
    <row r="933" ht="22.5" customHeight="1">
      <c r="AT933" s="54" t="str">
        <f t="array" ref="AT933">IF(
                AS933 = "",
                "",
                       IF(
                           AS933 ="FOTOGRAFIA",
                           "LINK",
                           "https://www.appsheet.com/template/gettablefileurl?appName=APP022ParticMagnMTV2-924373673-26-05-14&amp;tableName=4.reg_fotografico&amp;fileName="&amp;AS933                         )
                          )</f>
        <v/>
      </c>
      <c r="AV933" s="54" t="str">
        <f t="shared" si="5"/>
        <v/>
      </c>
    </row>
    <row r="934" ht="22.5" customHeight="1">
      <c r="AT934" s="54" t="str">
        <f t="array" ref="AT934">IF(
                AS934 = "",
                "",
                       IF(
                           AS934 ="FOTOGRAFIA",
                           "LINK",
                           "https://www.appsheet.com/template/gettablefileurl?appName=APP022ParticMagnMTV2-924373673-26-05-14&amp;tableName=4.reg_fotografico&amp;fileName="&amp;AS934                         )
                          )</f>
        <v/>
      </c>
      <c r="AV934" s="54" t="str">
        <f t="shared" si="5"/>
        <v/>
      </c>
    </row>
    <row r="935" ht="22.5" customHeight="1">
      <c r="AT935" s="54" t="str">
        <f t="array" ref="AT935">IF(
                AS935 = "",
                "",
                       IF(
                           AS935 ="FOTOGRAFIA",
                           "LINK",
                           "https://www.appsheet.com/template/gettablefileurl?appName=APP022ParticMagnMTV2-924373673-26-05-14&amp;tableName=4.reg_fotografico&amp;fileName="&amp;AS935                         )
                          )</f>
        <v/>
      </c>
      <c r="AV935" s="54" t="str">
        <f t="shared" si="5"/>
        <v/>
      </c>
    </row>
    <row r="936" ht="22.5" customHeight="1">
      <c r="AT936" s="54" t="str">
        <f t="array" ref="AT936">IF(
                AS936 = "",
                "",
                       IF(
                           AS936 ="FOTOGRAFIA",
                           "LINK",
                           "https://www.appsheet.com/template/gettablefileurl?appName=APP022ParticMagnMTV2-924373673-26-05-14&amp;tableName=4.reg_fotografico&amp;fileName="&amp;AS936                         )
                          )</f>
        <v/>
      </c>
      <c r="AV936" s="54" t="str">
        <f t="shared" si="5"/>
        <v/>
      </c>
    </row>
    <row r="937" ht="22.5" customHeight="1">
      <c r="AT937" s="54" t="str">
        <f t="array" ref="AT937">IF(
                AS937 = "",
                "",
                       IF(
                           AS937 ="FOTOGRAFIA",
                           "LINK",
                           "https://www.appsheet.com/template/gettablefileurl?appName=APP022ParticMagnMTV2-924373673-26-05-14&amp;tableName=4.reg_fotografico&amp;fileName="&amp;AS937                         )
                          )</f>
        <v/>
      </c>
      <c r="AV937" s="54" t="str">
        <f t="shared" si="5"/>
        <v/>
      </c>
    </row>
    <row r="938" ht="22.5" customHeight="1">
      <c r="AT938" s="54" t="str">
        <f t="array" ref="AT938">IF(
                AS938 = "",
                "",
                       IF(
                           AS938 ="FOTOGRAFIA",
                           "LINK",
                           "https://www.appsheet.com/template/gettablefileurl?appName=APP022ParticMagnMTV2-924373673-26-05-14&amp;tableName=4.reg_fotografico&amp;fileName="&amp;AS938                         )
                          )</f>
        <v/>
      </c>
      <c r="AV938" s="54" t="str">
        <f t="shared" si="5"/>
        <v/>
      </c>
    </row>
    <row r="939" ht="22.5" customHeight="1">
      <c r="AT939" s="54" t="str">
        <f t="array" ref="AT939">IF(
                AS939 = "",
                "",
                       IF(
                           AS939 ="FOTOGRAFIA",
                           "LINK",
                           "https://www.appsheet.com/template/gettablefileurl?appName=APP022ParticMagnMTV2-924373673-26-05-14&amp;tableName=4.reg_fotografico&amp;fileName="&amp;AS939                         )
                          )</f>
        <v/>
      </c>
      <c r="AV939" s="54" t="str">
        <f t="shared" si="5"/>
        <v/>
      </c>
    </row>
    <row r="940" ht="22.5" customHeight="1">
      <c r="AT940" s="54" t="str">
        <f t="array" ref="AT940">IF(
                AS940 = "",
                "",
                       IF(
                           AS940 ="FOTOGRAFIA",
                           "LINK",
                           "https://www.appsheet.com/template/gettablefileurl?appName=APP022ParticMagnMTV2-924373673-26-05-14&amp;tableName=4.reg_fotografico&amp;fileName="&amp;AS940                         )
                          )</f>
        <v/>
      </c>
      <c r="AV940" s="54" t="str">
        <f t="shared" si="5"/>
        <v/>
      </c>
    </row>
    <row r="941" ht="22.5" customHeight="1">
      <c r="AT941" s="54" t="str">
        <f t="array" ref="AT941">IF(
                AS941 = "",
                "",
                       IF(
                           AS941 ="FOTOGRAFIA",
                           "LINK",
                           "https://www.appsheet.com/template/gettablefileurl?appName=APP022ParticMagnMTV2-924373673-26-05-14&amp;tableName=4.reg_fotografico&amp;fileName="&amp;AS941                         )
                          )</f>
        <v/>
      </c>
      <c r="AV941" s="54" t="str">
        <f t="shared" si="5"/>
        <v/>
      </c>
    </row>
    <row r="942" ht="22.5" customHeight="1">
      <c r="AT942" s="54" t="str">
        <f t="array" ref="AT942">IF(
                AS942 = "",
                "",
                       IF(
                           AS942 ="FOTOGRAFIA",
                           "LINK",
                           "https://www.appsheet.com/template/gettablefileurl?appName=APP022ParticMagnMTV2-924373673-26-05-14&amp;tableName=4.reg_fotografico&amp;fileName="&amp;AS942                         )
                          )</f>
        <v/>
      </c>
      <c r="AV942" s="54" t="str">
        <f t="shared" si="5"/>
        <v/>
      </c>
    </row>
    <row r="943" ht="22.5" customHeight="1">
      <c r="AT943" s="54" t="str">
        <f t="array" ref="AT943">IF(
                AS943 = "",
                "",
                       IF(
                           AS943 ="FOTOGRAFIA",
                           "LINK",
                           "https://www.appsheet.com/template/gettablefileurl?appName=APP022ParticMagnMTV2-924373673-26-05-14&amp;tableName=4.reg_fotografico&amp;fileName="&amp;AS943                         )
                          )</f>
        <v/>
      </c>
      <c r="AV943" s="54" t="str">
        <f t="shared" si="5"/>
        <v/>
      </c>
    </row>
    <row r="944" ht="22.5" customHeight="1">
      <c r="AT944" s="54" t="str">
        <f t="array" ref="AT944">IF(
                AS944 = "",
                "",
                       IF(
                           AS944 ="FOTOGRAFIA",
                           "LINK",
                           "https://www.appsheet.com/template/gettablefileurl?appName=APP022ParticMagnMTV2-924373673-26-05-14&amp;tableName=4.reg_fotografico&amp;fileName="&amp;AS944                         )
                          )</f>
        <v/>
      </c>
      <c r="AV944" s="54" t="str">
        <f t="shared" si="5"/>
        <v/>
      </c>
    </row>
    <row r="945" ht="22.5" customHeight="1">
      <c r="AT945" s="54" t="str">
        <f t="array" ref="AT945">IF(
                AS945 = "",
                "",
                       IF(
                           AS945 ="FOTOGRAFIA",
                           "LINK",
                           "https://www.appsheet.com/template/gettablefileurl?appName=APP022ParticMagnMTV2-924373673-26-05-14&amp;tableName=4.reg_fotografico&amp;fileName="&amp;AS945                         )
                          )</f>
        <v/>
      </c>
      <c r="AV945" s="54" t="str">
        <f t="shared" si="5"/>
        <v/>
      </c>
    </row>
    <row r="946" ht="22.5" customHeight="1">
      <c r="AT946" s="54" t="str">
        <f t="array" ref="AT946">IF(
                AS946 = "",
                "",
                       IF(
                           AS946 ="FOTOGRAFIA",
                           "LINK",
                           "https://www.appsheet.com/template/gettablefileurl?appName=APP022ParticMagnMTV2-924373673-26-05-14&amp;tableName=4.reg_fotografico&amp;fileName="&amp;AS946                         )
                          )</f>
        <v/>
      </c>
      <c r="AV946" s="54" t="str">
        <f t="shared" si="5"/>
        <v/>
      </c>
    </row>
    <row r="947" ht="22.5" customHeight="1">
      <c r="AT947" s="54" t="str">
        <f t="array" ref="AT947">IF(
                AS947 = "",
                "",
                       IF(
                           AS947 ="FOTOGRAFIA",
                           "LINK",
                           "https://www.appsheet.com/template/gettablefileurl?appName=APP022ParticMagnMTV2-924373673-26-05-14&amp;tableName=4.reg_fotografico&amp;fileName="&amp;AS947                         )
                          )</f>
        <v/>
      </c>
      <c r="AV947" s="54" t="str">
        <f t="shared" si="5"/>
        <v/>
      </c>
    </row>
    <row r="948" ht="22.5" customHeight="1">
      <c r="AT948" s="54" t="str">
        <f t="array" ref="AT948">IF(
                AS948 = "",
                "",
                       IF(
                           AS948 ="FOTOGRAFIA",
                           "LINK",
                           "https://www.appsheet.com/template/gettablefileurl?appName=APP022ParticMagnMTV2-924373673-26-05-14&amp;tableName=4.reg_fotografico&amp;fileName="&amp;AS948                         )
                          )</f>
        <v/>
      </c>
      <c r="AV948" s="54" t="str">
        <f t="shared" si="5"/>
        <v/>
      </c>
    </row>
    <row r="949" ht="22.5" customHeight="1">
      <c r="AT949" s="54" t="str">
        <f t="array" ref="AT949">IF(
                AS949 = "",
                "",
                       IF(
                           AS949 ="FOTOGRAFIA",
                           "LINK",
                           "https://www.appsheet.com/template/gettablefileurl?appName=APP022ParticMagnMTV2-924373673-26-05-14&amp;tableName=4.reg_fotografico&amp;fileName="&amp;AS949                         )
                          )</f>
        <v/>
      </c>
      <c r="AV949" s="54" t="str">
        <f t="shared" si="5"/>
        <v/>
      </c>
    </row>
    <row r="950" ht="22.5" customHeight="1">
      <c r="AT950" s="54" t="str">
        <f t="array" ref="AT950">IF(
                AS950 = "",
                "",
                       IF(
                           AS950 ="FOTOGRAFIA",
                           "LINK",
                           "https://www.appsheet.com/template/gettablefileurl?appName=APP022ParticMagnMTV2-924373673-26-05-14&amp;tableName=4.reg_fotografico&amp;fileName="&amp;AS950                         )
                          )</f>
        <v/>
      </c>
      <c r="AV950" s="54" t="str">
        <f t="shared" si="5"/>
        <v/>
      </c>
    </row>
    <row r="951" ht="22.5" customHeight="1">
      <c r="AT951" s="54" t="str">
        <f t="array" ref="AT951">IF(
                AS951 = "",
                "",
                       IF(
                           AS951 ="FOTOGRAFIA",
                           "LINK",
                           "https://www.appsheet.com/template/gettablefileurl?appName=APP022ParticMagnMTV2-924373673-26-05-14&amp;tableName=4.reg_fotografico&amp;fileName="&amp;AS951                         )
                          )</f>
        <v/>
      </c>
      <c r="AV951" s="54" t="str">
        <f t="shared" si="5"/>
        <v/>
      </c>
    </row>
    <row r="952" ht="22.5" customHeight="1">
      <c r="AT952" s="54" t="str">
        <f t="array" ref="AT952">IF(
                AS952 = "",
                "",
                       IF(
                           AS952 ="FOTOGRAFIA",
                           "LINK",
                           "https://www.appsheet.com/template/gettablefileurl?appName=APP022ParticMagnMTV2-924373673-26-05-14&amp;tableName=4.reg_fotografico&amp;fileName="&amp;AS952                         )
                          )</f>
        <v/>
      </c>
      <c r="AV952" s="54" t="str">
        <f t="shared" si="5"/>
        <v/>
      </c>
    </row>
    <row r="953" ht="22.5" customHeight="1">
      <c r="AT953" s="54" t="str">
        <f t="array" ref="AT953">IF(
                AS953 = "",
                "",
                       IF(
                           AS953 ="FOTOGRAFIA",
                           "LINK",
                           "https://www.appsheet.com/template/gettablefileurl?appName=APP022ParticMagnMTV2-924373673-26-05-14&amp;tableName=4.reg_fotografico&amp;fileName="&amp;AS953                         )
                          )</f>
        <v/>
      </c>
      <c r="AV953" s="54" t="str">
        <f t="shared" si="5"/>
        <v/>
      </c>
    </row>
    <row r="954" ht="22.5" customHeight="1">
      <c r="AT954" s="54" t="str">
        <f t="array" ref="AT954">IF(
                AS954 = "",
                "",
                       IF(
                           AS954 ="FOTOGRAFIA",
                           "LINK",
                           "https://www.appsheet.com/template/gettablefileurl?appName=APP022ParticMagnMTV2-924373673-26-05-14&amp;tableName=4.reg_fotografico&amp;fileName="&amp;AS954                         )
                          )</f>
        <v/>
      </c>
      <c r="AV954" s="54" t="str">
        <f t="shared" si="5"/>
        <v/>
      </c>
    </row>
    <row r="955" ht="22.5" customHeight="1">
      <c r="AT955" s="54" t="str">
        <f t="array" ref="AT955">IF(
                AS955 = "",
                "",
                       IF(
                           AS955 ="FOTOGRAFIA",
                           "LINK",
                           "https://www.appsheet.com/template/gettablefileurl?appName=APP022ParticMagnMTV2-924373673-26-05-14&amp;tableName=4.reg_fotografico&amp;fileName="&amp;AS955                         )
                          )</f>
        <v/>
      </c>
      <c r="AV955" s="54" t="str">
        <f t="shared" si="5"/>
        <v/>
      </c>
    </row>
    <row r="956" ht="22.5" customHeight="1">
      <c r="AT956" s="54" t="str">
        <f t="array" ref="AT956">IF(
                AS956 = "",
                "",
                       IF(
                           AS956 ="FOTOGRAFIA",
                           "LINK",
                           "https://www.appsheet.com/template/gettablefileurl?appName=APP022ParticMagnMTV2-924373673-26-05-14&amp;tableName=4.reg_fotografico&amp;fileName="&amp;AS956                         )
                          )</f>
        <v/>
      </c>
      <c r="AV956" s="54" t="str">
        <f t="shared" si="5"/>
        <v/>
      </c>
    </row>
    <row r="957" ht="22.5" customHeight="1">
      <c r="AT957" s="54" t="str">
        <f t="array" ref="AT957">IF(
                AS957 = "",
                "",
                       IF(
                           AS957 ="FOTOGRAFIA",
                           "LINK",
                           "https://www.appsheet.com/template/gettablefileurl?appName=APP022ParticMagnMTV2-924373673-26-05-14&amp;tableName=4.reg_fotografico&amp;fileName="&amp;AS957                         )
                          )</f>
        <v/>
      </c>
      <c r="AV957" s="54" t="str">
        <f t="shared" si="5"/>
        <v/>
      </c>
    </row>
    <row r="958" ht="22.5" customHeight="1">
      <c r="AT958" s="54" t="str">
        <f t="array" ref="AT958">IF(
                AS958 = "",
                "",
                       IF(
                           AS958 ="FOTOGRAFIA",
                           "LINK",
                           "https://www.appsheet.com/template/gettablefileurl?appName=APP022ParticMagnMTV2-924373673-26-05-14&amp;tableName=4.reg_fotografico&amp;fileName="&amp;AS958                         )
                          )</f>
        <v/>
      </c>
      <c r="AV958" s="54" t="str">
        <f t="shared" si="5"/>
        <v/>
      </c>
    </row>
    <row r="959" ht="22.5" customHeight="1">
      <c r="AT959" s="54" t="str">
        <f t="array" ref="AT959">IF(
                AS959 = "",
                "",
                       IF(
                           AS959 ="FOTOGRAFIA",
                           "LINK",
                           "https://www.appsheet.com/template/gettablefileurl?appName=APP022ParticMagnMTV2-924373673-26-05-14&amp;tableName=4.reg_fotografico&amp;fileName="&amp;AS959                         )
                          )</f>
        <v/>
      </c>
      <c r="AV959" s="54" t="str">
        <f t="shared" si="5"/>
        <v/>
      </c>
    </row>
    <row r="960" ht="22.5" customHeight="1">
      <c r="AT960" s="54" t="str">
        <f t="array" ref="AT960">IF(
                AS960 = "",
                "",
                       IF(
                           AS960 ="FOTOGRAFIA",
                           "LINK",
                           "https://www.appsheet.com/template/gettablefileurl?appName=APP022ParticMagnMTV2-924373673-26-05-14&amp;tableName=4.reg_fotografico&amp;fileName="&amp;AS960                         )
                          )</f>
        <v/>
      </c>
      <c r="AV960" s="54" t="str">
        <f t="shared" si="5"/>
        <v/>
      </c>
    </row>
    <row r="961" ht="22.5" customHeight="1">
      <c r="AT961" s="54" t="str">
        <f t="array" ref="AT961">IF(
                AS961 = "",
                "",
                       IF(
                           AS961 ="FOTOGRAFIA",
                           "LINK",
                           "https://www.appsheet.com/template/gettablefileurl?appName=APP022ParticMagnMTV2-924373673-26-05-14&amp;tableName=4.reg_fotografico&amp;fileName="&amp;AS961                         )
                          )</f>
        <v/>
      </c>
      <c r="AV961" s="54" t="str">
        <f t="shared" si="5"/>
        <v/>
      </c>
    </row>
    <row r="962" ht="22.5" customHeight="1">
      <c r="AT962" s="54" t="str">
        <f t="array" ref="AT962">IF(
                AS962 = "",
                "",
                       IF(
                           AS962 ="FOTOGRAFIA",
                           "LINK",
                           "https://www.appsheet.com/template/gettablefileurl?appName=APP022ParticMagnMTV2-924373673-26-05-14&amp;tableName=4.reg_fotografico&amp;fileName="&amp;AS962                         )
                          )</f>
        <v/>
      </c>
      <c r="AV962" s="54" t="str">
        <f t="shared" si="5"/>
        <v/>
      </c>
    </row>
    <row r="963" ht="22.5" customHeight="1">
      <c r="AT963" s="54" t="str">
        <f t="array" ref="AT963">IF(
                AS963 = "",
                "",
                       IF(
                           AS963 ="FOTOGRAFIA",
                           "LINK",
                           "https://www.appsheet.com/template/gettablefileurl?appName=APP022ParticMagnMTV2-924373673-26-05-14&amp;tableName=4.reg_fotografico&amp;fileName="&amp;AS963                         )
                          )</f>
        <v/>
      </c>
      <c r="AV963" s="54" t="str">
        <f t="shared" si="5"/>
        <v/>
      </c>
    </row>
    <row r="964" ht="22.5" customHeight="1">
      <c r="AT964" s="54" t="str">
        <f t="array" ref="AT964">IF(
                AS964 = "",
                "",
                       IF(
                           AS964 ="FOTOGRAFIA",
                           "LINK",
                           "https://www.appsheet.com/template/gettablefileurl?appName=APP022ParticMagnMTV2-924373673-26-05-14&amp;tableName=4.reg_fotografico&amp;fileName="&amp;AS964                         )
                          )</f>
        <v/>
      </c>
      <c r="AV964" s="54" t="str">
        <f t="shared" si="5"/>
        <v/>
      </c>
    </row>
    <row r="965" ht="22.5" customHeight="1">
      <c r="AT965" s="54" t="str">
        <f t="array" ref="AT965">IF(
                AS965 = "",
                "",
                       IF(
                           AS965 ="FOTOGRAFIA",
                           "LINK",
                           "https://www.appsheet.com/template/gettablefileurl?appName=APP022ParticMagnMTV2-924373673-26-05-14&amp;tableName=4.reg_fotografico&amp;fileName="&amp;AS965                         )
                          )</f>
        <v/>
      </c>
      <c r="AV965" s="54" t="str">
        <f t="shared" si="5"/>
        <v/>
      </c>
    </row>
    <row r="966" ht="22.5" customHeight="1">
      <c r="AT966" s="54" t="str">
        <f t="array" ref="AT966">IF(
                AS966 = "",
                "",
                       IF(
                           AS966 ="FOTOGRAFIA",
                           "LINK",
                           "https://www.appsheet.com/template/gettablefileurl?appName=APP022ParticMagnMTV2-924373673-26-05-14&amp;tableName=4.reg_fotografico&amp;fileName="&amp;AS966                         )
                          )</f>
        <v/>
      </c>
      <c r="AV966" s="54" t="str">
        <f t="shared" si="5"/>
        <v/>
      </c>
    </row>
    <row r="967" ht="22.5" customHeight="1">
      <c r="AT967" s="54" t="str">
        <f t="array" ref="AT967">IF(
                AS967 = "",
                "",
                       IF(
                           AS967 ="FOTOGRAFIA",
                           "LINK",
                           "https://www.appsheet.com/template/gettablefileurl?appName=APP022ParticMagnMTV2-924373673-26-05-14&amp;tableName=4.reg_fotografico&amp;fileName="&amp;AS967                         )
                          )</f>
        <v/>
      </c>
      <c r="AV967" s="54" t="str">
        <f t="shared" si="5"/>
        <v/>
      </c>
    </row>
    <row r="968" ht="22.5" customHeight="1">
      <c r="AT968" s="54" t="str">
        <f t="array" ref="AT968">IF(
                AS968 = "",
                "",
                       IF(
                           AS968 ="FOTOGRAFIA",
                           "LINK",
                           "https://www.appsheet.com/template/gettablefileurl?appName=APP022ParticMagnMTV2-924373673-26-05-14&amp;tableName=4.reg_fotografico&amp;fileName="&amp;AS968                         )
                          )</f>
        <v/>
      </c>
      <c r="AV968" s="54" t="str">
        <f t="shared" si="5"/>
        <v/>
      </c>
    </row>
    <row r="969" ht="22.5" customHeight="1">
      <c r="AT969" s="54" t="str">
        <f t="array" ref="AT969">IF(
                AS969 = "",
                "",
                       IF(
                           AS969 ="FOTOGRAFIA",
                           "LINK",
                           "https://www.appsheet.com/template/gettablefileurl?appName=APP022ParticMagnMTV2-924373673-26-05-14&amp;tableName=4.reg_fotografico&amp;fileName="&amp;AS969                         )
                          )</f>
        <v/>
      </c>
      <c r="AV969" s="54" t="str">
        <f t="shared" si="5"/>
        <v/>
      </c>
    </row>
    <row r="970" ht="22.5" customHeight="1">
      <c r="AT970" s="54" t="str">
        <f t="array" ref="AT970">IF(
                AS970 = "",
                "",
                       IF(
                           AS970 ="FOTOGRAFIA",
                           "LINK",
                           "https://www.appsheet.com/template/gettablefileurl?appName=APP022ParticMagnMTV2-924373673-26-05-14&amp;tableName=4.reg_fotografico&amp;fileName="&amp;AS970                         )
                          )</f>
        <v/>
      </c>
      <c r="AV970" s="54" t="str">
        <f t="shared" si="5"/>
        <v/>
      </c>
    </row>
    <row r="971" ht="22.5" customHeight="1">
      <c r="AT971" s="54" t="str">
        <f t="array" ref="AT971">IF(
                AS971 = "",
                "",
                       IF(
                           AS971 ="FOTOGRAFIA",
                           "LINK",
                           "https://www.appsheet.com/template/gettablefileurl?appName=APP022ParticMagnMTV2-924373673-26-05-14&amp;tableName=4.reg_fotografico&amp;fileName="&amp;AS971                         )
                          )</f>
        <v/>
      </c>
      <c r="AV971" s="54" t="str">
        <f t="shared" si="5"/>
        <v/>
      </c>
    </row>
    <row r="972" ht="22.5" customHeight="1">
      <c r="AT972" s="54" t="str">
        <f t="array" ref="AT972">IF(
                AS972 = "",
                "",
                       IF(
                           AS972 ="FOTOGRAFIA",
                           "LINK",
                           "https://www.appsheet.com/template/gettablefileurl?appName=APP022ParticMagnMTV2-924373673-26-05-14&amp;tableName=4.reg_fotografico&amp;fileName="&amp;AS972                         )
                          )</f>
        <v/>
      </c>
      <c r="AV972" s="54" t="str">
        <f t="shared" si="5"/>
        <v/>
      </c>
    </row>
    <row r="973" ht="22.5" customHeight="1">
      <c r="AT973" s="54" t="str">
        <f t="array" ref="AT973">IF(
                AS973 = "",
                "",
                       IF(
                           AS973 ="FOTOGRAFIA",
                           "LINK",
                           "https://www.appsheet.com/template/gettablefileurl?appName=APP022ParticMagnMTV2-924373673-26-05-14&amp;tableName=4.reg_fotografico&amp;fileName="&amp;AS973                         )
                          )</f>
        <v/>
      </c>
      <c r="AV973" s="54" t="str">
        <f t="shared" si="5"/>
        <v/>
      </c>
    </row>
    <row r="974" ht="22.5" customHeight="1">
      <c r="AT974" s="54" t="str">
        <f t="array" ref="AT974">IF(
                AS974 = "",
                "",
                       IF(
                           AS974 ="FOTOGRAFIA",
                           "LINK",
                           "https://www.appsheet.com/template/gettablefileurl?appName=APP022ParticMagnMTV2-924373673-26-05-14&amp;tableName=4.reg_fotografico&amp;fileName="&amp;AS974                         )
                          )</f>
        <v/>
      </c>
      <c r="AV974" s="54" t="str">
        <f t="shared" si="5"/>
        <v/>
      </c>
    </row>
    <row r="975" ht="22.5" customHeight="1">
      <c r="AT975" s="54" t="str">
        <f t="array" ref="AT975">IF(
                AS975 = "",
                "",
                       IF(
                           AS975 ="FOTOGRAFIA",
                           "LINK",
                           "https://www.appsheet.com/template/gettablefileurl?appName=APP022ParticMagnMTV2-924373673-26-05-14&amp;tableName=4.reg_fotografico&amp;fileName="&amp;AS975                         )
                          )</f>
        <v/>
      </c>
      <c r="AV975" s="54" t="str">
        <f t="shared" si="5"/>
        <v/>
      </c>
    </row>
    <row r="976" ht="22.5" customHeight="1">
      <c r="AT976" s="54" t="str">
        <f t="array" ref="AT976">IF(
                AS976 = "",
                "",
                       IF(
                           AS976 ="FOTOGRAFIA",
                           "LINK",
                           "https://www.appsheet.com/template/gettablefileurl?appName=APP022ParticMagnMTV2-924373673-26-05-14&amp;tableName=4.reg_fotografico&amp;fileName="&amp;AS976                         )
                          )</f>
        <v/>
      </c>
      <c r="AV976" s="54" t="str">
        <f t="shared" si="5"/>
        <v/>
      </c>
    </row>
    <row r="977" ht="22.5" customHeight="1">
      <c r="AT977" s="54" t="str">
        <f t="array" ref="AT977">IF(
                AS977 = "",
                "",
                       IF(
                           AS977 ="FOTOGRAFIA",
                           "LINK",
                           "https://www.appsheet.com/template/gettablefileurl?appName=APP022ParticMagnMTV2-924373673-26-05-14&amp;tableName=4.reg_fotografico&amp;fileName="&amp;AS977                         )
                          )</f>
        <v/>
      </c>
      <c r="AV977" s="54" t="str">
        <f t="shared" si="5"/>
        <v/>
      </c>
    </row>
    <row r="978" ht="22.5" customHeight="1">
      <c r="AT978" s="54" t="str">
        <f t="array" ref="AT978">IF(
                AS978 = "",
                "",
                       IF(
                           AS978 ="FOTOGRAFIA",
                           "LINK",
                           "https://www.appsheet.com/template/gettablefileurl?appName=APP022ParticMagnMTV2-924373673-26-05-14&amp;tableName=4.reg_fotografico&amp;fileName="&amp;AS978                         )
                          )</f>
        <v/>
      </c>
      <c r="AV978" s="54" t="str">
        <f t="shared" si="5"/>
        <v/>
      </c>
    </row>
    <row r="979" ht="22.5" customHeight="1">
      <c r="AT979" s="54" t="str">
        <f t="array" ref="AT979">IF(
                AS979 = "",
                "",
                       IF(
                           AS979 ="FOTOGRAFIA",
                           "LINK",
                           "https://www.appsheet.com/template/gettablefileurl?appName=APP022ParticMagnMTV2-924373673-26-05-14&amp;tableName=4.reg_fotografico&amp;fileName="&amp;AS979                         )
                          )</f>
        <v/>
      </c>
      <c r="AV979" s="54" t="str">
        <f t="shared" si="5"/>
        <v/>
      </c>
    </row>
    <row r="980" ht="22.5" customHeight="1">
      <c r="AT980" s="54" t="str">
        <f t="array" ref="AT980">IF(
                AS980 = "",
                "",
                       IF(
                           AS980 ="FOTOGRAFIA",
                           "LINK",
                           "https://www.appsheet.com/template/gettablefileurl?appName=APP022ParticMagnMTV2-924373673-26-05-14&amp;tableName=4.reg_fotografico&amp;fileName="&amp;AS980                         )
                          )</f>
        <v/>
      </c>
      <c r="AV980" s="54" t="str">
        <f t="shared" si="5"/>
        <v/>
      </c>
    </row>
    <row r="981" ht="22.5" customHeight="1">
      <c r="AT981" s="54" t="str">
        <f t="array" ref="AT981">IF(
                AS981 = "",
                "",
                       IF(
                           AS981 ="FOTOGRAFIA",
                           "LINK",
                           "https://www.appsheet.com/template/gettablefileurl?appName=APP022ParticMagnMTV2-924373673-26-05-14&amp;tableName=4.reg_fotografico&amp;fileName="&amp;AS981                         )
                          )</f>
        <v/>
      </c>
      <c r="AV981" s="54" t="str">
        <f t="shared" si="5"/>
        <v/>
      </c>
    </row>
    <row r="982" ht="22.5" customHeight="1">
      <c r="AT982" s="54" t="str">
        <f t="array" ref="AT982">IF(
                AS982 = "",
                "",
                       IF(
                           AS982 ="FOTOGRAFIA",
                           "LINK",
                           "https://www.appsheet.com/template/gettablefileurl?appName=APP022ParticMagnMTV2-924373673-26-05-14&amp;tableName=4.reg_fotografico&amp;fileName="&amp;AS982                         )
                          )</f>
        <v/>
      </c>
      <c r="AV982" s="54" t="str">
        <f t="shared" si="5"/>
        <v/>
      </c>
    </row>
    <row r="983" ht="22.5" customHeight="1">
      <c r="AT983" s="54" t="str">
        <f t="array" ref="AT983">IF(
                AS983 = "",
                "",
                       IF(
                           AS983 ="FOTOGRAFIA",
                           "LINK",
                           "https://www.appsheet.com/template/gettablefileurl?appName=APP022ParticMagnMTV2-924373673-26-05-14&amp;tableName=4.reg_fotografico&amp;fileName="&amp;AS983                         )
                          )</f>
        <v/>
      </c>
      <c r="AV983" s="54" t="str">
        <f t="shared" si="5"/>
        <v/>
      </c>
    </row>
    <row r="984" ht="22.5" customHeight="1">
      <c r="AT984" s="54" t="str">
        <f t="array" ref="AT984">IF(
                AS984 = "",
                "",
                       IF(
                           AS984 ="FOTOGRAFIA",
                           "LINK",
                           "https://www.appsheet.com/template/gettablefileurl?appName=APP022ParticMagnMTV2-924373673-26-05-14&amp;tableName=4.reg_fotografico&amp;fileName="&amp;AS984                         )
                          )</f>
        <v/>
      </c>
      <c r="AV984" s="54" t="str">
        <f t="shared" si="5"/>
        <v/>
      </c>
    </row>
    <row r="985" ht="22.5" customHeight="1">
      <c r="AT985" s="54" t="str">
        <f t="array" ref="AT985">IF(
                AS985 = "",
                "",
                       IF(
                           AS985 ="FOTOGRAFIA",
                           "LINK",
                           "https://www.appsheet.com/template/gettablefileurl?appName=APP022ParticMagnMTV2-924373673-26-05-14&amp;tableName=4.reg_fotografico&amp;fileName="&amp;AS985                         )
                          )</f>
        <v/>
      </c>
      <c r="AV985" s="54" t="str">
        <f t="shared" si="5"/>
        <v/>
      </c>
    </row>
    <row r="986" ht="22.5" customHeight="1">
      <c r="AT986" s="54" t="str">
        <f t="array" ref="AT986">IF(
                AS986 = "",
                "",
                       IF(
                           AS986 ="FOTOGRAFIA",
                           "LINK",
                           "https://www.appsheet.com/template/gettablefileurl?appName=APP022ParticMagnMTV2-924373673-26-05-14&amp;tableName=4.reg_fotografico&amp;fileName="&amp;AS986                         )
                          )</f>
        <v/>
      </c>
      <c r="AV986" s="54" t="str">
        <f t="shared" si="5"/>
        <v/>
      </c>
    </row>
    <row r="987" ht="22.5" customHeight="1">
      <c r="AT987" s="54" t="str">
        <f t="array" ref="AT987">IF(
                AS987 = "",
                "",
                       IF(
                           AS987 ="FOTOGRAFIA",
                           "LINK",
                           "https://www.appsheet.com/template/gettablefileurl?appName=APP022ParticMagnMTV2-924373673-26-05-14&amp;tableName=4.reg_fotografico&amp;fileName="&amp;AS987                         )
                          )</f>
        <v/>
      </c>
      <c r="AV987" s="54" t="str">
        <f t="shared" si="5"/>
        <v/>
      </c>
    </row>
    <row r="988" ht="22.5" customHeight="1">
      <c r="AT988" s="54" t="str">
        <f t="array" ref="AT988">IF(
                AS988 = "",
                "",
                       IF(
                           AS988 ="FOTOGRAFIA",
                           "LINK",
                           "https://www.appsheet.com/template/gettablefileurl?appName=APP022ParticMagnMTV2-924373673-26-05-14&amp;tableName=4.reg_fotografico&amp;fileName="&amp;AS988                         )
                          )</f>
        <v/>
      </c>
      <c r="AV988" s="54" t="str">
        <f t="shared" si="5"/>
        <v/>
      </c>
    </row>
    <row r="989" ht="22.5" customHeight="1">
      <c r="AT989" s="54" t="str">
        <f t="array" ref="AT989">IF(
                AS989 = "",
                "",
                       IF(
                           AS989 ="FOTOGRAFIA",
                           "LINK",
                           "https://www.appsheet.com/template/gettablefileurl?appName=APP022ParticMagnMTV2-924373673-26-05-14&amp;tableName=4.reg_fotografico&amp;fileName="&amp;AS989                         )
                          )</f>
        <v/>
      </c>
      <c r="AV989" s="54" t="str">
        <f t="shared" si="5"/>
        <v/>
      </c>
    </row>
    <row r="990" ht="22.5" customHeight="1">
      <c r="AT990" s="54" t="str">
        <f t="array" ref="AT990">IF(
                AS990 = "",
                "",
                       IF(
                           AS990 ="FOTOGRAFIA",
                           "LINK",
                           "https://www.appsheet.com/template/gettablefileurl?appName=APP022ParticMagnMTV2-924373673-26-05-14&amp;tableName=4.reg_fotografico&amp;fileName="&amp;AS990                         )
                          )</f>
        <v/>
      </c>
      <c r="AV990" s="54" t="str">
        <f t="shared" si="5"/>
        <v/>
      </c>
    </row>
    <row r="991" ht="22.5" customHeight="1">
      <c r="AT991" s="54" t="str">
        <f t="array" ref="AT991">IF(
                AS991 = "",
                "",
                       IF(
                           AS991 ="FOTOGRAFIA",
                           "LINK",
                           "https://www.appsheet.com/template/gettablefileurl?appName=APP022ParticMagnMTV2-924373673-26-05-14&amp;tableName=4.reg_fotografico&amp;fileName="&amp;AS991                         )
                          )</f>
        <v/>
      </c>
      <c r="AV991" s="54" t="str">
        <f t="shared" si="5"/>
        <v/>
      </c>
    </row>
    <row r="992" ht="22.5" customHeight="1">
      <c r="AT992" s="54" t="str">
        <f t="array" ref="AT992">IF(
                AS992 = "",
                "",
                       IF(
                           AS992 ="FOTOGRAFIA",
                           "LINK",
                           "https://www.appsheet.com/template/gettablefileurl?appName=APP022ParticMagnMTV2-924373673-26-05-14&amp;tableName=4.reg_fotografico&amp;fileName="&amp;AS992                         )
                          )</f>
        <v/>
      </c>
      <c r="AV992" s="54" t="str">
        <f t="shared" si="5"/>
        <v/>
      </c>
    </row>
    <row r="993" ht="22.5" customHeight="1">
      <c r="AT993" s="54" t="str">
        <f t="array" ref="AT993">IF(
                AS993 = "",
                "",
                       IF(
                           AS993 ="FOTOGRAFIA",
                           "LINK",
                           "https://www.appsheet.com/template/gettablefileurl?appName=APP022ParticMagnMTV2-924373673-26-05-14&amp;tableName=4.reg_fotografico&amp;fileName="&amp;AS993                         )
                          )</f>
        <v/>
      </c>
      <c r="AV993" s="54" t="str">
        <f t="shared" si="5"/>
        <v/>
      </c>
    </row>
    <row r="994" ht="22.5" customHeight="1">
      <c r="AT994" s="54" t="str">
        <f t="array" ref="AT994">IF(
                AS994 = "",
                "",
                       IF(
                           AS994 ="FOTOGRAFIA",
                           "LINK",
                           "https://www.appsheet.com/template/gettablefileurl?appName=APP022ParticMagnMTV2-924373673-26-05-14&amp;tableName=4.reg_fotografico&amp;fileName="&amp;AS994                         )
                          )</f>
        <v/>
      </c>
      <c r="AV994" s="54" t="str">
        <f t="shared" si="5"/>
        <v/>
      </c>
    </row>
    <row r="995" ht="22.5" customHeight="1">
      <c r="AT995" s="54" t="str">
        <f t="array" ref="AT995">IF(
                AS995 = "",
                "",
                       IF(
                           AS995 ="FOTOGRAFIA",
                           "LINK",
                           "https://www.appsheet.com/template/gettablefileurl?appName=APP022ParticMagnMTV2-924373673-26-05-14&amp;tableName=4.reg_fotografico&amp;fileName="&amp;AS995                         )
                          )</f>
        <v/>
      </c>
      <c r="AV995" s="54" t="str">
        <f t="shared" si="5"/>
        <v/>
      </c>
    </row>
    <row r="996" ht="22.5" customHeight="1">
      <c r="AT996" s="54" t="str">
        <f t="array" ref="AT996">IF(
                AS996 = "",
                "",
                       IF(
                           AS996 ="FOTOGRAFIA",
                           "LINK",
                           "https://www.appsheet.com/template/gettablefileurl?appName=APP022ParticMagnMTV2-924373673-26-05-14&amp;tableName=4.reg_fotografico&amp;fileName="&amp;AS996                         )
                          )</f>
        <v/>
      </c>
      <c r="AV996" s="54" t="str">
        <f t="shared" si="5"/>
        <v/>
      </c>
    </row>
    <row r="997" ht="22.5" customHeight="1">
      <c r="AT997" s="54" t="str">
        <f t="array" ref="AT997">IF(
                AS997 = "",
                "",
                       IF(
                           AS997 ="FOTOGRAFIA",
                           "LINK",
                           "https://www.appsheet.com/template/gettablefileurl?appName=APP022ParticMagnMTV2-924373673-26-05-14&amp;tableName=4.reg_fotografico&amp;fileName="&amp;AS997                         )
                          )</f>
        <v/>
      </c>
      <c r="AV997" s="54" t="str">
        <f t="shared" si="5"/>
        <v/>
      </c>
    </row>
    <row r="998" ht="22.5" customHeight="1">
      <c r="AT998" s="54" t="str">
        <f t="array" ref="AT998">IF(
                AS998 = "",
                "",
                       IF(
                           AS998 ="FOTOGRAFIA",
                           "LINK",
                           "https://www.appsheet.com/template/gettablefileurl?appName=APP022ParticMagnMTV2-924373673-26-05-14&amp;tableName=4.reg_fotografico&amp;fileName="&amp;AS998                         )
                          )</f>
        <v/>
      </c>
      <c r="AV998" s="54" t="str">
        <f t="shared" si="5"/>
        <v/>
      </c>
    </row>
    <row r="999" ht="22.5" customHeight="1">
      <c r="AT999" s="54" t="str">
        <f t="array" ref="AT999">IF(
                AS999 = "",
                "",
                       IF(
                           AS999 ="FOTOGRAFIA",
                           "LINK",
                           "https://www.appsheet.com/template/gettablefileurl?appName=APP022ParticMagnMTV2-924373673-26-05-14&amp;tableName=4.reg_fotografico&amp;fileName="&amp;AS999                         )
                          )</f>
        <v/>
      </c>
      <c r="AV999" s="54" t="str">
        <f t="shared" si="5"/>
        <v/>
      </c>
    </row>
  </sheetData>
  <hyperlinks>
    <hyperlink r:id="rId1" ref="AX2"/>
    <hyperlink r:id="rId2" ref="AX3"/>
    <hyperlink r:id="rId3" ref="AX4"/>
    <hyperlink r:id="rId4" ref="AX5"/>
    <hyperlink r:id="rId5" ref="AX6"/>
    <hyperlink r:id="rId6" ref="AX7"/>
    <hyperlink r:id="rId7" ref="AX8"/>
    <hyperlink r:id="rId8" ref="AX9"/>
    <hyperlink r:id="rId9" ref="AT10"/>
    <hyperlink r:id="rId10" ref="AX10"/>
    <hyperlink r:id="rId11" ref="AX11"/>
    <hyperlink r:id="rId12" ref="AX12"/>
    <hyperlink r:id="rId13" ref="AX13"/>
    <hyperlink r:id="rId14" ref="AX14"/>
    <hyperlink r:id="rId15" ref="AX15"/>
    <hyperlink r:id="rId16" ref="AX16"/>
    <hyperlink r:id="rId17" ref="AX18"/>
    <hyperlink r:id="rId18" ref="AX19"/>
    <hyperlink r:id="rId19" ref="AX20"/>
    <hyperlink r:id="rId20" ref="AX21"/>
    <hyperlink r:id="rId21" ref="AT23"/>
    <hyperlink r:id="rId22" ref="AX23"/>
    <hyperlink r:id="rId23" ref="AX24"/>
    <hyperlink r:id="rId24" ref="AX25"/>
    <hyperlink r:id="rId25" ref="AX26"/>
    <hyperlink r:id="rId26" ref="AX27"/>
    <hyperlink r:id="rId27" ref="AX28"/>
    <hyperlink r:id="rId28" ref="AX29"/>
    <hyperlink r:id="rId29" ref="AX30"/>
    <hyperlink r:id="rId30" ref="AX31"/>
    <hyperlink r:id="rId31" ref="AX32"/>
    <hyperlink r:id="rId32" ref="AX33"/>
    <hyperlink r:id="rId33" ref="AX34"/>
    <hyperlink r:id="rId34" ref="AX35"/>
    <hyperlink r:id="rId35" ref="AX36"/>
    <hyperlink r:id="rId36" ref="AX37"/>
  </hyperlinks>
  <drawing r:id="rId37"/>
  <tableParts count="1">
    <tablePart r:id="rId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9.38"/>
    <col customWidth="1" min="4" max="4" width="38.63"/>
    <col customWidth="1" min="5" max="5" width="20.63"/>
    <col customWidth="1" min="6" max="6" width="13.25"/>
    <col customWidth="1" min="7" max="7" width="13.5"/>
    <col customWidth="1" min="8" max="8" width="42.75"/>
  </cols>
  <sheetData>
    <row r="1" ht="22.5" customHeight="1">
      <c r="A1" s="1" t="s">
        <v>16</v>
      </c>
      <c r="B1" s="1" t="s">
        <v>21</v>
      </c>
      <c r="C1" s="1" t="s">
        <v>26</v>
      </c>
      <c r="D1" s="1" t="s">
        <v>32</v>
      </c>
      <c r="E1" s="1" t="s">
        <v>38</v>
      </c>
      <c r="F1" s="1" t="s">
        <v>44</v>
      </c>
      <c r="G1" s="1" t="s">
        <v>86</v>
      </c>
      <c r="H1" s="1" t="s">
        <v>92</v>
      </c>
    </row>
    <row r="2" ht="22.5" customHeight="1">
      <c r="A2" s="36" t="s">
        <v>789</v>
      </c>
      <c r="B2" s="36" t="s">
        <v>277</v>
      </c>
      <c r="C2" s="36" t="s">
        <v>790</v>
      </c>
      <c r="D2" s="36" t="s">
        <v>278</v>
      </c>
      <c r="E2" s="36" t="s">
        <v>278</v>
      </c>
      <c r="F2" s="36" t="s">
        <v>278</v>
      </c>
      <c r="G2" s="36" t="s">
        <v>791</v>
      </c>
      <c r="H2" s="36" t="s">
        <v>278</v>
      </c>
    </row>
    <row r="3" ht="22.5" customHeight="1">
      <c r="A3" s="36" t="s">
        <v>792</v>
      </c>
      <c r="B3" s="36" t="s">
        <v>283</v>
      </c>
      <c r="C3" s="39" t="s">
        <v>793</v>
      </c>
      <c r="D3" s="36" t="s">
        <v>278</v>
      </c>
      <c r="E3" s="36" t="s">
        <v>278</v>
      </c>
      <c r="F3" s="36" t="s">
        <v>278</v>
      </c>
      <c r="G3" s="36" t="s">
        <v>791</v>
      </c>
      <c r="H3" s="36" t="s">
        <v>278</v>
      </c>
    </row>
    <row r="4" ht="22.5" customHeight="1">
      <c r="A4" s="36">
        <v>1.0</v>
      </c>
      <c r="B4" s="36" t="s">
        <v>283</v>
      </c>
      <c r="C4" s="36" t="s">
        <v>790</v>
      </c>
      <c r="D4" s="36" t="s">
        <v>278</v>
      </c>
      <c r="E4" s="36" t="s">
        <v>278</v>
      </c>
      <c r="F4" s="36" t="s">
        <v>278</v>
      </c>
      <c r="G4" s="36" t="s">
        <v>791</v>
      </c>
      <c r="H4" s="36" t="s">
        <v>278</v>
      </c>
    </row>
    <row r="5" ht="22.5" customHeight="1">
      <c r="A5" s="36">
        <v>2.0</v>
      </c>
      <c r="B5" s="36" t="s">
        <v>283</v>
      </c>
      <c r="C5" s="36" t="s">
        <v>790</v>
      </c>
      <c r="D5" s="36" t="s">
        <v>278</v>
      </c>
      <c r="E5" s="36" t="s">
        <v>278</v>
      </c>
      <c r="F5" s="36" t="s">
        <v>278</v>
      </c>
      <c r="G5" s="36" t="s">
        <v>791</v>
      </c>
      <c r="H5" s="36" t="s">
        <v>278</v>
      </c>
    </row>
    <row r="6" ht="22.5" customHeight="1">
      <c r="A6" s="36">
        <v>3.0</v>
      </c>
      <c r="B6" s="36" t="s">
        <v>283</v>
      </c>
      <c r="C6" s="36" t="s">
        <v>790</v>
      </c>
      <c r="D6" s="36" t="s">
        <v>278</v>
      </c>
      <c r="E6" s="36" t="s">
        <v>278</v>
      </c>
      <c r="F6" s="36" t="s">
        <v>278</v>
      </c>
      <c r="G6" s="36" t="s">
        <v>791</v>
      </c>
      <c r="H6" s="36" t="s">
        <v>278</v>
      </c>
    </row>
    <row r="7" ht="22.5" customHeight="1">
      <c r="A7" s="36">
        <v>4.0</v>
      </c>
      <c r="B7" s="36" t="s">
        <v>283</v>
      </c>
      <c r="C7" s="36" t="s">
        <v>790</v>
      </c>
      <c r="D7" s="36" t="s">
        <v>278</v>
      </c>
      <c r="E7" s="36" t="s">
        <v>278</v>
      </c>
      <c r="F7" s="36" t="s">
        <v>278</v>
      </c>
      <c r="G7" s="36" t="s">
        <v>791</v>
      </c>
      <c r="H7" s="36" t="s">
        <v>278</v>
      </c>
    </row>
    <row r="8" ht="22.5" customHeight="1">
      <c r="A8" s="36">
        <v>5.0</v>
      </c>
      <c r="B8" s="36" t="s">
        <v>283</v>
      </c>
      <c r="C8" s="36" t="s">
        <v>790</v>
      </c>
      <c r="D8" s="36" t="s">
        <v>278</v>
      </c>
      <c r="E8" s="36" t="s">
        <v>278</v>
      </c>
      <c r="F8" s="36" t="s">
        <v>278</v>
      </c>
      <c r="G8" s="36" t="s">
        <v>791</v>
      </c>
      <c r="H8" s="36" t="s">
        <v>278</v>
      </c>
    </row>
    <row r="9" ht="22.5" customHeight="1">
      <c r="A9" s="36">
        <v>6.0</v>
      </c>
      <c r="B9" s="36" t="s">
        <v>283</v>
      </c>
      <c r="C9" s="36" t="s">
        <v>790</v>
      </c>
      <c r="D9" s="36" t="s">
        <v>278</v>
      </c>
      <c r="E9" s="36" t="s">
        <v>278</v>
      </c>
      <c r="F9" s="36" t="s">
        <v>278</v>
      </c>
      <c r="G9" s="36" t="s">
        <v>791</v>
      </c>
      <c r="H9" s="36" t="s">
        <v>278</v>
      </c>
    </row>
    <row r="10" ht="22.5" customHeight="1">
      <c r="A10" s="36">
        <v>7.0</v>
      </c>
      <c r="B10" s="36" t="s">
        <v>283</v>
      </c>
      <c r="C10" s="36" t="s">
        <v>790</v>
      </c>
      <c r="D10" s="36" t="s">
        <v>278</v>
      </c>
      <c r="E10" s="36" t="s">
        <v>278</v>
      </c>
      <c r="F10" s="36" t="s">
        <v>278</v>
      </c>
      <c r="G10" s="36" t="s">
        <v>791</v>
      </c>
      <c r="H10" s="36" t="s">
        <v>278</v>
      </c>
    </row>
    <row r="11" ht="22.5" customHeight="1">
      <c r="A11" s="36">
        <v>8.0</v>
      </c>
      <c r="B11" s="36" t="s">
        <v>283</v>
      </c>
      <c r="C11" s="36" t="s">
        <v>790</v>
      </c>
      <c r="D11" s="36" t="s">
        <v>278</v>
      </c>
      <c r="E11" s="36" t="s">
        <v>278</v>
      </c>
      <c r="F11" s="36" t="s">
        <v>278</v>
      </c>
      <c r="G11" s="36" t="s">
        <v>791</v>
      </c>
      <c r="H11" s="36" t="s">
        <v>278</v>
      </c>
    </row>
    <row r="12" ht="22.5" customHeight="1">
      <c r="A12" s="36">
        <v>9.0</v>
      </c>
      <c r="B12" s="36" t="s">
        <v>283</v>
      </c>
      <c r="C12" s="36" t="s">
        <v>790</v>
      </c>
      <c r="D12" s="36" t="s">
        <v>278</v>
      </c>
      <c r="E12" s="36" t="s">
        <v>278</v>
      </c>
      <c r="F12" s="36" t="s">
        <v>278</v>
      </c>
      <c r="G12" s="36" t="s">
        <v>791</v>
      </c>
      <c r="H12" s="36" t="s">
        <v>278</v>
      </c>
    </row>
    <row r="13" ht="22.5" customHeight="1">
      <c r="A13" s="36">
        <v>10.0</v>
      </c>
      <c r="B13" s="36" t="s">
        <v>283</v>
      </c>
      <c r="C13" s="36" t="s">
        <v>790</v>
      </c>
      <c r="D13" s="36" t="s">
        <v>278</v>
      </c>
      <c r="E13" s="36" t="s">
        <v>278</v>
      </c>
      <c r="F13" s="36" t="s">
        <v>278</v>
      </c>
      <c r="G13" s="36" t="s">
        <v>791</v>
      </c>
      <c r="H13" s="36" t="s">
        <v>278</v>
      </c>
    </row>
    <row r="14" ht="22.5" customHeight="1">
      <c r="A14" s="36">
        <v>11.0</v>
      </c>
      <c r="B14" s="36" t="s">
        <v>283</v>
      </c>
      <c r="C14" s="36" t="s">
        <v>790</v>
      </c>
      <c r="D14" s="36" t="s">
        <v>278</v>
      </c>
      <c r="E14" s="36" t="s">
        <v>278</v>
      </c>
      <c r="F14" s="36" t="s">
        <v>278</v>
      </c>
      <c r="G14" s="36" t="s">
        <v>791</v>
      </c>
      <c r="H14" s="36" t="s">
        <v>278</v>
      </c>
    </row>
    <row r="15" ht="22.5" customHeight="1">
      <c r="A15" s="36">
        <v>12.0</v>
      </c>
      <c r="B15" s="36" t="s">
        <v>283</v>
      </c>
      <c r="C15" s="36" t="s">
        <v>790</v>
      </c>
      <c r="D15" s="36" t="s">
        <v>278</v>
      </c>
      <c r="E15" s="36" t="s">
        <v>278</v>
      </c>
      <c r="F15" s="36" t="s">
        <v>278</v>
      </c>
      <c r="G15" s="36" t="s">
        <v>791</v>
      </c>
      <c r="H15" s="36" t="s">
        <v>278</v>
      </c>
    </row>
    <row r="16" ht="22.5" customHeight="1">
      <c r="A16" s="36">
        <v>13.0</v>
      </c>
      <c r="B16" s="36" t="s">
        <v>283</v>
      </c>
      <c r="C16" s="36" t="s">
        <v>790</v>
      </c>
      <c r="D16" s="36" t="s">
        <v>278</v>
      </c>
      <c r="E16" s="36" t="s">
        <v>278</v>
      </c>
      <c r="F16" s="36" t="s">
        <v>278</v>
      </c>
      <c r="G16" s="36" t="s">
        <v>791</v>
      </c>
      <c r="H16" s="36" t="s">
        <v>278</v>
      </c>
    </row>
    <row r="17" ht="22.5" customHeight="1">
      <c r="A17" s="36">
        <v>14.0</v>
      </c>
      <c r="B17" s="36" t="s">
        <v>283</v>
      </c>
      <c r="C17" s="36" t="s">
        <v>790</v>
      </c>
      <c r="D17" s="36" t="s">
        <v>278</v>
      </c>
      <c r="E17" s="36" t="s">
        <v>278</v>
      </c>
      <c r="F17" s="36" t="s">
        <v>278</v>
      </c>
      <c r="G17" s="36" t="s">
        <v>791</v>
      </c>
      <c r="H17" s="36" t="s">
        <v>278</v>
      </c>
    </row>
    <row r="18" ht="22.5" customHeight="1">
      <c r="A18" s="36">
        <v>15.0</v>
      </c>
      <c r="B18" s="36" t="s">
        <v>283</v>
      </c>
      <c r="C18" s="36" t="s">
        <v>790</v>
      </c>
      <c r="D18" s="36" t="s">
        <v>278</v>
      </c>
      <c r="E18" s="36" t="s">
        <v>278</v>
      </c>
      <c r="F18" s="36" t="s">
        <v>278</v>
      </c>
      <c r="G18" s="36" t="s">
        <v>791</v>
      </c>
      <c r="H18" s="36" t="s">
        <v>278</v>
      </c>
    </row>
    <row r="19" ht="22.5" customHeight="1">
      <c r="A19" s="36">
        <v>16.0</v>
      </c>
      <c r="B19" s="36" t="s">
        <v>283</v>
      </c>
      <c r="C19" s="36" t="s">
        <v>790</v>
      </c>
      <c r="D19" s="36" t="s">
        <v>278</v>
      </c>
      <c r="E19" s="36" t="s">
        <v>278</v>
      </c>
      <c r="F19" s="36" t="s">
        <v>278</v>
      </c>
      <c r="G19" s="36" t="s">
        <v>791</v>
      </c>
      <c r="H19" s="36" t="s">
        <v>278</v>
      </c>
    </row>
    <row r="20" ht="22.5" customHeight="1">
      <c r="A20" s="36">
        <v>17.0</v>
      </c>
      <c r="B20" s="36" t="s">
        <v>283</v>
      </c>
      <c r="C20" s="36" t="s">
        <v>790</v>
      </c>
      <c r="D20" s="36" t="s">
        <v>278</v>
      </c>
      <c r="E20" s="36" t="s">
        <v>278</v>
      </c>
      <c r="F20" s="36" t="s">
        <v>278</v>
      </c>
      <c r="G20" s="36" t="s">
        <v>791</v>
      </c>
      <c r="H20" s="36" t="s">
        <v>278</v>
      </c>
    </row>
    <row r="21" ht="22.5" customHeight="1">
      <c r="A21" s="36">
        <v>18.0</v>
      </c>
      <c r="B21" s="36" t="s">
        <v>283</v>
      </c>
      <c r="C21" s="36" t="s">
        <v>790</v>
      </c>
      <c r="D21" s="36" t="s">
        <v>278</v>
      </c>
      <c r="E21" s="36" t="s">
        <v>278</v>
      </c>
      <c r="F21" s="36" t="s">
        <v>278</v>
      </c>
      <c r="G21" s="36" t="s">
        <v>791</v>
      </c>
      <c r="H21" s="36" t="s">
        <v>278</v>
      </c>
    </row>
    <row r="22" ht="22.5" customHeight="1">
      <c r="A22" s="36">
        <v>19.0</v>
      </c>
      <c r="B22" s="36" t="s">
        <v>283</v>
      </c>
      <c r="C22" s="36" t="s">
        <v>790</v>
      </c>
      <c r="D22" s="36" t="s">
        <v>278</v>
      </c>
      <c r="E22" s="36" t="s">
        <v>278</v>
      </c>
      <c r="F22" s="36" t="s">
        <v>278</v>
      </c>
      <c r="G22" s="36" t="s">
        <v>791</v>
      </c>
      <c r="H22" s="36" t="s">
        <v>278</v>
      </c>
    </row>
    <row r="23" ht="22.5" customHeight="1">
      <c r="A23" s="36">
        <v>20.0</v>
      </c>
      <c r="B23" s="36" t="s">
        <v>283</v>
      </c>
      <c r="C23" s="36" t="s">
        <v>790</v>
      </c>
      <c r="D23" s="36" t="s">
        <v>278</v>
      </c>
      <c r="E23" s="36" t="s">
        <v>278</v>
      </c>
      <c r="F23" s="36" t="s">
        <v>278</v>
      </c>
      <c r="G23" s="36" t="s">
        <v>791</v>
      </c>
      <c r="H23" s="36" t="s">
        <v>278</v>
      </c>
    </row>
    <row r="24" ht="22.5" customHeight="1">
      <c r="A24" s="36">
        <v>21.0</v>
      </c>
      <c r="B24" s="36" t="s">
        <v>283</v>
      </c>
      <c r="C24" s="36" t="s">
        <v>790</v>
      </c>
      <c r="D24" s="36" t="s">
        <v>278</v>
      </c>
      <c r="E24" s="36" t="s">
        <v>278</v>
      </c>
      <c r="F24" s="36" t="s">
        <v>278</v>
      </c>
      <c r="G24" s="36" t="s">
        <v>791</v>
      </c>
      <c r="H24" s="36" t="s">
        <v>278</v>
      </c>
    </row>
    <row r="25" ht="22.5" customHeight="1">
      <c r="A25" s="36">
        <v>22.0</v>
      </c>
      <c r="B25" s="36" t="s">
        <v>283</v>
      </c>
      <c r="C25" s="36" t="s">
        <v>790</v>
      </c>
      <c r="D25" s="36" t="s">
        <v>278</v>
      </c>
      <c r="E25" s="36" t="s">
        <v>278</v>
      </c>
      <c r="F25" s="36" t="s">
        <v>278</v>
      </c>
      <c r="G25" s="36" t="s">
        <v>791</v>
      </c>
      <c r="H25" s="36" t="s">
        <v>278</v>
      </c>
    </row>
    <row r="26" ht="22.5" customHeight="1">
      <c r="A26" s="36">
        <v>23.0</v>
      </c>
      <c r="B26" s="36" t="s">
        <v>283</v>
      </c>
      <c r="C26" s="36" t="s">
        <v>790</v>
      </c>
      <c r="D26" s="36" t="s">
        <v>278</v>
      </c>
      <c r="E26" s="36" t="s">
        <v>278</v>
      </c>
      <c r="F26" s="36" t="s">
        <v>278</v>
      </c>
      <c r="G26" s="36" t="s">
        <v>791</v>
      </c>
      <c r="H26" s="36" t="s">
        <v>278</v>
      </c>
    </row>
    <row r="27" ht="22.5" customHeight="1">
      <c r="A27" s="36"/>
      <c r="B27" s="36"/>
      <c r="C27" s="36"/>
    </row>
    <row r="28" ht="22.5" customHeight="1">
      <c r="A28" s="36"/>
      <c r="B28" s="36"/>
      <c r="C28" s="36"/>
    </row>
    <row r="29" ht="22.5" customHeight="1">
      <c r="A29" s="36" t="s">
        <v>794</v>
      </c>
      <c r="B29" s="36" t="s">
        <v>300</v>
      </c>
      <c r="C29" s="36">
        <v>12.0</v>
      </c>
      <c r="D29" s="36" t="s">
        <v>795</v>
      </c>
      <c r="E29" s="36">
        <v>4538.81</v>
      </c>
      <c r="F29" s="36" t="s">
        <v>796</v>
      </c>
      <c r="G29" s="36" t="s">
        <v>791</v>
      </c>
      <c r="H29" s="36" t="s">
        <v>797</v>
      </c>
    </row>
    <row r="30" ht="22.5" customHeight="1">
      <c r="A30" s="36" t="s">
        <v>798</v>
      </c>
      <c r="B30" s="36" t="s">
        <v>300</v>
      </c>
      <c r="C30" s="36">
        <v>4.0</v>
      </c>
      <c r="D30" s="36" t="s">
        <v>799</v>
      </c>
      <c r="E30" s="36">
        <v>10.0</v>
      </c>
      <c r="F30" s="39" t="s">
        <v>800</v>
      </c>
      <c r="G30" s="36" t="s">
        <v>791</v>
      </c>
      <c r="H30" s="36" t="s">
        <v>801</v>
      </c>
    </row>
    <row r="31" ht="22.5" customHeight="1">
      <c r="A31" s="36" t="s">
        <v>802</v>
      </c>
      <c r="B31" s="36" t="s">
        <v>300</v>
      </c>
      <c r="C31" s="36">
        <v>1.0</v>
      </c>
      <c r="D31" s="39" t="s">
        <v>803</v>
      </c>
      <c r="E31" s="36">
        <v>0.04</v>
      </c>
      <c r="F31" s="39" t="s">
        <v>804</v>
      </c>
      <c r="G31" s="36" t="s">
        <v>791</v>
      </c>
      <c r="H31" s="36" t="s">
        <v>805</v>
      </c>
    </row>
    <row r="32" ht="22.5" customHeight="1">
      <c r="A32" s="36" t="s">
        <v>806</v>
      </c>
      <c r="B32" s="36" t="s">
        <v>283</v>
      </c>
      <c r="C32" s="36">
        <v>1.0</v>
      </c>
      <c r="D32" s="36" t="s">
        <v>807</v>
      </c>
      <c r="F32" s="39" t="s">
        <v>317</v>
      </c>
      <c r="G32" s="36" t="s">
        <v>791</v>
      </c>
    </row>
    <row r="33" ht="22.5" customHeight="1">
      <c r="A33" s="36" t="s">
        <v>808</v>
      </c>
      <c r="B33" s="36" t="s">
        <v>283</v>
      </c>
      <c r="C33" s="36">
        <v>5.0</v>
      </c>
      <c r="D33" s="36" t="s">
        <v>809</v>
      </c>
    </row>
    <row r="34" ht="22.5" customHeight="1">
      <c r="A34" s="36" t="s">
        <v>810</v>
      </c>
      <c r="B34" s="36" t="s">
        <v>330</v>
      </c>
      <c r="C34" s="36">
        <v>2.0</v>
      </c>
      <c r="D34" s="36" t="s">
        <v>811</v>
      </c>
      <c r="E34" s="36">
        <v>54265.65</v>
      </c>
      <c r="F34" s="36" t="s">
        <v>812</v>
      </c>
      <c r="G34" s="36" t="s">
        <v>791</v>
      </c>
      <c r="H34" s="36" t="s">
        <v>797</v>
      </c>
    </row>
    <row r="35" ht="22.5" customHeight="1">
      <c r="A35" s="36" t="s">
        <v>813</v>
      </c>
      <c r="B35" s="36" t="s">
        <v>330</v>
      </c>
      <c r="C35" s="36">
        <v>2.0</v>
      </c>
      <c r="D35" s="36" t="s">
        <v>814</v>
      </c>
      <c r="E35" s="36">
        <v>54251.6</v>
      </c>
      <c r="F35" s="36" t="s">
        <v>815</v>
      </c>
      <c r="G35" s="36" t="s">
        <v>791</v>
      </c>
      <c r="H35" s="36" t="s">
        <v>797</v>
      </c>
    </row>
    <row r="36" ht="22.5" customHeight="1">
      <c r="A36" s="36" t="s">
        <v>816</v>
      </c>
      <c r="B36" s="36" t="s">
        <v>330</v>
      </c>
      <c r="C36" s="36">
        <v>3.0</v>
      </c>
      <c r="D36" s="36" t="s">
        <v>817</v>
      </c>
      <c r="E36" s="36">
        <v>54251.6</v>
      </c>
      <c r="F36" s="36" t="s">
        <v>818</v>
      </c>
      <c r="G36" s="36" t="s">
        <v>791</v>
      </c>
      <c r="H36" s="36" t="s">
        <v>797</v>
      </c>
    </row>
    <row r="37" ht="22.5" customHeight="1">
      <c r="A37" s="36" t="s">
        <v>819</v>
      </c>
      <c r="B37" s="36" t="s">
        <v>330</v>
      </c>
      <c r="C37" s="36">
        <v>2.0</v>
      </c>
      <c r="D37" s="36" t="s">
        <v>820</v>
      </c>
      <c r="E37" s="36">
        <v>54251.25</v>
      </c>
      <c r="F37" s="36" t="s">
        <v>812</v>
      </c>
      <c r="G37" s="36" t="s">
        <v>791</v>
      </c>
      <c r="H37" s="36" t="s">
        <v>797</v>
      </c>
    </row>
    <row r="38" ht="22.5" customHeight="1">
      <c r="A38" s="39" t="s">
        <v>821</v>
      </c>
      <c r="B38" s="36" t="s">
        <v>330</v>
      </c>
      <c r="C38" s="36">
        <v>2.0</v>
      </c>
      <c r="D38" s="36" t="s">
        <v>822</v>
      </c>
      <c r="E38" s="36">
        <v>54251.62</v>
      </c>
      <c r="F38" s="36" t="s">
        <v>818</v>
      </c>
      <c r="G38" s="36" t="s">
        <v>791</v>
      </c>
      <c r="H38" s="36" t="s">
        <v>797</v>
      </c>
    </row>
    <row r="39" ht="22.5" customHeight="1">
      <c r="A39" s="36" t="s">
        <v>823</v>
      </c>
      <c r="B39" s="36" t="s">
        <v>330</v>
      </c>
      <c r="C39" s="36">
        <v>2.0</v>
      </c>
      <c r="D39" s="36" t="s">
        <v>824</v>
      </c>
      <c r="E39" s="36">
        <v>54251.6</v>
      </c>
      <c r="F39" s="36" t="s">
        <v>825</v>
      </c>
      <c r="G39" s="36" t="s">
        <v>791</v>
      </c>
      <c r="H39" s="36" t="s">
        <v>797</v>
      </c>
    </row>
    <row r="40" ht="22.5" customHeight="1">
      <c r="A40" s="36" t="s">
        <v>826</v>
      </c>
      <c r="B40" s="36" t="s">
        <v>330</v>
      </c>
      <c r="C40" s="36">
        <v>2.0</v>
      </c>
      <c r="D40" s="36" t="s">
        <v>827</v>
      </c>
      <c r="E40" s="36">
        <v>54251.95</v>
      </c>
      <c r="F40" s="36" t="s">
        <v>828</v>
      </c>
      <c r="G40" s="36" t="s">
        <v>791</v>
      </c>
      <c r="H40" s="36" t="s">
        <v>797</v>
      </c>
    </row>
    <row r="41" ht="22.5" customHeight="1">
      <c r="A41" s="36" t="s">
        <v>829</v>
      </c>
      <c r="B41" s="36" t="s">
        <v>330</v>
      </c>
      <c r="C41" s="36">
        <v>2.0</v>
      </c>
      <c r="D41" s="36" t="s">
        <v>830</v>
      </c>
      <c r="E41" s="36">
        <v>54263.25</v>
      </c>
      <c r="F41" s="36" t="s">
        <v>812</v>
      </c>
      <c r="G41" s="36" t="s">
        <v>791</v>
      </c>
      <c r="H41" s="36" t="s">
        <v>797</v>
      </c>
    </row>
    <row r="42" ht="22.5" customHeight="1">
      <c r="A42" s="36" t="s">
        <v>831</v>
      </c>
      <c r="B42" s="36" t="s">
        <v>330</v>
      </c>
      <c r="C42" s="36">
        <v>4.0</v>
      </c>
      <c r="D42" s="36" t="s">
        <v>661</v>
      </c>
      <c r="E42" s="36">
        <v>54260.79</v>
      </c>
      <c r="F42" s="36" t="s">
        <v>832</v>
      </c>
      <c r="G42" s="36" t="s">
        <v>791</v>
      </c>
      <c r="H42" s="36" t="s">
        <v>833</v>
      </c>
    </row>
    <row r="43" ht="22.5" customHeight="1">
      <c r="A43" s="36" t="s">
        <v>834</v>
      </c>
      <c r="B43" s="36" t="s">
        <v>330</v>
      </c>
      <c r="C43" s="36">
        <v>2.0</v>
      </c>
      <c r="D43" s="36" t="s">
        <v>835</v>
      </c>
      <c r="E43" s="36">
        <v>54260.8</v>
      </c>
      <c r="F43" s="36" t="s">
        <v>836</v>
      </c>
      <c r="G43" s="36" t="s">
        <v>791</v>
      </c>
      <c r="H43" s="36" t="s">
        <v>797</v>
      </c>
    </row>
    <row r="44" ht="22.5" customHeight="1">
      <c r="A44" s="36" t="s">
        <v>837</v>
      </c>
      <c r="B44" s="36" t="s">
        <v>330</v>
      </c>
      <c r="C44" s="36">
        <v>2.0</v>
      </c>
      <c r="D44" s="36" t="s">
        <v>824</v>
      </c>
      <c r="E44" s="36">
        <v>54250.7</v>
      </c>
      <c r="F44" s="36" t="s">
        <v>838</v>
      </c>
      <c r="G44" s="36" t="s">
        <v>791</v>
      </c>
      <c r="H44" s="36" t="s">
        <v>797</v>
      </c>
    </row>
    <row r="45" ht="22.5" customHeight="1">
      <c r="A45" s="36" t="s">
        <v>839</v>
      </c>
      <c r="B45" s="36" t="s">
        <v>330</v>
      </c>
      <c r="C45" s="36">
        <v>2.0</v>
      </c>
      <c r="D45" s="36" t="s">
        <v>840</v>
      </c>
      <c r="E45" s="36">
        <v>54261.0</v>
      </c>
      <c r="F45" s="36" t="s">
        <v>841</v>
      </c>
      <c r="G45" s="36" t="s">
        <v>791</v>
      </c>
      <c r="H45" s="36" t="s">
        <v>797</v>
      </c>
    </row>
    <row r="46" ht="22.5" customHeight="1">
      <c r="A46" s="36" t="s">
        <v>842</v>
      </c>
      <c r="B46" s="36" t="s">
        <v>330</v>
      </c>
      <c r="C46" s="36">
        <v>6.0</v>
      </c>
      <c r="D46" s="36" t="s">
        <v>843</v>
      </c>
      <c r="E46" s="36">
        <v>54263.61</v>
      </c>
      <c r="F46" s="36" t="s">
        <v>844</v>
      </c>
      <c r="G46" s="36" t="s">
        <v>845</v>
      </c>
      <c r="H46" s="36" t="s">
        <v>846</v>
      </c>
    </row>
    <row r="47" ht="22.5" customHeight="1">
      <c r="A47" s="36" t="s">
        <v>847</v>
      </c>
      <c r="B47" s="36" t="s">
        <v>330</v>
      </c>
      <c r="C47" s="36">
        <v>2.0</v>
      </c>
      <c r="D47" s="36" t="s">
        <v>848</v>
      </c>
      <c r="E47" s="36">
        <v>54261.3</v>
      </c>
      <c r="F47" s="36" t="s">
        <v>849</v>
      </c>
      <c r="G47" s="36" t="s">
        <v>791</v>
      </c>
      <c r="H47" s="36" t="s">
        <v>797</v>
      </c>
    </row>
    <row r="48" ht="22.5" customHeight="1">
      <c r="A48" s="36" t="s">
        <v>850</v>
      </c>
      <c r="B48" s="36" t="s">
        <v>351</v>
      </c>
      <c r="C48" s="36">
        <v>2.0</v>
      </c>
      <c r="D48" s="36" t="s">
        <v>851</v>
      </c>
      <c r="E48" s="36">
        <v>8280.146</v>
      </c>
      <c r="F48" s="39" t="s">
        <v>804</v>
      </c>
      <c r="G48" s="36" t="s">
        <v>791</v>
      </c>
      <c r="H48" s="36" t="s">
        <v>852</v>
      </c>
    </row>
    <row r="49" ht="22.5" customHeight="1">
      <c r="A49" s="36" t="s">
        <v>853</v>
      </c>
      <c r="B49" s="36" t="s">
        <v>351</v>
      </c>
      <c r="C49" s="36">
        <v>2.0</v>
      </c>
      <c r="D49" s="36" t="s">
        <v>854</v>
      </c>
      <c r="E49" s="36">
        <v>8282.996</v>
      </c>
      <c r="F49" s="39" t="s">
        <v>317</v>
      </c>
      <c r="G49" s="36" t="s">
        <v>791</v>
      </c>
      <c r="H49" s="36" t="s">
        <v>855</v>
      </c>
    </row>
    <row r="50" ht="22.5" customHeight="1">
      <c r="A50" s="36" t="s">
        <v>856</v>
      </c>
      <c r="B50" s="36" t="s">
        <v>351</v>
      </c>
      <c r="C50" s="36">
        <v>3.0</v>
      </c>
      <c r="D50" s="36" t="s">
        <v>857</v>
      </c>
      <c r="E50" s="36">
        <v>8270.871</v>
      </c>
      <c r="F50" s="36" t="s">
        <v>858</v>
      </c>
      <c r="G50" s="36" t="s">
        <v>791</v>
      </c>
      <c r="H50" s="36" t="s">
        <v>852</v>
      </c>
    </row>
    <row r="51" ht="22.5" customHeight="1">
      <c r="A51" s="36" t="s">
        <v>859</v>
      </c>
      <c r="B51" s="36" t="s">
        <v>351</v>
      </c>
      <c r="C51" s="36">
        <v>2.0</v>
      </c>
      <c r="D51" s="36" t="s">
        <v>860</v>
      </c>
      <c r="E51" s="36">
        <v>8271.056</v>
      </c>
      <c r="F51" s="36" t="s">
        <v>861</v>
      </c>
      <c r="G51" s="36" t="s">
        <v>791</v>
      </c>
      <c r="H51" s="36" t="s">
        <v>852</v>
      </c>
    </row>
    <row r="52" ht="22.5" customHeight="1">
      <c r="A52" s="36" t="s">
        <v>862</v>
      </c>
      <c r="B52" s="36" t="s">
        <v>351</v>
      </c>
      <c r="C52" s="36">
        <v>4.0</v>
      </c>
      <c r="D52" s="36" t="s">
        <v>863</v>
      </c>
      <c r="E52" s="36">
        <v>8270.871</v>
      </c>
      <c r="F52" s="36" t="s">
        <v>864</v>
      </c>
      <c r="G52" s="36" t="s">
        <v>791</v>
      </c>
    </row>
    <row r="53" ht="22.5" customHeight="1">
      <c r="A53" s="36" t="s">
        <v>865</v>
      </c>
      <c r="B53" s="36" t="s">
        <v>351</v>
      </c>
      <c r="C53" s="36">
        <v>2.0</v>
      </c>
      <c r="D53" s="36" t="s">
        <v>866</v>
      </c>
      <c r="E53" s="36">
        <v>8276.481</v>
      </c>
      <c r="F53" s="36" t="s">
        <v>867</v>
      </c>
      <c r="G53" s="36" t="s">
        <v>791</v>
      </c>
      <c r="H53" s="36" t="s">
        <v>852</v>
      </c>
    </row>
    <row r="54" ht="22.5" customHeight="1">
      <c r="A54" s="36" t="s">
        <v>868</v>
      </c>
      <c r="B54" s="36" t="s">
        <v>351</v>
      </c>
      <c r="C54" s="36">
        <v>2.0</v>
      </c>
      <c r="D54" s="36" t="s">
        <v>869</v>
      </c>
      <c r="E54" s="36">
        <v>8271.281</v>
      </c>
      <c r="F54" s="39" t="s">
        <v>870</v>
      </c>
      <c r="G54" s="36" t="s">
        <v>791</v>
      </c>
      <c r="H54" s="36" t="s">
        <v>852</v>
      </c>
    </row>
    <row r="55" ht="22.5" customHeight="1">
      <c r="A55" s="36" t="s">
        <v>871</v>
      </c>
      <c r="B55" s="36" t="s">
        <v>351</v>
      </c>
      <c r="C55" s="36">
        <v>3.0</v>
      </c>
      <c r="D55" s="36" t="s">
        <v>872</v>
      </c>
      <c r="E55" s="36">
        <v>8279.861</v>
      </c>
      <c r="F55" s="36" t="s">
        <v>873</v>
      </c>
      <c r="G55" s="36" t="s">
        <v>791</v>
      </c>
      <c r="H55" s="36" t="s">
        <v>852</v>
      </c>
    </row>
    <row r="56" ht="22.5" customHeight="1">
      <c r="A56" s="36" t="s">
        <v>874</v>
      </c>
      <c r="B56" s="36" t="s">
        <v>351</v>
      </c>
      <c r="C56" s="36">
        <v>2.0</v>
      </c>
      <c r="D56" s="36" t="s">
        <v>875</v>
      </c>
      <c r="E56" s="36">
        <v>8276.051</v>
      </c>
      <c r="F56" s="36" t="s">
        <v>876</v>
      </c>
      <c r="G56" s="36" t="s">
        <v>791</v>
      </c>
      <c r="H56" s="36" t="s">
        <v>852</v>
      </c>
    </row>
    <row r="57" ht="22.5" customHeight="1">
      <c r="A57" s="36" t="s">
        <v>877</v>
      </c>
      <c r="B57" s="36" t="s">
        <v>351</v>
      </c>
      <c r="C57" s="36">
        <v>3.0</v>
      </c>
      <c r="D57" s="36" t="s">
        <v>878</v>
      </c>
      <c r="E57" s="36">
        <v>8270.551</v>
      </c>
      <c r="F57" s="36" t="s">
        <v>879</v>
      </c>
      <c r="G57" s="36"/>
      <c r="H57" s="36" t="s">
        <v>852</v>
      </c>
    </row>
    <row r="58" ht="22.5" customHeight="1">
      <c r="A58" s="36" t="s">
        <v>880</v>
      </c>
      <c r="B58" s="36" t="s">
        <v>351</v>
      </c>
      <c r="C58" s="36">
        <v>3.0</v>
      </c>
      <c r="D58" s="36" t="s">
        <v>881</v>
      </c>
    </row>
    <row r="59" ht="22.5" customHeight="1">
      <c r="A59" s="36" t="s">
        <v>882</v>
      </c>
      <c r="B59" s="36" t="s">
        <v>351</v>
      </c>
      <c r="C59" s="36">
        <v>1.0</v>
      </c>
      <c r="D59" s="36" t="s">
        <v>883</v>
      </c>
    </row>
    <row r="60" ht="22.5" customHeight="1">
      <c r="A60" s="36" t="s">
        <v>884</v>
      </c>
      <c r="B60" s="36" t="s">
        <v>351</v>
      </c>
      <c r="C60" s="36">
        <v>1.0</v>
      </c>
      <c r="D60" s="36" t="s">
        <v>885</v>
      </c>
    </row>
    <row r="61" ht="22.5" customHeight="1">
      <c r="A61" s="36" t="s">
        <v>886</v>
      </c>
      <c r="B61" s="36" t="s">
        <v>351</v>
      </c>
      <c r="C61" s="36">
        <v>1.0</v>
      </c>
      <c r="D61" s="36" t="s">
        <v>887</v>
      </c>
    </row>
    <row r="62" ht="22.5" customHeight="1">
      <c r="A62" s="36" t="s">
        <v>888</v>
      </c>
      <c r="B62" s="36" t="s">
        <v>351</v>
      </c>
      <c r="C62" s="36">
        <v>1.0</v>
      </c>
      <c r="D62" s="36" t="s">
        <v>889</v>
      </c>
    </row>
    <row r="63" ht="22.5" customHeight="1">
      <c r="A63" s="36" t="s">
        <v>890</v>
      </c>
      <c r="B63" s="36" t="s">
        <v>367</v>
      </c>
      <c r="C63" s="39" t="s">
        <v>542</v>
      </c>
      <c r="D63" s="36" t="s">
        <v>891</v>
      </c>
      <c r="E63" s="39" t="s">
        <v>892</v>
      </c>
      <c r="F63" s="36" t="s">
        <v>893</v>
      </c>
      <c r="G63" s="36" t="s">
        <v>791</v>
      </c>
      <c r="H63" s="36" t="s">
        <v>797</v>
      </c>
    </row>
    <row r="64" ht="22.5" customHeight="1">
      <c r="A64" s="36" t="s">
        <v>894</v>
      </c>
      <c r="B64" s="36" t="s">
        <v>367</v>
      </c>
      <c r="C64" s="39" t="s">
        <v>895</v>
      </c>
      <c r="D64" s="36" t="s">
        <v>896</v>
      </c>
      <c r="E64" s="39" t="s">
        <v>897</v>
      </c>
      <c r="F64" s="36" t="s">
        <v>898</v>
      </c>
      <c r="G64" s="36" t="s">
        <v>791</v>
      </c>
      <c r="H64" s="36" t="s">
        <v>797</v>
      </c>
    </row>
    <row r="65" ht="22.5" customHeight="1">
      <c r="A65" s="36" t="s">
        <v>899</v>
      </c>
      <c r="B65" s="36" t="s">
        <v>421</v>
      </c>
      <c r="C65" s="36">
        <v>2.0</v>
      </c>
      <c r="D65" s="36" t="s">
        <v>900</v>
      </c>
      <c r="E65" s="36" t="s">
        <v>901</v>
      </c>
      <c r="F65" s="36" t="s">
        <v>902</v>
      </c>
      <c r="G65" s="36" t="s">
        <v>791</v>
      </c>
      <c r="H65" s="36" t="s">
        <v>903</v>
      </c>
    </row>
    <row r="66" ht="22.5" customHeight="1">
      <c r="A66" s="36" t="s">
        <v>904</v>
      </c>
      <c r="B66" s="36" t="s">
        <v>421</v>
      </c>
      <c r="C66" s="36">
        <v>4.0</v>
      </c>
      <c r="D66" s="36" t="s">
        <v>905</v>
      </c>
      <c r="E66" s="36" t="s">
        <v>906</v>
      </c>
      <c r="F66" s="36" t="s">
        <v>902</v>
      </c>
      <c r="G66" s="36" t="s">
        <v>791</v>
      </c>
      <c r="H66" s="36" t="s">
        <v>903</v>
      </c>
    </row>
    <row r="67" ht="22.5" customHeight="1">
      <c r="A67" s="36" t="s">
        <v>907</v>
      </c>
      <c r="B67" s="36" t="s">
        <v>421</v>
      </c>
      <c r="C67" s="36">
        <v>1.0</v>
      </c>
      <c r="D67" s="36" t="s">
        <v>908</v>
      </c>
      <c r="E67" s="36" t="s">
        <v>909</v>
      </c>
      <c r="F67" s="36" t="s">
        <v>910</v>
      </c>
      <c r="G67" s="36" t="s">
        <v>791</v>
      </c>
      <c r="H67" s="36" t="s">
        <v>903</v>
      </c>
    </row>
    <row r="68" ht="22.5" customHeight="1">
      <c r="A68" s="36" t="s">
        <v>911</v>
      </c>
      <c r="B68" s="36" t="s">
        <v>421</v>
      </c>
      <c r="C68" s="36">
        <v>5.0</v>
      </c>
      <c r="D68" s="36" t="s">
        <v>912</v>
      </c>
      <c r="E68" s="36" t="s">
        <v>913</v>
      </c>
      <c r="F68" s="36" t="s">
        <v>914</v>
      </c>
      <c r="G68" s="36" t="s">
        <v>791</v>
      </c>
    </row>
    <row r="69" ht="22.5" customHeight="1">
      <c r="A69" s="36" t="s">
        <v>915</v>
      </c>
      <c r="B69" s="36" t="s">
        <v>421</v>
      </c>
      <c r="C69" s="36">
        <v>3.0</v>
      </c>
      <c r="D69" s="36" t="s">
        <v>916</v>
      </c>
      <c r="E69" s="36" t="s">
        <v>917</v>
      </c>
      <c r="F69" s="36" t="s">
        <v>918</v>
      </c>
      <c r="G69" s="36" t="s">
        <v>791</v>
      </c>
    </row>
    <row r="70" ht="22.5" customHeight="1">
      <c r="A70" s="36" t="s">
        <v>919</v>
      </c>
      <c r="B70" s="36" t="s">
        <v>437</v>
      </c>
      <c r="C70" s="39" t="s">
        <v>542</v>
      </c>
      <c r="D70" s="36" t="s">
        <v>920</v>
      </c>
      <c r="E70" s="39" t="s">
        <v>921</v>
      </c>
      <c r="F70" s="36" t="s">
        <v>922</v>
      </c>
      <c r="G70" s="36" t="s">
        <v>791</v>
      </c>
      <c r="H70" s="36" t="s">
        <v>797</v>
      </c>
    </row>
    <row r="71" ht="22.5" customHeight="1">
      <c r="A71" s="36" t="s">
        <v>923</v>
      </c>
      <c r="B71" s="36" t="s">
        <v>437</v>
      </c>
      <c r="C71" s="39" t="s">
        <v>895</v>
      </c>
      <c r="D71" s="36" t="s">
        <v>924</v>
      </c>
      <c r="E71" s="39" t="s">
        <v>925</v>
      </c>
      <c r="F71" s="36" t="s">
        <v>926</v>
      </c>
      <c r="G71" s="36" t="s">
        <v>791</v>
      </c>
      <c r="H71" s="36" t="s">
        <v>797</v>
      </c>
    </row>
    <row r="72" ht="22.5" customHeight="1">
      <c r="A72" s="36" t="s">
        <v>927</v>
      </c>
      <c r="B72" s="36" t="s">
        <v>437</v>
      </c>
      <c r="C72" s="39" t="s">
        <v>928</v>
      </c>
      <c r="D72" s="36" t="s">
        <v>929</v>
      </c>
      <c r="E72" s="39" t="s">
        <v>930</v>
      </c>
      <c r="F72" s="36" t="s">
        <v>931</v>
      </c>
      <c r="G72" s="36" t="s">
        <v>791</v>
      </c>
      <c r="H72" s="36" t="s">
        <v>797</v>
      </c>
    </row>
    <row r="73" ht="22.5" customHeight="1">
      <c r="A73" s="36" t="s">
        <v>932</v>
      </c>
      <c r="B73" s="36" t="s">
        <v>437</v>
      </c>
      <c r="C73" s="39" t="s">
        <v>933</v>
      </c>
      <c r="D73" s="36" t="s">
        <v>934</v>
      </c>
      <c r="E73" s="39" t="s">
        <v>930</v>
      </c>
      <c r="F73" s="36" t="s">
        <v>935</v>
      </c>
      <c r="G73" s="36" t="s">
        <v>845</v>
      </c>
      <c r="H73" s="36" t="s">
        <v>936</v>
      </c>
    </row>
    <row r="74" ht="22.5" customHeight="1">
      <c r="A74" s="36" t="s">
        <v>937</v>
      </c>
      <c r="B74" s="36" t="s">
        <v>437</v>
      </c>
      <c r="C74" s="39" t="s">
        <v>314</v>
      </c>
      <c r="D74" s="36" t="s">
        <v>938</v>
      </c>
      <c r="E74" s="39" t="s">
        <v>939</v>
      </c>
      <c r="F74" s="36" t="s">
        <v>940</v>
      </c>
      <c r="G74" s="36" t="s">
        <v>791</v>
      </c>
      <c r="H74" s="36" t="s">
        <v>797</v>
      </c>
    </row>
    <row r="75" ht="22.5" customHeight="1">
      <c r="A75" s="36" t="s">
        <v>941</v>
      </c>
      <c r="B75" s="36" t="s">
        <v>437</v>
      </c>
      <c r="C75" s="39" t="s">
        <v>568</v>
      </c>
      <c r="D75" s="36" t="s">
        <v>942</v>
      </c>
      <c r="E75" s="39" t="s">
        <v>943</v>
      </c>
      <c r="F75" s="36" t="s">
        <v>931</v>
      </c>
      <c r="G75" s="36" t="s">
        <v>791</v>
      </c>
      <c r="H75" s="36" t="s">
        <v>797</v>
      </c>
    </row>
    <row r="76" ht="22.5" customHeight="1">
      <c r="A76" s="36" t="s">
        <v>944</v>
      </c>
      <c r="B76" s="36" t="s">
        <v>437</v>
      </c>
      <c r="C76" s="39" t="s">
        <v>945</v>
      </c>
      <c r="D76" s="36" t="s">
        <v>946</v>
      </c>
      <c r="E76" s="39" t="s">
        <v>947</v>
      </c>
      <c r="F76" s="36" t="s">
        <v>940</v>
      </c>
      <c r="G76" s="36" t="s">
        <v>791</v>
      </c>
      <c r="H76" s="36" t="s">
        <v>948</v>
      </c>
    </row>
    <row r="77" ht="22.5" customHeight="1">
      <c r="A77" s="36" t="s">
        <v>949</v>
      </c>
      <c r="B77" s="36" t="s">
        <v>437</v>
      </c>
      <c r="C77" s="39" t="s">
        <v>377</v>
      </c>
      <c r="D77" s="36" t="s">
        <v>950</v>
      </c>
      <c r="E77" s="39" t="s">
        <v>951</v>
      </c>
      <c r="F77" s="36" t="s">
        <v>931</v>
      </c>
      <c r="G77" s="36" t="s">
        <v>791</v>
      </c>
      <c r="H77" s="36" t="s">
        <v>797</v>
      </c>
    </row>
    <row r="78" ht="22.5" customHeight="1">
      <c r="A78" s="36" t="s">
        <v>952</v>
      </c>
      <c r="B78" s="36" t="s">
        <v>437</v>
      </c>
      <c r="C78" s="39" t="s">
        <v>953</v>
      </c>
      <c r="D78" s="36" t="s">
        <v>954</v>
      </c>
      <c r="E78" s="39" t="s">
        <v>955</v>
      </c>
      <c r="F78" s="36" t="s">
        <v>956</v>
      </c>
      <c r="G78" s="36" t="s">
        <v>791</v>
      </c>
      <c r="H78" s="36" t="s">
        <v>797</v>
      </c>
    </row>
    <row r="79" ht="22.5" customHeight="1">
      <c r="A79" s="36" t="s">
        <v>957</v>
      </c>
      <c r="B79" s="36" t="s">
        <v>437</v>
      </c>
      <c r="C79" s="39" t="s">
        <v>317</v>
      </c>
      <c r="D79" s="36" t="s">
        <v>929</v>
      </c>
      <c r="E79" s="39" t="s">
        <v>958</v>
      </c>
      <c r="F79" s="36" t="s">
        <v>931</v>
      </c>
      <c r="G79" s="36" t="s">
        <v>791</v>
      </c>
      <c r="H79" s="36" t="s">
        <v>797</v>
      </c>
    </row>
    <row r="80" ht="22.5" customHeight="1">
      <c r="A80" s="36" t="s">
        <v>959</v>
      </c>
      <c r="B80" s="36" t="s">
        <v>437</v>
      </c>
      <c r="C80" s="39" t="s">
        <v>960</v>
      </c>
      <c r="D80" s="36" t="s">
        <v>920</v>
      </c>
      <c r="E80" s="39" t="s">
        <v>958</v>
      </c>
      <c r="F80" s="36" t="s">
        <v>961</v>
      </c>
      <c r="G80" s="36" t="s">
        <v>791</v>
      </c>
      <c r="H80" s="36" t="s">
        <v>797</v>
      </c>
    </row>
    <row r="81" ht="22.5" customHeight="1">
      <c r="A81" s="36" t="s">
        <v>962</v>
      </c>
      <c r="B81" s="36" t="s">
        <v>437</v>
      </c>
      <c r="C81" s="39" t="s">
        <v>463</v>
      </c>
      <c r="D81" s="36" t="s">
        <v>963</v>
      </c>
      <c r="E81" s="39" t="s">
        <v>964</v>
      </c>
      <c r="F81" s="36" t="s">
        <v>926</v>
      </c>
      <c r="G81" s="36" t="s">
        <v>791</v>
      </c>
      <c r="H81" s="36" t="s">
        <v>948</v>
      </c>
    </row>
    <row r="82" ht="22.5" customHeight="1">
      <c r="A82" s="36" t="s">
        <v>965</v>
      </c>
      <c r="B82" s="36" t="s">
        <v>404</v>
      </c>
      <c r="C82" s="39" t="s">
        <v>953</v>
      </c>
      <c r="D82" s="36" t="s">
        <v>966</v>
      </c>
      <c r="E82" s="36" t="s">
        <v>967</v>
      </c>
      <c r="F82" s="36" t="s">
        <v>968</v>
      </c>
      <c r="G82" s="36" t="s">
        <v>791</v>
      </c>
      <c r="H82" s="36" t="s">
        <v>797</v>
      </c>
    </row>
    <row r="83" ht="22.5" customHeight="1">
      <c r="A83" s="36" t="s">
        <v>969</v>
      </c>
      <c r="B83" s="36" t="s">
        <v>404</v>
      </c>
      <c r="C83" s="39" t="s">
        <v>933</v>
      </c>
      <c r="D83" s="36" t="s">
        <v>970</v>
      </c>
      <c r="E83" s="36" t="s">
        <v>971</v>
      </c>
      <c r="F83" s="36" t="s">
        <v>972</v>
      </c>
      <c r="G83" s="36" t="s">
        <v>791</v>
      </c>
      <c r="H83" s="36" t="s">
        <v>797</v>
      </c>
    </row>
    <row r="84" ht="22.5" customHeight="1">
      <c r="A84" s="36" t="s">
        <v>973</v>
      </c>
      <c r="B84" s="36" t="s">
        <v>404</v>
      </c>
      <c r="C84" s="39" t="s">
        <v>974</v>
      </c>
      <c r="D84" s="36" t="s">
        <v>975</v>
      </c>
      <c r="E84" s="39" t="s">
        <v>976</v>
      </c>
      <c r="F84" s="36" t="s">
        <v>977</v>
      </c>
      <c r="G84" s="36" t="s">
        <v>791</v>
      </c>
      <c r="H84" s="36" t="s">
        <v>797</v>
      </c>
    </row>
    <row r="85" ht="22.5" customHeight="1">
      <c r="A85" s="36" t="s">
        <v>978</v>
      </c>
      <c r="B85" s="36" t="s">
        <v>404</v>
      </c>
      <c r="C85" s="39" t="s">
        <v>979</v>
      </c>
      <c r="D85" s="36" t="s">
        <v>980</v>
      </c>
      <c r="E85" s="36" t="s">
        <v>981</v>
      </c>
      <c r="F85" s="36" t="s">
        <v>968</v>
      </c>
      <c r="G85" s="36" t="s">
        <v>791</v>
      </c>
      <c r="H85" s="36" t="s">
        <v>797</v>
      </c>
    </row>
    <row r="86" ht="22.5" customHeight="1">
      <c r="A86" s="36" t="s">
        <v>982</v>
      </c>
      <c r="B86" s="36" t="s">
        <v>404</v>
      </c>
      <c r="C86" s="39" t="s">
        <v>317</v>
      </c>
      <c r="D86" s="36" t="s">
        <v>661</v>
      </c>
      <c r="E86" s="36" t="s">
        <v>983</v>
      </c>
      <c r="F86" s="36" t="s">
        <v>984</v>
      </c>
      <c r="G86" s="36" t="s">
        <v>791</v>
      </c>
      <c r="H86" s="36" t="s">
        <v>797</v>
      </c>
    </row>
    <row r="87" ht="22.5" customHeight="1">
      <c r="A87" s="39" t="s">
        <v>985</v>
      </c>
      <c r="B87" s="36" t="s">
        <v>404</v>
      </c>
      <c r="C87" s="39" t="s">
        <v>895</v>
      </c>
      <c r="D87" s="36" t="s">
        <v>986</v>
      </c>
      <c r="E87" s="36" t="s">
        <v>987</v>
      </c>
      <c r="F87" s="36" t="s">
        <v>988</v>
      </c>
      <c r="G87" s="36" t="s">
        <v>791</v>
      </c>
    </row>
    <row r="88" ht="22.5" customHeight="1">
      <c r="A88" s="36" t="s">
        <v>989</v>
      </c>
      <c r="B88" s="36" t="s">
        <v>404</v>
      </c>
      <c r="C88" s="39" t="s">
        <v>990</v>
      </c>
      <c r="D88" s="36" t="s">
        <v>991</v>
      </c>
      <c r="E88" s="36" t="s">
        <v>992</v>
      </c>
      <c r="F88" s="36" t="s">
        <v>993</v>
      </c>
      <c r="G88" s="36" t="s">
        <v>791</v>
      </c>
      <c r="H88" s="36" t="s">
        <v>797</v>
      </c>
    </row>
    <row r="89" ht="22.5" customHeight="1">
      <c r="A89" s="36" t="s">
        <v>994</v>
      </c>
      <c r="B89" s="36" t="s">
        <v>404</v>
      </c>
      <c r="C89" s="39" t="s">
        <v>995</v>
      </c>
      <c r="D89" s="36" t="s">
        <v>824</v>
      </c>
      <c r="E89" s="36" t="s">
        <v>996</v>
      </c>
      <c r="F89" s="36" t="s">
        <v>997</v>
      </c>
      <c r="G89" s="36" t="s">
        <v>791</v>
      </c>
      <c r="H89" s="36" t="s">
        <v>797</v>
      </c>
    </row>
    <row r="90" ht="22.5" customHeight="1">
      <c r="A90" s="36" t="s">
        <v>998</v>
      </c>
      <c r="B90" s="36" t="s">
        <v>404</v>
      </c>
      <c r="C90" s="39" t="s">
        <v>599</v>
      </c>
      <c r="D90" s="36" t="s">
        <v>999</v>
      </c>
      <c r="E90" s="36" t="s">
        <v>1000</v>
      </c>
      <c r="F90" s="36" t="s">
        <v>972</v>
      </c>
      <c r="G90" s="36" t="s">
        <v>791</v>
      </c>
      <c r="H90" s="36" t="s">
        <v>797</v>
      </c>
    </row>
    <row r="91" ht="22.5" customHeight="1">
      <c r="A91" s="36" t="s">
        <v>1001</v>
      </c>
      <c r="B91" s="36" t="s">
        <v>404</v>
      </c>
      <c r="C91" s="39" t="s">
        <v>1002</v>
      </c>
      <c r="D91" s="36" t="s">
        <v>824</v>
      </c>
      <c r="E91" s="36" t="s">
        <v>1003</v>
      </c>
      <c r="F91" s="36" t="s">
        <v>1004</v>
      </c>
      <c r="G91" s="36" t="s">
        <v>791</v>
      </c>
      <c r="H91" s="36" t="s">
        <v>797</v>
      </c>
    </row>
    <row r="92" ht="22.5" customHeight="1">
      <c r="A92" s="36" t="s">
        <v>1005</v>
      </c>
      <c r="B92" s="36" t="s">
        <v>404</v>
      </c>
      <c r="C92" s="39" t="s">
        <v>554</v>
      </c>
      <c r="D92" s="36" t="s">
        <v>1006</v>
      </c>
      <c r="E92" s="36" t="s">
        <v>1007</v>
      </c>
      <c r="F92" s="36" t="s">
        <v>968</v>
      </c>
      <c r="G92" s="36" t="s">
        <v>791</v>
      </c>
      <c r="H92" s="36" t="s">
        <v>797</v>
      </c>
    </row>
    <row r="93" ht="22.5" customHeight="1">
      <c r="A93" s="36" t="s">
        <v>1008</v>
      </c>
      <c r="B93" s="36" t="s">
        <v>404</v>
      </c>
      <c r="C93" s="39" t="s">
        <v>945</v>
      </c>
      <c r="D93" s="36" t="s">
        <v>1009</v>
      </c>
      <c r="E93" s="36" t="s">
        <v>1010</v>
      </c>
      <c r="F93" s="36" t="s">
        <v>972</v>
      </c>
      <c r="G93" s="36" t="s">
        <v>791</v>
      </c>
      <c r="H93" s="36" t="s">
        <v>797</v>
      </c>
    </row>
    <row r="94" ht="22.5" customHeight="1">
      <c r="A94" s="36" t="s">
        <v>1011</v>
      </c>
      <c r="B94" s="36" t="s">
        <v>404</v>
      </c>
      <c r="C94" s="39" t="s">
        <v>1012</v>
      </c>
      <c r="D94" s="36" t="s">
        <v>822</v>
      </c>
      <c r="E94" s="39" t="s">
        <v>1013</v>
      </c>
      <c r="F94" s="36" t="s">
        <v>1014</v>
      </c>
      <c r="G94" s="36" t="s">
        <v>791</v>
      </c>
      <c r="H94" s="36" t="s">
        <v>797</v>
      </c>
    </row>
    <row r="95" ht="22.5" customHeight="1">
      <c r="A95" s="36" t="s">
        <v>1015</v>
      </c>
      <c r="B95" s="36" t="s">
        <v>404</v>
      </c>
      <c r="C95" s="39" t="s">
        <v>1016</v>
      </c>
      <c r="D95" s="36" t="s">
        <v>1017</v>
      </c>
      <c r="E95" s="36" t="s">
        <v>1018</v>
      </c>
      <c r="F95" s="36" t="s">
        <v>968</v>
      </c>
      <c r="G95" s="36" t="s">
        <v>791</v>
      </c>
      <c r="H95" s="36" t="s">
        <v>797</v>
      </c>
    </row>
    <row r="96" ht="22.5" customHeight="1">
      <c r="A96" s="36" t="s">
        <v>1019</v>
      </c>
      <c r="B96" s="36" t="s">
        <v>404</v>
      </c>
      <c r="C96" s="39" t="s">
        <v>804</v>
      </c>
      <c r="D96" s="36" t="s">
        <v>1020</v>
      </c>
      <c r="E96" s="39" t="s">
        <v>1021</v>
      </c>
      <c r="F96" s="36" t="s">
        <v>1014</v>
      </c>
      <c r="G96" s="36" t="s">
        <v>791</v>
      </c>
      <c r="H96" s="36" t="s">
        <v>797</v>
      </c>
    </row>
    <row r="97" ht="22.5" customHeight="1">
      <c r="A97" s="36" t="s">
        <v>1022</v>
      </c>
      <c r="B97" s="36" t="s">
        <v>404</v>
      </c>
      <c r="C97" s="39" t="s">
        <v>542</v>
      </c>
      <c r="D97" s="36" t="s">
        <v>1023</v>
      </c>
      <c r="E97" s="36" t="s">
        <v>1024</v>
      </c>
      <c r="F97" s="36" t="s">
        <v>993</v>
      </c>
      <c r="G97" s="36" t="s">
        <v>791</v>
      </c>
      <c r="H97" s="36" t="s">
        <v>797</v>
      </c>
    </row>
    <row r="98" ht="22.5" customHeight="1">
      <c r="A98" s="36" t="s">
        <v>1025</v>
      </c>
      <c r="B98" s="36" t="s">
        <v>404</v>
      </c>
      <c r="C98" s="39" t="s">
        <v>377</v>
      </c>
      <c r="D98" s="36" t="s">
        <v>1026</v>
      </c>
      <c r="E98" s="36" t="s">
        <v>1027</v>
      </c>
      <c r="F98" s="36" t="s">
        <v>968</v>
      </c>
      <c r="G98" s="36" t="s">
        <v>791</v>
      </c>
      <c r="H98" s="36" t="s">
        <v>797</v>
      </c>
    </row>
    <row r="99" ht="22.5" customHeight="1">
      <c r="A99" s="36" t="s">
        <v>1028</v>
      </c>
      <c r="B99" s="36" t="s">
        <v>404</v>
      </c>
      <c r="C99" s="39" t="s">
        <v>568</v>
      </c>
      <c r="D99" s="36" t="s">
        <v>1029</v>
      </c>
      <c r="E99" s="36" t="s">
        <v>1030</v>
      </c>
      <c r="F99" s="36" t="s">
        <v>968</v>
      </c>
      <c r="G99" s="36" t="s">
        <v>791</v>
      </c>
      <c r="H99" s="36" t="s">
        <v>797</v>
      </c>
    </row>
    <row r="100" ht="22.5" customHeight="1">
      <c r="A100" s="36" t="s">
        <v>1031</v>
      </c>
      <c r="B100" s="36" t="s">
        <v>404</v>
      </c>
      <c r="C100" s="39" t="s">
        <v>718</v>
      </c>
      <c r="D100" s="36" t="s">
        <v>1032</v>
      </c>
      <c r="E100" s="36" t="s">
        <v>1033</v>
      </c>
      <c r="F100" s="36" t="s">
        <v>972</v>
      </c>
      <c r="G100" s="36" t="s">
        <v>791</v>
      </c>
      <c r="H100" s="36" t="s">
        <v>797</v>
      </c>
    </row>
    <row r="101" ht="22.5" customHeight="1">
      <c r="A101" s="36" t="s">
        <v>1034</v>
      </c>
      <c r="B101" s="36" t="s">
        <v>404</v>
      </c>
      <c r="C101" s="39" t="s">
        <v>1035</v>
      </c>
      <c r="D101" s="36" t="s">
        <v>1036</v>
      </c>
      <c r="E101" s="39" t="s">
        <v>1037</v>
      </c>
      <c r="F101" s="36" t="s">
        <v>1038</v>
      </c>
      <c r="G101" s="36" t="s">
        <v>791</v>
      </c>
      <c r="H101" s="36" t="s">
        <v>797</v>
      </c>
    </row>
    <row r="102" ht="22.5" customHeight="1">
      <c r="A102" s="39" t="s">
        <v>1039</v>
      </c>
      <c r="B102" s="36" t="s">
        <v>404</v>
      </c>
      <c r="C102" s="39" t="s">
        <v>314</v>
      </c>
      <c r="D102" s="36" t="s">
        <v>1040</v>
      </c>
      <c r="E102" s="36" t="s">
        <v>1041</v>
      </c>
      <c r="F102" s="36" t="s">
        <v>972</v>
      </c>
      <c r="G102" s="36" t="s">
        <v>791</v>
      </c>
      <c r="H102" s="36" t="s">
        <v>797</v>
      </c>
    </row>
    <row r="103" ht="22.5" customHeight="1">
      <c r="A103" s="36" t="s">
        <v>1042</v>
      </c>
      <c r="B103" s="36" t="s">
        <v>404</v>
      </c>
      <c r="C103" s="39" t="s">
        <v>928</v>
      </c>
      <c r="D103" s="36" t="s">
        <v>1043</v>
      </c>
      <c r="E103" s="39" t="s">
        <v>1044</v>
      </c>
      <c r="F103" s="36" t="s">
        <v>1038</v>
      </c>
      <c r="G103" s="36" t="s">
        <v>791</v>
      </c>
      <c r="H103" s="36" t="s">
        <v>797</v>
      </c>
    </row>
    <row r="104" ht="22.5" customHeight="1">
      <c r="A104" s="36" t="s">
        <v>1045</v>
      </c>
      <c r="B104" s="36" t="s">
        <v>404</v>
      </c>
      <c r="C104" s="39" t="s">
        <v>1046</v>
      </c>
      <c r="D104" s="36" t="s">
        <v>1047</v>
      </c>
      <c r="E104" s="36" t="s">
        <v>1048</v>
      </c>
      <c r="F104" s="36" t="s">
        <v>972</v>
      </c>
      <c r="G104" s="36" t="s">
        <v>791</v>
      </c>
      <c r="H104" s="36" t="s">
        <v>797</v>
      </c>
    </row>
    <row r="105" ht="22.5" customHeight="1">
      <c r="A105" s="36" t="s">
        <v>1049</v>
      </c>
      <c r="B105" s="36" t="s">
        <v>404</v>
      </c>
      <c r="C105" s="39" t="s">
        <v>1050</v>
      </c>
      <c r="D105" s="36" t="s">
        <v>1051</v>
      </c>
      <c r="E105" s="36" t="s">
        <v>1052</v>
      </c>
      <c r="F105" s="36" t="s">
        <v>968</v>
      </c>
      <c r="G105" s="36" t="s">
        <v>791</v>
      </c>
      <c r="H105" s="36" t="s">
        <v>797</v>
      </c>
    </row>
    <row r="106" ht="22.5" customHeight="1">
      <c r="A106" s="36" t="s">
        <v>1053</v>
      </c>
      <c r="B106" s="36" t="s">
        <v>404</v>
      </c>
      <c r="C106" s="39" t="s">
        <v>960</v>
      </c>
      <c r="D106" s="36" t="s">
        <v>1054</v>
      </c>
      <c r="E106" s="36" t="s">
        <v>1055</v>
      </c>
      <c r="F106" s="36" t="s">
        <v>1056</v>
      </c>
      <c r="G106" s="36" t="s">
        <v>791</v>
      </c>
      <c r="H106" s="36" t="s">
        <v>797</v>
      </c>
    </row>
    <row r="107" ht="22.5" customHeight="1">
      <c r="A107" s="36" t="s">
        <v>1057</v>
      </c>
      <c r="B107" s="36" t="s">
        <v>404</v>
      </c>
      <c r="C107" s="39" t="s">
        <v>463</v>
      </c>
      <c r="D107" s="36" t="s">
        <v>1058</v>
      </c>
      <c r="E107" s="36" t="s">
        <v>1059</v>
      </c>
      <c r="F107" s="36" t="s">
        <v>1060</v>
      </c>
      <c r="G107" s="36" t="s">
        <v>791</v>
      </c>
      <c r="H107" s="36" t="s">
        <v>797</v>
      </c>
    </row>
    <row r="108" ht="22.5" customHeight="1">
      <c r="A108" s="36" t="s">
        <v>1061</v>
      </c>
      <c r="B108" s="36" t="s">
        <v>404</v>
      </c>
      <c r="C108" s="39" t="s">
        <v>1062</v>
      </c>
      <c r="D108" s="36" t="s">
        <v>1063</v>
      </c>
      <c r="E108" s="39" t="s">
        <v>1064</v>
      </c>
      <c r="F108" s="36" t="s">
        <v>1065</v>
      </c>
      <c r="G108" s="36" t="s">
        <v>791</v>
      </c>
      <c r="H108" s="36" t="s">
        <v>797</v>
      </c>
    </row>
    <row r="109" ht="22.5" customHeight="1">
      <c r="A109" s="36" t="s">
        <v>1066</v>
      </c>
      <c r="B109" s="36" t="s">
        <v>404</v>
      </c>
      <c r="C109" s="39" t="s">
        <v>585</v>
      </c>
      <c r="D109" s="36" t="s">
        <v>1067</v>
      </c>
      <c r="E109" s="39" t="s">
        <v>1068</v>
      </c>
      <c r="F109" s="36" t="s">
        <v>1014</v>
      </c>
      <c r="G109" s="36" t="s">
        <v>791</v>
      </c>
      <c r="H109" s="36" t="s">
        <v>797</v>
      </c>
    </row>
    <row r="110" ht="22.5" customHeight="1">
      <c r="A110" s="36" t="s">
        <v>1069</v>
      </c>
      <c r="B110" s="36" t="s">
        <v>404</v>
      </c>
      <c r="C110" s="39" t="s">
        <v>1070</v>
      </c>
      <c r="D110" s="36" t="s">
        <v>1071</v>
      </c>
      <c r="E110" s="36" t="s">
        <v>1072</v>
      </c>
      <c r="F110" s="36" t="s">
        <v>968</v>
      </c>
      <c r="G110" s="36" t="s">
        <v>791</v>
      </c>
      <c r="H110" s="36" t="s">
        <v>797</v>
      </c>
    </row>
    <row r="111" ht="22.5" customHeight="1">
      <c r="A111" s="36" t="s">
        <v>1073</v>
      </c>
      <c r="B111" s="36" t="s">
        <v>404</v>
      </c>
      <c r="C111" s="39" t="s">
        <v>1074</v>
      </c>
      <c r="D111" s="36" t="s">
        <v>1075</v>
      </c>
      <c r="E111" s="39" t="s">
        <v>1076</v>
      </c>
      <c r="F111" s="36" t="s">
        <v>1077</v>
      </c>
      <c r="G111" s="36" t="s">
        <v>791</v>
      </c>
      <c r="H111" s="36" t="s">
        <v>797</v>
      </c>
    </row>
    <row r="112" ht="22.5" customHeight="1">
      <c r="A112" s="36" t="s">
        <v>1078</v>
      </c>
      <c r="B112" s="36" t="s">
        <v>473</v>
      </c>
      <c r="C112" s="39" t="s">
        <v>542</v>
      </c>
      <c r="D112" s="36" t="s">
        <v>1079</v>
      </c>
      <c r="E112" s="36" t="s">
        <v>1080</v>
      </c>
      <c r="F112" s="36" t="s">
        <v>1081</v>
      </c>
      <c r="G112" s="36" t="s">
        <v>791</v>
      </c>
    </row>
    <row r="113" ht="22.5" customHeight="1">
      <c r="A113" s="36" t="s">
        <v>1082</v>
      </c>
      <c r="B113" s="36" t="s">
        <v>473</v>
      </c>
      <c r="C113" s="39" t="s">
        <v>895</v>
      </c>
      <c r="D113" s="36" t="s">
        <v>1083</v>
      </c>
      <c r="E113" s="36" t="s">
        <v>1084</v>
      </c>
      <c r="F113" s="36" t="s">
        <v>1085</v>
      </c>
      <c r="G113" s="36" t="s">
        <v>791</v>
      </c>
    </row>
    <row r="114" ht="22.5" customHeight="1">
      <c r="A114" s="36" t="s">
        <v>1086</v>
      </c>
      <c r="B114" s="36" t="s">
        <v>473</v>
      </c>
      <c r="C114" s="39" t="s">
        <v>928</v>
      </c>
      <c r="D114" s="36" t="s">
        <v>1087</v>
      </c>
      <c r="E114" s="36" t="s">
        <v>1088</v>
      </c>
      <c r="F114" s="36" t="s">
        <v>1089</v>
      </c>
      <c r="G114" s="36" t="s">
        <v>791</v>
      </c>
    </row>
    <row r="115" ht="22.5" customHeight="1">
      <c r="A115" s="36" t="s">
        <v>1090</v>
      </c>
      <c r="B115" s="36" t="s">
        <v>473</v>
      </c>
      <c r="C115" s="39" t="s">
        <v>933</v>
      </c>
      <c r="D115" s="36" t="s">
        <v>1091</v>
      </c>
      <c r="E115" s="36" t="s">
        <v>1092</v>
      </c>
      <c r="F115" s="36" t="s">
        <v>1093</v>
      </c>
      <c r="G115" s="36" t="s">
        <v>791</v>
      </c>
    </row>
    <row r="116" ht="22.5" customHeight="1">
      <c r="A116" s="36" t="s">
        <v>1094</v>
      </c>
      <c r="B116" s="36" t="s">
        <v>473</v>
      </c>
      <c r="C116" s="39" t="s">
        <v>314</v>
      </c>
      <c r="D116" s="36" t="s">
        <v>1095</v>
      </c>
      <c r="E116" s="36" t="s">
        <v>1096</v>
      </c>
      <c r="F116" s="36" t="s">
        <v>1097</v>
      </c>
      <c r="G116" s="36" t="s">
        <v>791</v>
      </c>
    </row>
    <row r="117" ht="22.5" customHeight="1">
      <c r="A117" s="36" t="s">
        <v>1098</v>
      </c>
      <c r="B117" s="36" t="s">
        <v>473</v>
      </c>
      <c r="C117" s="39" t="s">
        <v>568</v>
      </c>
      <c r="D117" s="36" t="s">
        <v>1099</v>
      </c>
      <c r="E117" s="36" t="s">
        <v>1100</v>
      </c>
      <c r="F117" s="36" t="s">
        <v>1101</v>
      </c>
      <c r="G117" s="36" t="s">
        <v>791</v>
      </c>
    </row>
    <row r="118" ht="22.5" customHeight="1">
      <c r="A118" s="36" t="s">
        <v>1102</v>
      </c>
      <c r="B118" s="36" t="s">
        <v>473</v>
      </c>
      <c r="C118" s="39" t="s">
        <v>945</v>
      </c>
      <c r="D118" s="36" t="s">
        <v>1103</v>
      </c>
      <c r="E118" s="36" t="s">
        <v>1104</v>
      </c>
      <c r="F118" s="36" t="s">
        <v>1101</v>
      </c>
      <c r="G118" s="36" t="s">
        <v>791</v>
      </c>
    </row>
    <row r="119" ht="22.5" customHeight="1">
      <c r="A119" s="36" t="s">
        <v>1105</v>
      </c>
      <c r="B119" s="36" t="s">
        <v>473</v>
      </c>
      <c r="C119" s="39" t="s">
        <v>377</v>
      </c>
      <c r="D119" s="36" t="s">
        <v>1106</v>
      </c>
      <c r="E119" s="36" t="s">
        <v>1107</v>
      </c>
      <c r="F119" s="36" t="s">
        <v>1108</v>
      </c>
      <c r="G119" s="36" t="s">
        <v>791</v>
      </c>
    </row>
    <row r="120" ht="22.5" customHeight="1">
      <c r="A120" s="36" t="s">
        <v>1109</v>
      </c>
      <c r="B120" s="36" t="s">
        <v>473</v>
      </c>
      <c r="C120" s="39" t="s">
        <v>953</v>
      </c>
      <c r="D120" s="36" t="s">
        <v>1110</v>
      </c>
      <c r="E120" s="36" t="s">
        <v>1111</v>
      </c>
      <c r="F120" s="36" t="s">
        <v>1112</v>
      </c>
      <c r="G120" s="36" t="s">
        <v>791</v>
      </c>
    </row>
    <row r="121" ht="22.5" customHeight="1">
      <c r="A121" s="36" t="s">
        <v>1113</v>
      </c>
      <c r="B121" s="36" t="s">
        <v>473</v>
      </c>
      <c r="C121" s="39" t="s">
        <v>317</v>
      </c>
      <c r="D121" s="36" t="s">
        <v>1114</v>
      </c>
      <c r="E121" s="36" t="s">
        <v>1115</v>
      </c>
      <c r="F121" s="36" t="s">
        <v>1116</v>
      </c>
      <c r="G121" s="36" t="s">
        <v>791</v>
      </c>
    </row>
    <row r="122" ht="22.5" customHeight="1">
      <c r="A122" s="36" t="s">
        <v>1117</v>
      </c>
      <c r="B122" s="36" t="s">
        <v>473</v>
      </c>
      <c r="C122" s="39" t="s">
        <v>960</v>
      </c>
      <c r="D122" s="36" t="s">
        <v>1118</v>
      </c>
      <c r="E122" s="36" t="s">
        <v>1119</v>
      </c>
      <c r="F122" s="36" t="s">
        <v>1120</v>
      </c>
      <c r="G122" s="36" t="s">
        <v>791</v>
      </c>
    </row>
    <row r="123" ht="22.5" customHeight="1">
      <c r="A123" s="36" t="s">
        <v>1121</v>
      </c>
      <c r="B123" s="36" t="s">
        <v>473</v>
      </c>
      <c r="C123" s="39" t="s">
        <v>463</v>
      </c>
      <c r="D123" s="36" t="s">
        <v>1122</v>
      </c>
      <c r="E123" s="36" t="s">
        <v>1123</v>
      </c>
      <c r="F123" s="36" t="s">
        <v>1124</v>
      </c>
      <c r="G123" s="36" t="s">
        <v>791</v>
      </c>
    </row>
    <row r="124" ht="22.5" customHeight="1">
      <c r="A124" s="36" t="s">
        <v>1125</v>
      </c>
      <c r="B124" s="36" t="s">
        <v>473</v>
      </c>
      <c r="C124" s="39" t="s">
        <v>1046</v>
      </c>
      <c r="D124" s="36" t="s">
        <v>1126</v>
      </c>
      <c r="E124" s="36" t="s">
        <v>1127</v>
      </c>
      <c r="F124" s="36" t="s">
        <v>1128</v>
      </c>
      <c r="G124" s="36" t="s">
        <v>791</v>
      </c>
    </row>
    <row r="125" ht="22.5" customHeight="1">
      <c r="A125" s="36" t="s">
        <v>1129</v>
      </c>
      <c r="B125" s="36" t="s">
        <v>473</v>
      </c>
      <c r="C125" s="39" t="s">
        <v>599</v>
      </c>
      <c r="D125" s="36" t="s">
        <v>1130</v>
      </c>
      <c r="E125" s="36" t="s">
        <v>1131</v>
      </c>
      <c r="F125" s="36" t="s">
        <v>1132</v>
      </c>
      <c r="G125" s="36" t="s">
        <v>791</v>
      </c>
    </row>
    <row r="126" ht="22.5" customHeight="1">
      <c r="A126" s="36" t="s">
        <v>1133</v>
      </c>
      <c r="B126" s="36" t="s">
        <v>473</v>
      </c>
      <c r="C126" s="39" t="s">
        <v>1035</v>
      </c>
      <c r="D126" s="36" t="s">
        <v>1134</v>
      </c>
      <c r="E126" s="36" t="s">
        <v>1135</v>
      </c>
      <c r="F126" s="36" t="s">
        <v>1136</v>
      </c>
      <c r="G126" s="36" t="s">
        <v>791</v>
      </c>
    </row>
    <row r="127" ht="22.5" customHeight="1">
      <c r="A127" s="36" t="s">
        <v>1137</v>
      </c>
      <c r="B127" s="55" t="s">
        <v>489</v>
      </c>
      <c r="C127" s="36">
        <v>1.0</v>
      </c>
      <c r="D127" s="36" t="s">
        <v>1138</v>
      </c>
      <c r="E127" s="36" t="s">
        <v>1139</v>
      </c>
      <c r="F127" s="36" t="s">
        <v>1140</v>
      </c>
      <c r="G127" s="36" t="s">
        <v>791</v>
      </c>
    </row>
    <row r="128" ht="22.5" customHeight="1">
      <c r="A128" s="36" t="s">
        <v>1141</v>
      </c>
      <c r="B128" s="36" t="s">
        <v>489</v>
      </c>
      <c r="C128" s="36">
        <v>2.0</v>
      </c>
      <c r="D128" s="36" t="s">
        <v>1142</v>
      </c>
      <c r="E128" s="36" t="s">
        <v>1143</v>
      </c>
      <c r="F128" s="36" t="s">
        <v>1140</v>
      </c>
      <c r="G128" s="36" t="s">
        <v>791</v>
      </c>
    </row>
    <row r="129" ht="22.5" customHeight="1">
      <c r="A129" s="36" t="s">
        <v>1144</v>
      </c>
      <c r="B129" s="36" t="s">
        <v>489</v>
      </c>
      <c r="C129" s="36">
        <v>3.0</v>
      </c>
      <c r="D129" s="36" t="s">
        <v>1145</v>
      </c>
      <c r="E129" s="36" t="s">
        <v>1146</v>
      </c>
      <c r="F129" s="36" t="s">
        <v>1140</v>
      </c>
      <c r="G129" s="36" t="s">
        <v>791</v>
      </c>
    </row>
    <row r="130" ht="22.5" customHeight="1">
      <c r="A130" s="36" t="s">
        <v>1147</v>
      </c>
      <c r="B130" s="36" t="s">
        <v>489</v>
      </c>
      <c r="C130" s="36">
        <v>4.0</v>
      </c>
      <c r="D130" s="36" t="s">
        <v>1148</v>
      </c>
      <c r="E130" s="36" t="s">
        <v>1149</v>
      </c>
      <c r="F130" s="36" t="s">
        <v>1140</v>
      </c>
      <c r="G130" s="36" t="s">
        <v>791</v>
      </c>
    </row>
    <row r="131" ht="22.5" customHeight="1">
      <c r="A131" s="36" t="s">
        <v>1150</v>
      </c>
      <c r="B131" s="36" t="s">
        <v>489</v>
      </c>
      <c r="C131" s="36">
        <v>5.0</v>
      </c>
      <c r="D131" s="36" t="s">
        <v>1151</v>
      </c>
      <c r="E131" s="36" t="s">
        <v>1152</v>
      </c>
      <c r="F131" s="36" t="s">
        <v>1140</v>
      </c>
      <c r="G131" s="36" t="s">
        <v>791</v>
      </c>
    </row>
    <row r="132" ht="22.5" customHeight="1">
      <c r="A132" s="36" t="s">
        <v>1153</v>
      </c>
      <c r="B132" s="36" t="s">
        <v>489</v>
      </c>
      <c r="C132" s="36">
        <v>6.0</v>
      </c>
      <c r="D132" s="36" t="s">
        <v>1154</v>
      </c>
      <c r="E132" s="36" t="s">
        <v>1155</v>
      </c>
      <c r="F132" s="36" t="s">
        <v>1140</v>
      </c>
      <c r="G132" s="36" t="s">
        <v>791</v>
      </c>
    </row>
    <row r="133" ht="22.5" customHeight="1">
      <c r="A133" s="36" t="s">
        <v>1156</v>
      </c>
      <c r="B133" s="36" t="s">
        <v>489</v>
      </c>
      <c r="C133" s="36">
        <v>7.0</v>
      </c>
      <c r="D133" s="36" t="s">
        <v>1157</v>
      </c>
      <c r="E133" s="36" t="s">
        <v>1158</v>
      </c>
      <c r="F133" s="36" t="s">
        <v>1140</v>
      </c>
      <c r="G133" s="36" t="s">
        <v>791</v>
      </c>
    </row>
    <row r="134" ht="22.5" customHeight="1">
      <c r="A134" s="36" t="s">
        <v>1159</v>
      </c>
      <c r="B134" s="36" t="s">
        <v>489</v>
      </c>
      <c r="C134" s="36">
        <v>8.0</v>
      </c>
      <c r="D134" s="36" t="s">
        <v>1160</v>
      </c>
      <c r="E134" s="36" t="s">
        <v>1161</v>
      </c>
      <c r="F134" s="36" t="s">
        <v>1140</v>
      </c>
      <c r="G134" s="36" t="s">
        <v>791</v>
      </c>
    </row>
    <row r="135" ht="22.5" customHeight="1">
      <c r="A135" s="36" t="s">
        <v>1162</v>
      </c>
      <c r="B135" s="36" t="s">
        <v>489</v>
      </c>
      <c r="C135" s="36">
        <v>9.0</v>
      </c>
      <c r="D135" s="36" t="s">
        <v>1163</v>
      </c>
      <c r="E135" s="36" t="s">
        <v>1164</v>
      </c>
      <c r="F135" s="36" t="s">
        <v>1140</v>
      </c>
      <c r="G135" s="36" t="s">
        <v>791</v>
      </c>
    </row>
    <row r="136" ht="22.5" customHeight="1">
      <c r="A136" s="36" t="s">
        <v>1165</v>
      </c>
      <c r="B136" s="36" t="s">
        <v>489</v>
      </c>
      <c r="C136" s="36">
        <v>10.0</v>
      </c>
      <c r="D136" s="36" t="s">
        <v>1166</v>
      </c>
      <c r="E136" s="36" t="s">
        <v>1167</v>
      </c>
      <c r="F136" s="36" t="s">
        <v>1140</v>
      </c>
      <c r="G136" s="36" t="s">
        <v>791</v>
      </c>
    </row>
    <row r="137" ht="22.5" customHeight="1">
      <c r="A137" s="36" t="s">
        <v>1168</v>
      </c>
      <c r="B137" s="36" t="s">
        <v>489</v>
      </c>
      <c r="C137" s="36">
        <v>11.0</v>
      </c>
      <c r="D137" s="36" t="s">
        <v>1169</v>
      </c>
      <c r="E137" s="36" t="s">
        <v>1170</v>
      </c>
      <c r="F137" s="36" t="s">
        <v>1140</v>
      </c>
      <c r="G137" s="36" t="s">
        <v>791</v>
      </c>
    </row>
    <row r="138" ht="22.5" customHeight="1">
      <c r="A138" s="36" t="s">
        <v>1171</v>
      </c>
      <c r="B138" s="36" t="s">
        <v>489</v>
      </c>
      <c r="C138" s="36">
        <v>12.0</v>
      </c>
      <c r="D138" s="36" t="s">
        <v>1172</v>
      </c>
      <c r="E138" s="36" t="s">
        <v>1173</v>
      </c>
      <c r="F138" s="36" t="s">
        <v>1140</v>
      </c>
      <c r="G138" s="36" t="s">
        <v>791</v>
      </c>
    </row>
    <row r="139" ht="22.5" customHeight="1">
      <c r="A139" s="36" t="s">
        <v>1174</v>
      </c>
      <c r="B139" s="36" t="s">
        <v>489</v>
      </c>
      <c r="C139" s="36">
        <v>13.0</v>
      </c>
      <c r="D139" s="36" t="s">
        <v>496</v>
      </c>
      <c r="E139" s="36" t="s">
        <v>1175</v>
      </c>
      <c r="F139" s="36" t="s">
        <v>1140</v>
      </c>
      <c r="G139" s="36" t="s">
        <v>791</v>
      </c>
    </row>
    <row r="140" ht="22.5" customHeight="1">
      <c r="A140" s="36" t="s">
        <v>1176</v>
      </c>
      <c r="B140" s="36" t="s">
        <v>489</v>
      </c>
      <c r="C140" s="36">
        <v>14.0</v>
      </c>
      <c r="D140" s="36" t="s">
        <v>496</v>
      </c>
      <c r="E140" s="36" t="s">
        <v>1177</v>
      </c>
      <c r="F140" s="36" t="s">
        <v>1140</v>
      </c>
      <c r="G140" s="36" t="s">
        <v>791</v>
      </c>
    </row>
    <row r="141" ht="22.5" customHeight="1">
      <c r="A141" s="36" t="s">
        <v>1178</v>
      </c>
      <c r="B141" s="36" t="s">
        <v>387</v>
      </c>
      <c r="C141" s="39" t="s">
        <v>542</v>
      </c>
      <c r="D141" s="36" t="s">
        <v>1179</v>
      </c>
      <c r="E141" s="36" t="s">
        <v>1180</v>
      </c>
      <c r="F141" s="36" t="s">
        <v>1181</v>
      </c>
      <c r="G141" s="36" t="s">
        <v>791</v>
      </c>
      <c r="H141" s="36" t="s">
        <v>1182</v>
      </c>
    </row>
    <row r="142" ht="22.5" customHeight="1">
      <c r="A142" s="36" t="s">
        <v>1183</v>
      </c>
      <c r="B142" s="36" t="s">
        <v>387</v>
      </c>
      <c r="C142" s="39" t="s">
        <v>895</v>
      </c>
      <c r="D142" s="36" t="s">
        <v>929</v>
      </c>
      <c r="E142" s="36" t="s">
        <v>1184</v>
      </c>
      <c r="F142" s="36" t="s">
        <v>1185</v>
      </c>
      <c r="G142" s="36" t="s">
        <v>791</v>
      </c>
      <c r="H142" s="36" t="s">
        <v>1186</v>
      </c>
    </row>
    <row r="143" ht="22.5" customHeight="1">
      <c r="A143" s="36" t="s">
        <v>1187</v>
      </c>
      <c r="B143" s="36" t="s">
        <v>387</v>
      </c>
      <c r="C143" s="39" t="s">
        <v>928</v>
      </c>
      <c r="D143" s="36" t="s">
        <v>1188</v>
      </c>
      <c r="E143" s="36" t="s">
        <v>1189</v>
      </c>
      <c r="F143" s="36" t="s">
        <v>1190</v>
      </c>
      <c r="G143" s="36" t="s">
        <v>791</v>
      </c>
      <c r="H143" s="36" t="s">
        <v>1186</v>
      </c>
    </row>
    <row r="144" ht="22.5" customHeight="1">
      <c r="A144" s="36" t="s">
        <v>1191</v>
      </c>
      <c r="B144" s="36" t="s">
        <v>387</v>
      </c>
      <c r="C144" s="39" t="s">
        <v>933</v>
      </c>
      <c r="D144" s="36" t="s">
        <v>920</v>
      </c>
      <c r="E144" s="36" t="s">
        <v>1192</v>
      </c>
      <c r="F144" s="36" t="s">
        <v>1193</v>
      </c>
      <c r="G144" s="36" t="s">
        <v>791</v>
      </c>
      <c r="H144" s="36" t="s">
        <v>1186</v>
      </c>
    </row>
    <row r="145" ht="22.5" customHeight="1">
      <c r="A145" s="36" t="s">
        <v>1194</v>
      </c>
      <c r="B145" s="36" t="s">
        <v>387</v>
      </c>
      <c r="C145" s="39" t="s">
        <v>314</v>
      </c>
      <c r="D145" s="36" t="s">
        <v>1195</v>
      </c>
      <c r="E145" s="36" t="s">
        <v>1196</v>
      </c>
      <c r="F145" s="36" t="s">
        <v>1197</v>
      </c>
      <c r="G145" s="36" t="s">
        <v>791</v>
      </c>
      <c r="H145" s="36" t="s">
        <v>1186</v>
      </c>
    </row>
    <row r="146" ht="22.5" customHeight="1">
      <c r="A146" s="36" t="s">
        <v>1198</v>
      </c>
      <c r="B146" s="36" t="s">
        <v>387</v>
      </c>
      <c r="C146" s="39" t="s">
        <v>568</v>
      </c>
      <c r="D146" s="36" t="s">
        <v>1199</v>
      </c>
      <c r="E146" s="36" t="s">
        <v>1200</v>
      </c>
      <c r="F146" s="36" t="s">
        <v>1201</v>
      </c>
      <c r="G146" s="36" t="s">
        <v>791</v>
      </c>
      <c r="H146" s="36" t="s">
        <v>1186</v>
      </c>
    </row>
    <row r="147" ht="22.5" customHeight="1">
      <c r="A147" s="36" t="s">
        <v>1202</v>
      </c>
      <c r="B147" s="36" t="s">
        <v>387</v>
      </c>
      <c r="C147" s="39" t="s">
        <v>945</v>
      </c>
      <c r="D147" s="36" t="s">
        <v>929</v>
      </c>
      <c r="E147" s="39" t="s">
        <v>1203</v>
      </c>
      <c r="F147" s="36" t="s">
        <v>1204</v>
      </c>
      <c r="G147" s="36" t="s">
        <v>791</v>
      </c>
      <c r="H147" s="36" t="s">
        <v>1186</v>
      </c>
    </row>
    <row r="148" ht="22.5" customHeight="1">
      <c r="A148" s="36" t="s">
        <v>1205</v>
      </c>
      <c r="B148" s="36" t="s">
        <v>387</v>
      </c>
      <c r="C148" s="39" t="s">
        <v>377</v>
      </c>
      <c r="D148" s="36" t="s">
        <v>1206</v>
      </c>
      <c r="E148" s="39" t="s">
        <v>1207</v>
      </c>
      <c r="F148" s="36" t="s">
        <v>1208</v>
      </c>
      <c r="G148" s="36" t="s">
        <v>791</v>
      </c>
      <c r="H148" s="36" t="s">
        <v>1186</v>
      </c>
    </row>
    <row r="149" ht="22.5" customHeight="1">
      <c r="A149" s="36" t="s">
        <v>1209</v>
      </c>
      <c r="B149" s="36" t="s">
        <v>510</v>
      </c>
      <c r="C149" s="39" t="s">
        <v>542</v>
      </c>
      <c r="D149" s="36" t="s">
        <v>934</v>
      </c>
      <c r="E149" s="39" t="s">
        <v>1210</v>
      </c>
      <c r="F149" s="36" t="s">
        <v>1211</v>
      </c>
      <c r="G149" s="36" t="s">
        <v>791</v>
      </c>
    </row>
    <row r="150" ht="22.5" customHeight="1">
      <c r="A150" s="36" t="s">
        <v>1212</v>
      </c>
      <c r="B150" s="36" t="s">
        <v>510</v>
      </c>
      <c r="C150" s="39" t="s">
        <v>895</v>
      </c>
      <c r="D150" s="36" t="s">
        <v>1213</v>
      </c>
      <c r="E150" s="39" t="s">
        <v>1214</v>
      </c>
      <c r="F150" s="36" t="s">
        <v>940</v>
      </c>
      <c r="G150" s="36" t="s">
        <v>791</v>
      </c>
    </row>
    <row r="151" ht="22.5" customHeight="1">
      <c r="A151" s="36" t="s">
        <v>1215</v>
      </c>
      <c r="B151" s="36" t="s">
        <v>510</v>
      </c>
      <c r="C151" s="39" t="s">
        <v>928</v>
      </c>
      <c r="D151" s="36" t="s">
        <v>1216</v>
      </c>
      <c r="E151" s="39" t="s">
        <v>1217</v>
      </c>
      <c r="F151" s="36" t="s">
        <v>940</v>
      </c>
      <c r="G151" s="36" t="s">
        <v>791</v>
      </c>
    </row>
    <row r="152" ht="22.5" customHeight="1">
      <c r="A152" s="36" t="s">
        <v>1218</v>
      </c>
      <c r="B152" s="36" t="s">
        <v>510</v>
      </c>
      <c r="C152" s="39" t="s">
        <v>933</v>
      </c>
      <c r="D152" s="36" t="s">
        <v>1219</v>
      </c>
      <c r="E152" s="39" t="s">
        <v>1220</v>
      </c>
      <c r="F152" s="36" t="s">
        <v>940</v>
      </c>
      <c r="G152" s="36" t="s">
        <v>791</v>
      </c>
    </row>
    <row r="153" ht="22.5" customHeight="1">
      <c r="A153" s="62" t="s">
        <v>1221</v>
      </c>
      <c r="B153" s="63" t="s">
        <v>453</v>
      </c>
      <c r="C153" s="64" t="s">
        <v>542</v>
      </c>
      <c r="D153" s="63" t="s">
        <v>1222</v>
      </c>
      <c r="E153" s="64" t="s">
        <v>1223</v>
      </c>
      <c r="F153" s="64" t="s">
        <v>1224</v>
      </c>
      <c r="G153" s="63" t="s">
        <v>791</v>
      </c>
      <c r="H153" s="65"/>
    </row>
    <row r="154" ht="22.5" customHeight="1">
      <c r="A154" s="66" t="s">
        <v>1225</v>
      </c>
      <c r="B154" s="67" t="s">
        <v>453</v>
      </c>
      <c r="C154" s="68" t="s">
        <v>314</v>
      </c>
      <c r="D154" s="67" t="s">
        <v>1226</v>
      </c>
      <c r="E154" s="68" t="s">
        <v>1227</v>
      </c>
      <c r="F154" s="68" t="s">
        <v>1224</v>
      </c>
      <c r="G154" s="67" t="s">
        <v>791</v>
      </c>
      <c r="H154" s="69"/>
    </row>
    <row r="155" ht="22.5" customHeight="1">
      <c r="A155" s="62" t="s">
        <v>1228</v>
      </c>
      <c r="B155" s="63" t="s">
        <v>453</v>
      </c>
      <c r="C155" s="64" t="s">
        <v>1012</v>
      </c>
      <c r="D155" s="63" t="s">
        <v>1229</v>
      </c>
      <c r="E155" s="64" t="s">
        <v>1230</v>
      </c>
      <c r="F155" s="64" t="s">
        <v>1224</v>
      </c>
      <c r="G155" s="63" t="s">
        <v>845</v>
      </c>
      <c r="H155" s="70" t="s">
        <v>1231</v>
      </c>
    </row>
    <row r="156" ht="22.5" customHeight="1">
      <c r="A156" s="66" t="s">
        <v>1232</v>
      </c>
      <c r="B156" s="67" t="s">
        <v>453</v>
      </c>
      <c r="C156" s="68" t="s">
        <v>1012</v>
      </c>
      <c r="D156" s="67" t="s">
        <v>1233</v>
      </c>
      <c r="E156" s="68" t="s">
        <v>1234</v>
      </c>
      <c r="F156" s="68" t="s">
        <v>1224</v>
      </c>
      <c r="G156" s="67" t="s">
        <v>791</v>
      </c>
      <c r="H156" s="69"/>
    </row>
    <row r="157" ht="22.5" customHeight="1">
      <c r="A157" s="62" t="s">
        <v>1235</v>
      </c>
      <c r="B157" s="63" t="s">
        <v>453</v>
      </c>
      <c r="C157" s="64" t="s">
        <v>1012</v>
      </c>
      <c r="D157" s="63" t="s">
        <v>1236</v>
      </c>
      <c r="E157" s="64" t="s">
        <v>1237</v>
      </c>
      <c r="F157" s="64" t="s">
        <v>1224</v>
      </c>
      <c r="G157" s="63" t="s">
        <v>845</v>
      </c>
      <c r="H157" s="70" t="s">
        <v>1238</v>
      </c>
    </row>
    <row r="158" ht="22.5" customHeight="1">
      <c r="A158" s="66" t="s">
        <v>1239</v>
      </c>
      <c r="B158" s="67" t="s">
        <v>453</v>
      </c>
      <c r="C158" s="68" t="s">
        <v>1012</v>
      </c>
      <c r="D158" s="67" t="s">
        <v>920</v>
      </c>
      <c r="E158" s="68" t="s">
        <v>1240</v>
      </c>
      <c r="F158" s="68" t="s">
        <v>1241</v>
      </c>
      <c r="G158" s="67" t="s">
        <v>845</v>
      </c>
      <c r="H158" s="71" t="s">
        <v>1242</v>
      </c>
    </row>
    <row r="159" ht="22.5" customHeight="1">
      <c r="A159" s="62" t="s">
        <v>1243</v>
      </c>
      <c r="B159" s="63" t="s">
        <v>453</v>
      </c>
      <c r="C159" s="64" t="s">
        <v>1050</v>
      </c>
      <c r="D159" s="63" t="s">
        <v>1233</v>
      </c>
      <c r="E159" s="64" t="s">
        <v>1244</v>
      </c>
      <c r="F159" s="64" t="s">
        <v>1224</v>
      </c>
      <c r="G159" s="63" t="s">
        <v>791</v>
      </c>
      <c r="H159" s="65"/>
    </row>
    <row r="160" ht="22.5" customHeight="1">
      <c r="A160" s="66" t="s">
        <v>1245</v>
      </c>
      <c r="B160" s="67" t="s">
        <v>453</v>
      </c>
      <c r="C160" s="68" t="s">
        <v>928</v>
      </c>
      <c r="D160" s="67" t="s">
        <v>1246</v>
      </c>
      <c r="E160" s="68" t="s">
        <v>1247</v>
      </c>
      <c r="F160" s="68" t="s">
        <v>995</v>
      </c>
      <c r="G160" s="67" t="s">
        <v>845</v>
      </c>
      <c r="H160" s="71" t="s">
        <v>1248</v>
      </c>
    </row>
    <row r="161" ht="22.5" customHeight="1">
      <c r="A161" s="62" t="s">
        <v>1249</v>
      </c>
      <c r="B161" s="63" t="s">
        <v>453</v>
      </c>
      <c r="C161" s="64" t="s">
        <v>1012</v>
      </c>
      <c r="D161" s="63" t="s">
        <v>49</v>
      </c>
      <c r="E161" s="64" t="s">
        <v>1250</v>
      </c>
      <c r="F161" s="63" t="s">
        <v>1251</v>
      </c>
      <c r="G161" s="63" t="s">
        <v>845</v>
      </c>
      <c r="H161" s="70" t="s">
        <v>1248</v>
      </c>
    </row>
    <row r="162" ht="22.5" customHeight="1">
      <c r="A162" s="66" t="s">
        <v>1252</v>
      </c>
      <c r="B162" s="67" t="s">
        <v>453</v>
      </c>
      <c r="C162" s="68" t="s">
        <v>599</v>
      </c>
      <c r="D162" s="67" t="s">
        <v>920</v>
      </c>
      <c r="E162" s="68" t="s">
        <v>1253</v>
      </c>
      <c r="F162" s="68" t="s">
        <v>1254</v>
      </c>
      <c r="G162" s="67" t="s">
        <v>791</v>
      </c>
      <c r="H162" s="69"/>
    </row>
    <row r="163" ht="22.5" customHeight="1">
      <c r="A163" s="62" t="s">
        <v>1255</v>
      </c>
      <c r="B163" s="63" t="s">
        <v>453</v>
      </c>
      <c r="C163" s="64" t="s">
        <v>1012</v>
      </c>
      <c r="D163" s="63" t="s">
        <v>1256</v>
      </c>
      <c r="E163" s="64" t="s">
        <v>1257</v>
      </c>
      <c r="F163" s="64" t="s">
        <v>1224</v>
      </c>
      <c r="G163" s="63" t="s">
        <v>791</v>
      </c>
      <c r="H163" s="65"/>
    </row>
    <row r="164" ht="22.5" customHeight="1">
      <c r="A164" s="66" t="s">
        <v>1258</v>
      </c>
      <c r="B164" s="67" t="s">
        <v>453</v>
      </c>
      <c r="C164" s="68" t="s">
        <v>1012</v>
      </c>
      <c r="D164" s="67" t="s">
        <v>1256</v>
      </c>
      <c r="E164" s="68" t="s">
        <v>1259</v>
      </c>
      <c r="F164" s="68" t="s">
        <v>1224</v>
      </c>
      <c r="G164" s="67" t="s">
        <v>791</v>
      </c>
      <c r="H164" s="69"/>
    </row>
    <row r="165" ht="22.5" customHeight="1">
      <c r="A165" s="62" t="s">
        <v>1260</v>
      </c>
      <c r="B165" s="63" t="s">
        <v>453</v>
      </c>
      <c r="C165" s="64" t="s">
        <v>463</v>
      </c>
      <c r="D165" s="63" t="s">
        <v>1261</v>
      </c>
      <c r="E165" s="64" t="s">
        <v>1262</v>
      </c>
      <c r="F165" s="63" t="s">
        <v>1263</v>
      </c>
      <c r="G165" s="63" t="s">
        <v>845</v>
      </c>
      <c r="H165" s="70" t="s">
        <v>1248</v>
      </c>
    </row>
    <row r="166" ht="22.5" customHeight="1">
      <c r="A166" s="66" t="s">
        <v>1264</v>
      </c>
      <c r="B166" s="67" t="s">
        <v>453</v>
      </c>
      <c r="C166" s="68" t="s">
        <v>804</v>
      </c>
      <c r="D166" s="67" t="s">
        <v>1233</v>
      </c>
      <c r="E166" s="68" t="s">
        <v>1265</v>
      </c>
      <c r="F166" s="68" t="s">
        <v>1224</v>
      </c>
      <c r="G166" s="67" t="s">
        <v>791</v>
      </c>
      <c r="H166" s="69"/>
    </row>
    <row r="167" ht="22.5" customHeight="1">
      <c r="A167" s="62" t="s">
        <v>1266</v>
      </c>
      <c r="B167" s="63" t="s">
        <v>453</v>
      </c>
      <c r="C167" s="64" t="s">
        <v>895</v>
      </c>
      <c r="D167" s="63" t="s">
        <v>920</v>
      </c>
      <c r="E167" s="64" t="s">
        <v>1267</v>
      </c>
      <c r="F167" s="64" t="s">
        <v>1268</v>
      </c>
      <c r="G167" s="63" t="s">
        <v>791</v>
      </c>
      <c r="H167" s="65"/>
    </row>
    <row r="168" ht="22.5" customHeight="1">
      <c r="A168" s="66" t="s">
        <v>1269</v>
      </c>
      <c r="B168" s="67" t="s">
        <v>453</v>
      </c>
      <c r="C168" s="68" t="s">
        <v>1012</v>
      </c>
      <c r="D168" s="67" t="s">
        <v>1233</v>
      </c>
      <c r="E168" s="68" t="s">
        <v>1259</v>
      </c>
      <c r="F168" s="68" t="s">
        <v>1224</v>
      </c>
      <c r="G168" s="67" t="s">
        <v>791</v>
      </c>
      <c r="H168" s="69"/>
    </row>
    <row r="169" ht="22.5" customHeight="1">
      <c r="A169" s="62" t="s">
        <v>1270</v>
      </c>
      <c r="B169" s="63" t="s">
        <v>453</v>
      </c>
      <c r="C169" s="64" t="s">
        <v>1074</v>
      </c>
      <c r="D169" s="63" t="s">
        <v>31</v>
      </c>
      <c r="E169" s="64" t="s">
        <v>1271</v>
      </c>
      <c r="F169" s="63" t="s">
        <v>1272</v>
      </c>
      <c r="G169" s="63" t="s">
        <v>845</v>
      </c>
      <c r="H169" s="70" t="s">
        <v>1273</v>
      </c>
    </row>
    <row r="170" ht="22.5" customHeight="1">
      <c r="A170" s="66" t="s">
        <v>1274</v>
      </c>
      <c r="B170" s="67" t="s">
        <v>453</v>
      </c>
      <c r="C170" s="68" t="s">
        <v>960</v>
      </c>
      <c r="D170" s="67" t="s">
        <v>8</v>
      </c>
      <c r="E170" s="68" t="s">
        <v>1275</v>
      </c>
      <c r="F170" s="67" t="s">
        <v>1276</v>
      </c>
      <c r="G170" s="67" t="s">
        <v>845</v>
      </c>
      <c r="H170" s="71" t="s">
        <v>1277</v>
      </c>
    </row>
    <row r="171" ht="22.5" customHeight="1">
      <c r="A171" s="62" t="s">
        <v>1278</v>
      </c>
      <c r="B171" s="63" t="s">
        <v>453</v>
      </c>
      <c r="C171" s="64" t="s">
        <v>568</v>
      </c>
      <c r="D171" s="63" t="s">
        <v>920</v>
      </c>
      <c r="E171" s="64" t="s">
        <v>1227</v>
      </c>
      <c r="F171" s="64" t="s">
        <v>1279</v>
      </c>
      <c r="G171" s="63" t="s">
        <v>845</v>
      </c>
      <c r="H171" s="70" t="s">
        <v>1280</v>
      </c>
    </row>
    <row r="172" ht="22.5" customHeight="1">
      <c r="A172" s="66" t="s">
        <v>1281</v>
      </c>
      <c r="B172" s="67" t="s">
        <v>453</v>
      </c>
      <c r="C172" s="68" t="s">
        <v>377</v>
      </c>
      <c r="D172" s="67" t="s">
        <v>1282</v>
      </c>
      <c r="E172" s="68" t="s">
        <v>1283</v>
      </c>
      <c r="F172" s="68" t="s">
        <v>1284</v>
      </c>
      <c r="G172" s="67" t="s">
        <v>845</v>
      </c>
      <c r="H172" s="71" t="s">
        <v>1285</v>
      </c>
    </row>
    <row r="173" ht="22.5" customHeight="1">
      <c r="A173" s="62" t="s">
        <v>1286</v>
      </c>
      <c r="B173" s="63" t="s">
        <v>453</v>
      </c>
      <c r="C173" s="64" t="s">
        <v>585</v>
      </c>
      <c r="D173" s="63" t="s">
        <v>1287</v>
      </c>
      <c r="E173" s="64" t="s">
        <v>1288</v>
      </c>
      <c r="F173" s="64" t="s">
        <v>1224</v>
      </c>
      <c r="G173" s="63" t="s">
        <v>791</v>
      </c>
      <c r="H173" s="65"/>
    </row>
    <row r="174" ht="22.5" customHeight="1">
      <c r="A174" s="66" t="s">
        <v>1289</v>
      </c>
      <c r="B174" s="67" t="s">
        <v>453</v>
      </c>
      <c r="C174" s="68" t="s">
        <v>1035</v>
      </c>
      <c r="D174" s="67" t="s">
        <v>1256</v>
      </c>
      <c r="E174" s="68" t="s">
        <v>1290</v>
      </c>
      <c r="F174" s="68" t="s">
        <v>1224</v>
      </c>
      <c r="G174" s="67" t="s">
        <v>791</v>
      </c>
      <c r="H174" s="69"/>
    </row>
    <row r="175" ht="22.5" customHeight="1">
      <c r="A175" s="62" t="s">
        <v>1291</v>
      </c>
      <c r="B175" s="63" t="s">
        <v>453</v>
      </c>
      <c r="C175" s="64" t="s">
        <v>1012</v>
      </c>
      <c r="D175" s="63" t="s">
        <v>1292</v>
      </c>
      <c r="E175" s="64" t="s">
        <v>1293</v>
      </c>
      <c r="F175" s="64" t="s">
        <v>1224</v>
      </c>
      <c r="G175" s="63" t="s">
        <v>791</v>
      </c>
      <c r="H175" s="65"/>
    </row>
    <row r="176" ht="22.5" customHeight="1">
      <c r="A176" s="66" t="s">
        <v>1294</v>
      </c>
      <c r="B176" s="67" t="s">
        <v>453</v>
      </c>
      <c r="C176" s="68" t="s">
        <v>1012</v>
      </c>
      <c r="D176" s="67" t="s">
        <v>1295</v>
      </c>
      <c r="E176" s="68" t="s">
        <v>1240</v>
      </c>
      <c r="F176" s="68" t="s">
        <v>1224</v>
      </c>
      <c r="G176" s="67" t="s">
        <v>791</v>
      </c>
      <c r="H176" s="69"/>
    </row>
    <row r="177" ht="22.5" customHeight="1">
      <c r="A177" s="62" t="s">
        <v>1296</v>
      </c>
      <c r="B177" s="63" t="s">
        <v>453</v>
      </c>
      <c r="C177" s="64" t="s">
        <v>1012</v>
      </c>
      <c r="D177" s="63" t="s">
        <v>1297</v>
      </c>
      <c r="E177" s="64" t="s">
        <v>1298</v>
      </c>
      <c r="F177" s="63" t="s">
        <v>1299</v>
      </c>
      <c r="G177" s="63" t="s">
        <v>845</v>
      </c>
      <c r="H177" s="70" t="s">
        <v>1300</v>
      </c>
    </row>
    <row r="178" ht="22.5" customHeight="1">
      <c r="A178" s="66" t="s">
        <v>1301</v>
      </c>
      <c r="B178" s="67" t="s">
        <v>453</v>
      </c>
      <c r="C178" s="68" t="s">
        <v>1012</v>
      </c>
      <c r="D178" s="67" t="s">
        <v>1302</v>
      </c>
      <c r="E178" s="68" t="s">
        <v>1303</v>
      </c>
      <c r="F178" s="68" t="s">
        <v>1224</v>
      </c>
      <c r="G178" s="67" t="s">
        <v>791</v>
      </c>
      <c r="H178" s="69"/>
    </row>
    <row r="179" ht="22.5" customHeight="1">
      <c r="A179" s="62" t="s">
        <v>1304</v>
      </c>
      <c r="B179" s="63" t="s">
        <v>453</v>
      </c>
      <c r="C179" s="64" t="s">
        <v>1012</v>
      </c>
      <c r="D179" s="63" t="s">
        <v>1305</v>
      </c>
      <c r="E179" s="64" t="s">
        <v>1306</v>
      </c>
      <c r="F179" s="64" t="s">
        <v>1224</v>
      </c>
      <c r="G179" s="63" t="s">
        <v>791</v>
      </c>
      <c r="H179" s="65"/>
    </row>
    <row r="180" ht="22.5" customHeight="1">
      <c r="A180" s="66" t="s">
        <v>1307</v>
      </c>
      <c r="B180" s="67" t="s">
        <v>453</v>
      </c>
      <c r="C180" s="68" t="s">
        <v>933</v>
      </c>
      <c r="D180" s="67" t="s">
        <v>1308</v>
      </c>
      <c r="E180" s="68" t="s">
        <v>1309</v>
      </c>
      <c r="F180" s="68" t="s">
        <v>1046</v>
      </c>
      <c r="G180" s="67" t="s">
        <v>845</v>
      </c>
      <c r="H180" s="71" t="s">
        <v>1248</v>
      </c>
    </row>
    <row r="181" ht="22.5" customHeight="1">
      <c r="A181" s="72" t="s">
        <v>1310</v>
      </c>
      <c r="B181" s="63" t="s">
        <v>453</v>
      </c>
      <c r="C181" s="64" t="s">
        <v>718</v>
      </c>
      <c r="D181" s="63" t="s">
        <v>1287</v>
      </c>
      <c r="E181" s="64" t="s">
        <v>1311</v>
      </c>
      <c r="F181" s="64" t="s">
        <v>1224</v>
      </c>
      <c r="G181" s="63" t="s">
        <v>791</v>
      </c>
      <c r="H181" s="65"/>
    </row>
    <row r="182" ht="22.5" customHeight="1">
      <c r="A182" s="66" t="s">
        <v>1312</v>
      </c>
      <c r="B182" s="67" t="s">
        <v>453</v>
      </c>
      <c r="C182" s="68" t="s">
        <v>1012</v>
      </c>
      <c r="D182" s="67" t="s">
        <v>1287</v>
      </c>
      <c r="E182" s="68" t="s">
        <v>1313</v>
      </c>
      <c r="F182" s="68" t="s">
        <v>1224</v>
      </c>
      <c r="G182" s="67" t="s">
        <v>791</v>
      </c>
      <c r="H182" s="69"/>
    </row>
    <row r="183" ht="22.5" customHeight="1">
      <c r="A183" s="62" t="s">
        <v>1314</v>
      </c>
      <c r="B183" s="63" t="s">
        <v>453</v>
      </c>
      <c r="C183" s="64" t="s">
        <v>317</v>
      </c>
      <c r="D183" s="63" t="s">
        <v>1315</v>
      </c>
      <c r="E183" s="64" t="s">
        <v>1316</v>
      </c>
      <c r="F183" s="63" t="s">
        <v>1317</v>
      </c>
      <c r="G183" s="63" t="s">
        <v>845</v>
      </c>
      <c r="H183" s="70" t="s">
        <v>1248</v>
      </c>
    </row>
    <row r="184" ht="22.5" customHeight="1">
      <c r="A184" s="66" t="s">
        <v>1318</v>
      </c>
      <c r="B184" s="67" t="s">
        <v>453</v>
      </c>
      <c r="C184" s="68" t="s">
        <v>1012</v>
      </c>
      <c r="D184" s="67" t="s">
        <v>1287</v>
      </c>
      <c r="E184" s="68" t="s">
        <v>1319</v>
      </c>
      <c r="F184" s="68" t="s">
        <v>1224</v>
      </c>
      <c r="G184" s="67" t="s">
        <v>791</v>
      </c>
      <c r="H184" s="69"/>
    </row>
    <row r="185" ht="22.5" customHeight="1">
      <c r="A185" s="62" t="s">
        <v>1320</v>
      </c>
      <c r="B185" s="63" t="s">
        <v>453</v>
      </c>
      <c r="C185" s="64" t="s">
        <v>953</v>
      </c>
      <c r="D185" s="63" t="s">
        <v>1321</v>
      </c>
      <c r="E185" s="64" t="s">
        <v>1322</v>
      </c>
      <c r="F185" s="64" t="s">
        <v>585</v>
      </c>
      <c r="G185" s="63" t="s">
        <v>845</v>
      </c>
      <c r="H185" s="70" t="s">
        <v>1323</v>
      </c>
    </row>
    <row r="186" ht="22.5" customHeight="1">
      <c r="A186" s="66" t="s">
        <v>1324</v>
      </c>
      <c r="B186" s="67" t="s">
        <v>453</v>
      </c>
      <c r="C186" s="68" t="s">
        <v>1012</v>
      </c>
      <c r="D186" s="67" t="s">
        <v>920</v>
      </c>
      <c r="E186" s="68" t="s">
        <v>1303</v>
      </c>
      <c r="F186" s="68" t="s">
        <v>1224</v>
      </c>
      <c r="G186" s="67" t="s">
        <v>791</v>
      </c>
      <c r="H186" s="71" t="s">
        <v>1325</v>
      </c>
    </row>
    <row r="187" ht="22.5" customHeight="1">
      <c r="A187" s="62" t="s">
        <v>1326</v>
      </c>
      <c r="B187" s="63" t="s">
        <v>453</v>
      </c>
      <c r="C187" s="64" t="s">
        <v>945</v>
      </c>
      <c r="D187" s="63" t="s">
        <v>1327</v>
      </c>
      <c r="E187" s="64" t="s">
        <v>1328</v>
      </c>
      <c r="F187" s="64" t="s">
        <v>995</v>
      </c>
      <c r="G187" s="63" t="s">
        <v>845</v>
      </c>
      <c r="H187" s="70" t="s">
        <v>1329</v>
      </c>
    </row>
    <row r="188" ht="22.5" customHeight="1">
      <c r="A188" s="66" t="s">
        <v>1330</v>
      </c>
      <c r="B188" s="67" t="s">
        <v>453</v>
      </c>
      <c r="C188" s="68" t="s">
        <v>1012</v>
      </c>
      <c r="D188" s="67" t="s">
        <v>1305</v>
      </c>
      <c r="E188" s="68" t="s">
        <v>1331</v>
      </c>
      <c r="F188" s="68" t="s">
        <v>1224</v>
      </c>
      <c r="G188" s="67" t="s">
        <v>791</v>
      </c>
      <c r="H188" s="69"/>
    </row>
    <row r="189" ht="22.5" customHeight="1">
      <c r="A189" s="62" t="s">
        <v>1332</v>
      </c>
      <c r="B189" s="63" t="s">
        <v>453</v>
      </c>
      <c r="C189" s="64" t="s">
        <v>1012</v>
      </c>
      <c r="D189" s="63" t="s">
        <v>1287</v>
      </c>
      <c r="E189" s="64" t="s">
        <v>1333</v>
      </c>
      <c r="F189" s="64" t="s">
        <v>1224</v>
      </c>
      <c r="G189" s="63" t="s">
        <v>791</v>
      </c>
      <c r="H189" s="65"/>
    </row>
    <row r="190" ht="22.5" customHeight="1">
      <c r="A190" s="66" t="s">
        <v>1334</v>
      </c>
      <c r="B190" s="67" t="s">
        <v>453</v>
      </c>
      <c r="C190" s="68" t="s">
        <v>1046</v>
      </c>
      <c r="D190" s="67" t="s">
        <v>1305</v>
      </c>
      <c r="E190" s="68" t="s">
        <v>1335</v>
      </c>
      <c r="F190" s="68" t="s">
        <v>1224</v>
      </c>
      <c r="G190" s="67" t="s">
        <v>791</v>
      </c>
      <c r="H190" s="69"/>
    </row>
    <row r="191" ht="22.5" customHeight="1">
      <c r="A191" s="36" t="s">
        <v>1336</v>
      </c>
      <c r="B191" s="36" t="s">
        <v>523</v>
      </c>
      <c r="C191" s="39" t="s">
        <v>542</v>
      </c>
      <c r="D191" s="36" t="s">
        <v>1337</v>
      </c>
      <c r="E191" s="36" t="s">
        <v>1338</v>
      </c>
      <c r="F191" s="36" t="s">
        <v>1339</v>
      </c>
      <c r="G191" s="36" t="s">
        <v>791</v>
      </c>
      <c r="H191" s="36" t="s">
        <v>797</v>
      </c>
      <c r="J191" s="73"/>
    </row>
    <row r="192" ht="22.5" customHeight="1">
      <c r="A192" s="36" t="s">
        <v>1340</v>
      </c>
      <c r="B192" s="36" t="s">
        <v>523</v>
      </c>
      <c r="C192" s="39" t="s">
        <v>895</v>
      </c>
      <c r="D192" s="36" t="s">
        <v>1341</v>
      </c>
      <c r="E192" s="36" t="s">
        <v>1342</v>
      </c>
      <c r="F192" s="36" t="s">
        <v>1343</v>
      </c>
      <c r="G192" s="36" t="s">
        <v>791</v>
      </c>
      <c r="H192" s="36" t="s">
        <v>797</v>
      </c>
      <c r="J192" s="73"/>
    </row>
    <row r="193" ht="22.5" customHeight="1">
      <c r="A193" s="39" t="s">
        <v>1344</v>
      </c>
      <c r="B193" s="36" t="s">
        <v>523</v>
      </c>
      <c r="C193" s="39" t="s">
        <v>928</v>
      </c>
      <c r="D193" s="36" t="s">
        <v>824</v>
      </c>
      <c r="E193" s="36" t="s">
        <v>1345</v>
      </c>
      <c r="F193" s="36" t="s">
        <v>1346</v>
      </c>
      <c r="G193" s="36" t="s">
        <v>791</v>
      </c>
      <c r="H193" s="36" t="s">
        <v>797</v>
      </c>
    </row>
    <row r="194" ht="22.5" customHeight="1">
      <c r="A194" s="36" t="s">
        <v>1347</v>
      </c>
      <c r="B194" s="36" t="s">
        <v>531</v>
      </c>
      <c r="C194" s="39" t="s">
        <v>895</v>
      </c>
      <c r="D194" s="36" t="s">
        <v>1348</v>
      </c>
      <c r="E194" s="36" t="s">
        <v>1349</v>
      </c>
      <c r="F194" s="36" t="s">
        <v>1350</v>
      </c>
      <c r="G194" s="36" t="s">
        <v>791</v>
      </c>
      <c r="H194" s="39" t="s">
        <v>483</v>
      </c>
    </row>
    <row r="195" ht="22.5" customHeight="1">
      <c r="A195" s="36" t="s">
        <v>1351</v>
      </c>
      <c r="B195" s="36" t="s">
        <v>531</v>
      </c>
      <c r="C195" s="39" t="s">
        <v>542</v>
      </c>
      <c r="D195" s="36" t="s">
        <v>1352</v>
      </c>
      <c r="E195" s="36" t="s">
        <v>1353</v>
      </c>
      <c r="F195" s="36" t="s">
        <v>1350</v>
      </c>
      <c r="G195" s="36" t="s">
        <v>791</v>
      </c>
      <c r="H195" s="39" t="s">
        <v>483</v>
      </c>
    </row>
    <row r="196" ht="22.5" customHeight="1">
      <c r="A196" s="36" t="s">
        <v>1354</v>
      </c>
      <c r="B196" s="36" t="s">
        <v>283</v>
      </c>
      <c r="C196" s="39" t="s">
        <v>928</v>
      </c>
      <c r="D196" s="36" t="s">
        <v>1355</v>
      </c>
      <c r="E196" s="36" t="s">
        <v>1356</v>
      </c>
      <c r="F196" s="36" t="s">
        <v>1357</v>
      </c>
      <c r="G196" s="36" t="s">
        <v>845</v>
      </c>
      <c r="H196" s="36" t="s">
        <v>1358</v>
      </c>
    </row>
    <row r="197" ht="22.5" customHeight="1">
      <c r="A197" s="36" t="s">
        <v>1359</v>
      </c>
      <c r="B197" s="36" t="s">
        <v>546</v>
      </c>
      <c r="C197" s="39" t="s">
        <v>542</v>
      </c>
      <c r="D197" s="36" t="s">
        <v>1360</v>
      </c>
      <c r="E197" s="36" t="s">
        <v>1361</v>
      </c>
      <c r="F197" s="36" t="s">
        <v>1362</v>
      </c>
      <c r="G197" s="36" t="s">
        <v>791</v>
      </c>
      <c r="H197" s="36" t="s">
        <v>1363</v>
      </c>
    </row>
    <row r="198" ht="22.5" customHeight="1">
      <c r="A198" s="36" t="s">
        <v>1364</v>
      </c>
      <c r="B198" s="36" t="s">
        <v>546</v>
      </c>
      <c r="C198" s="39" t="s">
        <v>928</v>
      </c>
      <c r="D198" s="36" t="s">
        <v>1365</v>
      </c>
      <c r="E198" s="39" t="s">
        <v>1366</v>
      </c>
      <c r="F198" s="36" t="s">
        <v>1367</v>
      </c>
      <c r="G198" s="36" t="s">
        <v>791</v>
      </c>
      <c r="H198" s="36" t="s">
        <v>1363</v>
      </c>
    </row>
    <row r="199" ht="22.5" customHeight="1">
      <c r="A199" s="36" t="s">
        <v>1368</v>
      </c>
      <c r="B199" s="36" t="s">
        <v>546</v>
      </c>
      <c r="C199" s="39" t="s">
        <v>933</v>
      </c>
      <c r="D199" s="36" t="s">
        <v>1369</v>
      </c>
      <c r="E199" s="36" t="s">
        <v>1370</v>
      </c>
      <c r="F199" s="36" t="s">
        <v>1371</v>
      </c>
      <c r="G199" s="36" t="s">
        <v>791</v>
      </c>
      <c r="H199" s="36" t="s">
        <v>1363</v>
      </c>
    </row>
    <row r="200" ht="22.5" customHeight="1">
      <c r="A200" s="36" t="s">
        <v>1372</v>
      </c>
      <c r="B200" s="36" t="s">
        <v>546</v>
      </c>
      <c r="C200" s="39" t="s">
        <v>314</v>
      </c>
      <c r="D200" s="36" t="s">
        <v>1373</v>
      </c>
      <c r="E200" s="36" t="s">
        <v>1374</v>
      </c>
      <c r="F200" s="36" t="s">
        <v>1371</v>
      </c>
      <c r="G200" s="36" t="s">
        <v>791</v>
      </c>
      <c r="H200" s="36" t="s">
        <v>1363</v>
      </c>
    </row>
    <row r="201" ht="22.5" customHeight="1">
      <c r="A201" s="36" t="s">
        <v>1375</v>
      </c>
      <c r="B201" s="36" t="s">
        <v>546</v>
      </c>
      <c r="C201" s="39" t="s">
        <v>568</v>
      </c>
      <c r="D201" s="36" t="s">
        <v>1376</v>
      </c>
      <c r="E201" s="36" t="s">
        <v>1377</v>
      </c>
      <c r="F201" s="36" t="s">
        <v>1378</v>
      </c>
      <c r="G201" s="36" t="s">
        <v>791</v>
      </c>
      <c r="H201" s="36" t="s">
        <v>1363</v>
      </c>
    </row>
    <row r="202" ht="22.5" customHeight="1">
      <c r="A202" s="36" t="s">
        <v>1379</v>
      </c>
      <c r="B202" s="36" t="s">
        <v>546</v>
      </c>
      <c r="C202" s="39" t="s">
        <v>945</v>
      </c>
      <c r="D202" s="36" t="s">
        <v>1380</v>
      </c>
      <c r="E202" s="36" t="s">
        <v>1381</v>
      </c>
      <c r="F202" s="36" t="s">
        <v>1014</v>
      </c>
      <c r="G202" s="36" t="s">
        <v>791</v>
      </c>
      <c r="H202" s="36" t="s">
        <v>1363</v>
      </c>
    </row>
    <row r="203" ht="22.5" customHeight="1">
      <c r="A203" s="36" t="s">
        <v>1382</v>
      </c>
      <c r="B203" s="36" t="s">
        <v>546</v>
      </c>
      <c r="C203" s="39" t="s">
        <v>895</v>
      </c>
      <c r="D203" s="36" t="s">
        <v>1380</v>
      </c>
      <c r="E203" s="36" t="s">
        <v>1383</v>
      </c>
      <c r="F203" s="36" t="s">
        <v>1038</v>
      </c>
      <c r="G203" s="36" t="s">
        <v>791</v>
      </c>
      <c r="H203" s="36" t="s">
        <v>1363</v>
      </c>
    </row>
    <row r="204" ht="22.5" customHeight="1">
      <c r="A204" s="36" t="s">
        <v>1384</v>
      </c>
      <c r="B204" s="36" t="s">
        <v>546</v>
      </c>
      <c r="C204" s="39" t="s">
        <v>377</v>
      </c>
      <c r="D204" s="36" t="s">
        <v>1385</v>
      </c>
      <c r="E204" s="39" t="s">
        <v>1386</v>
      </c>
      <c r="F204" s="36" t="s">
        <v>1371</v>
      </c>
      <c r="G204" s="36" t="s">
        <v>791</v>
      </c>
      <c r="H204" s="36" t="s">
        <v>1363</v>
      </c>
    </row>
    <row r="205" ht="22.5" customHeight="1">
      <c r="A205" s="36" t="s">
        <v>1387</v>
      </c>
      <c r="B205" s="36" t="s">
        <v>546</v>
      </c>
      <c r="C205" s="39" t="s">
        <v>953</v>
      </c>
      <c r="D205" s="36" t="s">
        <v>1380</v>
      </c>
      <c r="E205" s="36" t="s">
        <v>1388</v>
      </c>
      <c r="F205" s="36" t="s">
        <v>1389</v>
      </c>
      <c r="G205" s="36" t="s">
        <v>791</v>
      </c>
      <c r="H205" s="36" t="s">
        <v>1363</v>
      </c>
    </row>
    <row r="206" ht="22.5" customHeight="1">
      <c r="A206" s="36" t="s">
        <v>1390</v>
      </c>
      <c r="B206" s="36" t="s">
        <v>561</v>
      </c>
      <c r="C206" s="39" t="s">
        <v>542</v>
      </c>
      <c r="D206" s="36" t="s">
        <v>1391</v>
      </c>
      <c r="E206" s="36" t="s">
        <v>1392</v>
      </c>
      <c r="F206" s="36" t="s">
        <v>1393</v>
      </c>
      <c r="G206" s="36" t="s">
        <v>791</v>
      </c>
      <c r="H206" s="36" t="s">
        <v>797</v>
      </c>
    </row>
    <row r="207" ht="22.5" customHeight="1">
      <c r="A207" s="36" t="s">
        <v>1394</v>
      </c>
      <c r="B207" s="36" t="s">
        <v>561</v>
      </c>
      <c r="C207" s="39" t="s">
        <v>895</v>
      </c>
      <c r="D207" s="36" t="s">
        <v>1213</v>
      </c>
      <c r="E207" s="36" t="s">
        <v>1395</v>
      </c>
      <c r="F207" s="36" t="s">
        <v>1396</v>
      </c>
      <c r="G207" s="36" t="s">
        <v>791</v>
      </c>
      <c r="H207" s="36" t="s">
        <v>1397</v>
      </c>
    </row>
    <row r="208" ht="22.5" customHeight="1">
      <c r="A208" s="36" t="s">
        <v>1398</v>
      </c>
      <c r="B208" s="36" t="s">
        <v>561</v>
      </c>
      <c r="C208" s="39" t="s">
        <v>928</v>
      </c>
      <c r="D208" s="36" t="s">
        <v>929</v>
      </c>
      <c r="E208" s="36" t="s">
        <v>1399</v>
      </c>
      <c r="F208" s="36" t="s">
        <v>1400</v>
      </c>
      <c r="G208" s="36" t="s">
        <v>791</v>
      </c>
      <c r="H208" s="36" t="s">
        <v>1401</v>
      </c>
    </row>
    <row r="209" ht="22.5" customHeight="1">
      <c r="A209" s="36" t="s">
        <v>1402</v>
      </c>
      <c r="B209" s="36" t="s">
        <v>561</v>
      </c>
      <c r="C209" s="39" t="s">
        <v>933</v>
      </c>
      <c r="D209" s="36" t="s">
        <v>1403</v>
      </c>
      <c r="E209" s="36" t="s">
        <v>1404</v>
      </c>
      <c r="F209" s="36" t="s">
        <v>1405</v>
      </c>
      <c r="G209" s="36" t="s">
        <v>791</v>
      </c>
      <c r="H209" s="36" t="s">
        <v>1401</v>
      </c>
    </row>
    <row r="210" ht="22.5" customHeight="1">
      <c r="A210" s="36" t="s">
        <v>1406</v>
      </c>
      <c r="B210" s="36" t="s">
        <v>561</v>
      </c>
      <c r="C210" s="39" t="s">
        <v>314</v>
      </c>
      <c r="D210" s="36" t="s">
        <v>1407</v>
      </c>
      <c r="E210" s="36" t="s">
        <v>1408</v>
      </c>
      <c r="F210" s="36" t="s">
        <v>1409</v>
      </c>
      <c r="G210" s="36" t="s">
        <v>791</v>
      </c>
      <c r="H210" s="36" t="s">
        <v>1410</v>
      </c>
    </row>
    <row r="211" ht="22.5" customHeight="1">
      <c r="A211" s="36" t="s">
        <v>1411</v>
      </c>
      <c r="B211" s="36" t="s">
        <v>578</v>
      </c>
      <c r="C211" s="39" t="s">
        <v>542</v>
      </c>
      <c r="D211" s="36" t="s">
        <v>1412</v>
      </c>
      <c r="E211" s="36" t="s">
        <v>1413</v>
      </c>
      <c r="F211" s="36" t="s">
        <v>1414</v>
      </c>
      <c r="G211" s="36" t="s">
        <v>791</v>
      </c>
      <c r="H211" s="36" t="s">
        <v>1182</v>
      </c>
    </row>
    <row r="212" ht="22.5" customHeight="1">
      <c r="A212" s="36" t="s">
        <v>1415</v>
      </c>
      <c r="B212" s="36" t="s">
        <v>578</v>
      </c>
      <c r="C212" s="39" t="s">
        <v>895</v>
      </c>
      <c r="D212" s="36" t="s">
        <v>1416</v>
      </c>
      <c r="E212" s="36" t="s">
        <v>1417</v>
      </c>
      <c r="F212" s="36" t="s">
        <v>1418</v>
      </c>
      <c r="G212" s="36" t="s">
        <v>791</v>
      </c>
      <c r="H212" s="36" t="s">
        <v>1182</v>
      </c>
    </row>
    <row r="213" ht="22.5" customHeight="1">
      <c r="A213" s="36" t="s">
        <v>1419</v>
      </c>
      <c r="B213" s="36" t="s">
        <v>578</v>
      </c>
      <c r="C213" s="39" t="s">
        <v>928</v>
      </c>
      <c r="D213" s="36" t="s">
        <v>1420</v>
      </c>
      <c r="E213" s="36" t="s">
        <v>1421</v>
      </c>
      <c r="F213" s="36" t="s">
        <v>1418</v>
      </c>
      <c r="G213" s="36" t="s">
        <v>791</v>
      </c>
      <c r="H213" s="36" t="s">
        <v>1182</v>
      </c>
    </row>
    <row r="214" ht="22.5" customHeight="1">
      <c r="A214" s="36" t="s">
        <v>1422</v>
      </c>
      <c r="B214" s="36" t="s">
        <v>578</v>
      </c>
      <c r="C214" s="39" t="s">
        <v>933</v>
      </c>
      <c r="D214" s="36" t="s">
        <v>1423</v>
      </c>
      <c r="E214" s="36" t="s">
        <v>1424</v>
      </c>
      <c r="F214" s="36" t="s">
        <v>1418</v>
      </c>
      <c r="G214" s="36" t="s">
        <v>791</v>
      </c>
      <c r="H214" s="36" t="s">
        <v>1182</v>
      </c>
    </row>
    <row r="215" ht="22.5" customHeight="1">
      <c r="A215" s="36" t="s">
        <v>1425</v>
      </c>
      <c r="B215" s="36" t="s">
        <v>578</v>
      </c>
      <c r="C215" s="39" t="s">
        <v>314</v>
      </c>
      <c r="D215" s="36" t="s">
        <v>1426</v>
      </c>
      <c r="E215" s="36" t="s">
        <v>1427</v>
      </c>
      <c r="F215" s="36" t="s">
        <v>1414</v>
      </c>
      <c r="G215" s="36" t="s">
        <v>791</v>
      </c>
      <c r="H215" s="36" t="s">
        <v>1182</v>
      </c>
    </row>
    <row r="216" ht="22.5" customHeight="1">
      <c r="A216" s="36" t="s">
        <v>1428</v>
      </c>
      <c r="B216" s="36" t="s">
        <v>578</v>
      </c>
      <c r="C216" s="39" t="s">
        <v>568</v>
      </c>
      <c r="D216" s="36" t="s">
        <v>1429</v>
      </c>
      <c r="E216" s="36" t="s">
        <v>1430</v>
      </c>
      <c r="F216" s="36" t="s">
        <v>1414</v>
      </c>
      <c r="G216" s="36" t="s">
        <v>791</v>
      </c>
      <c r="H216" s="36" t="s">
        <v>1182</v>
      </c>
    </row>
    <row r="217" ht="22.5" customHeight="1">
      <c r="A217" s="36" t="s">
        <v>1431</v>
      </c>
      <c r="B217" s="36" t="s">
        <v>578</v>
      </c>
      <c r="C217" s="39" t="s">
        <v>945</v>
      </c>
      <c r="D217" s="36" t="s">
        <v>1432</v>
      </c>
      <c r="E217" s="36" t="s">
        <v>1433</v>
      </c>
      <c r="F217" s="36" t="s">
        <v>1414</v>
      </c>
      <c r="G217" s="36" t="s">
        <v>791</v>
      </c>
      <c r="H217" s="36" t="s">
        <v>1182</v>
      </c>
    </row>
    <row r="218" ht="22.5" customHeight="1">
      <c r="A218" s="36" t="s">
        <v>1434</v>
      </c>
      <c r="B218" s="36" t="s">
        <v>578</v>
      </c>
      <c r="C218" s="39" t="s">
        <v>377</v>
      </c>
      <c r="D218" s="36" t="s">
        <v>1435</v>
      </c>
      <c r="E218" s="36" t="s">
        <v>1436</v>
      </c>
      <c r="F218" s="36" t="s">
        <v>1418</v>
      </c>
      <c r="G218" s="36" t="s">
        <v>791</v>
      </c>
      <c r="H218" s="36" t="s">
        <v>1182</v>
      </c>
    </row>
    <row r="219" ht="22.5" customHeight="1">
      <c r="A219" s="36" t="s">
        <v>1437</v>
      </c>
      <c r="B219" s="36" t="s">
        <v>578</v>
      </c>
      <c r="C219" s="39" t="s">
        <v>953</v>
      </c>
      <c r="D219" s="36" t="s">
        <v>1438</v>
      </c>
      <c r="E219" s="36" t="s">
        <v>1439</v>
      </c>
      <c r="F219" s="36" t="s">
        <v>1440</v>
      </c>
      <c r="G219" s="36" t="s">
        <v>791</v>
      </c>
      <c r="H219" s="36" t="s">
        <v>1182</v>
      </c>
    </row>
    <row r="220" ht="22.5" customHeight="1">
      <c r="A220" s="39" t="s">
        <v>1441</v>
      </c>
      <c r="B220" s="36" t="s">
        <v>578</v>
      </c>
      <c r="C220" s="39" t="s">
        <v>317</v>
      </c>
      <c r="D220" s="36" t="s">
        <v>1442</v>
      </c>
      <c r="E220" s="36" t="s">
        <v>1443</v>
      </c>
      <c r="F220" s="36" t="s">
        <v>1418</v>
      </c>
      <c r="G220" s="36" t="s">
        <v>791</v>
      </c>
      <c r="H220" s="36" t="s">
        <v>1182</v>
      </c>
    </row>
    <row r="221" ht="22.5" customHeight="1">
      <c r="A221" s="36" t="s">
        <v>1444</v>
      </c>
      <c r="B221" s="36" t="s">
        <v>578</v>
      </c>
      <c r="C221" s="39" t="s">
        <v>960</v>
      </c>
      <c r="D221" s="36" t="s">
        <v>1445</v>
      </c>
      <c r="E221" s="36" t="s">
        <v>1446</v>
      </c>
      <c r="F221" s="36" t="s">
        <v>1447</v>
      </c>
      <c r="G221" s="36" t="s">
        <v>791</v>
      </c>
      <c r="H221" s="36" t="s">
        <v>1182</v>
      </c>
    </row>
    <row r="222" ht="22.5" customHeight="1">
      <c r="A222" s="36" t="s">
        <v>1448</v>
      </c>
      <c r="B222" s="36" t="s">
        <v>593</v>
      </c>
      <c r="C222" s="39" t="s">
        <v>542</v>
      </c>
      <c r="D222" s="36" t="s">
        <v>1179</v>
      </c>
      <c r="E222" s="36" t="s">
        <v>1449</v>
      </c>
      <c r="F222" s="36" t="s">
        <v>1450</v>
      </c>
      <c r="G222" s="36" t="s">
        <v>791</v>
      </c>
      <c r="H222" s="36" t="s">
        <v>1182</v>
      </c>
    </row>
    <row r="223" ht="22.5" customHeight="1">
      <c r="A223" s="36" t="s">
        <v>1451</v>
      </c>
      <c r="B223" s="36" t="s">
        <v>593</v>
      </c>
      <c r="C223" s="39" t="s">
        <v>895</v>
      </c>
      <c r="D223" s="36" t="s">
        <v>1452</v>
      </c>
      <c r="E223" s="36" t="s">
        <v>1453</v>
      </c>
      <c r="F223" s="36" t="s">
        <v>1450</v>
      </c>
      <c r="G223" s="36" t="s">
        <v>791</v>
      </c>
      <c r="H223" s="36" t="s">
        <v>797</v>
      </c>
    </row>
    <row r="224" ht="22.5" customHeight="1">
      <c r="A224" s="36" t="s">
        <v>1454</v>
      </c>
      <c r="B224" s="36" t="s">
        <v>603</v>
      </c>
      <c r="C224" s="39" t="s">
        <v>542</v>
      </c>
      <c r="D224" s="36" t="s">
        <v>1455</v>
      </c>
      <c r="E224" s="39" t="s">
        <v>1456</v>
      </c>
      <c r="F224" s="36" t="s">
        <v>1457</v>
      </c>
      <c r="G224" s="36" t="s">
        <v>791</v>
      </c>
      <c r="H224" s="36" t="s">
        <v>1186</v>
      </c>
    </row>
    <row r="225" ht="22.5" customHeight="1">
      <c r="A225" s="36" t="s">
        <v>1458</v>
      </c>
      <c r="B225" s="36" t="s">
        <v>603</v>
      </c>
      <c r="C225" s="39" t="s">
        <v>895</v>
      </c>
      <c r="D225" s="36" t="s">
        <v>1459</v>
      </c>
      <c r="E225" s="39" t="s">
        <v>1460</v>
      </c>
      <c r="F225" s="36" t="s">
        <v>1461</v>
      </c>
      <c r="G225" s="36" t="s">
        <v>791</v>
      </c>
      <c r="H225" s="36" t="s">
        <v>1186</v>
      </c>
    </row>
    <row r="226" ht="22.5" customHeight="1">
      <c r="A226" s="39" t="s">
        <v>1462</v>
      </c>
      <c r="B226" s="36" t="s">
        <v>603</v>
      </c>
      <c r="C226" s="39" t="s">
        <v>928</v>
      </c>
      <c r="D226" s="36" t="s">
        <v>1463</v>
      </c>
      <c r="E226" s="39" t="s">
        <v>1464</v>
      </c>
      <c r="F226" s="36" t="s">
        <v>1465</v>
      </c>
      <c r="G226" s="36" t="s">
        <v>791</v>
      </c>
      <c r="H226" s="36" t="s">
        <v>1186</v>
      </c>
    </row>
    <row r="227" ht="22.5" customHeight="1">
      <c r="A227" s="36" t="s">
        <v>1466</v>
      </c>
      <c r="B227" s="36" t="s">
        <v>603</v>
      </c>
      <c r="C227" s="39" t="s">
        <v>933</v>
      </c>
      <c r="D227" s="36" t="s">
        <v>1467</v>
      </c>
      <c r="E227" s="39" t="s">
        <v>1468</v>
      </c>
      <c r="F227" s="36" t="s">
        <v>1469</v>
      </c>
      <c r="G227" s="36" t="s">
        <v>791</v>
      </c>
      <c r="H227" s="36" t="s">
        <v>1186</v>
      </c>
    </row>
    <row r="228" ht="22.5" customHeight="1">
      <c r="A228" s="36" t="s">
        <v>1470</v>
      </c>
      <c r="B228" s="36" t="s">
        <v>603</v>
      </c>
      <c r="C228" s="39" t="s">
        <v>314</v>
      </c>
      <c r="D228" s="36" t="s">
        <v>1471</v>
      </c>
      <c r="E228" s="36" t="s">
        <v>1472</v>
      </c>
      <c r="F228" s="36" t="s">
        <v>1473</v>
      </c>
      <c r="G228" s="36" t="s">
        <v>791</v>
      </c>
      <c r="H228" s="36" t="s">
        <v>1186</v>
      </c>
    </row>
    <row r="229" ht="22.5" customHeight="1">
      <c r="A229" s="36" t="s">
        <v>1474</v>
      </c>
      <c r="B229" s="36" t="s">
        <v>603</v>
      </c>
      <c r="C229" s="39" t="s">
        <v>568</v>
      </c>
      <c r="D229" s="36" t="s">
        <v>1475</v>
      </c>
      <c r="E229" s="39" t="s">
        <v>1476</v>
      </c>
      <c r="F229" s="36" t="s">
        <v>1477</v>
      </c>
      <c r="G229" s="36" t="s">
        <v>791</v>
      </c>
      <c r="H229" s="36" t="s">
        <v>1186</v>
      </c>
    </row>
    <row r="230" ht="22.5" customHeight="1">
      <c r="A230" s="36" t="s">
        <v>1478</v>
      </c>
      <c r="B230" s="36" t="s">
        <v>603</v>
      </c>
      <c r="C230" s="39" t="s">
        <v>945</v>
      </c>
      <c r="D230" s="36" t="s">
        <v>929</v>
      </c>
      <c r="E230" s="39" t="s">
        <v>1479</v>
      </c>
      <c r="F230" s="36" t="s">
        <v>1480</v>
      </c>
      <c r="G230" s="36" t="s">
        <v>791</v>
      </c>
      <c r="H230" s="36" t="s">
        <v>1481</v>
      </c>
    </row>
    <row r="231" ht="22.5" customHeight="1">
      <c r="A231" s="36" t="s">
        <v>1482</v>
      </c>
      <c r="B231" s="36" t="s">
        <v>603</v>
      </c>
      <c r="C231" s="39" t="s">
        <v>377</v>
      </c>
      <c r="D231" s="36" t="s">
        <v>929</v>
      </c>
      <c r="E231" s="39" t="s">
        <v>1483</v>
      </c>
      <c r="F231" s="36" t="s">
        <v>1484</v>
      </c>
      <c r="G231" s="36" t="s">
        <v>791</v>
      </c>
      <c r="H231" s="36" t="s">
        <v>1186</v>
      </c>
    </row>
    <row r="232" ht="22.5" customHeight="1">
      <c r="A232" s="36" t="s">
        <v>1485</v>
      </c>
      <c r="B232" s="36" t="s">
        <v>603</v>
      </c>
      <c r="C232" s="39" t="s">
        <v>953</v>
      </c>
      <c r="D232" s="36" t="s">
        <v>1486</v>
      </c>
      <c r="E232" s="39" t="s">
        <v>1487</v>
      </c>
      <c r="F232" s="36" t="s">
        <v>1488</v>
      </c>
      <c r="G232" s="36" t="s">
        <v>791</v>
      </c>
      <c r="H232" s="36" t="s">
        <v>1489</v>
      </c>
    </row>
    <row r="233" ht="22.5" customHeight="1">
      <c r="A233" s="62" t="s">
        <v>1490</v>
      </c>
      <c r="B233" s="63" t="s">
        <v>615</v>
      </c>
      <c r="C233" s="64" t="s">
        <v>542</v>
      </c>
      <c r="D233" s="63" t="s">
        <v>1222</v>
      </c>
      <c r="E233" s="64" t="s">
        <v>1491</v>
      </c>
      <c r="F233" s="63" t="s">
        <v>1492</v>
      </c>
      <c r="G233" s="63" t="s">
        <v>791</v>
      </c>
      <c r="H233" s="36" t="s">
        <v>1489</v>
      </c>
    </row>
    <row r="234" ht="22.5" customHeight="1">
      <c r="A234" s="66" t="s">
        <v>1493</v>
      </c>
      <c r="B234" s="67" t="s">
        <v>615</v>
      </c>
      <c r="C234" s="68" t="s">
        <v>895</v>
      </c>
      <c r="D234" s="67" t="s">
        <v>1494</v>
      </c>
      <c r="E234" s="68" t="s">
        <v>1495</v>
      </c>
      <c r="F234" s="68" t="s">
        <v>1496</v>
      </c>
      <c r="G234" s="67" t="s">
        <v>791</v>
      </c>
      <c r="H234" s="36" t="s">
        <v>1489</v>
      </c>
    </row>
    <row r="235" ht="22.5" customHeight="1">
      <c r="A235" s="36" t="s">
        <v>1497</v>
      </c>
      <c r="B235" s="36" t="s">
        <v>628</v>
      </c>
      <c r="C235" s="39" t="s">
        <v>542</v>
      </c>
      <c r="D235" s="36" t="s">
        <v>1498</v>
      </c>
      <c r="E235" s="36" t="s">
        <v>1499</v>
      </c>
      <c r="F235" s="36" t="s">
        <v>1500</v>
      </c>
      <c r="G235" s="36" t="s">
        <v>791</v>
      </c>
    </row>
    <row r="236" ht="22.5" customHeight="1">
      <c r="A236" s="36" t="s">
        <v>1501</v>
      </c>
      <c r="B236" s="36" t="s">
        <v>628</v>
      </c>
      <c r="C236" s="39" t="s">
        <v>895</v>
      </c>
      <c r="D236" s="36" t="s">
        <v>1502</v>
      </c>
      <c r="E236" s="36" t="s">
        <v>1503</v>
      </c>
      <c r="F236" s="36" t="s">
        <v>1504</v>
      </c>
      <c r="G236" s="36" t="s">
        <v>791</v>
      </c>
    </row>
    <row r="237" ht="22.5" customHeight="1">
      <c r="A237" s="36" t="s">
        <v>1505</v>
      </c>
      <c r="B237" s="36" t="s">
        <v>628</v>
      </c>
      <c r="C237" s="39" t="s">
        <v>928</v>
      </c>
      <c r="D237" s="36" t="s">
        <v>1506</v>
      </c>
      <c r="E237" s="36" t="s">
        <v>1507</v>
      </c>
      <c r="F237" s="36" t="s">
        <v>1508</v>
      </c>
      <c r="G237" s="36" t="s">
        <v>791</v>
      </c>
    </row>
    <row r="238" ht="22.5" customHeight="1">
      <c r="A238" s="36" t="s">
        <v>1509</v>
      </c>
      <c r="B238" s="36" t="s">
        <v>628</v>
      </c>
      <c r="C238" s="39" t="s">
        <v>933</v>
      </c>
      <c r="D238" s="36" t="s">
        <v>1510</v>
      </c>
      <c r="E238" s="36" t="s">
        <v>1511</v>
      </c>
      <c r="F238" s="36" t="s">
        <v>1512</v>
      </c>
      <c r="G238" s="36" t="s">
        <v>791</v>
      </c>
    </row>
    <row r="239" ht="22.5" customHeight="1">
      <c r="A239" s="36" t="s">
        <v>1513</v>
      </c>
      <c r="B239" s="36" t="s">
        <v>628</v>
      </c>
      <c r="C239" s="39" t="s">
        <v>314</v>
      </c>
      <c r="D239" s="36" t="s">
        <v>1514</v>
      </c>
      <c r="E239" s="36" t="s">
        <v>1515</v>
      </c>
      <c r="F239" s="36" t="s">
        <v>1516</v>
      </c>
      <c r="G239" s="36" t="s">
        <v>791</v>
      </c>
    </row>
    <row r="240" ht="22.5" customHeight="1">
      <c r="A240" s="36" t="s">
        <v>1517</v>
      </c>
      <c r="B240" s="36" t="s">
        <v>628</v>
      </c>
      <c r="C240" s="39" t="s">
        <v>568</v>
      </c>
      <c r="D240" s="36" t="s">
        <v>1518</v>
      </c>
      <c r="E240" s="36" t="s">
        <v>1519</v>
      </c>
      <c r="F240" s="36" t="s">
        <v>1512</v>
      </c>
      <c r="G240" s="36" t="s">
        <v>791</v>
      </c>
    </row>
    <row r="241" ht="22.5" customHeight="1">
      <c r="A241" s="36" t="s">
        <v>1520</v>
      </c>
      <c r="B241" s="36" t="s">
        <v>628</v>
      </c>
      <c r="C241" s="39" t="s">
        <v>945</v>
      </c>
      <c r="D241" s="36" t="s">
        <v>1521</v>
      </c>
      <c r="E241" s="36" t="s">
        <v>1522</v>
      </c>
      <c r="F241" s="36" t="s">
        <v>1516</v>
      </c>
      <c r="G241" s="36" t="s">
        <v>791</v>
      </c>
    </row>
    <row r="242" ht="22.5" customHeight="1">
      <c r="A242" s="36" t="s">
        <v>1523</v>
      </c>
      <c r="B242" s="36" t="s">
        <v>628</v>
      </c>
      <c r="C242" s="39" t="s">
        <v>377</v>
      </c>
      <c r="D242" s="36" t="s">
        <v>1524</v>
      </c>
      <c r="E242" s="36" t="s">
        <v>1525</v>
      </c>
      <c r="F242" s="36" t="s">
        <v>1526</v>
      </c>
      <c r="G242" s="36" t="s">
        <v>791</v>
      </c>
    </row>
    <row r="243" ht="22.5" customHeight="1">
      <c r="A243" s="36" t="s">
        <v>1527</v>
      </c>
      <c r="B243" s="36" t="s">
        <v>628</v>
      </c>
      <c r="C243" s="39" t="s">
        <v>953</v>
      </c>
      <c r="D243" s="36" t="s">
        <v>1528</v>
      </c>
      <c r="E243" s="36" t="s">
        <v>1529</v>
      </c>
      <c r="F243" s="36" t="s">
        <v>1530</v>
      </c>
      <c r="G243" s="36" t="s">
        <v>791</v>
      </c>
    </row>
    <row r="244" ht="22.5" customHeight="1">
      <c r="A244" s="39" t="s">
        <v>1531</v>
      </c>
      <c r="B244" s="36" t="s">
        <v>628</v>
      </c>
      <c r="C244" s="39" t="s">
        <v>317</v>
      </c>
      <c r="D244" s="36" t="s">
        <v>1532</v>
      </c>
      <c r="E244" s="36" t="s">
        <v>1533</v>
      </c>
      <c r="F244" s="36" t="s">
        <v>1516</v>
      </c>
      <c r="G244" s="36" t="s">
        <v>791</v>
      </c>
    </row>
    <row r="245" ht="22.5" customHeight="1">
      <c r="A245" s="36" t="s">
        <v>1534</v>
      </c>
      <c r="B245" s="36" t="s">
        <v>628</v>
      </c>
      <c r="C245" s="39" t="s">
        <v>960</v>
      </c>
      <c r="D245" s="36" t="s">
        <v>1535</v>
      </c>
      <c r="E245" s="36" t="s">
        <v>1536</v>
      </c>
      <c r="F245" s="36" t="s">
        <v>1537</v>
      </c>
      <c r="G245" s="36" t="s">
        <v>791</v>
      </c>
    </row>
    <row r="246" ht="22.5" customHeight="1">
      <c r="A246" s="36" t="s">
        <v>1538</v>
      </c>
      <c r="B246" s="36" t="s">
        <v>628</v>
      </c>
      <c r="C246" s="39" t="s">
        <v>463</v>
      </c>
      <c r="D246" s="36" t="s">
        <v>1539</v>
      </c>
      <c r="E246" s="36" t="s">
        <v>1540</v>
      </c>
      <c r="F246" s="36" t="s">
        <v>1541</v>
      </c>
      <c r="G246" s="36" t="s">
        <v>791</v>
      </c>
    </row>
    <row r="247" ht="22.5" customHeight="1">
      <c r="A247" s="36" t="s">
        <v>1542</v>
      </c>
      <c r="B247" s="36" t="s">
        <v>642</v>
      </c>
      <c r="C247" s="39" t="s">
        <v>542</v>
      </c>
      <c r="D247" s="36" t="s">
        <v>920</v>
      </c>
      <c r="E247" s="36" t="s">
        <v>1543</v>
      </c>
      <c r="F247" s="36" t="s">
        <v>1544</v>
      </c>
      <c r="G247" s="36" t="s">
        <v>791</v>
      </c>
    </row>
    <row r="248" ht="22.5" customHeight="1">
      <c r="A248" s="36" t="s">
        <v>1545</v>
      </c>
      <c r="B248" s="36" t="s">
        <v>642</v>
      </c>
      <c r="C248" s="39" t="s">
        <v>895</v>
      </c>
      <c r="D248" s="36" t="s">
        <v>1352</v>
      </c>
      <c r="E248" s="36" t="s">
        <v>1546</v>
      </c>
      <c r="F248" s="36" t="s">
        <v>1547</v>
      </c>
      <c r="G248" s="36" t="s">
        <v>791</v>
      </c>
    </row>
    <row r="249" ht="22.5" customHeight="1">
      <c r="A249" s="36" t="s">
        <v>1548</v>
      </c>
      <c r="B249" s="36" t="s">
        <v>642</v>
      </c>
      <c r="C249" s="39" t="s">
        <v>928</v>
      </c>
      <c r="D249" s="36" t="s">
        <v>929</v>
      </c>
      <c r="E249" s="36" t="s">
        <v>1549</v>
      </c>
      <c r="F249" s="36" t="s">
        <v>1550</v>
      </c>
      <c r="G249" s="36" t="s">
        <v>791</v>
      </c>
    </row>
    <row r="250" ht="22.5" customHeight="1">
      <c r="A250" s="36" t="s">
        <v>1551</v>
      </c>
      <c r="B250" s="36" t="s">
        <v>642</v>
      </c>
      <c r="C250" s="39" t="s">
        <v>933</v>
      </c>
      <c r="D250" s="36" t="s">
        <v>920</v>
      </c>
      <c r="E250" s="36" t="s">
        <v>1549</v>
      </c>
      <c r="F250" s="36" t="s">
        <v>1552</v>
      </c>
      <c r="G250" s="36" t="s">
        <v>845</v>
      </c>
      <c r="H250" s="36" t="s">
        <v>1553</v>
      </c>
    </row>
    <row r="251" ht="22.5" customHeight="1">
      <c r="A251" s="36" t="s">
        <v>1554</v>
      </c>
      <c r="B251" s="36" t="s">
        <v>642</v>
      </c>
      <c r="C251" s="39" t="s">
        <v>314</v>
      </c>
      <c r="D251" s="36" t="s">
        <v>1555</v>
      </c>
      <c r="E251" s="39" t="s">
        <v>1556</v>
      </c>
      <c r="F251" s="39" t="s">
        <v>1557</v>
      </c>
      <c r="G251" s="36" t="s">
        <v>791</v>
      </c>
    </row>
    <row r="252" ht="22.5" customHeight="1">
      <c r="A252" s="36" t="s">
        <v>1558</v>
      </c>
      <c r="B252" s="36" t="s">
        <v>642</v>
      </c>
      <c r="C252" s="39" t="s">
        <v>568</v>
      </c>
      <c r="D252" s="36" t="s">
        <v>1559</v>
      </c>
      <c r="E252" s="39" t="s">
        <v>1560</v>
      </c>
      <c r="F252" s="39" t="s">
        <v>1561</v>
      </c>
      <c r="G252" s="36" t="s">
        <v>791</v>
      </c>
    </row>
    <row r="253" ht="22.5" customHeight="1">
      <c r="A253" s="36" t="s">
        <v>1562</v>
      </c>
      <c r="B253" s="36" t="s">
        <v>642</v>
      </c>
      <c r="C253" s="39" t="s">
        <v>945</v>
      </c>
      <c r="D253" s="36" t="s">
        <v>1563</v>
      </c>
      <c r="E253" s="36" t="s">
        <v>1564</v>
      </c>
      <c r="F253" s="39" t="s">
        <v>1565</v>
      </c>
      <c r="G253" s="36" t="s">
        <v>791</v>
      </c>
    </row>
    <row r="254" ht="22.5" customHeight="1">
      <c r="A254" s="36" t="s">
        <v>1566</v>
      </c>
      <c r="B254" s="36" t="s">
        <v>642</v>
      </c>
      <c r="C254" s="39" t="s">
        <v>377</v>
      </c>
      <c r="D254" s="36" t="s">
        <v>1567</v>
      </c>
      <c r="E254" s="36" t="s">
        <v>1568</v>
      </c>
      <c r="F254" s="39" t="s">
        <v>1569</v>
      </c>
      <c r="G254" s="36" t="s">
        <v>791</v>
      </c>
    </row>
    <row r="255" ht="22.5" customHeight="1">
      <c r="A255" s="36" t="s">
        <v>1570</v>
      </c>
      <c r="B255" s="36" t="s">
        <v>642</v>
      </c>
      <c r="C255" s="39" t="s">
        <v>953</v>
      </c>
      <c r="D255" s="36" t="s">
        <v>1571</v>
      </c>
      <c r="E255" s="39" t="s">
        <v>1572</v>
      </c>
      <c r="F255" s="39" t="s">
        <v>1573</v>
      </c>
      <c r="G255" s="36" t="s">
        <v>845</v>
      </c>
    </row>
    <row r="256" ht="22.5" customHeight="1">
      <c r="A256" s="36" t="s">
        <v>1574</v>
      </c>
      <c r="B256" s="36" t="s">
        <v>642</v>
      </c>
      <c r="C256" s="39" t="s">
        <v>317</v>
      </c>
      <c r="D256" s="36" t="s">
        <v>1575</v>
      </c>
      <c r="E256" s="39" t="s">
        <v>1576</v>
      </c>
      <c r="F256" s="39" t="s">
        <v>1565</v>
      </c>
      <c r="G256" s="36" t="s">
        <v>791</v>
      </c>
    </row>
    <row r="257" ht="22.5" customHeight="1">
      <c r="A257" s="36" t="s">
        <v>1577</v>
      </c>
      <c r="B257" s="36" t="s">
        <v>642</v>
      </c>
      <c r="C257" s="39" t="s">
        <v>960</v>
      </c>
      <c r="D257" s="36" t="s">
        <v>1578</v>
      </c>
      <c r="E257" s="39" t="s">
        <v>1579</v>
      </c>
      <c r="F257" s="39" t="s">
        <v>1565</v>
      </c>
      <c r="G257" s="36" t="s">
        <v>791</v>
      </c>
    </row>
    <row r="258" ht="22.5" customHeight="1">
      <c r="A258" s="36" t="s">
        <v>1580</v>
      </c>
      <c r="B258" s="36" t="s">
        <v>642</v>
      </c>
      <c r="C258" s="39" t="s">
        <v>463</v>
      </c>
      <c r="D258" s="36" t="s">
        <v>1581</v>
      </c>
      <c r="E258" s="36" t="s">
        <v>1582</v>
      </c>
      <c r="F258" s="39" t="s">
        <v>1583</v>
      </c>
      <c r="G258" s="36" t="s">
        <v>845</v>
      </c>
    </row>
    <row r="259" ht="22.5" customHeight="1">
      <c r="A259" s="36" t="s">
        <v>1584</v>
      </c>
      <c r="B259" s="36" t="s">
        <v>642</v>
      </c>
      <c r="C259" s="39" t="s">
        <v>1046</v>
      </c>
      <c r="D259" s="36" t="s">
        <v>1585</v>
      </c>
      <c r="E259" s="39" t="s">
        <v>1586</v>
      </c>
      <c r="F259" s="39" t="s">
        <v>1586</v>
      </c>
      <c r="G259" s="36" t="s">
        <v>845</v>
      </c>
    </row>
    <row r="260" ht="22.5" customHeight="1">
      <c r="A260" s="36" t="s">
        <v>1587</v>
      </c>
      <c r="B260" s="36" t="s">
        <v>642</v>
      </c>
      <c r="C260" s="39" t="s">
        <v>599</v>
      </c>
      <c r="D260" s="36" t="s">
        <v>1588</v>
      </c>
      <c r="E260" s="39" t="s">
        <v>1589</v>
      </c>
      <c r="F260" s="39" t="s">
        <v>1590</v>
      </c>
      <c r="G260" s="36" t="s">
        <v>845</v>
      </c>
    </row>
    <row r="261" ht="22.5" customHeight="1">
      <c r="A261" s="36" t="s">
        <v>1591</v>
      </c>
      <c r="B261" s="36" t="s">
        <v>642</v>
      </c>
      <c r="C261" s="39" t="s">
        <v>1035</v>
      </c>
      <c r="D261" s="36" t="s">
        <v>1592</v>
      </c>
      <c r="E261" s="36" t="s">
        <v>1593</v>
      </c>
      <c r="F261" s="39" t="s">
        <v>1594</v>
      </c>
      <c r="G261" s="36" t="s">
        <v>791</v>
      </c>
    </row>
    <row r="262" ht="22.5" customHeight="1">
      <c r="A262" s="36" t="s">
        <v>1595</v>
      </c>
      <c r="B262" s="36" t="s">
        <v>642</v>
      </c>
      <c r="C262" s="39" t="s">
        <v>718</v>
      </c>
      <c r="D262" s="36" t="s">
        <v>1596</v>
      </c>
      <c r="E262" s="39" t="s">
        <v>1597</v>
      </c>
      <c r="F262" s="39" t="s">
        <v>1598</v>
      </c>
      <c r="G262" s="36" t="s">
        <v>845</v>
      </c>
    </row>
    <row r="263" ht="22.5" customHeight="1">
      <c r="A263" s="36" t="s">
        <v>1599</v>
      </c>
      <c r="B263" s="36" t="s">
        <v>642</v>
      </c>
      <c r="C263" s="39" t="s">
        <v>1050</v>
      </c>
      <c r="D263" s="36" t="s">
        <v>1600</v>
      </c>
      <c r="E263" s="39" t="s">
        <v>1601</v>
      </c>
      <c r="F263" s="36" t="s">
        <v>1602</v>
      </c>
      <c r="G263" s="36" t="s">
        <v>845</v>
      </c>
    </row>
    <row r="264" ht="22.5" customHeight="1">
      <c r="A264" s="36" t="s">
        <v>1603</v>
      </c>
      <c r="B264" s="36" t="s">
        <v>642</v>
      </c>
      <c r="C264" s="39" t="s">
        <v>1074</v>
      </c>
      <c r="D264" s="36" t="s">
        <v>1604</v>
      </c>
      <c r="E264" s="39" t="s">
        <v>1605</v>
      </c>
      <c r="F264" s="36" t="s">
        <v>1606</v>
      </c>
      <c r="G264" s="36" t="s">
        <v>791</v>
      </c>
      <c r="H264" s="36" t="s">
        <v>1607</v>
      </c>
    </row>
    <row r="265" ht="22.5" customHeight="1">
      <c r="A265" s="36" t="s">
        <v>1608</v>
      </c>
      <c r="B265" s="36" t="s">
        <v>656</v>
      </c>
      <c r="C265" s="39" t="s">
        <v>542</v>
      </c>
      <c r="D265" s="36" t="s">
        <v>661</v>
      </c>
      <c r="E265" s="36" t="s">
        <v>1609</v>
      </c>
      <c r="F265" s="36" t="s">
        <v>1610</v>
      </c>
      <c r="G265" s="36" t="s">
        <v>791</v>
      </c>
      <c r="H265" s="36" t="s">
        <v>1182</v>
      </c>
    </row>
    <row r="266" ht="22.5" customHeight="1">
      <c r="A266" s="36" t="s">
        <v>1611</v>
      </c>
      <c r="B266" s="36" t="s">
        <v>656</v>
      </c>
      <c r="C266" s="39" t="s">
        <v>895</v>
      </c>
      <c r="D266" s="36" t="s">
        <v>1612</v>
      </c>
      <c r="E266" s="36" t="s">
        <v>1613</v>
      </c>
      <c r="F266" s="36">
        <v>-10.0</v>
      </c>
      <c r="G266" s="36" t="s">
        <v>791</v>
      </c>
      <c r="H266" s="36" t="s">
        <v>1182</v>
      </c>
    </row>
    <row r="267" ht="22.5" customHeight="1">
      <c r="A267" s="36" t="s">
        <v>1614</v>
      </c>
      <c r="B267" s="36" t="s">
        <v>671</v>
      </c>
      <c r="C267" s="39" t="s">
        <v>542</v>
      </c>
      <c r="D267" s="36" t="s">
        <v>1615</v>
      </c>
      <c r="E267" s="36" t="s">
        <v>1616</v>
      </c>
      <c r="F267" s="36" t="s">
        <v>1617</v>
      </c>
      <c r="G267" s="36" t="s">
        <v>791</v>
      </c>
    </row>
    <row r="268" ht="22.5" customHeight="1">
      <c r="A268" s="36" t="s">
        <v>1618</v>
      </c>
      <c r="B268" s="36" t="s">
        <v>671</v>
      </c>
      <c r="C268" s="39" t="s">
        <v>895</v>
      </c>
      <c r="D268" s="36" t="s">
        <v>1619</v>
      </c>
      <c r="E268" s="36" t="s">
        <v>1620</v>
      </c>
      <c r="F268" s="36" t="s">
        <v>1621</v>
      </c>
      <c r="G268" s="36" t="s">
        <v>791</v>
      </c>
    </row>
    <row r="269" ht="22.5" customHeight="1">
      <c r="A269" s="36" t="s">
        <v>1622</v>
      </c>
      <c r="B269" s="36" t="s">
        <v>671</v>
      </c>
      <c r="C269" s="39" t="s">
        <v>928</v>
      </c>
      <c r="D269" s="36" t="s">
        <v>1623</v>
      </c>
      <c r="E269" s="36" t="s">
        <v>1624</v>
      </c>
      <c r="F269" s="36" t="s">
        <v>1625</v>
      </c>
      <c r="G269" s="36" t="s">
        <v>791</v>
      </c>
    </row>
    <row r="270" ht="22.5" customHeight="1">
      <c r="A270" s="36" t="s">
        <v>1626</v>
      </c>
      <c r="B270" s="36" t="s">
        <v>671</v>
      </c>
      <c r="C270" s="39" t="s">
        <v>933</v>
      </c>
      <c r="D270" s="36" t="s">
        <v>1627</v>
      </c>
      <c r="E270" s="36" t="s">
        <v>1628</v>
      </c>
      <c r="F270" s="36" t="s">
        <v>1629</v>
      </c>
      <c r="G270" s="36" t="s">
        <v>791</v>
      </c>
    </row>
    <row r="271" ht="22.5" customHeight="1">
      <c r="A271" s="36" t="s">
        <v>1630</v>
      </c>
      <c r="B271" s="36" t="s">
        <v>671</v>
      </c>
      <c r="C271" s="39" t="s">
        <v>314</v>
      </c>
      <c r="D271" s="36" t="s">
        <v>929</v>
      </c>
      <c r="E271" s="36" t="s">
        <v>1631</v>
      </c>
      <c r="F271" s="36" t="s">
        <v>1617</v>
      </c>
      <c r="G271" s="36" t="s">
        <v>791</v>
      </c>
    </row>
    <row r="272" ht="22.5" customHeight="1">
      <c r="A272" s="36" t="s">
        <v>1632</v>
      </c>
      <c r="B272" s="36" t="s">
        <v>671</v>
      </c>
      <c r="C272" s="39" t="s">
        <v>568</v>
      </c>
      <c r="D272" s="36" t="s">
        <v>1633</v>
      </c>
      <c r="E272" s="36" t="s">
        <v>1634</v>
      </c>
      <c r="F272" s="36" t="s">
        <v>1635</v>
      </c>
      <c r="G272" s="36" t="s">
        <v>791</v>
      </c>
    </row>
    <row r="273" ht="22.5" customHeight="1">
      <c r="A273" s="36" t="s">
        <v>1636</v>
      </c>
      <c r="B273" s="36" t="s">
        <v>671</v>
      </c>
      <c r="C273" s="39" t="s">
        <v>945</v>
      </c>
      <c r="D273" s="36" t="s">
        <v>1637</v>
      </c>
      <c r="E273" s="36" t="s">
        <v>1638</v>
      </c>
      <c r="F273" s="36" t="s">
        <v>1639</v>
      </c>
      <c r="G273" s="36" t="s">
        <v>791</v>
      </c>
    </row>
    <row r="274" ht="22.5" customHeight="1">
      <c r="A274" s="36" t="s">
        <v>1640</v>
      </c>
      <c r="B274" s="36" t="s">
        <v>671</v>
      </c>
      <c r="C274" s="39" t="s">
        <v>377</v>
      </c>
      <c r="D274" s="36" t="s">
        <v>1641</v>
      </c>
      <c r="E274" s="36" t="s">
        <v>1642</v>
      </c>
      <c r="F274" s="36" t="s">
        <v>1643</v>
      </c>
      <c r="G274" s="36" t="s">
        <v>791</v>
      </c>
    </row>
    <row r="275" ht="22.5" customHeight="1">
      <c r="A275" s="36" t="s">
        <v>1644</v>
      </c>
      <c r="B275" s="36" t="s">
        <v>671</v>
      </c>
      <c r="C275" s="39" t="s">
        <v>953</v>
      </c>
      <c r="D275" s="36" t="s">
        <v>1645</v>
      </c>
      <c r="E275" s="36" t="s">
        <v>1646</v>
      </c>
      <c r="F275" s="36" t="s">
        <v>1617</v>
      </c>
      <c r="G275" s="36" t="s">
        <v>791</v>
      </c>
    </row>
    <row r="276" ht="22.5" customHeight="1">
      <c r="A276" s="36" t="s">
        <v>1647</v>
      </c>
      <c r="B276" s="36" t="s">
        <v>671</v>
      </c>
      <c r="C276" s="39" t="s">
        <v>317</v>
      </c>
      <c r="D276" s="36" t="s">
        <v>1648</v>
      </c>
      <c r="E276" s="36" t="s">
        <v>1649</v>
      </c>
      <c r="F276" s="36" t="s">
        <v>1650</v>
      </c>
      <c r="G276" s="36" t="s">
        <v>791</v>
      </c>
    </row>
    <row r="277" ht="22.5" customHeight="1">
      <c r="A277" s="36" t="s">
        <v>1651</v>
      </c>
      <c r="B277" s="36" t="s">
        <v>671</v>
      </c>
      <c r="C277" s="39" t="s">
        <v>960</v>
      </c>
      <c r="D277" s="36" t="s">
        <v>1652</v>
      </c>
      <c r="E277" s="36" t="s">
        <v>1653</v>
      </c>
      <c r="F277" s="36" t="s">
        <v>1654</v>
      </c>
      <c r="G277" s="36" t="s">
        <v>791</v>
      </c>
    </row>
    <row r="278" ht="22.5" customHeight="1">
      <c r="A278" s="36" t="s">
        <v>1655</v>
      </c>
      <c r="B278" s="36" t="s">
        <v>671</v>
      </c>
      <c r="C278" s="39" t="s">
        <v>463</v>
      </c>
      <c r="D278" s="36" t="s">
        <v>1656</v>
      </c>
      <c r="E278" s="36" t="s">
        <v>1657</v>
      </c>
      <c r="F278" s="36" t="s">
        <v>1658</v>
      </c>
      <c r="G278" s="36" t="s">
        <v>791</v>
      </c>
    </row>
    <row r="279" ht="22.5" customHeight="1">
      <c r="A279" s="36" t="s">
        <v>1659</v>
      </c>
      <c r="B279" s="36" t="s">
        <v>671</v>
      </c>
      <c r="C279" s="39" t="s">
        <v>1046</v>
      </c>
      <c r="D279" s="36" t="s">
        <v>929</v>
      </c>
      <c r="E279" s="36" t="s">
        <v>1660</v>
      </c>
      <c r="F279" s="36" t="s">
        <v>1654</v>
      </c>
      <c r="G279" s="36" t="s">
        <v>791</v>
      </c>
    </row>
    <row r="280" ht="22.5" customHeight="1">
      <c r="A280" s="36" t="s">
        <v>1661</v>
      </c>
      <c r="B280" s="36" t="s">
        <v>671</v>
      </c>
      <c r="C280" s="39" t="s">
        <v>599</v>
      </c>
      <c r="D280" s="36" t="s">
        <v>1662</v>
      </c>
      <c r="E280" s="36" t="s">
        <v>1663</v>
      </c>
      <c r="F280" s="36" t="s">
        <v>1664</v>
      </c>
      <c r="G280" s="36" t="s">
        <v>791</v>
      </c>
    </row>
    <row r="281" ht="22.5" customHeight="1">
      <c r="A281" s="36" t="s">
        <v>1665</v>
      </c>
      <c r="B281" s="36" t="s">
        <v>688</v>
      </c>
      <c r="C281" s="39" t="s">
        <v>542</v>
      </c>
      <c r="D281" s="36" t="s">
        <v>1666</v>
      </c>
      <c r="E281" s="61">
        <v>-5602979.0</v>
      </c>
      <c r="F281" s="36" t="s">
        <v>1667</v>
      </c>
      <c r="G281" s="36" t="s">
        <v>791</v>
      </c>
      <c r="H281" s="36" t="s">
        <v>1186</v>
      </c>
    </row>
    <row r="282" ht="22.5" customHeight="1">
      <c r="A282" s="39" t="s">
        <v>1668</v>
      </c>
      <c r="B282" s="36" t="s">
        <v>688</v>
      </c>
      <c r="C282" s="39" t="s">
        <v>895</v>
      </c>
      <c r="D282" s="36" t="s">
        <v>1486</v>
      </c>
      <c r="E282" s="61">
        <v>-5676093.0</v>
      </c>
      <c r="F282" s="36" t="s">
        <v>1667</v>
      </c>
      <c r="G282" s="36" t="s">
        <v>791</v>
      </c>
      <c r="H282" s="36" t="s">
        <v>1186</v>
      </c>
    </row>
    <row r="283" ht="22.5" customHeight="1">
      <c r="A283" s="36" t="s">
        <v>1669</v>
      </c>
      <c r="B283" s="36" t="s">
        <v>705</v>
      </c>
      <c r="C283" s="39" t="s">
        <v>542</v>
      </c>
      <c r="D283" s="36" t="s">
        <v>1670</v>
      </c>
      <c r="E283" s="36" t="s">
        <v>1671</v>
      </c>
      <c r="F283" s="36" t="s">
        <v>1672</v>
      </c>
      <c r="G283" s="36" t="s">
        <v>791</v>
      </c>
      <c r="H283" s="36" t="s">
        <v>1186</v>
      </c>
    </row>
    <row r="284" ht="22.5" customHeight="1">
      <c r="A284" s="36" t="s">
        <v>1673</v>
      </c>
      <c r="B284" s="36" t="s">
        <v>705</v>
      </c>
      <c r="C284" s="39" t="s">
        <v>895</v>
      </c>
      <c r="D284" s="36" t="s">
        <v>1674</v>
      </c>
      <c r="E284" s="36" t="s">
        <v>1675</v>
      </c>
      <c r="F284" s="36" t="s">
        <v>1676</v>
      </c>
      <c r="G284" s="36" t="s">
        <v>791</v>
      </c>
      <c r="H284" s="36" t="s">
        <v>1186</v>
      </c>
    </row>
    <row r="285" ht="22.5" customHeight="1">
      <c r="A285" s="36" t="s">
        <v>1677</v>
      </c>
      <c r="B285" s="36" t="s">
        <v>705</v>
      </c>
      <c r="C285" s="39" t="s">
        <v>928</v>
      </c>
      <c r="D285" s="36" t="s">
        <v>1678</v>
      </c>
      <c r="E285" s="36" t="s">
        <v>1679</v>
      </c>
      <c r="F285" s="36" t="s">
        <v>1680</v>
      </c>
      <c r="G285" s="36" t="s">
        <v>791</v>
      </c>
      <c r="H285" s="36" t="s">
        <v>1186</v>
      </c>
    </row>
    <row r="286" ht="22.5" customHeight="1">
      <c r="A286" s="36" t="s">
        <v>1681</v>
      </c>
      <c r="B286" s="36" t="s">
        <v>705</v>
      </c>
      <c r="C286" s="39" t="s">
        <v>933</v>
      </c>
      <c r="D286" s="36" t="s">
        <v>929</v>
      </c>
      <c r="E286" s="36" t="s">
        <v>1682</v>
      </c>
      <c r="F286" s="36" t="s">
        <v>1683</v>
      </c>
      <c r="G286" s="36" t="s">
        <v>791</v>
      </c>
      <c r="H286" s="36" t="s">
        <v>1186</v>
      </c>
    </row>
    <row r="287" ht="22.5" customHeight="1">
      <c r="A287" s="36" t="s">
        <v>1684</v>
      </c>
      <c r="B287" s="36" t="s">
        <v>705</v>
      </c>
      <c r="C287" s="39" t="s">
        <v>314</v>
      </c>
      <c r="D287" s="36" t="s">
        <v>1486</v>
      </c>
      <c r="E287" s="36" t="s">
        <v>1685</v>
      </c>
      <c r="F287" s="36" t="s">
        <v>1667</v>
      </c>
      <c r="G287" s="36" t="s">
        <v>791</v>
      </c>
      <c r="H287" s="36" t="s">
        <v>1186</v>
      </c>
    </row>
    <row r="288" ht="22.5" customHeight="1">
      <c r="A288" s="36" t="s">
        <v>1686</v>
      </c>
      <c r="B288" s="36" t="s">
        <v>712</v>
      </c>
      <c r="C288" s="39" t="s">
        <v>542</v>
      </c>
      <c r="D288" s="36" t="s">
        <v>1687</v>
      </c>
      <c r="E288" s="36" t="s">
        <v>1688</v>
      </c>
      <c r="F288" s="36" t="s">
        <v>1689</v>
      </c>
      <c r="G288" s="36" t="s">
        <v>791</v>
      </c>
      <c r="H288" s="36" t="s">
        <v>797</v>
      </c>
    </row>
    <row r="289" ht="22.5" customHeight="1">
      <c r="A289" s="36" t="s">
        <v>1690</v>
      </c>
      <c r="B289" s="36" t="s">
        <v>712</v>
      </c>
      <c r="C289" s="39" t="s">
        <v>895</v>
      </c>
      <c r="D289" s="36" t="s">
        <v>1691</v>
      </c>
      <c r="E289" s="36" t="s">
        <v>1692</v>
      </c>
      <c r="F289" s="36" t="s">
        <v>1693</v>
      </c>
      <c r="G289" s="36" t="s">
        <v>791</v>
      </c>
      <c r="H289" s="36" t="s">
        <v>797</v>
      </c>
    </row>
    <row r="290" ht="22.5" customHeight="1">
      <c r="A290" s="36" t="s">
        <v>1694</v>
      </c>
      <c r="B290" s="36" t="s">
        <v>722</v>
      </c>
      <c r="C290" s="39" t="s">
        <v>542</v>
      </c>
      <c r="D290" s="36" t="s">
        <v>1687</v>
      </c>
      <c r="E290" s="36" t="s">
        <v>1695</v>
      </c>
      <c r="F290" s="36" t="s">
        <v>1696</v>
      </c>
      <c r="G290" s="36" t="s">
        <v>791</v>
      </c>
      <c r="H290" s="36" t="s">
        <v>797</v>
      </c>
    </row>
    <row r="291" ht="22.5" customHeight="1">
      <c r="A291" s="36" t="s">
        <v>1697</v>
      </c>
      <c r="B291" s="36" t="s">
        <v>722</v>
      </c>
      <c r="C291" s="39" t="s">
        <v>895</v>
      </c>
      <c r="D291" s="36" t="s">
        <v>1691</v>
      </c>
      <c r="E291" s="36" t="s">
        <v>1698</v>
      </c>
      <c r="F291" s="36" t="s">
        <v>1699</v>
      </c>
      <c r="G291" s="36" t="s">
        <v>791</v>
      </c>
      <c r="H291" s="36" t="s">
        <v>797</v>
      </c>
    </row>
    <row r="292" ht="22.5" customHeight="1">
      <c r="A292" s="36" t="s">
        <v>1700</v>
      </c>
      <c r="B292" s="36" t="s">
        <v>730</v>
      </c>
      <c r="C292" s="39" t="s">
        <v>542</v>
      </c>
      <c r="D292" s="36" t="s">
        <v>1701</v>
      </c>
      <c r="E292" s="36" t="s">
        <v>1702</v>
      </c>
      <c r="F292" s="36" t="s">
        <v>1703</v>
      </c>
      <c r="G292" s="36" t="s">
        <v>791</v>
      </c>
    </row>
    <row r="293" ht="22.5" customHeight="1">
      <c r="A293" s="36" t="s">
        <v>1704</v>
      </c>
      <c r="B293" s="36" t="s">
        <v>730</v>
      </c>
      <c r="C293" s="39" t="s">
        <v>895</v>
      </c>
      <c r="D293" s="36" t="s">
        <v>1705</v>
      </c>
      <c r="E293" s="36" t="s">
        <v>1706</v>
      </c>
      <c r="F293" s="36" t="s">
        <v>1707</v>
      </c>
      <c r="G293" s="36" t="s">
        <v>791</v>
      </c>
    </row>
    <row r="294" ht="22.5" customHeight="1">
      <c r="A294" s="36" t="s">
        <v>1708</v>
      </c>
      <c r="B294" s="36" t="s">
        <v>730</v>
      </c>
      <c r="C294" s="39" t="s">
        <v>928</v>
      </c>
      <c r="D294" s="36" t="s">
        <v>1709</v>
      </c>
      <c r="E294" s="36" t="s">
        <v>1710</v>
      </c>
      <c r="F294" s="36" t="s">
        <v>1711</v>
      </c>
      <c r="G294" s="36" t="s">
        <v>791</v>
      </c>
    </row>
    <row r="295" ht="22.5" customHeight="1">
      <c r="A295" s="36" t="s">
        <v>1712</v>
      </c>
      <c r="B295" s="36" t="s">
        <v>730</v>
      </c>
      <c r="C295" s="39" t="s">
        <v>933</v>
      </c>
      <c r="D295" s="36" t="s">
        <v>1713</v>
      </c>
      <c r="E295" s="36" t="s">
        <v>1714</v>
      </c>
      <c r="F295" s="36" t="s">
        <v>1715</v>
      </c>
      <c r="G295" s="36" t="s">
        <v>791</v>
      </c>
    </row>
    <row r="296" ht="22.5" customHeight="1">
      <c r="A296" s="36" t="s">
        <v>1716</v>
      </c>
      <c r="B296" s="36" t="s">
        <v>730</v>
      </c>
      <c r="C296" s="39" t="s">
        <v>314</v>
      </c>
      <c r="D296" s="36" t="s">
        <v>1717</v>
      </c>
      <c r="E296" s="36" t="s">
        <v>1718</v>
      </c>
      <c r="F296" s="36" t="s">
        <v>1719</v>
      </c>
      <c r="G296" s="36" t="s">
        <v>791</v>
      </c>
    </row>
    <row r="297" ht="22.5" customHeight="1">
      <c r="A297" s="36" t="s">
        <v>1720</v>
      </c>
      <c r="B297" s="36" t="s">
        <v>744</v>
      </c>
      <c r="C297" s="39" t="s">
        <v>542</v>
      </c>
      <c r="D297" s="36" t="s">
        <v>920</v>
      </c>
      <c r="E297" s="36" t="s">
        <v>1721</v>
      </c>
      <c r="F297" s="36" t="s">
        <v>1722</v>
      </c>
      <c r="G297" s="36" t="s">
        <v>845</v>
      </c>
      <c r="H297" s="36" t="s">
        <v>1723</v>
      </c>
    </row>
    <row r="298" ht="22.5" customHeight="1">
      <c r="A298" s="36" t="s">
        <v>1724</v>
      </c>
      <c r="B298" s="36" t="s">
        <v>744</v>
      </c>
      <c r="C298" s="39" t="s">
        <v>895</v>
      </c>
      <c r="D298" s="36" t="s">
        <v>1725</v>
      </c>
      <c r="E298" s="36" t="s">
        <v>1726</v>
      </c>
      <c r="F298" s="36" t="s">
        <v>1727</v>
      </c>
      <c r="G298" s="36" t="s">
        <v>791</v>
      </c>
      <c r="H298" s="36" t="s">
        <v>1728</v>
      </c>
    </row>
    <row r="299" ht="22.5" customHeight="1">
      <c r="A299" s="36" t="s">
        <v>1729</v>
      </c>
      <c r="B299" s="36" t="s">
        <v>696</v>
      </c>
      <c r="C299" s="39" t="s">
        <v>542</v>
      </c>
      <c r="D299" s="36" t="s">
        <v>1023</v>
      </c>
      <c r="E299" s="36" t="s">
        <v>1730</v>
      </c>
      <c r="F299" s="36" t="s">
        <v>1731</v>
      </c>
      <c r="G299" s="36" t="s">
        <v>791</v>
      </c>
      <c r="H299" s="36" t="s">
        <v>797</v>
      </c>
    </row>
    <row r="300" ht="22.5" customHeight="1">
      <c r="A300" s="36" t="s">
        <v>1732</v>
      </c>
      <c r="B300" s="36" t="s">
        <v>696</v>
      </c>
      <c r="C300" s="39" t="s">
        <v>895</v>
      </c>
      <c r="D300" s="36" t="s">
        <v>1733</v>
      </c>
      <c r="E300" s="39" t="s">
        <v>1734</v>
      </c>
      <c r="F300" s="36" t="s">
        <v>1735</v>
      </c>
      <c r="G300" s="36" t="s">
        <v>791</v>
      </c>
      <c r="H300" s="36" t="s">
        <v>797</v>
      </c>
    </row>
    <row r="301" ht="22.5" customHeight="1">
      <c r="A301" s="36" t="s">
        <v>1736</v>
      </c>
      <c r="B301" s="36" t="s">
        <v>696</v>
      </c>
      <c r="C301" s="39" t="s">
        <v>928</v>
      </c>
      <c r="D301" s="36" t="s">
        <v>1737</v>
      </c>
      <c r="E301" s="36" t="s">
        <v>1738</v>
      </c>
      <c r="F301" s="36" t="s">
        <v>1739</v>
      </c>
      <c r="G301" s="36" t="s">
        <v>791</v>
      </c>
      <c r="H301" s="36" t="s">
        <v>797</v>
      </c>
    </row>
    <row r="302" ht="22.5" customHeight="1">
      <c r="A302" s="36" t="s">
        <v>1740</v>
      </c>
      <c r="B302" s="36" t="s">
        <v>696</v>
      </c>
      <c r="C302" s="39" t="s">
        <v>933</v>
      </c>
      <c r="D302" s="36" t="s">
        <v>1741</v>
      </c>
      <c r="E302" s="36" t="s">
        <v>1742</v>
      </c>
      <c r="F302" s="36" t="s">
        <v>1743</v>
      </c>
      <c r="G302" s="36" t="s">
        <v>791</v>
      </c>
      <c r="H302" s="36" t="s">
        <v>797</v>
      </c>
    </row>
    <row r="303" ht="22.5" customHeight="1">
      <c r="A303" s="36" t="s">
        <v>1744</v>
      </c>
      <c r="B303" s="36" t="s">
        <v>696</v>
      </c>
      <c r="C303" s="39" t="s">
        <v>314</v>
      </c>
      <c r="D303" s="36" t="s">
        <v>1745</v>
      </c>
      <c r="E303" s="36" t="s">
        <v>1746</v>
      </c>
      <c r="F303" s="36" t="s">
        <v>1743</v>
      </c>
      <c r="G303" s="36" t="s">
        <v>791</v>
      </c>
      <c r="H303" s="36" t="s">
        <v>797</v>
      </c>
    </row>
    <row r="304" ht="22.5" customHeight="1">
      <c r="A304" s="36" t="s">
        <v>1747</v>
      </c>
      <c r="B304" s="36" t="s">
        <v>696</v>
      </c>
      <c r="C304" s="39" t="s">
        <v>568</v>
      </c>
      <c r="D304" s="36" t="s">
        <v>1748</v>
      </c>
      <c r="E304" s="36" t="s">
        <v>1749</v>
      </c>
      <c r="F304" s="36" t="s">
        <v>1750</v>
      </c>
      <c r="G304" s="36" t="s">
        <v>791</v>
      </c>
      <c r="H304" s="36" t="s">
        <v>797</v>
      </c>
    </row>
    <row r="305" ht="22.5" customHeight="1">
      <c r="A305" s="36" t="s">
        <v>1751</v>
      </c>
      <c r="B305" s="36" t="s">
        <v>696</v>
      </c>
      <c r="C305" s="39" t="s">
        <v>945</v>
      </c>
      <c r="D305" s="36" t="s">
        <v>1752</v>
      </c>
      <c r="E305" s="39" t="s">
        <v>1753</v>
      </c>
      <c r="F305" s="36" t="s">
        <v>1754</v>
      </c>
      <c r="G305" s="36" t="s">
        <v>791</v>
      </c>
      <c r="H305" s="36" t="s">
        <v>797</v>
      </c>
    </row>
    <row r="306" ht="22.5" customHeight="1">
      <c r="A306" s="36" t="s">
        <v>1755</v>
      </c>
      <c r="B306" s="36" t="s">
        <v>696</v>
      </c>
      <c r="C306" s="39" t="s">
        <v>377</v>
      </c>
      <c r="D306" s="36" t="s">
        <v>1756</v>
      </c>
      <c r="E306" s="39" t="s">
        <v>1757</v>
      </c>
      <c r="F306" s="36" t="s">
        <v>1014</v>
      </c>
      <c r="G306" s="36" t="s">
        <v>791</v>
      </c>
      <c r="H306" s="36" t="s">
        <v>797</v>
      </c>
    </row>
    <row r="307" ht="22.5" customHeight="1">
      <c r="A307" s="36" t="s">
        <v>1758</v>
      </c>
      <c r="B307" s="36" t="s">
        <v>696</v>
      </c>
      <c r="C307" s="39" t="s">
        <v>953</v>
      </c>
      <c r="D307" s="36" t="s">
        <v>1759</v>
      </c>
      <c r="E307" s="36" t="s">
        <v>1760</v>
      </c>
      <c r="F307" s="36" t="s">
        <v>1750</v>
      </c>
      <c r="G307" s="36" t="s">
        <v>791</v>
      </c>
      <c r="H307" s="36" t="s">
        <v>797</v>
      </c>
    </row>
    <row r="308" ht="22.5" customHeight="1">
      <c r="A308" s="36" t="s">
        <v>1761</v>
      </c>
      <c r="B308" s="36" t="s">
        <v>696</v>
      </c>
      <c r="C308" s="39" t="s">
        <v>317</v>
      </c>
      <c r="D308" s="36" t="s">
        <v>1762</v>
      </c>
      <c r="E308" s="36" t="s">
        <v>1763</v>
      </c>
      <c r="F308" s="36" t="s">
        <v>1750</v>
      </c>
      <c r="G308" s="36" t="s">
        <v>791</v>
      </c>
      <c r="H308" s="36" t="s">
        <v>797</v>
      </c>
    </row>
    <row r="309" ht="22.5" customHeight="1">
      <c r="A309" s="36" t="s">
        <v>1764</v>
      </c>
      <c r="B309" s="36" t="s">
        <v>696</v>
      </c>
      <c r="C309" s="39" t="s">
        <v>960</v>
      </c>
      <c r="D309" s="36" t="s">
        <v>1765</v>
      </c>
      <c r="E309" s="39" t="s">
        <v>1766</v>
      </c>
      <c r="F309" s="36" t="s">
        <v>1014</v>
      </c>
      <c r="G309" s="36" t="s">
        <v>791</v>
      </c>
    </row>
    <row r="310" ht="22.5" customHeight="1">
      <c r="A310" s="36" t="s">
        <v>1767</v>
      </c>
      <c r="B310" s="36" t="s">
        <v>696</v>
      </c>
      <c r="C310" s="39" t="s">
        <v>463</v>
      </c>
      <c r="D310" s="36" t="s">
        <v>1768</v>
      </c>
      <c r="E310" s="39" t="s">
        <v>1769</v>
      </c>
      <c r="F310" s="36" t="s">
        <v>1014</v>
      </c>
      <c r="G310" s="36" t="s">
        <v>791</v>
      </c>
    </row>
    <row r="311" ht="22.5" customHeight="1">
      <c r="A311" s="36" t="s">
        <v>1770</v>
      </c>
      <c r="B311" s="36" t="s">
        <v>696</v>
      </c>
      <c r="C311" s="39" t="s">
        <v>1046</v>
      </c>
      <c r="D311" s="36" t="s">
        <v>1771</v>
      </c>
      <c r="E311" s="39" t="s">
        <v>1772</v>
      </c>
      <c r="F311" s="36" t="s">
        <v>1735</v>
      </c>
      <c r="G311" s="36" t="s">
        <v>791</v>
      </c>
      <c r="H311" s="36" t="s">
        <v>797</v>
      </c>
    </row>
    <row r="312" ht="22.5" customHeight="1">
      <c r="A312" s="36" t="s">
        <v>1773</v>
      </c>
      <c r="B312" s="36" t="s">
        <v>696</v>
      </c>
      <c r="C312" s="39" t="s">
        <v>599</v>
      </c>
      <c r="D312" s="36" t="s">
        <v>1774</v>
      </c>
      <c r="E312" s="36" t="s">
        <v>1775</v>
      </c>
      <c r="F312" s="36" t="s">
        <v>1776</v>
      </c>
      <c r="G312" s="36" t="s">
        <v>791</v>
      </c>
    </row>
    <row r="313" ht="22.5" customHeight="1">
      <c r="A313" s="36" t="s">
        <v>1777</v>
      </c>
      <c r="B313" s="36" t="s">
        <v>696</v>
      </c>
      <c r="C313" s="39" t="s">
        <v>1035</v>
      </c>
      <c r="D313" s="36" t="s">
        <v>1778</v>
      </c>
      <c r="E313" s="39" t="s">
        <v>1779</v>
      </c>
      <c r="F313" s="36" t="s">
        <v>1038</v>
      </c>
      <c r="G313" s="36" t="s">
        <v>791</v>
      </c>
    </row>
    <row r="314" ht="22.5" customHeight="1">
      <c r="A314" s="36" t="s">
        <v>1780</v>
      </c>
      <c r="B314" s="36" t="s">
        <v>696</v>
      </c>
      <c r="C314" s="39" t="s">
        <v>718</v>
      </c>
      <c r="D314" s="36" t="s">
        <v>1781</v>
      </c>
      <c r="E314" s="39" t="s">
        <v>1782</v>
      </c>
      <c r="F314" s="36" t="s">
        <v>1014</v>
      </c>
      <c r="G314" s="36" t="s">
        <v>791</v>
      </c>
    </row>
    <row r="315" ht="22.5" customHeight="1">
      <c r="A315" s="36" t="s">
        <v>1783</v>
      </c>
      <c r="B315" s="36" t="s">
        <v>696</v>
      </c>
      <c r="C315" s="39" t="s">
        <v>1050</v>
      </c>
      <c r="D315" s="36" t="s">
        <v>1774</v>
      </c>
      <c r="E315" s="36" t="s">
        <v>1784</v>
      </c>
      <c r="F315" s="36" t="s">
        <v>1785</v>
      </c>
      <c r="G315" s="36" t="s">
        <v>791</v>
      </c>
      <c r="H315" s="36" t="s">
        <v>797</v>
      </c>
    </row>
    <row r="316" ht="22.5" customHeight="1">
      <c r="A316" s="36" t="s">
        <v>1786</v>
      </c>
      <c r="B316" s="36" t="s">
        <v>696</v>
      </c>
      <c r="C316" s="39" t="s">
        <v>585</v>
      </c>
      <c r="D316" s="36" t="s">
        <v>1787</v>
      </c>
      <c r="E316" s="39" t="s">
        <v>1788</v>
      </c>
      <c r="F316" s="36" t="s">
        <v>1789</v>
      </c>
      <c r="G316" s="36" t="s">
        <v>791</v>
      </c>
    </row>
    <row r="317" ht="22.5" customHeight="1">
      <c r="A317" s="36" t="s">
        <v>1790</v>
      </c>
      <c r="B317" s="36" t="s">
        <v>696</v>
      </c>
      <c r="C317" s="39" t="s">
        <v>1074</v>
      </c>
      <c r="D317" s="36" t="s">
        <v>1791</v>
      </c>
      <c r="E317" s="36" t="s">
        <v>1792</v>
      </c>
      <c r="F317" s="36" t="s">
        <v>1743</v>
      </c>
      <c r="G317" s="36" t="s">
        <v>791</v>
      </c>
      <c r="H317" s="36" t="s">
        <v>797</v>
      </c>
    </row>
    <row r="318" ht="22.5" customHeight="1">
      <c r="A318" s="36" t="s">
        <v>1793</v>
      </c>
      <c r="B318" s="36" t="s">
        <v>696</v>
      </c>
      <c r="C318" s="39" t="s">
        <v>1012</v>
      </c>
      <c r="D318" s="36" t="s">
        <v>1794</v>
      </c>
      <c r="E318" s="39" t="s">
        <v>1795</v>
      </c>
      <c r="F318" s="36" t="s">
        <v>1038</v>
      </c>
      <c r="G318" s="36" t="s">
        <v>791</v>
      </c>
    </row>
    <row r="319" ht="22.5" customHeight="1">
      <c r="A319" s="36" t="s">
        <v>1796</v>
      </c>
      <c r="B319" s="36" t="s">
        <v>696</v>
      </c>
      <c r="C319" s="39" t="s">
        <v>1070</v>
      </c>
      <c r="D319" s="36" t="s">
        <v>1797</v>
      </c>
      <c r="E319" s="39" t="s">
        <v>1798</v>
      </c>
      <c r="F319" s="36" t="s">
        <v>1014</v>
      </c>
      <c r="G319" s="36" t="s">
        <v>791</v>
      </c>
    </row>
    <row r="320" ht="22.5" customHeight="1">
      <c r="A320" s="36" t="s">
        <v>1799</v>
      </c>
      <c r="B320" s="36" t="s">
        <v>696</v>
      </c>
      <c r="C320" s="39" t="s">
        <v>1016</v>
      </c>
      <c r="D320" s="36" t="s">
        <v>1800</v>
      </c>
      <c r="E320" s="36" t="s">
        <v>1801</v>
      </c>
      <c r="F320" s="36" t="s">
        <v>1750</v>
      </c>
      <c r="G320" s="36" t="s">
        <v>791</v>
      </c>
    </row>
    <row r="321" ht="22.5" customHeight="1">
      <c r="A321" s="36" t="s">
        <v>1802</v>
      </c>
      <c r="B321" s="36" t="s">
        <v>696</v>
      </c>
      <c r="C321" s="39" t="s">
        <v>554</v>
      </c>
      <c r="D321" s="36" t="s">
        <v>1803</v>
      </c>
      <c r="E321" s="36" t="s">
        <v>1804</v>
      </c>
      <c r="F321" s="36" t="s">
        <v>1750</v>
      </c>
      <c r="G321" s="36" t="s">
        <v>791</v>
      </c>
    </row>
    <row r="322" ht="22.5" customHeight="1">
      <c r="A322" s="36" t="s">
        <v>1805</v>
      </c>
      <c r="B322" s="36" t="s">
        <v>696</v>
      </c>
      <c r="C322" s="39" t="s">
        <v>995</v>
      </c>
      <c r="D322" s="36" t="s">
        <v>1806</v>
      </c>
      <c r="E322" s="36" t="s">
        <v>1807</v>
      </c>
      <c r="F322" s="36" t="s">
        <v>1750</v>
      </c>
      <c r="G322" s="36" t="s">
        <v>791</v>
      </c>
    </row>
    <row r="323" ht="22.5" customHeight="1">
      <c r="A323" s="36" t="s">
        <v>1808</v>
      </c>
      <c r="B323" s="36" t="s">
        <v>696</v>
      </c>
      <c r="C323" s="39" t="s">
        <v>1062</v>
      </c>
      <c r="D323" s="36" t="s">
        <v>1809</v>
      </c>
      <c r="E323" s="36" t="s">
        <v>1810</v>
      </c>
      <c r="F323" s="36" t="s">
        <v>1750</v>
      </c>
      <c r="G323" s="36" t="s">
        <v>791</v>
      </c>
      <c r="H323" s="36" t="s">
        <v>797</v>
      </c>
    </row>
    <row r="324" ht="22.5" customHeight="1">
      <c r="A324" s="36" t="s">
        <v>1811</v>
      </c>
      <c r="B324" s="36" t="s">
        <v>696</v>
      </c>
      <c r="C324" s="39" t="s">
        <v>979</v>
      </c>
      <c r="D324" s="36" t="s">
        <v>1812</v>
      </c>
      <c r="E324" s="36" t="s">
        <v>1813</v>
      </c>
      <c r="F324" s="36" t="s">
        <v>1743</v>
      </c>
      <c r="G324" s="36" t="s">
        <v>791</v>
      </c>
      <c r="H324" s="36" t="s">
        <v>797</v>
      </c>
    </row>
    <row r="325" ht="22.5" customHeight="1">
      <c r="A325" s="36" t="s">
        <v>1814</v>
      </c>
      <c r="B325" s="36" t="s">
        <v>696</v>
      </c>
      <c r="C325" s="39" t="s">
        <v>974</v>
      </c>
      <c r="D325" s="36" t="s">
        <v>1815</v>
      </c>
      <c r="E325" s="36" t="s">
        <v>1816</v>
      </c>
      <c r="F325" s="36" t="s">
        <v>1750</v>
      </c>
      <c r="G325" s="36" t="s">
        <v>791</v>
      </c>
      <c r="H325" s="36" t="s">
        <v>797</v>
      </c>
    </row>
    <row r="326" ht="22.5" customHeight="1">
      <c r="A326" s="36" t="s">
        <v>1817</v>
      </c>
      <c r="B326" s="36" t="s">
        <v>696</v>
      </c>
      <c r="C326" s="39" t="s">
        <v>990</v>
      </c>
      <c r="D326" s="36" t="s">
        <v>1818</v>
      </c>
      <c r="E326" s="36" t="s">
        <v>1819</v>
      </c>
      <c r="F326" s="36" t="s">
        <v>1750</v>
      </c>
      <c r="G326" s="36" t="s">
        <v>791</v>
      </c>
      <c r="H326" s="36" t="s">
        <v>797</v>
      </c>
    </row>
    <row r="327" ht="22.5" customHeight="1">
      <c r="A327" s="36" t="s">
        <v>1820</v>
      </c>
      <c r="B327" s="36" t="s">
        <v>696</v>
      </c>
      <c r="C327" s="39" t="s">
        <v>1002</v>
      </c>
      <c r="D327" s="36" t="s">
        <v>1821</v>
      </c>
      <c r="E327" s="36" t="s">
        <v>1822</v>
      </c>
      <c r="F327" s="36" t="s">
        <v>1743</v>
      </c>
      <c r="G327" s="36" t="s">
        <v>791</v>
      </c>
      <c r="H327" s="36" t="s">
        <v>797</v>
      </c>
    </row>
    <row r="328" ht="22.5" customHeight="1">
      <c r="A328" s="36" t="s">
        <v>1823</v>
      </c>
      <c r="B328" s="36" t="s">
        <v>696</v>
      </c>
      <c r="C328" s="39" t="s">
        <v>1824</v>
      </c>
      <c r="D328" s="36" t="s">
        <v>1825</v>
      </c>
      <c r="E328" s="39" t="s">
        <v>1826</v>
      </c>
      <c r="F328" s="36" t="s">
        <v>1827</v>
      </c>
      <c r="G328" s="36" t="s">
        <v>791</v>
      </c>
      <c r="H328" s="36" t="s">
        <v>797</v>
      </c>
    </row>
    <row r="329" ht="22.5" customHeight="1">
      <c r="A329" s="36" t="s">
        <v>1828</v>
      </c>
      <c r="B329" s="36" t="s">
        <v>696</v>
      </c>
      <c r="C329" s="39" t="s">
        <v>1829</v>
      </c>
      <c r="D329" s="36" t="s">
        <v>1830</v>
      </c>
      <c r="E329" s="36" t="s">
        <v>1831</v>
      </c>
      <c r="F329" s="36" t="s">
        <v>1832</v>
      </c>
      <c r="G329" s="36" t="s">
        <v>791</v>
      </c>
      <c r="H329" s="36" t="s">
        <v>797</v>
      </c>
    </row>
    <row r="330" ht="22.5" customHeight="1">
      <c r="A330" s="36" t="s">
        <v>1833</v>
      </c>
      <c r="B330" s="36" t="s">
        <v>744</v>
      </c>
      <c r="C330" s="39" t="s">
        <v>928</v>
      </c>
      <c r="D330" s="36" t="s">
        <v>1834</v>
      </c>
      <c r="E330" s="36" t="s">
        <v>1835</v>
      </c>
      <c r="F330" s="36" t="s">
        <v>1836</v>
      </c>
      <c r="G330" s="36" t="s">
        <v>791</v>
      </c>
      <c r="H330" s="36" t="s">
        <v>1728</v>
      </c>
    </row>
    <row r="331" ht="22.5" customHeight="1">
      <c r="A331" s="36" t="s">
        <v>1837</v>
      </c>
      <c r="B331" s="36" t="s">
        <v>744</v>
      </c>
      <c r="C331" s="39" t="s">
        <v>933</v>
      </c>
      <c r="D331" s="36" t="s">
        <v>1838</v>
      </c>
      <c r="E331" s="36" t="s">
        <v>1839</v>
      </c>
      <c r="F331" s="36" t="s">
        <v>1727</v>
      </c>
      <c r="G331" s="36" t="s">
        <v>791</v>
      </c>
      <c r="H331" s="36" t="s">
        <v>1728</v>
      </c>
    </row>
    <row r="332" ht="22.5" customHeight="1">
      <c r="A332" s="36" t="s">
        <v>1840</v>
      </c>
      <c r="B332" s="36" t="s">
        <v>744</v>
      </c>
      <c r="C332" s="39" t="s">
        <v>314</v>
      </c>
      <c r="D332" s="36" t="s">
        <v>1841</v>
      </c>
      <c r="E332" s="36" t="s">
        <v>1842</v>
      </c>
      <c r="F332" s="36" t="s">
        <v>1727</v>
      </c>
      <c r="G332" s="36" t="s">
        <v>791</v>
      </c>
      <c r="H332" s="36" t="s">
        <v>1728</v>
      </c>
    </row>
    <row r="333" ht="22.5" customHeight="1">
      <c r="A333" s="36" t="s">
        <v>1843</v>
      </c>
      <c r="B333" s="36" t="s">
        <v>744</v>
      </c>
      <c r="C333" s="39" t="s">
        <v>960</v>
      </c>
      <c r="D333" s="36" t="s">
        <v>1475</v>
      </c>
      <c r="E333" s="36" t="s">
        <v>1844</v>
      </c>
      <c r="F333" s="36" t="s">
        <v>1727</v>
      </c>
      <c r="G333" s="36" t="s">
        <v>791</v>
      </c>
      <c r="H333" s="36" t="s">
        <v>1728</v>
      </c>
    </row>
    <row r="334" ht="22.5" customHeight="1">
      <c r="A334" s="36" t="s">
        <v>1845</v>
      </c>
      <c r="B334" s="36" t="s">
        <v>744</v>
      </c>
      <c r="C334" s="39" t="s">
        <v>568</v>
      </c>
      <c r="D334" s="36" t="s">
        <v>1846</v>
      </c>
      <c r="E334" s="36" t="s">
        <v>1847</v>
      </c>
      <c r="F334" s="36" t="s">
        <v>1836</v>
      </c>
      <c r="G334" s="36" t="s">
        <v>791</v>
      </c>
      <c r="H334" s="36" t="s">
        <v>1728</v>
      </c>
    </row>
    <row r="335" ht="22.5" customHeight="1">
      <c r="A335" s="36" t="s">
        <v>1848</v>
      </c>
      <c r="B335" s="36" t="s">
        <v>744</v>
      </c>
      <c r="C335" s="39" t="s">
        <v>945</v>
      </c>
      <c r="D335" s="36" t="s">
        <v>1849</v>
      </c>
      <c r="E335" s="36" t="s">
        <v>1850</v>
      </c>
      <c r="F335" s="36" t="s">
        <v>1727</v>
      </c>
      <c r="G335" s="36" t="s">
        <v>791</v>
      </c>
      <c r="H335" s="36" t="s">
        <v>1728</v>
      </c>
    </row>
    <row r="336" ht="22.5" customHeight="1">
      <c r="A336" s="36" t="s">
        <v>1851</v>
      </c>
      <c r="B336" s="36" t="s">
        <v>744</v>
      </c>
      <c r="C336" s="39" t="s">
        <v>377</v>
      </c>
      <c r="D336" s="36" t="s">
        <v>1852</v>
      </c>
      <c r="E336" s="36" t="s">
        <v>1850</v>
      </c>
      <c r="F336" s="36" t="s">
        <v>1853</v>
      </c>
      <c r="G336" s="36" t="s">
        <v>791</v>
      </c>
      <c r="H336" s="36" t="s">
        <v>1728</v>
      </c>
    </row>
    <row r="337" ht="22.5" customHeight="1">
      <c r="A337" s="36" t="s">
        <v>1854</v>
      </c>
      <c r="B337" s="36" t="s">
        <v>744</v>
      </c>
      <c r="C337" s="39" t="s">
        <v>953</v>
      </c>
      <c r="D337" s="36" t="s">
        <v>1855</v>
      </c>
      <c r="E337" s="36" t="s">
        <v>1856</v>
      </c>
      <c r="F337" s="36" t="s">
        <v>1727</v>
      </c>
      <c r="G337" s="36" t="s">
        <v>791</v>
      </c>
      <c r="H337" s="36" t="s">
        <v>1728</v>
      </c>
    </row>
    <row r="338" ht="22.5" customHeight="1">
      <c r="A338" s="36" t="s">
        <v>1857</v>
      </c>
      <c r="B338" s="36" t="s">
        <v>744</v>
      </c>
      <c r="C338" s="39" t="s">
        <v>317</v>
      </c>
      <c r="D338" s="36" t="s">
        <v>1858</v>
      </c>
      <c r="E338" s="36" t="s">
        <v>1859</v>
      </c>
      <c r="F338" s="36" t="s">
        <v>1860</v>
      </c>
      <c r="G338" s="36" t="s">
        <v>791</v>
      </c>
      <c r="H338" s="36" t="s">
        <v>1728</v>
      </c>
    </row>
    <row r="339" ht="22.5" customHeight="1">
      <c r="A339" s="36" t="s">
        <v>1861</v>
      </c>
      <c r="B339" s="36" t="s">
        <v>744</v>
      </c>
      <c r="C339" s="39" t="s">
        <v>463</v>
      </c>
      <c r="D339" s="36" t="s">
        <v>1862</v>
      </c>
      <c r="E339" s="36" t="s">
        <v>1863</v>
      </c>
      <c r="F339" s="36" t="s">
        <v>1853</v>
      </c>
      <c r="G339" s="36" t="s">
        <v>791</v>
      </c>
      <c r="H339" s="36" t="s">
        <v>1728</v>
      </c>
    </row>
    <row r="340" ht="22.5" customHeight="1">
      <c r="A340" s="36" t="s">
        <v>1864</v>
      </c>
      <c r="B340" s="36" t="s">
        <v>744</v>
      </c>
      <c r="C340" s="39" t="s">
        <v>1046</v>
      </c>
      <c r="D340" s="36" t="s">
        <v>1865</v>
      </c>
      <c r="E340" s="36" t="s">
        <v>1866</v>
      </c>
      <c r="F340" s="36" t="s">
        <v>1867</v>
      </c>
      <c r="G340" s="36" t="s">
        <v>791</v>
      </c>
      <c r="H340" s="36" t="s">
        <v>1728</v>
      </c>
    </row>
    <row r="341" ht="22.5" customHeight="1">
      <c r="A341" s="36" t="s">
        <v>1868</v>
      </c>
      <c r="B341" s="36" t="s">
        <v>744</v>
      </c>
      <c r="C341" s="39" t="s">
        <v>599</v>
      </c>
      <c r="D341" s="36" t="s">
        <v>1869</v>
      </c>
      <c r="E341" s="36" t="s">
        <v>1870</v>
      </c>
      <c r="F341" s="36" t="s">
        <v>1853</v>
      </c>
      <c r="G341" s="36" t="s">
        <v>791</v>
      </c>
      <c r="H341" s="36" t="s">
        <v>1728</v>
      </c>
    </row>
    <row r="342" ht="22.5" customHeight="1">
      <c r="A342" s="36" t="s">
        <v>1871</v>
      </c>
      <c r="B342" s="36" t="s">
        <v>744</v>
      </c>
      <c r="C342" s="39" t="s">
        <v>1035</v>
      </c>
      <c r="D342" s="36" t="s">
        <v>1872</v>
      </c>
      <c r="E342" s="36" t="s">
        <v>1873</v>
      </c>
      <c r="F342" s="36" t="s">
        <v>1727</v>
      </c>
      <c r="G342" s="36" t="s">
        <v>791</v>
      </c>
      <c r="H342" s="36" t="s">
        <v>1728</v>
      </c>
    </row>
    <row r="343" ht="22.5" customHeight="1">
      <c r="A343" s="36" t="s">
        <v>1874</v>
      </c>
      <c r="B343" s="36" t="s">
        <v>696</v>
      </c>
      <c r="C343" s="39" t="s">
        <v>804</v>
      </c>
      <c r="D343" s="36" t="s">
        <v>1875</v>
      </c>
      <c r="E343" s="39" t="s">
        <v>1876</v>
      </c>
      <c r="F343" s="36" t="s">
        <v>1877</v>
      </c>
      <c r="G343" s="36" t="s">
        <v>791</v>
      </c>
      <c r="H343" s="36" t="s">
        <v>797</v>
      </c>
    </row>
    <row r="344" ht="22.5" customHeight="1">
      <c r="A344" s="36" t="s">
        <v>1878</v>
      </c>
      <c r="B344" s="36" t="s">
        <v>756</v>
      </c>
      <c r="C344" s="39" t="s">
        <v>542</v>
      </c>
      <c r="D344" s="36" t="s">
        <v>1879</v>
      </c>
      <c r="E344" s="36" t="s">
        <v>1880</v>
      </c>
      <c r="F344" s="36" t="s">
        <v>1881</v>
      </c>
      <c r="G344" s="36" t="s">
        <v>791</v>
      </c>
      <c r="H344" s="36" t="s">
        <v>797</v>
      </c>
    </row>
    <row r="345" ht="22.5" customHeight="1">
      <c r="A345" s="36" t="s">
        <v>1882</v>
      </c>
      <c r="B345" s="36" t="s">
        <v>756</v>
      </c>
      <c r="C345" s="39" t="s">
        <v>895</v>
      </c>
      <c r="D345" s="36" t="s">
        <v>1246</v>
      </c>
      <c r="E345" s="39" t="s">
        <v>1883</v>
      </c>
      <c r="F345" s="36" t="s">
        <v>1038</v>
      </c>
      <c r="G345" s="36" t="s">
        <v>845</v>
      </c>
      <c r="H345" s="36" t="s">
        <v>1884</v>
      </c>
    </row>
    <row r="346" ht="22.5" customHeight="1">
      <c r="A346" s="36" t="s">
        <v>1885</v>
      </c>
      <c r="B346" s="36" t="s">
        <v>756</v>
      </c>
      <c r="C346" s="39" t="s">
        <v>928</v>
      </c>
      <c r="D346" s="36" t="s">
        <v>1308</v>
      </c>
      <c r="E346" s="39" t="s">
        <v>1886</v>
      </c>
      <c r="F346" s="36" t="s">
        <v>1014</v>
      </c>
      <c r="G346" s="36" t="s">
        <v>845</v>
      </c>
      <c r="H346" s="36" t="s">
        <v>1887</v>
      </c>
    </row>
    <row r="347" ht="22.5" customHeight="1">
      <c r="A347" s="36" t="s">
        <v>1888</v>
      </c>
      <c r="B347" s="36" t="s">
        <v>756</v>
      </c>
      <c r="C347" s="39" t="s">
        <v>933</v>
      </c>
      <c r="D347" s="36" t="s">
        <v>1327</v>
      </c>
      <c r="E347" s="39" t="s">
        <v>1889</v>
      </c>
      <c r="F347" s="36" t="s">
        <v>1014</v>
      </c>
      <c r="G347" s="36" t="s">
        <v>845</v>
      </c>
      <c r="H347" s="36" t="s">
        <v>1890</v>
      </c>
    </row>
    <row r="348" ht="22.5" customHeight="1">
      <c r="A348" s="36" t="s">
        <v>1891</v>
      </c>
      <c r="B348" s="36" t="s">
        <v>756</v>
      </c>
      <c r="C348" s="39" t="s">
        <v>314</v>
      </c>
      <c r="D348" s="36" t="s">
        <v>1282</v>
      </c>
      <c r="E348" s="39" t="s">
        <v>1892</v>
      </c>
      <c r="F348" s="36" t="s">
        <v>1038</v>
      </c>
      <c r="G348" s="36" t="s">
        <v>845</v>
      </c>
      <c r="H348" s="36" t="s">
        <v>1893</v>
      </c>
    </row>
    <row r="349" ht="22.5" customHeight="1">
      <c r="A349" s="36" t="s">
        <v>1894</v>
      </c>
      <c r="B349" s="36" t="s">
        <v>756</v>
      </c>
      <c r="C349" s="39" t="s">
        <v>568</v>
      </c>
      <c r="D349" s="36" t="s">
        <v>1321</v>
      </c>
      <c r="E349" s="39" t="s">
        <v>1895</v>
      </c>
      <c r="F349" s="36" t="s">
        <v>1014</v>
      </c>
      <c r="G349" s="36" t="s">
        <v>845</v>
      </c>
      <c r="H349" s="36" t="s">
        <v>1896</v>
      </c>
    </row>
    <row r="350" ht="22.5" customHeight="1">
      <c r="A350" s="36" t="s">
        <v>1897</v>
      </c>
      <c r="B350" s="36" t="s">
        <v>756</v>
      </c>
      <c r="C350" s="39" t="s">
        <v>945</v>
      </c>
      <c r="D350" s="36" t="s">
        <v>1315</v>
      </c>
      <c r="E350" s="39" t="s">
        <v>1898</v>
      </c>
      <c r="F350" s="36" t="s">
        <v>1014</v>
      </c>
      <c r="G350" s="36" t="s">
        <v>845</v>
      </c>
      <c r="H350" s="36" t="s">
        <v>1899</v>
      </c>
    </row>
    <row r="351" ht="22.5" customHeight="1">
      <c r="A351" s="36" t="s">
        <v>1900</v>
      </c>
      <c r="B351" s="36" t="s">
        <v>756</v>
      </c>
      <c r="C351" s="39" t="s">
        <v>377</v>
      </c>
      <c r="D351" s="36" t="s">
        <v>8</v>
      </c>
      <c r="E351" s="39" t="s">
        <v>1901</v>
      </c>
      <c r="F351" s="36" t="s">
        <v>1014</v>
      </c>
      <c r="G351" s="36" t="s">
        <v>845</v>
      </c>
      <c r="H351" s="36" t="s">
        <v>1902</v>
      </c>
    </row>
    <row r="352" ht="22.5" customHeight="1">
      <c r="A352" s="36" t="s">
        <v>1903</v>
      </c>
      <c r="B352" s="36" t="s">
        <v>756</v>
      </c>
      <c r="C352" s="39" t="s">
        <v>953</v>
      </c>
      <c r="D352" s="36" t="s">
        <v>1261</v>
      </c>
      <c r="E352" s="39" t="s">
        <v>1904</v>
      </c>
      <c r="F352" s="36" t="s">
        <v>1014</v>
      </c>
      <c r="G352" s="36" t="s">
        <v>845</v>
      </c>
      <c r="H352" s="36" t="s">
        <v>1905</v>
      </c>
    </row>
    <row r="353" ht="22.5" customHeight="1">
      <c r="A353" s="36" t="s">
        <v>1906</v>
      </c>
      <c r="B353" s="36" t="s">
        <v>756</v>
      </c>
      <c r="C353" s="39" t="s">
        <v>317</v>
      </c>
      <c r="D353" s="36" t="s">
        <v>31</v>
      </c>
      <c r="E353" s="39" t="s">
        <v>1907</v>
      </c>
      <c r="F353" s="36" t="s">
        <v>1014</v>
      </c>
      <c r="G353" s="36" t="s">
        <v>845</v>
      </c>
      <c r="H353" s="36" t="s">
        <v>1908</v>
      </c>
    </row>
    <row r="354" ht="22.5" customHeight="1">
      <c r="A354" s="36" t="s">
        <v>1909</v>
      </c>
      <c r="B354" s="36" t="s">
        <v>756</v>
      </c>
      <c r="C354" s="39" t="s">
        <v>960</v>
      </c>
      <c r="D354" s="36" t="s">
        <v>1297</v>
      </c>
      <c r="E354" s="39" t="s">
        <v>1910</v>
      </c>
      <c r="F354" s="36" t="s">
        <v>1038</v>
      </c>
      <c r="G354" s="36" t="s">
        <v>845</v>
      </c>
      <c r="H354" s="36" t="s">
        <v>1911</v>
      </c>
    </row>
    <row r="355" ht="22.5" customHeight="1">
      <c r="A355" s="36" t="s">
        <v>1912</v>
      </c>
      <c r="B355" s="36" t="s">
        <v>756</v>
      </c>
      <c r="C355" s="39" t="s">
        <v>463</v>
      </c>
      <c r="D355" s="36" t="s">
        <v>49</v>
      </c>
      <c r="E355" s="39" t="s">
        <v>1913</v>
      </c>
      <c r="F355" s="36" t="s">
        <v>1014</v>
      </c>
      <c r="H355" s="36" t="s">
        <v>1914</v>
      </c>
    </row>
    <row r="356" ht="22.5" customHeight="1">
      <c r="A356" s="36" t="s">
        <v>1915</v>
      </c>
      <c r="B356" s="36" t="s">
        <v>756</v>
      </c>
      <c r="C356" s="39" t="s">
        <v>1046</v>
      </c>
      <c r="D356" s="36" t="s">
        <v>1236</v>
      </c>
      <c r="E356" s="39" t="s">
        <v>1916</v>
      </c>
      <c r="F356" s="36" t="s">
        <v>1754</v>
      </c>
      <c r="H356" s="36" t="s">
        <v>1917</v>
      </c>
    </row>
    <row r="357" ht="22.5" customHeight="1">
      <c r="A357" s="36" t="s">
        <v>1918</v>
      </c>
      <c r="B357" s="36" t="s">
        <v>756</v>
      </c>
      <c r="C357" s="39" t="s">
        <v>599</v>
      </c>
      <c r="D357" s="36" t="s">
        <v>1229</v>
      </c>
      <c r="E357" s="39" t="s">
        <v>1919</v>
      </c>
      <c r="F357" s="36" t="s">
        <v>1920</v>
      </c>
      <c r="G357" s="36" t="s">
        <v>845</v>
      </c>
      <c r="H357" s="36" t="s">
        <v>1921</v>
      </c>
    </row>
    <row r="358" ht="22.5" customHeight="1">
      <c r="A358" s="36" t="s">
        <v>1922</v>
      </c>
      <c r="B358" s="36" t="s">
        <v>756</v>
      </c>
      <c r="C358" s="39" t="s">
        <v>1035</v>
      </c>
      <c r="D358" s="36" t="s">
        <v>1923</v>
      </c>
      <c r="E358" s="39" t="s">
        <v>1924</v>
      </c>
      <c r="F358" s="36" t="s">
        <v>1038</v>
      </c>
      <c r="G358" s="36" t="s">
        <v>845</v>
      </c>
      <c r="H358" s="36" t="s">
        <v>1925</v>
      </c>
    </row>
    <row r="359" ht="22.5" customHeight="1">
      <c r="A359" s="36" t="s">
        <v>1926</v>
      </c>
      <c r="B359" s="36" t="s">
        <v>756</v>
      </c>
      <c r="C359" s="39" t="s">
        <v>718</v>
      </c>
      <c r="D359" s="36" t="s">
        <v>1927</v>
      </c>
      <c r="E359" s="39" t="s">
        <v>1928</v>
      </c>
      <c r="F359" s="36" t="s">
        <v>1929</v>
      </c>
      <c r="G359" s="36" t="s">
        <v>845</v>
      </c>
      <c r="H359" s="36" t="s">
        <v>1930</v>
      </c>
    </row>
    <row r="360" ht="22.5" customHeight="1">
      <c r="A360" s="36" t="s">
        <v>1931</v>
      </c>
      <c r="B360" s="36" t="s">
        <v>756</v>
      </c>
      <c r="C360" s="39" t="s">
        <v>1050</v>
      </c>
      <c r="D360" s="36" t="s">
        <v>1932</v>
      </c>
      <c r="E360" s="39" t="s">
        <v>1933</v>
      </c>
      <c r="F360" s="36" t="s">
        <v>1934</v>
      </c>
      <c r="G360" s="36" t="s">
        <v>845</v>
      </c>
      <c r="H360" s="36" t="s">
        <v>1935</v>
      </c>
    </row>
    <row r="361" ht="22.5" customHeight="1">
      <c r="A361" s="36" t="s">
        <v>1936</v>
      </c>
      <c r="B361" s="36" t="s">
        <v>756</v>
      </c>
      <c r="C361" s="39" t="s">
        <v>585</v>
      </c>
      <c r="D361" s="36" t="s">
        <v>1937</v>
      </c>
      <c r="E361" s="39" t="s">
        <v>1938</v>
      </c>
      <c r="F361" s="36" t="s">
        <v>1014</v>
      </c>
      <c r="G361" s="36" t="s">
        <v>845</v>
      </c>
      <c r="H361" s="36" t="s">
        <v>1939</v>
      </c>
    </row>
    <row r="362" ht="22.5" customHeight="1">
      <c r="A362" s="36" t="s">
        <v>1940</v>
      </c>
      <c r="B362" s="36" t="s">
        <v>756</v>
      </c>
      <c r="C362" s="39" t="s">
        <v>1074</v>
      </c>
      <c r="D362" s="36" t="s">
        <v>1941</v>
      </c>
      <c r="E362" s="39" t="s">
        <v>1942</v>
      </c>
      <c r="F362" s="36" t="s">
        <v>1014</v>
      </c>
      <c r="G362" s="36" t="s">
        <v>845</v>
      </c>
      <c r="H362" s="36" t="s">
        <v>1943</v>
      </c>
    </row>
    <row r="363" ht="22.5" customHeight="1">
      <c r="A363" s="36" t="s">
        <v>1944</v>
      </c>
      <c r="B363" s="36" t="s">
        <v>756</v>
      </c>
      <c r="C363" s="39" t="s">
        <v>804</v>
      </c>
      <c r="D363" s="36" t="s">
        <v>1945</v>
      </c>
      <c r="E363" s="39" t="s">
        <v>1946</v>
      </c>
      <c r="F363" s="36" t="s">
        <v>1014</v>
      </c>
      <c r="G363" s="36" t="s">
        <v>845</v>
      </c>
      <c r="H363" s="36" t="s">
        <v>1947</v>
      </c>
    </row>
    <row r="364" ht="22.5" customHeight="1">
      <c r="A364" s="36" t="s">
        <v>1948</v>
      </c>
      <c r="B364" s="36" t="s">
        <v>756</v>
      </c>
      <c r="C364" s="39" t="s">
        <v>1012</v>
      </c>
      <c r="D364" s="36" t="s">
        <v>1949</v>
      </c>
      <c r="E364" s="39" t="s">
        <v>1950</v>
      </c>
      <c r="F364" s="36" t="s">
        <v>1951</v>
      </c>
      <c r="G364" s="36" t="s">
        <v>845</v>
      </c>
      <c r="H364" s="36" t="s">
        <v>1952</v>
      </c>
    </row>
    <row r="365" ht="22.5" customHeight="1">
      <c r="A365" s="36" t="s">
        <v>1953</v>
      </c>
      <c r="B365" s="36" t="s">
        <v>756</v>
      </c>
      <c r="C365" s="39" t="s">
        <v>1070</v>
      </c>
      <c r="D365" s="36" t="s">
        <v>1954</v>
      </c>
      <c r="E365" s="39" t="s">
        <v>1955</v>
      </c>
      <c r="F365" s="36" t="s">
        <v>1014</v>
      </c>
      <c r="G365" s="36" t="s">
        <v>845</v>
      </c>
      <c r="H365" s="36" t="s">
        <v>1956</v>
      </c>
    </row>
    <row r="366" ht="22.5" customHeight="1">
      <c r="A366" s="36" t="s">
        <v>1957</v>
      </c>
      <c r="B366" s="36" t="s">
        <v>756</v>
      </c>
      <c r="C366" s="39" t="s">
        <v>1016</v>
      </c>
      <c r="D366" s="36" t="s">
        <v>1958</v>
      </c>
      <c r="E366" s="36" t="s">
        <v>1959</v>
      </c>
      <c r="F366" s="36" t="s">
        <v>1960</v>
      </c>
      <c r="G366" s="36" t="s">
        <v>791</v>
      </c>
      <c r="H366" s="36" t="s">
        <v>797</v>
      </c>
    </row>
    <row r="367" ht="22.5" customHeight="1">
      <c r="A367" s="36" t="s">
        <v>1961</v>
      </c>
      <c r="B367" s="36" t="s">
        <v>756</v>
      </c>
      <c r="C367" s="39" t="s">
        <v>554</v>
      </c>
      <c r="D367" s="36" t="s">
        <v>1962</v>
      </c>
      <c r="E367" s="36" t="s">
        <v>1963</v>
      </c>
      <c r="F367" s="36" t="s">
        <v>1960</v>
      </c>
      <c r="G367" s="36" t="s">
        <v>791</v>
      </c>
      <c r="H367" s="36" t="s">
        <v>797</v>
      </c>
    </row>
    <row r="368" ht="22.5" customHeight="1">
      <c r="A368" s="36" t="s">
        <v>1964</v>
      </c>
      <c r="B368" s="36" t="s">
        <v>756</v>
      </c>
      <c r="C368" s="39" t="s">
        <v>995</v>
      </c>
      <c r="D368" s="36" t="s">
        <v>1965</v>
      </c>
      <c r="E368" s="39" t="s">
        <v>1966</v>
      </c>
      <c r="F368" s="36" t="s">
        <v>1951</v>
      </c>
      <c r="G368" s="36" t="s">
        <v>845</v>
      </c>
      <c r="H368" s="36" t="s">
        <v>1967</v>
      </c>
    </row>
    <row r="369" ht="22.5" customHeight="1">
      <c r="A369" s="36" t="s">
        <v>1968</v>
      </c>
      <c r="B369" s="36" t="s">
        <v>756</v>
      </c>
      <c r="C369" s="39" t="s">
        <v>1062</v>
      </c>
      <c r="D369" s="36" t="s">
        <v>1969</v>
      </c>
      <c r="E369" s="39" t="s">
        <v>1970</v>
      </c>
      <c r="F369" s="36" t="s">
        <v>1038</v>
      </c>
      <c r="G369" s="36" t="s">
        <v>845</v>
      </c>
      <c r="H369" s="36" t="s">
        <v>1971</v>
      </c>
    </row>
    <row r="370" ht="22.5" customHeight="1">
      <c r="A370" s="36" t="s">
        <v>1972</v>
      </c>
      <c r="B370" s="36" t="s">
        <v>756</v>
      </c>
      <c r="C370" s="39" t="s">
        <v>979</v>
      </c>
      <c r="D370" s="36" t="s">
        <v>1973</v>
      </c>
      <c r="E370" s="39" t="s">
        <v>1974</v>
      </c>
      <c r="F370" s="36" t="s">
        <v>1014</v>
      </c>
      <c r="G370" s="36" t="s">
        <v>845</v>
      </c>
      <c r="H370" s="36" t="s">
        <v>1975</v>
      </c>
    </row>
    <row r="371" ht="22.5" customHeight="1">
      <c r="A371" s="36" t="s">
        <v>1976</v>
      </c>
      <c r="B371" s="36" t="s">
        <v>756</v>
      </c>
      <c r="C371" s="39" t="s">
        <v>974</v>
      </c>
      <c r="D371" s="36" t="s">
        <v>1977</v>
      </c>
      <c r="E371" s="39" t="s">
        <v>1978</v>
      </c>
      <c r="F371" s="36" t="s">
        <v>1014</v>
      </c>
      <c r="G371" s="36" t="s">
        <v>845</v>
      </c>
      <c r="H371" s="36" t="s">
        <v>1979</v>
      </c>
    </row>
    <row r="372" ht="22.5" customHeight="1">
      <c r="A372" s="36" t="s">
        <v>1980</v>
      </c>
      <c r="B372" s="36" t="s">
        <v>756</v>
      </c>
      <c r="C372" s="39" t="s">
        <v>990</v>
      </c>
      <c r="D372" s="36" t="s">
        <v>1981</v>
      </c>
      <c r="E372" s="39" t="s">
        <v>1982</v>
      </c>
      <c r="F372" s="36" t="s">
        <v>1014</v>
      </c>
      <c r="G372" s="36" t="s">
        <v>845</v>
      </c>
      <c r="H372" s="36" t="s">
        <v>1983</v>
      </c>
    </row>
    <row r="373" ht="22.5" customHeight="1">
      <c r="A373" s="36" t="s">
        <v>1984</v>
      </c>
      <c r="B373" s="36" t="s">
        <v>756</v>
      </c>
      <c r="C373" s="39" t="s">
        <v>1002</v>
      </c>
      <c r="D373" s="36" t="s">
        <v>1985</v>
      </c>
      <c r="E373" s="36" t="s">
        <v>1986</v>
      </c>
      <c r="F373" s="36" t="s">
        <v>1960</v>
      </c>
      <c r="G373" s="36" t="s">
        <v>791</v>
      </c>
      <c r="H373" s="36" t="s">
        <v>797</v>
      </c>
    </row>
    <row r="374" ht="22.5" customHeight="1">
      <c r="A374" s="36" t="s">
        <v>1987</v>
      </c>
      <c r="B374" s="36" t="s">
        <v>768</v>
      </c>
      <c r="C374" s="39" t="s">
        <v>542</v>
      </c>
      <c r="D374" s="36" t="s">
        <v>1988</v>
      </c>
      <c r="E374" s="36" t="s">
        <v>1989</v>
      </c>
      <c r="F374" s="36" t="s">
        <v>1990</v>
      </c>
      <c r="I374" s="30" t="s">
        <v>1991</v>
      </c>
    </row>
    <row r="375" ht="22.5" customHeight="1">
      <c r="A375" s="36" t="s">
        <v>1992</v>
      </c>
      <c r="B375" s="36" t="s">
        <v>768</v>
      </c>
      <c r="C375" s="39" t="s">
        <v>945</v>
      </c>
      <c r="D375" s="36" t="s">
        <v>1993</v>
      </c>
      <c r="E375" s="36" t="s">
        <v>1994</v>
      </c>
      <c r="F375" s="36" t="s">
        <v>1995</v>
      </c>
      <c r="G375" s="36" t="s">
        <v>791</v>
      </c>
      <c r="I375" s="30" t="s">
        <v>1996</v>
      </c>
    </row>
    <row r="376" ht="22.5" customHeight="1">
      <c r="A376" s="36" t="s">
        <v>1997</v>
      </c>
      <c r="B376" s="36" t="s">
        <v>768</v>
      </c>
      <c r="C376" s="39" t="s">
        <v>895</v>
      </c>
      <c r="D376" s="36" t="s">
        <v>1998</v>
      </c>
      <c r="E376" s="36" t="s">
        <v>1999</v>
      </c>
      <c r="F376" s="36" t="s">
        <v>1995</v>
      </c>
      <c r="G376" s="36" t="s">
        <v>791</v>
      </c>
      <c r="I376" s="30" t="s">
        <v>2000</v>
      </c>
    </row>
    <row r="377" ht="22.5" customHeight="1">
      <c r="A377" s="36" t="s">
        <v>2001</v>
      </c>
      <c r="B377" s="36" t="s">
        <v>768</v>
      </c>
      <c r="C377" s="39" t="s">
        <v>568</v>
      </c>
      <c r="D377" s="36" t="s">
        <v>2002</v>
      </c>
      <c r="E377" s="36" t="s">
        <v>2003</v>
      </c>
      <c r="F377" s="36" t="s">
        <v>2004</v>
      </c>
      <c r="G377" s="36" t="s">
        <v>791</v>
      </c>
      <c r="I377" s="30" t="s">
        <v>2005</v>
      </c>
    </row>
    <row r="378" ht="22.5" customHeight="1">
      <c r="A378" s="36" t="s">
        <v>2006</v>
      </c>
      <c r="B378" s="36" t="s">
        <v>768</v>
      </c>
      <c r="C378" s="39" t="s">
        <v>314</v>
      </c>
      <c r="D378" s="36" t="s">
        <v>2007</v>
      </c>
      <c r="E378" s="36" t="s">
        <v>2008</v>
      </c>
      <c r="F378" s="36" t="s">
        <v>2004</v>
      </c>
      <c r="G378" s="36" t="s">
        <v>791</v>
      </c>
      <c r="I378" s="30" t="s">
        <v>2009</v>
      </c>
    </row>
    <row r="379" ht="22.5" customHeight="1">
      <c r="A379" s="36" t="s">
        <v>2010</v>
      </c>
      <c r="B379" s="36" t="s">
        <v>768</v>
      </c>
      <c r="C379" s="39" t="s">
        <v>933</v>
      </c>
      <c r="D379" s="36" t="s">
        <v>2011</v>
      </c>
      <c r="E379" s="36" t="s">
        <v>2012</v>
      </c>
      <c r="F379" s="36" t="s">
        <v>2013</v>
      </c>
      <c r="G379" s="36" t="s">
        <v>791</v>
      </c>
      <c r="I379" s="30" t="s">
        <v>2014</v>
      </c>
    </row>
    <row r="380" ht="22.5" customHeight="1">
      <c r="A380" s="36" t="s">
        <v>2015</v>
      </c>
      <c r="B380" s="36" t="s">
        <v>768</v>
      </c>
      <c r="C380" s="39" t="s">
        <v>928</v>
      </c>
      <c r="D380" s="36" t="s">
        <v>2016</v>
      </c>
      <c r="E380" s="36" t="s">
        <v>2017</v>
      </c>
      <c r="F380" s="36" t="s">
        <v>1990</v>
      </c>
      <c r="G380" s="36" t="s">
        <v>791</v>
      </c>
      <c r="I380" s="30" t="s">
        <v>2018</v>
      </c>
    </row>
    <row r="381" ht="22.5" customHeight="1">
      <c r="A381" s="36" t="s">
        <v>2019</v>
      </c>
      <c r="B381" s="36" t="s">
        <v>768</v>
      </c>
      <c r="C381" s="39" t="s">
        <v>1050</v>
      </c>
      <c r="D381" s="36" t="s">
        <v>2020</v>
      </c>
      <c r="E381" s="36" t="s">
        <v>2021</v>
      </c>
      <c r="F381" s="36" t="s">
        <v>2013</v>
      </c>
      <c r="G381" s="36" t="s">
        <v>791</v>
      </c>
      <c r="I381" s="30" t="s">
        <v>2022</v>
      </c>
    </row>
    <row r="382" ht="22.5" customHeight="1">
      <c r="A382" s="36" t="s">
        <v>2023</v>
      </c>
      <c r="B382" s="36" t="s">
        <v>768</v>
      </c>
      <c r="C382" s="39" t="s">
        <v>1046</v>
      </c>
      <c r="D382" s="36" t="s">
        <v>2024</v>
      </c>
      <c r="E382" s="36" t="s">
        <v>2025</v>
      </c>
      <c r="F382" s="36" t="s">
        <v>1995</v>
      </c>
      <c r="G382" s="36" t="s">
        <v>791</v>
      </c>
      <c r="I382" s="30" t="s">
        <v>2026</v>
      </c>
    </row>
    <row r="383" ht="22.5" customHeight="1">
      <c r="A383" s="36" t="s">
        <v>2027</v>
      </c>
      <c r="B383" s="36" t="s">
        <v>768</v>
      </c>
      <c r="C383" s="39" t="s">
        <v>463</v>
      </c>
      <c r="D383" s="36" t="s">
        <v>2028</v>
      </c>
      <c r="E383" s="36" t="s">
        <v>2029</v>
      </c>
      <c r="F383" s="36" t="s">
        <v>2030</v>
      </c>
      <c r="G383" s="36" t="s">
        <v>791</v>
      </c>
      <c r="I383" s="30" t="s">
        <v>2031</v>
      </c>
    </row>
    <row r="384" ht="22.5" customHeight="1">
      <c r="A384" s="36" t="s">
        <v>2032</v>
      </c>
      <c r="B384" s="36" t="s">
        <v>768</v>
      </c>
      <c r="C384" s="39" t="s">
        <v>960</v>
      </c>
      <c r="D384" s="36" t="s">
        <v>2033</v>
      </c>
      <c r="E384" s="36" t="s">
        <v>2034</v>
      </c>
      <c r="F384" s="36" t="s">
        <v>2035</v>
      </c>
      <c r="G384" s="36" t="s">
        <v>791</v>
      </c>
      <c r="I384" s="30" t="s">
        <v>2036</v>
      </c>
    </row>
    <row r="385" ht="22.5" customHeight="1">
      <c r="A385" s="36" t="s">
        <v>2037</v>
      </c>
      <c r="B385" s="36" t="s">
        <v>768</v>
      </c>
      <c r="C385" s="39" t="s">
        <v>953</v>
      </c>
      <c r="D385" s="36" t="s">
        <v>2038</v>
      </c>
      <c r="E385" s="36" t="s">
        <v>2039</v>
      </c>
      <c r="F385" s="36" t="s">
        <v>2013</v>
      </c>
      <c r="G385" s="36" t="s">
        <v>791</v>
      </c>
      <c r="I385" s="30" t="s">
        <v>2040</v>
      </c>
    </row>
    <row r="386" ht="22.5" customHeight="1">
      <c r="A386" s="36" t="s">
        <v>2041</v>
      </c>
      <c r="B386" s="36" t="s">
        <v>768</v>
      </c>
      <c r="C386" s="39" t="s">
        <v>377</v>
      </c>
      <c r="D386" s="36" t="s">
        <v>2042</v>
      </c>
      <c r="E386" s="36" t="s">
        <v>2043</v>
      </c>
      <c r="F386" s="36" t="s">
        <v>2044</v>
      </c>
      <c r="G386" s="36" t="s">
        <v>791</v>
      </c>
      <c r="I386" s="30" t="s">
        <v>2045</v>
      </c>
    </row>
    <row r="387" ht="22.5" customHeight="1">
      <c r="A387" s="36" t="s">
        <v>2046</v>
      </c>
      <c r="B387" s="36" t="s">
        <v>768</v>
      </c>
      <c r="C387" s="39" t="s">
        <v>585</v>
      </c>
      <c r="D387" s="36" t="s">
        <v>2047</v>
      </c>
      <c r="E387" s="36" t="s">
        <v>2048</v>
      </c>
      <c r="F387" s="36" t="s">
        <v>2049</v>
      </c>
      <c r="G387" s="36" t="s">
        <v>791</v>
      </c>
      <c r="I387" s="30" t="s">
        <v>2050</v>
      </c>
    </row>
    <row r="388" ht="22.5" customHeight="1">
      <c r="A388" s="36" t="s">
        <v>2051</v>
      </c>
      <c r="B388" s="36" t="s">
        <v>768</v>
      </c>
      <c r="C388" s="39" t="s">
        <v>599</v>
      </c>
      <c r="D388" s="36" t="s">
        <v>2052</v>
      </c>
      <c r="E388" s="36" t="s">
        <v>2053</v>
      </c>
      <c r="F388" s="36" t="s">
        <v>2054</v>
      </c>
      <c r="G388" s="36" t="s">
        <v>791</v>
      </c>
      <c r="I388" s="30" t="s">
        <v>2055</v>
      </c>
    </row>
    <row r="389" ht="22.5" customHeight="1">
      <c r="A389" s="36" t="s">
        <v>2056</v>
      </c>
      <c r="B389" s="36" t="s">
        <v>768</v>
      </c>
      <c r="C389" s="39" t="s">
        <v>718</v>
      </c>
      <c r="D389" s="36" t="s">
        <v>2057</v>
      </c>
      <c r="E389" s="36" t="s">
        <v>2058</v>
      </c>
      <c r="F389" s="36" t="s">
        <v>2044</v>
      </c>
      <c r="G389" s="36" t="s">
        <v>791</v>
      </c>
      <c r="I389" s="30" t="s">
        <v>2059</v>
      </c>
    </row>
    <row r="390" ht="22.5" customHeight="1">
      <c r="A390" s="36" t="s">
        <v>2060</v>
      </c>
      <c r="B390" s="36" t="s">
        <v>768</v>
      </c>
      <c r="C390" s="39" t="s">
        <v>1035</v>
      </c>
      <c r="D390" s="36" t="s">
        <v>2061</v>
      </c>
      <c r="E390" s="36" t="s">
        <v>2062</v>
      </c>
      <c r="F390" s="36" t="s">
        <v>2054</v>
      </c>
      <c r="G390" s="36" t="s">
        <v>791</v>
      </c>
      <c r="I390" s="30" t="s">
        <v>2063</v>
      </c>
    </row>
    <row r="391" ht="22.5" customHeight="1">
      <c r="A391" s="36" t="s">
        <v>2064</v>
      </c>
      <c r="B391" s="36" t="s">
        <v>768</v>
      </c>
      <c r="C391" s="39" t="s">
        <v>317</v>
      </c>
      <c r="D391" s="36" t="s">
        <v>2065</v>
      </c>
      <c r="E391" s="36" t="s">
        <v>2066</v>
      </c>
      <c r="F391" s="36" t="s">
        <v>2013</v>
      </c>
      <c r="G391" s="36" t="s">
        <v>791</v>
      </c>
      <c r="I391" s="30" t="s">
        <v>2067</v>
      </c>
    </row>
    <row r="392" ht="22.5" customHeight="1">
      <c r="A392" s="36" t="s">
        <v>2068</v>
      </c>
      <c r="B392" s="36" t="s">
        <v>768</v>
      </c>
      <c r="C392" s="39" t="s">
        <v>995</v>
      </c>
      <c r="D392" s="36" t="s">
        <v>2069</v>
      </c>
      <c r="E392" s="36" t="s">
        <v>2070</v>
      </c>
      <c r="F392" s="36" t="s">
        <v>977</v>
      </c>
      <c r="G392" s="36" t="s">
        <v>791</v>
      </c>
      <c r="I392" s="30" t="s">
        <v>2071</v>
      </c>
    </row>
    <row r="393" ht="22.5" customHeight="1">
      <c r="A393" s="36" t="s">
        <v>2072</v>
      </c>
      <c r="B393" s="36" t="s">
        <v>768</v>
      </c>
      <c r="C393" s="39" t="s">
        <v>1074</v>
      </c>
      <c r="D393" s="36" t="s">
        <v>2073</v>
      </c>
      <c r="E393" s="36" t="s">
        <v>2074</v>
      </c>
      <c r="F393" s="36" t="s">
        <v>2075</v>
      </c>
      <c r="G393" s="36" t="s">
        <v>791</v>
      </c>
      <c r="I393" s="30" t="s">
        <v>2076</v>
      </c>
    </row>
    <row r="394" ht="22.5" customHeight="1">
      <c r="A394" s="36" t="s">
        <v>2077</v>
      </c>
      <c r="B394" s="36" t="s">
        <v>768</v>
      </c>
      <c r="C394" s="39" t="s">
        <v>804</v>
      </c>
      <c r="D394" s="36" t="s">
        <v>2078</v>
      </c>
      <c r="E394" s="36" t="s">
        <v>2079</v>
      </c>
      <c r="F394" s="36" t="s">
        <v>2080</v>
      </c>
      <c r="G394" s="36" t="s">
        <v>791</v>
      </c>
      <c r="I394" s="30" t="s">
        <v>2081</v>
      </c>
    </row>
    <row r="395" ht="22.5" customHeight="1">
      <c r="A395" s="36" t="s">
        <v>2082</v>
      </c>
      <c r="B395" s="36" t="s">
        <v>768</v>
      </c>
      <c r="C395" s="39" t="s">
        <v>1062</v>
      </c>
      <c r="D395" s="36" t="s">
        <v>2083</v>
      </c>
      <c r="E395" s="36" t="s">
        <v>2084</v>
      </c>
      <c r="F395" s="36" t="s">
        <v>2085</v>
      </c>
      <c r="G395" s="36" t="s">
        <v>791</v>
      </c>
      <c r="I395" s="30" t="s">
        <v>2086</v>
      </c>
    </row>
    <row r="396" ht="22.5" customHeight="1">
      <c r="A396" s="36" t="s">
        <v>2087</v>
      </c>
      <c r="B396" s="36" t="s">
        <v>768</v>
      </c>
      <c r="C396" s="39" t="s">
        <v>1016</v>
      </c>
      <c r="D396" s="36" t="s">
        <v>2088</v>
      </c>
      <c r="E396" s="36" t="s">
        <v>2089</v>
      </c>
      <c r="F396" s="36" t="s">
        <v>2013</v>
      </c>
      <c r="G396" s="36" t="s">
        <v>791</v>
      </c>
      <c r="I396" s="30" t="s">
        <v>2090</v>
      </c>
    </row>
    <row r="397" ht="22.5" customHeight="1">
      <c r="A397" s="36" t="s">
        <v>2091</v>
      </c>
      <c r="B397" s="36" t="s">
        <v>768</v>
      </c>
      <c r="C397" s="39" t="s">
        <v>554</v>
      </c>
      <c r="D397" s="36" t="s">
        <v>2092</v>
      </c>
      <c r="E397" s="36" t="s">
        <v>2093</v>
      </c>
      <c r="F397" s="36" t="s">
        <v>2049</v>
      </c>
      <c r="G397" s="36" t="s">
        <v>791</v>
      </c>
      <c r="I397" s="30" t="s">
        <v>2094</v>
      </c>
    </row>
    <row r="398" ht="22.5" customHeight="1">
      <c r="A398" s="36" t="s">
        <v>2095</v>
      </c>
      <c r="B398" s="36" t="s">
        <v>768</v>
      </c>
      <c r="C398" s="39" t="s">
        <v>1070</v>
      </c>
      <c r="D398" s="36" t="s">
        <v>2096</v>
      </c>
      <c r="E398" s="36" t="s">
        <v>2097</v>
      </c>
      <c r="F398" s="36" t="s">
        <v>1929</v>
      </c>
      <c r="G398" s="36" t="s">
        <v>791</v>
      </c>
      <c r="I398" s="30" t="s">
        <v>2098</v>
      </c>
    </row>
    <row r="399" ht="22.5" customHeight="1">
      <c r="A399" s="36" t="s">
        <v>2099</v>
      </c>
      <c r="B399" s="36" t="s">
        <v>768</v>
      </c>
      <c r="C399" s="39" t="s">
        <v>1012</v>
      </c>
      <c r="D399" s="36" t="s">
        <v>2100</v>
      </c>
      <c r="E399" s="36" t="s">
        <v>2101</v>
      </c>
      <c r="F399" s="36" t="s">
        <v>2102</v>
      </c>
      <c r="G399" s="36" t="s">
        <v>791</v>
      </c>
      <c r="I399" s="30" t="s">
        <v>2103</v>
      </c>
    </row>
    <row r="400" ht="22.5" customHeight="1">
      <c r="A400" s="36" t="s">
        <v>2104</v>
      </c>
      <c r="B400" s="36" t="s">
        <v>768</v>
      </c>
      <c r="C400" s="39" t="s">
        <v>979</v>
      </c>
      <c r="D400" s="36" t="s">
        <v>2105</v>
      </c>
      <c r="E400" s="36" t="s">
        <v>2106</v>
      </c>
      <c r="F400" s="36" t="s">
        <v>2107</v>
      </c>
      <c r="G400" s="36" t="s">
        <v>791</v>
      </c>
      <c r="I400" s="30" t="s">
        <v>2108</v>
      </c>
    </row>
    <row r="401" ht="22.5" customHeight="1">
      <c r="A401" s="36" t="s">
        <v>2109</v>
      </c>
      <c r="B401" s="36" t="s">
        <v>768</v>
      </c>
      <c r="C401" s="39" t="s">
        <v>974</v>
      </c>
      <c r="D401" s="36" t="s">
        <v>2110</v>
      </c>
      <c r="E401" s="36" t="s">
        <v>2111</v>
      </c>
      <c r="F401" s="36" t="s">
        <v>1929</v>
      </c>
      <c r="G401" s="36" t="s">
        <v>791</v>
      </c>
      <c r="I401" s="30" t="s">
        <v>2112</v>
      </c>
    </row>
    <row r="402" ht="22.5" customHeight="1">
      <c r="A402" s="36" t="s">
        <v>2113</v>
      </c>
      <c r="B402" s="36" t="s">
        <v>768</v>
      </c>
      <c r="C402" s="39" t="s">
        <v>990</v>
      </c>
      <c r="D402" s="36" t="s">
        <v>2114</v>
      </c>
      <c r="E402" s="36" t="s">
        <v>2115</v>
      </c>
      <c r="F402" s="36" t="s">
        <v>2054</v>
      </c>
      <c r="G402" s="36" t="s">
        <v>791</v>
      </c>
      <c r="I402" s="30" t="s">
        <v>2116</v>
      </c>
    </row>
    <row r="403" ht="22.5" customHeight="1">
      <c r="A403" s="36" t="s">
        <v>2117</v>
      </c>
      <c r="B403" s="36" t="s">
        <v>768</v>
      </c>
      <c r="C403" s="39" t="s">
        <v>1002</v>
      </c>
      <c r="D403" s="36" t="s">
        <v>2118</v>
      </c>
      <c r="E403" s="36" t="s">
        <v>2119</v>
      </c>
      <c r="F403" s="36" t="s">
        <v>2080</v>
      </c>
      <c r="G403" s="36" t="s">
        <v>791</v>
      </c>
      <c r="I403" s="30" t="s">
        <v>2120</v>
      </c>
    </row>
    <row r="404" ht="22.5" customHeight="1">
      <c r="A404" s="36" t="s">
        <v>2121</v>
      </c>
      <c r="B404" s="36" t="s">
        <v>768</v>
      </c>
      <c r="C404" s="39" t="s">
        <v>1824</v>
      </c>
      <c r="D404" s="36" t="s">
        <v>2122</v>
      </c>
      <c r="E404" s="36" t="s">
        <v>2123</v>
      </c>
      <c r="F404" s="36" t="s">
        <v>2013</v>
      </c>
      <c r="G404" s="36" t="s">
        <v>791</v>
      </c>
      <c r="I404" s="30" t="s">
        <v>2124</v>
      </c>
    </row>
    <row r="405" ht="22.5" customHeight="1">
      <c r="A405" s="36" t="s">
        <v>2125</v>
      </c>
      <c r="B405" s="36" t="s">
        <v>768</v>
      </c>
      <c r="C405" s="39" t="s">
        <v>1829</v>
      </c>
      <c r="D405" s="36" t="s">
        <v>2126</v>
      </c>
      <c r="E405" s="36" t="s">
        <v>2127</v>
      </c>
      <c r="F405" s="36" t="s">
        <v>2054</v>
      </c>
      <c r="G405" s="36" t="s">
        <v>791</v>
      </c>
      <c r="I405" s="30" t="s">
        <v>2128</v>
      </c>
    </row>
    <row r="406" ht="22.5" customHeight="1">
      <c r="A406" s="36" t="s">
        <v>2129</v>
      </c>
      <c r="B406" s="36" t="s">
        <v>768</v>
      </c>
      <c r="C406" s="39" t="s">
        <v>2130</v>
      </c>
      <c r="D406" s="36" t="s">
        <v>2131</v>
      </c>
      <c r="E406" s="36" t="s">
        <v>2132</v>
      </c>
      <c r="F406" s="36" t="s">
        <v>1995</v>
      </c>
      <c r="G406" s="36" t="s">
        <v>791</v>
      </c>
      <c r="I406" s="30" t="s">
        <v>2133</v>
      </c>
    </row>
    <row r="407" ht="22.5" customHeight="1">
      <c r="A407" s="36" t="s">
        <v>2134</v>
      </c>
      <c r="B407" s="36" t="s">
        <v>768</v>
      </c>
      <c r="C407" s="39" t="s">
        <v>2135</v>
      </c>
      <c r="D407" s="36" t="s">
        <v>2136</v>
      </c>
      <c r="E407" s="36" t="s">
        <v>2137</v>
      </c>
      <c r="F407" s="36" t="s">
        <v>1995</v>
      </c>
      <c r="G407" s="36" t="s">
        <v>791</v>
      </c>
      <c r="I407" s="30" t="s">
        <v>2138</v>
      </c>
    </row>
    <row r="408" ht="22.5" customHeight="1">
      <c r="A408" s="36" t="s">
        <v>2139</v>
      </c>
      <c r="B408" s="36" t="s">
        <v>768</v>
      </c>
      <c r="C408" s="39" t="s">
        <v>2140</v>
      </c>
      <c r="D408" s="36" t="s">
        <v>2141</v>
      </c>
      <c r="E408" s="36" t="s">
        <v>2142</v>
      </c>
      <c r="F408" s="36" t="s">
        <v>2054</v>
      </c>
      <c r="G408" s="36" t="s">
        <v>791</v>
      </c>
      <c r="I408" s="30" t="s">
        <v>2143</v>
      </c>
    </row>
    <row r="409" ht="22.5" customHeight="1">
      <c r="A409" s="36" t="s">
        <v>2144</v>
      </c>
      <c r="B409" s="36" t="s">
        <v>768</v>
      </c>
      <c r="C409" s="39" t="s">
        <v>2145</v>
      </c>
      <c r="D409" s="36" t="s">
        <v>2146</v>
      </c>
      <c r="E409" s="36" t="s">
        <v>2147</v>
      </c>
      <c r="F409" s="36" t="s">
        <v>2013</v>
      </c>
      <c r="G409" s="36" t="s">
        <v>791</v>
      </c>
      <c r="I409" s="30" t="s">
        <v>2148</v>
      </c>
    </row>
    <row r="410" ht="22.5" customHeight="1">
      <c r="A410" s="36" t="s">
        <v>2149</v>
      </c>
      <c r="B410" s="36" t="s">
        <v>768</v>
      </c>
      <c r="C410" s="39" t="s">
        <v>2150</v>
      </c>
      <c r="D410" s="36" t="s">
        <v>2151</v>
      </c>
      <c r="E410" s="36" t="s">
        <v>2152</v>
      </c>
      <c r="F410" s="36" t="s">
        <v>1995</v>
      </c>
      <c r="G410" s="36" t="s">
        <v>791</v>
      </c>
      <c r="I410" s="30" t="s">
        <v>2153</v>
      </c>
    </row>
    <row r="411" ht="22.5" customHeight="1">
      <c r="A411" s="36" t="s">
        <v>2154</v>
      </c>
      <c r="B411" s="36" t="s">
        <v>768</v>
      </c>
      <c r="C411" s="39" t="s">
        <v>2155</v>
      </c>
      <c r="D411" s="36" t="s">
        <v>2156</v>
      </c>
      <c r="E411" s="36" t="s">
        <v>2157</v>
      </c>
      <c r="F411" s="36" t="s">
        <v>977</v>
      </c>
      <c r="G411" s="36" t="s">
        <v>791</v>
      </c>
      <c r="I411" s="30" t="s">
        <v>2158</v>
      </c>
    </row>
    <row r="412" ht="22.5" customHeight="1">
      <c r="A412" s="36" t="s">
        <v>2159</v>
      </c>
      <c r="B412" s="36" t="s">
        <v>768</v>
      </c>
      <c r="C412" s="39" t="s">
        <v>2160</v>
      </c>
      <c r="D412" s="36" t="s">
        <v>2161</v>
      </c>
      <c r="E412" s="36" t="s">
        <v>2162</v>
      </c>
      <c r="F412" s="36" t="s">
        <v>2163</v>
      </c>
      <c r="G412" s="36" t="s">
        <v>791</v>
      </c>
      <c r="I412" s="30" t="s">
        <v>2164</v>
      </c>
    </row>
    <row r="413" ht="22.5" customHeight="1">
      <c r="A413" s="36" t="s">
        <v>2165</v>
      </c>
      <c r="B413" s="36" t="s">
        <v>768</v>
      </c>
      <c r="C413" s="39" t="s">
        <v>2166</v>
      </c>
      <c r="D413" s="36" t="s">
        <v>2167</v>
      </c>
      <c r="E413" s="36" t="s">
        <v>2168</v>
      </c>
      <c r="F413" s="36" t="s">
        <v>2169</v>
      </c>
      <c r="G413" s="36" t="s">
        <v>791</v>
      </c>
      <c r="I413" s="30" t="s">
        <v>2170</v>
      </c>
    </row>
    <row r="414" ht="22.5" customHeight="1">
      <c r="A414" s="36" t="s">
        <v>2171</v>
      </c>
      <c r="B414" s="36" t="s">
        <v>768</v>
      </c>
      <c r="C414" s="39" t="s">
        <v>2172</v>
      </c>
      <c r="D414" s="36" t="s">
        <v>2173</v>
      </c>
      <c r="E414" s="36" t="s">
        <v>2174</v>
      </c>
      <c r="F414" s="36" t="s">
        <v>2049</v>
      </c>
      <c r="G414" s="36" t="s">
        <v>791</v>
      </c>
      <c r="I414" s="30" t="s">
        <v>2175</v>
      </c>
    </row>
    <row r="415" ht="22.5" customHeight="1">
      <c r="A415" s="36" t="s">
        <v>2176</v>
      </c>
      <c r="B415" s="36" t="s">
        <v>768</v>
      </c>
      <c r="C415" s="39" t="s">
        <v>2177</v>
      </c>
      <c r="D415" s="36" t="s">
        <v>2178</v>
      </c>
      <c r="E415" s="36" t="s">
        <v>2179</v>
      </c>
      <c r="F415" s="36" t="s">
        <v>2044</v>
      </c>
      <c r="G415" s="36" t="s">
        <v>791</v>
      </c>
      <c r="I415" s="30" t="s">
        <v>2180</v>
      </c>
    </row>
    <row r="416" ht="22.5" customHeight="1">
      <c r="A416" s="36" t="s">
        <v>2181</v>
      </c>
      <c r="B416" s="36" t="s">
        <v>768</v>
      </c>
      <c r="C416" s="39" t="s">
        <v>2182</v>
      </c>
      <c r="D416" s="36" t="s">
        <v>2183</v>
      </c>
      <c r="E416" s="36" t="s">
        <v>2184</v>
      </c>
      <c r="F416" s="36" t="s">
        <v>2054</v>
      </c>
      <c r="G416" s="36" t="s">
        <v>791</v>
      </c>
      <c r="I416" s="30" t="s">
        <v>2185</v>
      </c>
    </row>
    <row r="417" ht="22.5" customHeight="1">
      <c r="A417" s="36" t="s">
        <v>2186</v>
      </c>
      <c r="B417" s="36" t="s">
        <v>768</v>
      </c>
      <c r="C417" s="39" t="s">
        <v>1284</v>
      </c>
      <c r="D417" s="36" t="s">
        <v>2187</v>
      </c>
      <c r="E417" s="36" t="s">
        <v>2188</v>
      </c>
      <c r="F417" s="36" t="s">
        <v>1995</v>
      </c>
      <c r="G417" s="36" t="s">
        <v>791</v>
      </c>
      <c r="I417" s="30" t="s">
        <v>2189</v>
      </c>
    </row>
    <row r="418" ht="22.5" customHeight="1">
      <c r="A418" s="36" t="s">
        <v>2190</v>
      </c>
      <c r="B418" s="36" t="s">
        <v>768</v>
      </c>
      <c r="C418" s="39" t="s">
        <v>2191</v>
      </c>
      <c r="D418" s="36" t="s">
        <v>2192</v>
      </c>
      <c r="E418" s="36" t="s">
        <v>2193</v>
      </c>
      <c r="F418" s="36" t="s">
        <v>2013</v>
      </c>
      <c r="G418" s="36" t="s">
        <v>791</v>
      </c>
      <c r="I418" s="30" t="s">
        <v>2194</v>
      </c>
    </row>
    <row r="419" ht="22.5" customHeight="1">
      <c r="A419" s="36" t="s">
        <v>2195</v>
      </c>
      <c r="B419" s="36" t="s">
        <v>768</v>
      </c>
      <c r="C419" s="39" t="s">
        <v>2196</v>
      </c>
      <c r="D419" s="36" t="s">
        <v>2197</v>
      </c>
      <c r="E419" s="36" t="s">
        <v>2198</v>
      </c>
      <c r="F419" s="36" t="s">
        <v>2199</v>
      </c>
      <c r="G419" s="36" t="s">
        <v>791</v>
      </c>
      <c r="I419" s="30" t="s">
        <v>2200</v>
      </c>
    </row>
    <row r="420" ht="22.5" customHeight="1">
      <c r="A420" s="36" t="s">
        <v>2201</v>
      </c>
      <c r="B420" s="36" t="s">
        <v>768</v>
      </c>
      <c r="C420" s="39" t="s">
        <v>2202</v>
      </c>
      <c r="D420" s="36" t="s">
        <v>2203</v>
      </c>
      <c r="E420" s="36" t="s">
        <v>2204</v>
      </c>
      <c r="F420" s="36" t="s">
        <v>2030</v>
      </c>
      <c r="G420" s="36" t="s">
        <v>791</v>
      </c>
      <c r="I420" s="30" t="s">
        <v>2205</v>
      </c>
    </row>
    <row r="421" ht="22.5" customHeight="1">
      <c r="A421" s="36" t="s">
        <v>2206</v>
      </c>
      <c r="B421" s="36" t="s">
        <v>768</v>
      </c>
      <c r="C421" s="39" t="s">
        <v>2207</v>
      </c>
      <c r="D421" s="36" t="s">
        <v>2208</v>
      </c>
      <c r="E421" s="36" t="s">
        <v>2209</v>
      </c>
      <c r="F421" s="36" t="s">
        <v>1995</v>
      </c>
      <c r="G421" s="36" t="s">
        <v>791</v>
      </c>
      <c r="I421" s="30" t="s">
        <v>2210</v>
      </c>
    </row>
    <row r="422" ht="22.5" customHeight="1">
      <c r="A422" s="36" t="s">
        <v>2211</v>
      </c>
      <c r="B422" s="36" t="s">
        <v>768</v>
      </c>
      <c r="C422" s="39" t="s">
        <v>2212</v>
      </c>
      <c r="D422" s="36" t="s">
        <v>2213</v>
      </c>
      <c r="E422" s="36" t="s">
        <v>2214</v>
      </c>
      <c r="F422" s="36" t="s">
        <v>2044</v>
      </c>
      <c r="G422" s="36" t="s">
        <v>791</v>
      </c>
      <c r="I422" s="30" t="s">
        <v>2215</v>
      </c>
    </row>
    <row r="423" ht="22.5" customHeight="1">
      <c r="A423" s="36" t="s">
        <v>2216</v>
      </c>
      <c r="B423" s="36" t="s">
        <v>768</v>
      </c>
      <c r="C423" s="39" t="s">
        <v>2217</v>
      </c>
      <c r="D423" s="36" t="s">
        <v>2218</v>
      </c>
      <c r="E423" s="36" t="s">
        <v>2219</v>
      </c>
      <c r="F423" s="36" t="s">
        <v>2030</v>
      </c>
      <c r="G423" s="36" t="s">
        <v>791</v>
      </c>
      <c r="I423" s="30" t="s">
        <v>2220</v>
      </c>
    </row>
    <row r="424" ht="22.5" customHeight="1">
      <c r="A424" s="36" t="s">
        <v>2221</v>
      </c>
      <c r="B424" s="36" t="s">
        <v>768</v>
      </c>
      <c r="C424" s="39" t="s">
        <v>2222</v>
      </c>
      <c r="D424" s="36" t="s">
        <v>2223</v>
      </c>
      <c r="E424" s="36" t="s">
        <v>2224</v>
      </c>
      <c r="F424" s="36" t="s">
        <v>2044</v>
      </c>
      <c r="G424" s="36" t="s">
        <v>791</v>
      </c>
      <c r="I424" s="30" t="s">
        <v>2225</v>
      </c>
    </row>
    <row r="425" ht="22.5" customHeight="1">
      <c r="A425" s="36" t="s">
        <v>2226</v>
      </c>
      <c r="B425" s="36" t="s">
        <v>768</v>
      </c>
      <c r="C425" s="39" t="s">
        <v>2227</v>
      </c>
      <c r="D425" s="36" t="s">
        <v>2228</v>
      </c>
      <c r="E425" s="36" t="s">
        <v>2229</v>
      </c>
      <c r="F425" s="36" t="s">
        <v>2080</v>
      </c>
      <c r="G425" s="36" t="s">
        <v>791</v>
      </c>
      <c r="I425" s="30" t="s">
        <v>2230</v>
      </c>
    </row>
    <row r="426" ht="22.5" customHeight="1">
      <c r="A426" s="36" t="s">
        <v>2231</v>
      </c>
      <c r="B426" s="36" t="s">
        <v>768</v>
      </c>
      <c r="C426" s="39" t="s">
        <v>2232</v>
      </c>
      <c r="D426" s="36" t="s">
        <v>2233</v>
      </c>
      <c r="E426" s="36" t="s">
        <v>2234</v>
      </c>
      <c r="F426" s="36" t="s">
        <v>1995</v>
      </c>
      <c r="G426" s="36" t="s">
        <v>791</v>
      </c>
      <c r="I426" s="30" t="s">
        <v>2235</v>
      </c>
    </row>
    <row r="427" ht="22.5" customHeight="1">
      <c r="A427" s="36" t="s">
        <v>2236</v>
      </c>
      <c r="B427" s="36" t="s">
        <v>768</v>
      </c>
      <c r="C427" s="39" t="s">
        <v>2237</v>
      </c>
      <c r="D427" s="36" t="s">
        <v>2238</v>
      </c>
      <c r="E427" s="36" t="s">
        <v>2239</v>
      </c>
      <c r="F427" s="36" t="s">
        <v>1995</v>
      </c>
      <c r="G427" s="36" t="s">
        <v>791</v>
      </c>
      <c r="I427" s="30" t="s">
        <v>2240</v>
      </c>
    </row>
    <row r="428" ht="22.5" customHeight="1">
      <c r="A428" s="36" t="s">
        <v>2241</v>
      </c>
      <c r="B428" s="36" t="s">
        <v>768</v>
      </c>
      <c r="C428" s="39" t="s">
        <v>2242</v>
      </c>
      <c r="D428" s="36" t="s">
        <v>2243</v>
      </c>
      <c r="E428" s="36" t="s">
        <v>2244</v>
      </c>
      <c r="F428" s="36" t="s">
        <v>2013</v>
      </c>
      <c r="G428" s="36" t="s">
        <v>791</v>
      </c>
      <c r="I428" s="30" t="s">
        <v>2245</v>
      </c>
    </row>
    <row r="429" ht="22.5" customHeight="1">
      <c r="A429" s="36" t="s">
        <v>2246</v>
      </c>
      <c r="B429" s="36" t="s">
        <v>768</v>
      </c>
      <c r="C429" s="39" t="s">
        <v>2247</v>
      </c>
      <c r="D429" s="36" t="s">
        <v>2248</v>
      </c>
      <c r="E429" s="36" t="s">
        <v>2249</v>
      </c>
      <c r="F429" s="36" t="s">
        <v>2013</v>
      </c>
      <c r="G429" s="36" t="s">
        <v>791</v>
      </c>
      <c r="I429" s="30" t="s">
        <v>2250</v>
      </c>
    </row>
    <row r="430" ht="22.5" customHeight="1">
      <c r="A430" s="36" t="s">
        <v>2251</v>
      </c>
      <c r="B430" s="36" t="s">
        <v>768</v>
      </c>
      <c r="C430" s="39" t="s">
        <v>2252</v>
      </c>
      <c r="D430" s="36" t="s">
        <v>2253</v>
      </c>
      <c r="E430" s="36" t="s">
        <v>2254</v>
      </c>
      <c r="F430" s="36" t="s">
        <v>2013</v>
      </c>
      <c r="G430" s="36" t="s">
        <v>791</v>
      </c>
      <c r="I430" s="30" t="s">
        <v>2255</v>
      </c>
    </row>
    <row r="431" ht="22.5" customHeight="1">
      <c r="A431" s="36" t="s">
        <v>2256</v>
      </c>
      <c r="B431" s="36" t="s">
        <v>768</v>
      </c>
      <c r="C431" s="39" t="s">
        <v>2257</v>
      </c>
      <c r="D431" s="36" t="s">
        <v>2258</v>
      </c>
      <c r="E431" s="36" t="s">
        <v>2259</v>
      </c>
      <c r="F431" s="36" t="s">
        <v>2044</v>
      </c>
      <c r="G431" s="36" t="s">
        <v>791</v>
      </c>
      <c r="I431" s="30" t="s">
        <v>2260</v>
      </c>
    </row>
    <row r="432" ht="22.5" customHeight="1">
      <c r="A432" s="36" t="s">
        <v>2261</v>
      </c>
      <c r="B432" s="36" t="s">
        <v>768</v>
      </c>
      <c r="C432" s="39" t="s">
        <v>2262</v>
      </c>
      <c r="D432" s="36" t="s">
        <v>2263</v>
      </c>
      <c r="E432" s="36" t="s">
        <v>2264</v>
      </c>
      <c r="F432" s="36" t="s">
        <v>2265</v>
      </c>
      <c r="G432" s="36" t="s">
        <v>791</v>
      </c>
      <c r="I432" s="30" t="s">
        <v>2266</v>
      </c>
    </row>
    <row r="433" ht="22.5" customHeight="1">
      <c r="A433" s="36" t="s">
        <v>2267</v>
      </c>
      <c r="B433" s="36" t="s">
        <v>784</v>
      </c>
      <c r="C433" s="39" t="s">
        <v>542</v>
      </c>
      <c r="D433" s="36" t="s">
        <v>1666</v>
      </c>
      <c r="E433" s="61">
        <v>-8195901.0</v>
      </c>
      <c r="F433" s="36" t="s">
        <v>1488</v>
      </c>
      <c r="G433" s="36" t="s">
        <v>791</v>
      </c>
      <c r="H433" s="36" t="s">
        <v>2268</v>
      </c>
    </row>
    <row r="434" ht="22.5" customHeight="1">
      <c r="A434" s="36" t="s">
        <v>2269</v>
      </c>
      <c r="B434" s="36" t="s">
        <v>768</v>
      </c>
      <c r="C434" s="39" t="s">
        <v>2270</v>
      </c>
      <c r="D434" s="36" t="s">
        <v>2271</v>
      </c>
      <c r="E434" s="36" t="s">
        <v>2272</v>
      </c>
      <c r="F434" s="36" t="s">
        <v>1929</v>
      </c>
      <c r="G434" s="36" t="s">
        <v>791</v>
      </c>
      <c r="I434" s="30" t="s">
        <v>2273</v>
      </c>
    </row>
    <row r="435" ht="22.5" customHeight="1">
      <c r="A435" s="36" t="s">
        <v>2274</v>
      </c>
      <c r="B435" s="36" t="s">
        <v>784</v>
      </c>
      <c r="C435" s="39" t="s">
        <v>895</v>
      </c>
      <c r="D435" s="36" t="s">
        <v>1486</v>
      </c>
      <c r="E435" s="61">
        <v>-8283199.0</v>
      </c>
      <c r="F435" s="36" t="s">
        <v>2275</v>
      </c>
      <c r="G435" s="36" t="s">
        <v>791</v>
      </c>
      <c r="H435" s="36" t="s">
        <v>2268</v>
      </c>
    </row>
    <row r="436" ht="22.5" customHeight="1">
      <c r="A436" s="36" t="s">
        <v>2276</v>
      </c>
      <c r="B436" s="36" t="s">
        <v>768</v>
      </c>
      <c r="C436" s="39" t="s">
        <v>2277</v>
      </c>
      <c r="D436" s="36" t="s">
        <v>2278</v>
      </c>
      <c r="E436" s="36" t="s">
        <v>2279</v>
      </c>
      <c r="F436" s="36" t="s">
        <v>2013</v>
      </c>
      <c r="G436" s="36" t="s">
        <v>791</v>
      </c>
      <c r="I436" s="30" t="s">
        <v>2280</v>
      </c>
    </row>
    <row r="437" ht="22.5" customHeight="1">
      <c r="A437" s="36" t="s">
        <v>2281</v>
      </c>
      <c r="B437" s="36" t="s">
        <v>768</v>
      </c>
      <c r="C437" s="39" t="s">
        <v>2282</v>
      </c>
      <c r="D437" s="36" t="s">
        <v>2283</v>
      </c>
      <c r="E437" s="36" t="s">
        <v>2284</v>
      </c>
      <c r="F437" s="36" t="s">
        <v>977</v>
      </c>
      <c r="G437" s="36" t="s">
        <v>791</v>
      </c>
      <c r="I437" s="30" t="s">
        <v>2285</v>
      </c>
    </row>
    <row r="438" ht="22.5" customHeight="1">
      <c r="A438" s="36" t="s">
        <v>2286</v>
      </c>
      <c r="B438" s="36" t="s">
        <v>768</v>
      </c>
      <c r="C438" s="39" t="s">
        <v>2287</v>
      </c>
      <c r="D438" s="36" t="s">
        <v>2288</v>
      </c>
      <c r="E438" s="36" t="s">
        <v>2289</v>
      </c>
      <c r="F438" s="36" t="s">
        <v>2080</v>
      </c>
      <c r="G438" s="36" t="s">
        <v>791</v>
      </c>
      <c r="I438" s="30" t="s">
        <v>2290</v>
      </c>
    </row>
    <row r="439" ht="22.5" customHeight="1">
      <c r="A439" s="36" t="s">
        <v>2291</v>
      </c>
      <c r="B439" s="36" t="s">
        <v>768</v>
      </c>
      <c r="C439" s="39" t="s">
        <v>2292</v>
      </c>
      <c r="D439" s="36" t="s">
        <v>2293</v>
      </c>
      <c r="E439" s="36" t="s">
        <v>2294</v>
      </c>
      <c r="F439" s="36" t="s">
        <v>2044</v>
      </c>
      <c r="G439" s="36" t="s">
        <v>791</v>
      </c>
      <c r="I439" s="30" t="s">
        <v>2295</v>
      </c>
    </row>
    <row r="440" ht="22.5" customHeight="1">
      <c r="A440" s="36" t="s">
        <v>2296</v>
      </c>
      <c r="B440" s="36" t="s">
        <v>768</v>
      </c>
      <c r="C440" s="39" t="s">
        <v>2297</v>
      </c>
      <c r="D440" s="36" t="s">
        <v>2298</v>
      </c>
      <c r="E440" s="36" t="s">
        <v>2299</v>
      </c>
      <c r="F440" s="36" t="s">
        <v>2080</v>
      </c>
      <c r="G440" s="36" t="s">
        <v>791</v>
      </c>
      <c r="I440" s="30" t="s">
        <v>2300</v>
      </c>
    </row>
    <row r="441" ht="22.5" customHeight="1">
      <c r="A441" s="36" t="s">
        <v>2301</v>
      </c>
      <c r="B441" s="36" t="s">
        <v>768</v>
      </c>
      <c r="C441" s="39" t="s">
        <v>2302</v>
      </c>
      <c r="D441" s="36" t="s">
        <v>2303</v>
      </c>
      <c r="E441" s="36" t="s">
        <v>2304</v>
      </c>
      <c r="F441" s="36" t="s">
        <v>2080</v>
      </c>
      <c r="G441" s="36" t="s">
        <v>791</v>
      </c>
      <c r="I441" s="30" t="s">
        <v>2305</v>
      </c>
    </row>
    <row r="442" ht="22.5" customHeight="1">
      <c r="A442" s="36" t="s">
        <v>2306</v>
      </c>
      <c r="B442" s="36" t="s">
        <v>768</v>
      </c>
      <c r="C442" s="39" t="s">
        <v>2307</v>
      </c>
      <c r="D442" s="36" t="s">
        <v>2308</v>
      </c>
      <c r="E442" s="36" t="s">
        <v>2309</v>
      </c>
      <c r="F442" s="36" t="s">
        <v>2013</v>
      </c>
      <c r="G442" s="36" t="s">
        <v>791</v>
      </c>
      <c r="I442" s="30" t="s">
        <v>2310</v>
      </c>
    </row>
    <row r="443" ht="22.5" customHeight="1">
      <c r="A443" s="36" t="s">
        <v>2311</v>
      </c>
      <c r="B443" s="36" t="s">
        <v>768</v>
      </c>
      <c r="C443" s="39" t="s">
        <v>2312</v>
      </c>
      <c r="D443" s="36" t="s">
        <v>2313</v>
      </c>
      <c r="E443" s="36" t="s">
        <v>2314</v>
      </c>
      <c r="F443" s="36" t="s">
        <v>2315</v>
      </c>
      <c r="G443" s="36" t="s">
        <v>791</v>
      </c>
      <c r="I443" s="30" t="s">
        <v>2316</v>
      </c>
    </row>
    <row r="444" ht="22.5" customHeight="1">
      <c r="A444" s="36" t="s">
        <v>2317</v>
      </c>
      <c r="B444" s="36" t="s">
        <v>768</v>
      </c>
      <c r="C444" s="39" t="s">
        <v>2318</v>
      </c>
      <c r="D444" s="36" t="s">
        <v>2319</v>
      </c>
      <c r="E444" s="36" t="s">
        <v>2320</v>
      </c>
      <c r="F444" s="36" t="s">
        <v>2080</v>
      </c>
      <c r="G444" s="36" t="s">
        <v>791</v>
      </c>
      <c r="I444" s="30" t="s">
        <v>2321</v>
      </c>
    </row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4" max="4" width="44.63"/>
    <col customWidth="1" min="5" max="5" width="60.25"/>
    <col customWidth="1" min="6" max="6" width="27.5"/>
  </cols>
  <sheetData>
    <row r="1" ht="22.5" customHeight="1">
      <c r="A1" s="1" t="s">
        <v>111</v>
      </c>
      <c r="B1" s="1" t="s">
        <v>116</v>
      </c>
      <c r="C1" s="1" t="s">
        <v>121</v>
      </c>
      <c r="D1" s="1" t="s">
        <v>126</v>
      </c>
      <c r="E1" s="1" t="s">
        <v>132</v>
      </c>
      <c r="F1" s="1" t="s">
        <v>138</v>
      </c>
    </row>
    <row r="2" ht="22.5" customHeight="1">
      <c r="A2" s="36" t="s">
        <v>2322</v>
      </c>
      <c r="B2" s="36" t="s">
        <v>789</v>
      </c>
      <c r="C2" s="36" t="s">
        <v>2323</v>
      </c>
      <c r="D2" s="36" t="s">
        <v>278</v>
      </c>
      <c r="E2" s="74" t="str">
        <f t="array" ref="E2">IF(
                C2 = "",
                "",
                       IF(
                           C2 ="FOTOGRAFIA",
                           "LINK",
                           "https://www.appsheet.com/template/gettablefileurl?appName=particulas_magneticas-924373673&amp;tableName=4.reg_fotografico&amp;fileName="&amp;C2                         )
                          )</f>
        <v>https://www.appsheet.com/template/gettablefileurl?appName=particulas_magneticas-924373673&amp;tableName=4.reg_fotografico&amp;fileName=4.reg_fotografico_Images/a7b653e7.imagen.191447.jpg</v>
      </c>
      <c r="F2" s="54" t="str">
        <f t="shared" ref="F2:F213" si="1">map(E2, lambda(url, image(url,1)))</f>
        <v/>
      </c>
    </row>
    <row r="3" ht="22.5" customHeight="1">
      <c r="A3" s="36" t="s">
        <v>2324</v>
      </c>
      <c r="B3" s="36" t="s">
        <v>789</v>
      </c>
      <c r="C3" s="36" t="s">
        <v>2325</v>
      </c>
      <c r="D3" s="36" t="s">
        <v>2326</v>
      </c>
      <c r="E3" s="74" t="str">
        <f t="array" ref="E3">IF(
                C3 = "",
                "",
                       IF(
                           C3 ="FOTOGRAFIA",
                           "LINK",
                           "https://www.appsheet.com/template/gettablefileurl?appName=particulas_magneticas-924373673&amp;tableName=4.reg_fotografico&amp;fileName="&amp;C3                         )
                          )</f>
        <v>https://www.appsheet.com/template/gettablefileurl?appName=particulas_magneticas-924373673&amp;tableName=4.reg_fotografico&amp;fileName=4.reg_fotografico_Images/d777fb12.imagen.191451.jpg</v>
      </c>
      <c r="F3" s="54" t="str">
        <f t="shared" si="1"/>
        <v/>
      </c>
    </row>
    <row r="4" ht="22.5" customHeight="1">
      <c r="A4" s="36" t="s">
        <v>2327</v>
      </c>
      <c r="B4" s="36" t="s">
        <v>789</v>
      </c>
      <c r="C4" s="36" t="s">
        <v>2328</v>
      </c>
      <c r="D4" s="36" t="s">
        <v>2329</v>
      </c>
      <c r="E4" s="74" t="str">
        <f t="array" ref="E4">IF(
                C4 = "",
                "",
                       IF(
                           C4 ="FOTOGRAFIA",
                           "LINK",
                           "https://www.appsheet.com/template/gettablefileurl?appName=particulas_magneticas-924373673&amp;tableName=4.reg_fotografico&amp;fileName="&amp;C4                         )
                          )</f>
        <v>https://www.appsheet.com/template/gettablefileurl?appName=particulas_magneticas-924373673&amp;tableName=4.reg_fotografico&amp;fileName=4.reg_fotografico_Images/c7704601.imagen.191456.jpg</v>
      </c>
      <c r="F4" s="54" t="str">
        <f t="shared" si="1"/>
        <v/>
      </c>
    </row>
    <row r="5" ht="22.5" customHeight="1">
      <c r="A5" s="36" t="s">
        <v>2330</v>
      </c>
      <c r="B5" s="36" t="s">
        <v>792</v>
      </c>
      <c r="C5" s="36" t="s">
        <v>2331</v>
      </c>
      <c r="D5" s="36" t="s">
        <v>2332</v>
      </c>
      <c r="E5" s="74" t="str">
        <f t="array" ref="E5">IF(
                C5 = "",
                "",
                       IF(
                           C5 ="FOTOGRAFIA",
                           "LINK",
                           "https://www.appsheet.com/template/gettablefileurl?appName=particulas_magneticas-924373673&amp;tableName=4.reg_fotografico&amp;fileName="&amp;C5                         )
                          )</f>
        <v>https://www.appsheet.com/template/gettablefileurl?appName=particulas_magneticas-924373673&amp;tableName=4.reg_fotografico&amp;fileName=4.reg_fotografico_Images/3f5b3464.imagen.212146.png</v>
      </c>
      <c r="F5" s="54" t="str">
        <f t="shared" si="1"/>
        <v/>
      </c>
    </row>
    <row r="6" ht="22.5" customHeight="1">
      <c r="A6" s="36" t="s">
        <v>2333</v>
      </c>
      <c r="B6" s="36" t="s">
        <v>792</v>
      </c>
      <c r="C6" s="36" t="s">
        <v>2334</v>
      </c>
      <c r="D6" s="36" t="s">
        <v>278</v>
      </c>
      <c r="E6" s="74" t="str">
        <f t="array" ref="E6">IF(
                C6 = "",
                "",
                       IF(
                           C6 ="FOTOGRAFIA",
                           "LINK",
                           "https://www.appsheet.com/template/gettablefileurl?appName=particulas_magneticas-924373673&amp;tableName=4.reg_fotografico&amp;fileName="&amp;C6                         )
                          )</f>
        <v>https://www.appsheet.com/template/gettablefileurl?appName=particulas_magneticas-924373673&amp;tableName=4.reg_fotografico&amp;fileName=4.reg_fotografico_Images/ebb87ba0.imagen.212150.png</v>
      </c>
      <c r="F6" s="54" t="str">
        <f t="shared" si="1"/>
        <v/>
      </c>
    </row>
    <row r="7" ht="22.5" customHeight="1">
      <c r="A7" s="36" t="s">
        <v>2335</v>
      </c>
      <c r="B7" s="36" t="s">
        <v>792</v>
      </c>
      <c r="C7" s="36" t="s">
        <v>2336</v>
      </c>
      <c r="D7" s="36" t="s">
        <v>2326</v>
      </c>
      <c r="E7" s="74" t="str">
        <f t="array" ref="E7">IF(
                C7 = "",
                "",
                       IF(
                           C7 ="FOTOGRAFIA",
                           "LINK",
                           "https://www.appsheet.com/template/gettablefileurl?appName=particulas_magneticas-924373673&amp;tableName=4.reg_fotografico&amp;fileName="&amp;C7                         )
                          )</f>
        <v>https://www.appsheet.com/template/gettablefileurl?appName=particulas_magneticas-924373673&amp;tableName=4.reg_fotografico&amp;fileName=4.reg_fotografico_Images/710796ac.imagen.212155.png</v>
      </c>
      <c r="F7" s="54" t="str">
        <f t="shared" si="1"/>
        <v/>
      </c>
    </row>
    <row r="8" ht="22.5" customHeight="1">
      <c r="A8" s="36" t="s">
        <v>2337</v>
      </c>
      <c r="B8" s="36" t="s">
        <v>792</v>
      </c>
      <c r="C8" s="36" t="s">
        <v>2338</v>
      </c>
      <c r="D8" s="36" t="s">
        <v>2329</v>
      </c>
      <c r="E8" s="74" t="str">
        <f t="array" ref="E8">IF(
                C8 = "",
                "",
                       IF(
                           C8 ="FOTOGRAFIA",
                           "LINK",
                           "https://www.appsheet.com/template/gettablefileurl?appName=particulas_magneticas-924373673&amp;tableName=4.reg_fotografico&amp;fileName="&amp;C8                         )
                          )</f>
        <v>https://www.appsheet.com/template/gettablefileurl?appName=particulas_magneticas-924373673&amp;tableName=4.reg_fotografico&amp;fileName=4.reg_fotografico_Images/eae586f5.imagen.212200.png</v>
      </c>
      <c r="F8" s="54" t="str">
        <f t="shared" si="1"/>
        <v/>
      </c>
    </row>
    <row r="9" ht="22.5" customHeight="1">
      <c r="A9" s="36" t="s">
        <v>2339</v>
      </c>
      <c r="B9" s="36" t="s">
        <v>792</v>
      </c>
      <c r="C9" s="36" t="s">
        <v>2340</v>
      </c>
      <c r="D9" s="36" t="s">
        <v>2341</v>
      </c>
      <c r="E9" s="74" t="str">
        <f t="array" ref="E9">IF(
                C9 = "",
                "",
                       IF(
                           C9 ="FOTOGRAFIA",
                           "LINK",
                           "https://www.appsheet.com/template/gettablefileurl?appName=particulas_magneticas-924373673&amp;tableName=4.reg_fotografico&amp;fileName="&amp;C9                         )
                          )</f>
        <v>https://www.appsheet.com/template/gettablefileurl?appName=particulas_magneticas-924373673&amp;tableName=4.reg_fotografico&amp;fileName=4.reg_fotografico_Images/83778a12.imagen.212206.png</v>
      </c>
      <c r="F9" s="54" t="str">
        <f t="shared" si="1"/>
        <v/>
      </c>
    </row>
    <row r="10" ht="22.5" customHeight="1">
      <c r="A10" s="36" t="s">
        <v>2342</v>
      </c>
      <c r="B10" s="36" t="s">
        <v>794</v>
      </c>
      <c r="C10" s="36" t="s">
        <v>2343</v>
      </c>
      <c r="D10" s="36" t="s">
        <v>2344</v>
      </c>
      <c r="E10" s="74" t="str">
        <f t="array" ref="E10">IF(
                C10 = "",
                "",
                       IF(
                           C10 ="FOTOGRAFIA",
                           "LINK",
                           "https://www.appsheet.com/template/gettablefileurl?appName=particulas_magneticas-924373673&amp;tableName=4.reg_fotografico&amp;fileName="&amp;C10                         )
                          )</f>
        <v>https://www.appsheet.com/template/gettablefileurl?appName=particulas_magneticas-924373673&amp;tableName=4.reg_fotografico&amp;fileName=4.reg_fotografico_Images/4b41999b.imagen.134806.png</v>
      </c>
      <c r="F10" s="54" t="str">
        <f t="shared" si="1"/>
        <v/>
      </c>
    </row>
    <row r="11" ht="22.5" customHeight="1">
      <c r="A11" s="36" t="s">
        <v>2345</v>
      </c>
      <c r="B11" s="36" t="s">
        <v>794</v>
      </c>
      <c r="C11" s="36" t="s">
        <v>2346</v>
      </c>
      <c r="D11" s="36" t="s">
        <v>2347</v>
      </c>
      <c r="E11" s="74" t="str">
        <f t="array" ref="E11">IF(
                C11 = "",
                "",
                       IF(
                           C11 ="FOTOGRAFIA",
                           "LINK",
                           "https://www.appsheet.com/template/gettablefileurl?appName=particulas_magneticas-924373673&amp;tableName=4.reg_fotografico&amp;fileName="&amp;C11                         )
                          )</f>
        <v>https://www.appsheet.com/template/gettablefileurl?appName=particulas_magneticas-924373673&amp;tableName=4.reg_fotografico&amp;fileName=4.reg_fotografico_Images/ff64d2b0.imagen.135615.png</v>
      </c>
      <c r="F11" s="54" t="str">
        <f t="shared" si="1"/>
        <v/>
      </c>
    </row>
    <row r="12" ht="22.5" customHeight="1">
      <c r="A12" s="36" t="s">
        <v>2348</v>
      </c>
      <c r="B12" s="36" t="s">
        <v>798</v>
      </c>
      <c r="C12" s="36" t="s">
        <v>2349</v>
      </c>
      <c r="D12" s="36" t="s">
        <v>2350</v>
      </c>
      <c r="E12" s="74" t="str">
        <f t="array" ref="E12">IF(
                C12 = "",
                "",
                       IF(
                           C12 ="FOTOGRAFIA",
                           "LINK",
                           "https://www.appsheet.com/template/gettablefileurl?appName=particulas_magneticas-924373673&amp;tableName=4.reg_fotografico&amp;fileName="&amp;C12                         )
                          )</f>
        <v>https://www.appsheet.com/template/gettablefileurl?appName=particulas_magneticas-924373673&amp;tableName=4.reg_fotografico&amp;fileName=4.reg_fotografico_Images/95d47695.imagen.201118.png</v>
      </c>
      <c r="F12" s="54" t="str">
        <f t="shared" si="1"/>
        <v/>
      </c>
    </row>
    <row r="13" ht="22.5" customHeight="1">
      <c r="A13" s="36" t="s">
        <v>2351</v>
      </c>
      <c r="B13" s="36" t="s">
        <v>808</v>
      </c>
      <c r="C13" s="36" t="s">
        <v>2352</v>
      </c>
      <c r="D13" s="36" t="s">
        <v>2353</v>
      </c>
      <c r="E13" s="74" t="str">
        <f t="array" ref="E13">IF(
                C13 = "",
                "",
                       IF(
                           C13 ="FOTOGRAFIA",
                           "LINK",
                           "https://www.appsheet.com/template/gettablefileurl?appName=particulas_magneticas-924373673&amp;tableName=4.reg_fotografico&amp;fileName="&amp;C13                         )
                          )</f>
        <v>https://www.appsheet.com/template/gettablefileurl?appName=particulas_magneticas-924373673&amp;tableName=4.reg_fotografico&amp;fileName=4.reg_fotografico_Images/60bd5b35.imagen.132112.jpg</v>
      </c>
      <c r="F13" s="54" t="str">
        <f t="shared" si="1"/>
        <v/>
      </c>
    </row>
    <row r="14" ht="22.5" customHeight="1">
      <c r="A14" s="36" t="s">
        <v>2354</v>
      </c>
      <c r="B14" s="36" t="s">
        <v>808</v>
      </c>
      <c r="C14" s="36" t="s">
        <v>2355</v>
      </c>
      <c r="D14" s="36" t="s">
        <v>2356</v>
      </c>
      <c r="E14" s="74" t="str">
        <f t="array" ref="E14">IF(
                C14 = "",
                "",
                       IF(
                           C14 ="FOTOGRAFIA",
                           "LINK",
                           "https://www.appsheet.com/template/gettablefileurl?appName=particulas_magneticas-924373673&amp;tableName=4.reg_fotografico&amp;fileName="&amp;C14                         )
                          )</f>
        <v>https://www.appsheet.com/template/gettablefileurl?appName=particulas_magneticas-924373673&amp;tableName=4.reg_fotografico&amp;fileName=4.reg_fotografico_Images/a512bb70.imagen.132528.jpg</v>
      </c>
      <c r="F14" s="54" t="str">
        <f t="shared" si="1"/>
        <v/>
      </c>
    </row>
    <row r="15" ht="22.5" customHeight="1">
      <c r="A15" s="36" t="s">
        <v>2357</v>
      </c>
      <c r="B15" s="36" t="s">
        <v>842</v>
      </c>
      <c r="C15" s="36" t="s">
        <v>2358</v>
      </c>
      <c r="D15" s="36" t="s">
        <v>2359</v>
      </c>
      <c r="E15" s="74" t="str">
        <f t="array" ref="E15">IF(
                C15 = "",
                "",
                       IF(
                           C15 ="FOTOGRAFIA",
                           "LINK",
                           "https://www.appsheet.com/template/gettablefileurl?appName=particulas_magneticas-924373673&amp;tableName=4.reg_fotografico&amp;fileName="&amp;C15                         )
                          )</f>
        <v>https://www.appsheet.com/template/gettablefileurl?appName=particulas_magneticas-924373673&amp;tableName=4.reg_fotografico&amp;fileName=4.reg_fotografico_Images/8b96b4d0.imagen.134323.jpg</v>
      </c>
      <c r="F15" s="54" t="str">
        <f t="shared" si="1"/>
        <v/>
      </c>
    </row>
    <row r="16" ht="22.5" customHeight="1">
      <c r="A16" s="36" t="s">
        <v>2360</v>
      </c>
      <c r="B16" s="36" t="s">
        <v>826</v>
      </c>
      <c r="C16" s="36" t="s">
        <v>2361</v>
      </c>
      <c r="D16" s="36" t="s">
        <v>2362</v>
      </c>
      <c r="E16" s="74" t="str">
        <f t="array" ref="E16">IF(
                C16 = "",
                "",
                       IF(
                           C16 ="FOTOGRAFIA",
                           "LINK",
                           "https://www.appsheet.com/template/gettablefileurl?appName=particulas_magneticas-924373673&amp;tableName=4.reg_fotografico&amp;fileName="&amp;C16                         )
                          )</f>
        <v>https://www.appsheet.com/template/gettablefileurl?appName=particulas_magneticas-924373673&amp;tableName=4.reg_fotografico&amp;fileName=4.reg_fotografico_Images/764d50f6.imagen.134329.jpg</v>
      </c>
      <c r="F16" s="54" t="str">
        <f t="shared" si="1"/>
        <v/>
      </c>
    </row>
    <row r="17" ht="22.5" customHeight="1">
      <c r="A17" s="36" t="s">
        <v>2363</v>
      </c>
      <c r="B17" s="36" t="s">
        <v>847</v>
      </c>
      <c r="C17" s="36" t="s">
        <v>2364</v>
      </c>
      <c r="D17" s="36" t="s">
        <v>2365</v>
      </c>
      <c r="E17" s="74" t="str">
        <f t="array" ref="E17">IF(
                C17 = "",
                "",
                       IF(
                           C17 ="FOTOGRAFIA",
                           "LINK",
                           "https://www.appsheet.com/template/gettablefileurl?appName=particulas_magneticas-924373673&amp;tableName=4.reg_fotografico&amp;fileName="&amp;C17                         )
                          )</f>
        <v>https://www.appsheet.com/template/gettablefileurl?appName=particulas_magneticas-924373673&amp;tableName=4.reg_fotografico&amp;fileName=4.reg_fotografico_Images/799ed08a.imagen.134333.jpg</v>
      </c>
      <c r="F17" s="54" t="str">
        <f t="shared" si="1"/>
        <v/>
      </c>
    </row>
    <row r="18" ht="22.5" customHeight="1">
      <c r="A18" s="36" t="s">
        <v>2366</v>
      </c>
      <c r="B18" s="36" t="s">
        <v>834</v>
      </c>
      <c r="C18" s="36" t="s">
        <v>2367</v>
      </c>
      <c r="D18" s="36" t="s">
        <v>2368</v>
      </c>
      <c r="E18" s="74" t="str">
        <f t="array" ref="E18">IF(
                C18 = "",
                "",
                       IF(
                           C18 ="FOTOGRAFIA",
                           "LINK",
                           "https://www.appsheet.com/template/gettablefileurl?appName=particulas_magneticas-924373673&amp;tableName=4.reg_fotografico&amp;fileName="&amp;C18                         )
                          )</f>
        <v>https://www.appsheet.com/template/gettablefileurl?appName=particulas_magneticas-924373673&amp;tableName=4.reg_fotografico&amp;fileName=4.reg_fotografico_Images/9bb65847.imagen.134337.jpg</v>
      </c>
      <c r="F18" s="54" t="str">
        <f t="shared" si="1"/>
        <v/>
      </c>
    </row>
    <row r="19" ht="22.5" customHeight="1">
      <c r="A19" s="36" t="s">
        <v>2369</v>
      </c>
      <c r="B19" s="36" t="s">
        <v>810</v>
      </c>
      <c r="C19" s="36" t="s">
        <v>2370</v>
      </c>
      <c r="D19" s="36" t="s">
        <v>2371</v>
      </c>
      <c r="E19" s="74" t="str">
        <f t="array" ref="E19">IF(
                C19 = "",
                "",
                       IF(
                           C19 ="FOTOGRAFIA",
                           "LINK",
                           "https://www.appsheet.com/template/gettablefileurl?appName=particulas_magneticas-924373673&amp;tableName=4.reg_fotografico&amp;fileName="&amp;C19                         )
                          )</f>
        <v>https://www.appsheet.com/template/gettablefileurl?appName=particulas_magneticas-924373673&amp;tableName=4.reg_fotografico&amp;fileName=4.reg_fotografico_Images/649dcf8f.imagen.134342.jpg</v>
      </c>
      <c r="F19" s="54" t="str">
        <f t="shared" si="1"/>
        <v/>
      </c>
    </row>
    <row r="20" ht="22.5" customHeight="1">
      <c r="A20" s="36" t="s">
        <v>2372</v>
      </c>
      <c r="B20" s="36" t="s">
        <v>829</v>
      </c>
      <c r="C20" s="36" t="s">
        <v>2373</v>
      </c>
      <c r="D20" s="36" t="s">
        <v>2374</v>
      </c>
      <c r="E20" s="74" t="str">
        <f t="array" ref="E20">IF(
                C20 = "",
                "",
                       IF(
                           C20 ="FOTOGRAFIA",
                           "LINK",
                           "https://www.appsheet.com/template/gettablefileurl?appName=particulas_magneticas-924373673&amp;tableName=4.reg_fotografico&amp;fileName="&amp;C20                         )
                          )</f>
        <v>https://www.appsheet.com/template/gettablefileurl?appName=particulas_magneticas-924373673&amp;tableName=4.reg_fotografico&amp;fileName=4.reg_fotografico_Images/f2d037fa.imagen.134538.jpg</v>
      </c>
      <c r="F20" s="54" t="str">
        <f t="shared" si="1"/>
        <v/>
      </c>
    </row>
    <row r="21" ht="22.5" customHeight="1">
      <c r="A21" s="36" t="s">
        <v>2375</v>
      </c>
      <c r="B21" s="36" t="s">
        <v>831</v>
      </c>
      <c r="C21" s="36" t="s">
        <v>2376</v>
      </c>
      <c r="D21" s="36" t="s">
        <v>2377</v>
      </c>
      <c r="E21" s="74" t="str">
        <f t="array" ref="E21">IF(
                C21 = "",
                "",
                       IF(
                           C21 ="FOTOGRAFIA",
                           "LINK",
                           "https://www.appsheet.com/template/gettablefileurl?appName=particulas_magneticas-924373673&amp;tableName=4.reg_fotografico&amp;fileName="&amp;C21                         )
                          )</f>
        <v>https://www.appsheet.com/template/gettablefileurl?appName=particulas_magneticas-924373673&amp;tableName=4.reg_fotografico&amp;fileName=4.reg_fotografico_Images/85fc841a.imagen.134543.jpg</v>
      </c>
      <c r="F21" s="54" t="str">
        <f t="shared" si="1"/>
        <v/>
      </c>
    </row>
    <row r="22" ht="22.5" customHeight="1">
      <c r="A22" s="36" t="s">
        <v>2378</v>
      </c>
      <c r="B22" s="36" t="s">
        <v>842</v>
      </c>
      <c r="C22" s="36" t="s">
        <v>2379</v>
      </c>
      <c r="D22" s="36" t="s">
        <v>2359</v>
      </c>
      <c r="E22" s="74" t="str">
        <f t="array" ref="E22">IF(
                C22 = "",
                "",
                       IF(
                           C22 ="FOTOGRAFIA",
                           "LINK",
                           "https://www.appsheet.com/template/gettablefileurl?appName=particulas_magneticas-924373673&amp;tableName=4.reg_fotografico&amp;fileName="&amp;C22                         )
                          )</f>
        <v>https://www.appsheet.com/template/gettablefileurl?appName=particulas_magneticas-924373673&amp;tableName=4.reg_fotografico&amp;fileName=4.reg_fotografico_Images/90232bf4.imagen.134548.jpg</v>
      </c>
      <c r="F22" s="54" t="str">
        <f t="shared" si="1"/>
        <v/>
      </c>
    </row>
    <row r="23" ht="22.5" customHeight="1">
      <c r="A23" s="36" t="s">
        <v>2380</v>
      </c>
      <c r="B23" s="36" t="s">
        <v>842</v>
      </c>
      <c r="C23" s="36" t="s">
        <v>2381</v>
      </c>
      <c r="D23" s="36" t="s">
        <v>2359</v>
      </c>
      <c r="E23" s="74" t="str">
        <f t="array" ref="E23">IF(
                C23 = "",
                "",
                       IF(
                           C23 ="FOTOGRAFIA",
                           "LINK",
                           "https://www.appsheet.com/template/gettablefileurl?appName=particulas_magneticas-924373673&amp;tableName=4.reg_fotografico&amp;fileName="&amp;C23                         )
                          )</f>
        <v>https://www.appsheet.com/template/gettablefileurl?appName=particulas_magneticas-924373673&amp;tableName=4.reg_fotografico&amp;fileName=4.reg_fotografico_Images/798727db.imagen.134559.jpg</v>
      </c>
      <c r="F23" s="54" t="str">
        <f t="shared" si="1"/>
        <v/>
      </c>
    </row>
    <row r="24" ht="22.5" customHeight="1">
      <c r="A24" s="36" t="s">
        <v>2382</v>
      </c>
      <c r="B24" s="36" t="s">
        <v>813</v>
      </c>
      <c r="C24" s="36" t="s">
        <v>2383</v>
      </c>
      <c r="D24" s="36" t="s">
        <v>2384</v>
      </c>
      <c r="E24" s="74" t="str">
        <f t="array" ref="E24">IF(
                C24 = "",
                "",
                       IF(
                           C24 ="FOTOGRAFIA",
                           "LINK",
                           "https://www.appsheet.com/template/gettablefileurl?appName=particulas_magneticas-924373673&amp;tableName=4.reg_fotografico&amp;fileName="&amp;C24                         )
                          )</f>
        <v>https://www.appsheet.com/template/gettablefileurl?appName=particulas_magneticas-924373673&amp;tableName=4.reg_fotografico&amp;fileName=4.reg_fotografico_Images/0b72e7d8.imagen.134604.jpg</v>
      </c>
      <c r="F24" s="54" t="str">
        <f t="shared" si="1"/>
        <v/>
      </c>
    </row>
    <row r="25" ht="22.5" customHeight="1">
      <c r="A25" s="39" t="s">
        <v>2385</v>
      </c>
      <c r="B25" s="36" t="s">
        <v>839</v>
      </c>
      <c r="C25" s="36" t="s">
        <v>2386</v>
      </c>
      <c r="D25" s="36" t="s">
        <v>2387</v>
      </c>
      <c r="E25" s="74" t="str">
        <f t="array" ref="E25">IF(
                C25 = "",
                "",
                       IF(
                           C25 ="FOTOGRAFIA",
                           "LINK",
                           "https://www.appsheet.com/template/gettablefileurl?appName=particulas_magneticas-924373673&amp;tableName=4.reg_fotografico&amp;fileName="&amp;C25                         )
                          )</f>
        <v>https://www.appsheet.com/template/gettablefileurl?appName=particulas_magneticas-924373673&amp;tableName=4.reg_fotografico&amp;fileName=4.reg_fotografico_Images/60185456.imagen.134608.jpg</v>
      </c>
      <c r="F25" s="54" t="str">
        <f t="shared" si="1"/>
        <v/>
      </c>
    </row>
    <row r="26" ht="22.5" customHeight="1">
      <c r="A26" s="36" t="s">
        <v>2388</v>
      </c>
      <c r="B26" s="36" t="s">
        <v>823</v>
      </c>
      <c r="C26" s="36" t="s">
        <v>2389</v>
      </c>
      <c r="D26" s="36" t="s">
        <v>2390</v>
      </c>
      <c r="E26" s="74" t="str">
        <f t="array" ref="E26">IF(
                C26 = "",
                "",
                       IF(
                           C26 ="FOTOGRAFIA",
                           "LINK",
                           "https://www.appsheet.com/template/gettablefileurl?appName=particulas_magneticas-924373673&amp;tableName=4.reg_fotografico&amp;fileName="&amp;C26                         )
                          )</f>
        <v>https://www.appsheet.com/template/gettablefileurl?appName=particulas_magneticas-924373673&amp;tableName=4.reg_fotografico&amp;fileName=4.reg_fotografico_Images/3de2a8d3.imagen.134613.jpg</v>
      </c>
      <c r="F26" s="54" t="str">
        <f t="shared" si="1"/>
        <v/>
      </c>
    </row>
    <row r="27" ht="22.5" customHeight="1">
      <c r="A27" s="39" t="s">
        <v>2391</v>
      </c>
      <c r="B27" s="36" t="s">
        <v>819</v>
      </c>
      <c r="C27" s="36" t="s">
        <v>2392</v>
      </c>
      <c r="D27" s="36" t="s">
        <v>2393</v>
      </c>
      <c r="E27" s="74" t="str">
        <f t="array" ref="E27">IF(
                C27 = "",
                "",
                       IF(
                           C27 ="FOTOGRAFIA",
                           "LINK",
                           "https://www.appsheet.com/template/gettablefileurl?appName=particulas_magneticas-924373673&amp;tableName=4.reg_fotografico&amp;fileName="&amp;C27                         )
                          )</f>
        <v>https://www.appsheet.com/template/gettablefileurl?appName=particulas_magneticas-924373673&amp;tableName=4.reg_fotografico&amp;fileName=4.reg_fotografico_Images/19350254.imagen.135444.jpg</v>
      </c>
      <c r="F27" s="54" t="str">
        <f t="shared" si="1"/>
        <v/>
      </c>
    </row>
    <row r="28" ht="22.5" customHeight="1">
      <c r="A28" s="36" t="s">
        <v>2394</v>
      </c>
      <c r="B28" s="36" t="s">
        <v>831</v>
      </c>
      <c r="C28" s="36" t="s">
        <v>2395</v>
      </c>
      <c r="D28" s="36" t="s">
        <v>2377</v>
      </c>
      <c r="E28" s="74" t="str">
        <f t="array" ref="E28">IF(
                C28 = "",
                "",
                       IF(
                           C28 ="FOTOGRAFIA",
                           "LINK",
                           "https://www.appsheet.com/template/gettablefileurl?appName=particulas_magneticas-924373673&amp;tableName=4.reg_fotografico&amp;fileName="&amp;C28                         )
                          )</f>
        <v>https://www.appsheet.com/template/gettablefileurl?appName=particulas_magneticas-924373673&amp;tableName=4.reg_fotografico&amp;fileName=4.reg_fotografico_Images/448dcdc5.imagen.135448.jpg</v>
      </c>
      <c r="F28" s="54" t="str">
        <f t="shared" si="1"/>
        <v/>
      </c>
    </row>
    <row r="29" ht="22.5" customHeight="1">
      <c r="A29" s="36" t="s">
        <v>2396</v>
      </c>
      <c r="B29" s="36" t="s">
        <v>816</v>
      </c>
      <c r="C29" s="36" t="s">
        <v>2397</v>
      </c>
      <c r="D29" s="36" t="s">
        <v>2398</v>
      </c>
      <c r="E29" s="74" t="str">
        <f t="array" ref="E29">IF(
                C29 = "",
                "",
                       IF(
                           C29 ="FOTOGRAFIA",
                           "LINK",
                           "https://www.appsheet.com/template/gettablefileurl?appName=particulas_magneticas-924373673&amp;tableName=4.reg_fotografico&amp;fileName="&amp;C29                         )
                          )</f>
        <v>https://www.appsheet.com/template/gettablefileurl?appName=particulas_magneticas-924373673&amp;tableName=4.reg_fotografico&amp;fileName=4.reg_fotografico_Images/5d94b463.imagen.135452.jpg</v>
      </c>
      <c r="F29" s="54" t="str">
        <f t="shared" si="1"/>
        <v/>
      </c>
    </row>
    <row r="30" ht="22.5" customHeight="1">
      <c r="A30" s="36" t="s">
        <v>2399</v>
      </c>
      <c r="B30" s="39" t="s">
        <v>821</v>
      </c>
      <c r="C30" s="36" t="s">
        <v>2400</v>
      </c>
      <c r="D30" s="36" t="s">
        <v>2401</v>
      </c>
      <c r="E30" s="74" t="str">
        <f t="array" ref="E30">IF(
                C30 = "",
                "",
                       IF(
                           C30 ="FOTOGRAFIA",
                           "LINK",
                           "https://www.appsheet.com/template/gettablefileurl?appName=particulas_magneticas-924373673&amp;tableName=4.reg_fotografico&amp;fileName="&amp;C30                         )
                          )</f>
        <v>https://www.appsheet.com/template/gettablefileurl?appName=particulas_magneticas-924373673&amp;tableName=4.reg_fotografico&amp;fileName=4.reg_fotografico_Images/625a8686.imagen.135457.jpg</v>
      </c>
      <c r="F30" s="54" t="str">
        <f t="shared" si="1"/>
        <v/>
      </c>
    </row>
    <row r="31" ht="22.5" customHeight="1">
      <c r="A31" s="36" t="s">
        <v>2402</v>
      </c>
      <c r="B31" s="36" t="s">
        <v>831</v>
      </c>
      <c r="C31" s="36" t="s">
        <v>2403</v>
      </c>
      <c r="D31" s="36" t="s">
        <v>2377</v>
      </c>
      <c r="E31" s="74" t="str">
        <f t="array" ref="E31">IF(
                C31 = "",
                "",
                       IF(
                           C31 ="FOTOGRAFIA",
                           "LINK",
                           "https://www.appsheet.com/template/gettablefileurl?appName=particulas_magneticas-924373673&amp;tableName=4.reg_fotografico&amp;fileName="&amp;C31                         )
                          )</f>
        <v>https://www.appsheet.com/template/gettablefileurl?appName=particulas_magneticas-924373673&amp;tableName=4.reg_fotografico&amp;fileName=4.reg_fotografico_Images/5a51513d.imagen.142354.jpg</v>
      </c>
      <c r="F31" s="54" t="str">
        <f t="shared" si="1"/>
        <v/>
      </c>
    </row>
    <row r="32" ht="22.5" customHeight="1">
      <c r="A32" s="36" t="s">
        <v>2404</v>
      </c>
      <c r="B32" s="36" t="s">
        <v>837</v>
      </c>
      <c r="C32" s="36" t="s">
        <v>2405</v>
      </c>
      <c r="D32" s="36" t="s">
        <v>2406</v>
      </c>
      <c r="E32" s="74" t="str">
        <f t="array" ref="E32">IF(
                C32 = "",
                "",
                       IF(
                           C32 ="FOTOGRAFIA",
                           "LINK",
                           "https://www.appsheet.com/template/gettablefileurl?appName=particulas_magneticas-924373673&amp;tableName=4.reg_fotografico&amp;fileName="&amp;C32                         )
                          )</f>
        <v>https://www.appsheet.com/template/gettablefileurl?appName=particulas_magneticas-924373673&amp;tableName=4.reg_fotografico&amp;fileName=4.reg_fotografico_Images/19ddf12e.imagen.142400.jpg</v>
      </c>
      <c r="F32" s="54" t="str">
        <f t="shared" si="1"/>
        <v/>
      </c>
    </row>
    <row r="33" ht="22.5" customHeight="1">
      <c r="A33" s="36" t="s">
        <v>2407</v>
      </c>
      <c r="B33" s="36" t="s">
        <v>842</v>
      </c>
      <c r="C33" s="36" t="s">
        <v>2408</v>
      </c>
      <c r="D33" s="36" t="s">
        <v>2359</v>
      </c>
      <c r="E33" s="74" t="str">
        <f t="array" ref="E33">IF(
                C33 = "",
                "",
                       IF(
                           C33 ="FOTOGRAFIA",
                           "LINK",
                           "https://www.appsheet.com/template/gettablefileurl?appName=particulas_magneticas-924373673&amp;tableName=4.reg_fotografico&amp;fileName="&amp;C33                         )
                          )</f>
        <v>https://www.appsheet.com/template/gettablefileurl?appName=particulas_magneticas-924373673&amp;tableName=4.reg_fotografico&amp;fileName=4.reg_fotografico_Images/c1f7dd28.imagen.142410.jpg</v>
      </c>
      <c r="F33" s="54" t="str">
        <f t="shared" si="1"/>
        <v/>
      </c>
    </row>
    <row r="34" ht="22.5" customHeight="1">
      <c r="A34" s="36" t="s">
        <v>2409</v>
      </c>
      <c r="B34" s="36" t="s">
        <v>856</v>
      </c>
      <c r="C34" s="36" t="s">
        <v>2410</v>
      </c>
      <c r="D34" s="36" t="s">
        <v>2411</v>
      </c>
      <c r="E34" s="74" t="str">
        <f t="array" ref="E34">IF(
                C34 = "",
                "",
                       IF(
                           C34 ="FOTOGRAFIA",
                           "LINK",
                           "https://www.appsheet.com/template/gettablefileurl?appName=particulas_magneticas-924373673&amp;tableName=4.reg_fotografico&amp;fileName="&amp;C34                         )
                          )</f>
        <v>https://www.appsheet.com/template/gettablefileurl?appName=particulas_magneticas-924373673&amp;tableName=4.reg_fotografico&amp;fileName=4.reg_fotografico_Images/f6bf0712.imagen.211104.jpg</v>
      </c>
      <c r="F34" s="54" t="str">
        <f t="shared" si="1"/>
        <v/>
      </c>
    </row>
    <row r="35" ht="22.5" customHeight="1">
      <c r="A35" s="36" t="s">
        <v>2412</v>
      </c>
      <c r="B35" s="36" t="s">
        <v>853</v>
      </c>
      <c r="C35" s="36" t="s">
        <v>2413</v>
      </c>
      <c r="D35" s="36" t="s">
        <v>2414</v>
      </c>
      <c r="E35" s="74" t="str">
        <f t="array" ref="E35">IF(
                C35 = "",
                "",
                       IF(
                           C35 ="FOTOGRAFIA",
                           "LINK",
                           "https://www.appsheet.com/template/gettablefileurl?appName=particulas_magneticas-924373673&amp;tableName=4.reg_fotografico&amp;fileName="&amp;C35                         )
                          )</f>
        <v>https://www.appsheet.com/template/gettablefileurl?appName=particulas_magneticas-924373673&amp;tableName=4.reg_fotografico&amp;fileName=4.reg_fotografico_Images/507dc621.imagen.211107.jpg</v>
      </c>
      <c r="F35" s="54" t="str">
        <f t="shared" si="1"/>
        <v/>
      </c>
    </row>
    <row r="36" ht="22.5" customHeight="1">
      <c r="A36" s="36" t="s">
        <v>2415</v>
      </c>
      <c r="B36" s="36" t="s">
        <v>874</v>
      </c>
      <c r="C36" s="36" t="s">
        <v>2416</v>
      </c>
      <c r="D36" s="36" t="s">
        <v>2417</v>
      </c>
      <c r="E36" s="74" t="str">
        <f t="array" ref="E36">IF(
                C36 = "",
                "",
                       IF(
                           C36 ="FOTOGRAFIA",
                           "LINK",
                           "https://www.appsheet.com/template/gettablefileurl?appName=particulas_magneticas-924373673&amp;tableName=4.reg_fotografico&amp;fileName="&amp;C36                         )
                          )</f>
        <v>https://www.appsheet.com/template/gettablefileurl?appName=particulas_magneticas-924373673&amp;tableName=4.reg_fotografico&amp;fileName=4.reg_fotografico_Images/5f64a449.imagen.211111.jpg</v>
      </c>
      <c r="F36" s="54" t="str">
        <f t="shared" si="1"/>
        <v/>
      </c>
    </row>
    <row r="37" ht="22.5" customHeight="1">
      <c r="A37" s="36" t="s">
        <v>2418</v>
      </c>
      <c r="B37" s="36" t="s">
        <v>877</v>
      </c>
      <c r="C37" s="36" t="s">
        <v>2419</v>
      </c>
      <c r="D37" s="36" t="s">
        <v>2420</v>
      </c>
      <c r="E37" s="74" t="str">
        <f t="array" ref="E37">IF(
                C37 = "",
                "",
                       IF(
                           C37 ="FOTOGRAFIA",
                           "LINK",
                           "https://www.appsheet.com/template/gettablefileurl?appName=particulas_magneticas-924373673&amp;tableName=4.reg_fotografico&amp;fileName="&amp;C37                         )
                          )</f>
        <v>https://www.appsheet.com/template/gettablefileurl?appName=particulas_magneticas-924373673&amp;tableName=4.reg_fotografico&amp;fileName=4.reg_fotografico_Images/dd18973b.imagen.211114.jpg</v>
      </c>
      <c r="F37" s="54" t="str">
        <f t="shared" si="1"/>
        <v/>
      </c>
    </row>
    <row r="38" ht="22.5" customHeight="1">
      <c r="A38" s="36" t="s">
        <v>2421</v>
      </c>
      <c r="B38" s="36" t="s">
        <v>871</v>
      </c>
      <c r="C38" s="36" t="s">
        <v>2422</v>
      </c>
      <c r="D38" s="36" t="s">
        <v>2423</v>
      </c>
      <c r="E38" s="74" t="str">
        <f t="array" ref="E38">IF(
                C38 = "",
                "",
                       IF(
                           C38 ="FOTOGRAFIA",
                           "LINK",
                           "https://www.appsheet.com/template/gettablefileurl?appName=particulas_magneticas-924373673&amp;tableName=4.reg_fotografico&amp;fileName="&amp;C38                         )
                          )</f>
        <v>https://www.appsheet.com/template/gettablefileurl?appName=particulas_magneticas-924373673&amp;tableName=4.reg_fotografico&amp;fileName=4.reg_fotografico_Images/745f0ccc.imagen.211117.jpg</v>
      </c>
      <c r="F38" s="54" t="str">
        <f t="shared" si="1"/>
        <v/>
      </c>
    </row>
    <row r="39" ht="22.5" customHeight="1">
      <c r="A39" s="36" t="s">
        <v>2424</v>
      </c>
      <c r="B39" s="36" t="s">
        <v>868</v>
      </c>
      <c r="C39" s="36" t="s">
        <v>2425</v>
      </c>
      <c r="D39" s="36" t="s">
        <v>2426</v>
      </c>
      <c r="E39" s="74" t="str">
        <f t="array" ref="E39">IF(
                C39 = "",
                "",
                       IF(
                           C39 ="FOTOGRAFIA",
                           "LINK",
                           "https://www.appsheet.com/template/gettablefileurl?appName=particulas_magneticas-924373673&amp;tableName=4.reg_fotografico&amp;fileName="&amp;C39                         )
                          )</f>
        <v>https://www.appsheet.com/template/gettablefileurl?appName=particulas_magneticas-924373673&amp;tableName=4.reg_fotografico&amp;fileName=4.reg_fotografico_Images/52be3b19.imagen.211120.jpg</v>
      </c>
      <c r="F39" s="54" t="str">
        <f t="shared" si="1"/>
        <v/>
      </c>
    </row>
    <row r="40" ht="22.5" customHeight="1">
      <c r="A40" s="36" t="s">
        <v>2427</v>
      </c>
      <c r="B40" s="36" t="s">
        <v>850</v>
      </c>
      <c r="C40" s="36" t="s">
        <v>2428</v>
      </c>
      <c r="D40" s="36" t="s">
        <v>2429</v>
      </c>
      <c r="E40" s="74" t="str">
        <f t="array" ref="E40">IF(
                C40 = "",
                "",
                       IF(
                           C40 ="FOTOGRAFIA",
                           "LINK",
                           "https://www.appsheet.com/template/gettablefileurl?appName=particulas_magneticas-924373673&amp;tableName=4.reg_fotografico&amp;fileName="&amp;C40                         )
                          )</f>
        <v>https://www.appsheet.com/template/gettablefileurl?appName=particulas_magneticas-924373673&amp;tableName=4.reg_fotografico&amp;fileName=4.reg_fotografico_Images/b4555acd.imagen.211123.jpg</v>
      </c>
      <c r="F40" s="54" t="str">
        <f t="shared" si="1"/>
        <v/>
      </c>
    </row>
    <row r="41" ht="22.5" customHeight="1">
      <c r="A41" s="36" t="s">
        <v>2430</v>
      </c>
      <c r="B41" s="36" t="s">
        <v>862</v>
      </c>
      <c r="C41" s="36" t="s">
        <v>2431</v>
      </c>
      <c r="D41" s="36" t="s">
        <v>2432</v>
      </c>
      <c r="E41" s="74" t="str">
        <f t="array" ref="E41">IF(
                C41 = "",
                "",
                       IF(
                           C41 ="FOTOGRAFIA",
                           "LINK",
                           "https://www.appsheet.com/template/gettablefileurl?appName=particulas_magneticas-924373673&amp;tableName=4.reg_fotografico&amp;fileName="&amp;C41                         )
                          )</f>
        <v>https://www.appsheet.com/template/gettablefileurl?appName=particulas_magneticas-924373673&amp;tableName=4.reg_fotografico&amp;fileName=4.reg_fotografico_Images/c5172b2d.imagen.211125.jpg</v>
      </c>
      <c r="F41" s="54" t="str">
        <f t="shared" si="1"/>
        <v/>
      </c>
    </row>
    <row r="42" ht="22.5" customHeight="1">
      <c r="A42" s="36" t="s">
        <v>2433</v>
      </c>
      <c r="B42" s="36" t="s">
        <v>859</v>
      </c>
      <c r="C42" s="36" t="s">
        <v>2434</v>
      </c>
      <c r="D42" s="36" t="s">
        <v>2435</v>
      </c>
      <c r="E42" s="74" t="str">
        <f t="array" ref="E42">IF(
                C42 = "",
                "",
                       IF(
                           C42 ="FOTOGRAFIA",
                           "LINK",
                           "https://www.appsheet.com/template/gettablefileurl?appName=particulas_magneticas-924373673&amp;tableName=4.reg_fotografico&amp;fileName="&amp;C42                         )
                          )</f>
        <v>https://www.appsheet.com/template/gettablefileurl?appName=particulas_magneticas-924373673&amp;tableName=4.reg_fotografico&amp;fileName=4.reg_fotografico_Images/7fac32f2.imagen.211129.jpg</v>
      </c>
      <c r="F42" s="54" t="str">
        <f t="shared" si="1"/>
        <v/>
      </c>
    </row>
    <row r="43" ht="22.5" customHeight="1">
      <c r="A43" s="36" t="s">
        <v>2436</v>
      </c>
      <c r="B43" s="36" t="s">
        <v>865</v>
      </c>
      <c r="C43" s="36" t="s">
        <v>2437</v>
      </c>
      <c r="D43" s="36" t="s">
        <v>2438</v>
      </c>
      <c r="E43" s="74" t="str">
        <f t="array" ref="E43">IF(
                C43 = "",
                "",
                       IF(
                           C43 ="FOTOGRAFIA",
                           "LINK",
                           "https://www.appsheet.com/template/gettablefileurl?appName=particulas_magneticas-924373673&amp;tableName=4.reg_fotografico&amp;fileName="&amp;C43                         )
                          )</f>
        <v>https://www.appsheet.com/template/gettablefileurl?appName=particulas_magneticas-924373673&amp;tableName=4.reg_fotografico&amp;fileName=4.reg_fotografico_Images/7b829da3.imagen.211132.jpg</v>
      </c>
      <c r="F43" s="54" t="str">
        <f t="shared" si="1"/>
        <v/>
      </c>
    </row>
    <row r="44" ht="22.5" customHeight="1">
      <c r="A44" s="36" t="s">
        <v>2439</v>
      </c>
      <c r="B44" s="36" t="s">
        <v>880</v>
      </c>
      <c r="C44" s="36" t="s">
        <v>2440</v>
      </c>
      <c r="D44" s="36" t="s">
        <v>881</v>
      </c>
      <c r="E44" s="74" t="str">
        <f t="array" ref="E44">IF(
                C44 = "",
                "",
                       IF(
                           C44 ="FOTOGRAFIA",
                           "LINK",
                           "https://www.appsheet.com/template/gettablefileurl?appName=particulas_magneticas-924373673&amp;tableName=4.reg_fotografico&amp;fileName="&amp;C44                         )
                          )</f>
        <v>https://www.appsheet.com/template/gettablefileurl?appName=particulas_magneticas-924373673&amp;tableName=4.reg_fotografico&amp;fileName=4.reg_fotografico_Images/a5b46221.imagen.124310.jpg</v>
      </c>
      <c r="F44" s="54" t="str">
        <f t="shared" si="1"/>
        <v/>
      </c>
    </row>
    <row r="45" ht="22.5" customHeight="1">
      <c r="A45" s="39" t="s">
        <v>2441</v>
      </c>
      <c r="B45" s="36" t="s">
        <v>882</v>
      </c>
      <c r="C45" s="36" t="s">
        <v>2442</v>
      </c>
      <c r="D45" s="36" t="s">
        <v>883</v>
      </c>
      <c r="E45" s="74" t="str">
        <f t="array" ref="E45">IF(
                C45 = "",
                "",
                       IF(
                           C45 ="FOTOGRAFIA",
                           "LINK",
                           "https://www.appsheet.com/template/gettablefileurl?appName=particulas_magneticas-924373673&amp;tableName=4.reg_fotografico&amp;fileName="&amp;C45                         )
                          )</f>
        <v>https://www.appsheet.com/template/gettablefileurl?appName=particulas_magneticas-924373673&amp;tableName=4.reg_fotografico&amp;fileName=4.reg_fotografico_Images/92623765.imagen.125918.jpg</v>
      </c>
      <c r="F45" s="54" t="str">
        <f t="shared" si="1"/>
        <v/>
      </c>
    </row>
    <row r="46" ht="22.5" customHeight="1">
      <c r="A46" s="36" t="s">
        <v>2443</v>
      </c>
      <c r="B46" s="36" t="s">
        <v>884</v>
      </c>
      <c r="C46" s="36" t="s">
        <v>2444</v>
      </c>
      <c r="D46" s="36" t="s">
        <v>885</v>
      </c>
      <c r="E46" s="74" t="str">
        <f t="array" ref="E46">IF(
                C46 = "",
                "",
                       IF(
                           C46 ="FOTOGRAFIA",
                           "LINK",
                           "https://www.appsheet.com/template/gettablefileurl?appName=particulas_magneticas-924373673&amp;tableName=4.reg_fotografico&amp;fileName="&amp;C46                         )
                          )</f>
        <v>https://www.appsheet.com/template/gettablefileurl?appName=particulas_magneticas-924373673&amp;tableName=4.reg_fotografico&amp;fileName=4.reg_fotografico_Images/9c468005.imagen.125922.jpg</v>
      </c>
      <c r="F46" s="54" t="str">
        <f t="shared" si="1"/>
        <v/>
      </c>
    </row>
    <row r="47" ht="22.5" customHeight="1">
      <c r="A47" s="36" t="s">
        <v>2445</v>
      </c>
      <c r="B47" s="36" t="s">
        <v>886</v>
      </c>
      <c r="C47" s="36" t="s">
        <v>2446</v>
      </c>
      <c r="D47" s="36" t="s">
        <v>887</v>
      </c>
      <c r="E47" s="74" t="str">
        <f t="array" ref="E47">IF(
                C47 = "",
                "",
                       IF(
                           C47 ="FOTOGRAFIA",
                           "LINK",
                           "https://www.appsheet.com/template/gettablefileurl?appName=particulas_magneticas-924373673&amp;tableName=4.reg_fotografico&amp;fileName="&amp;C47                         )
                          )</f>
        <v>https://www.appsheet.com/template/gettablefileurl?appName=particulas_magneticas-924373673&amp;tableName=4.reg_fotografico&amp;fileName=4.reg_fotografico_Images/75d8e15d.imagen.125927.jpg</v>
      </c>
      <c r="F47" s="54" t="str">
        <f t="shared" si="1"/>
        <v/>
      </c>
    </row>
    <row r="48" ht="22.5" customHeight="1">
      <c r="A48" s="36" t="s">
        <v>2447</v>
      </c>
      <c r="B48" s="36" t="s">
        <v>888</v>
      </c>
      <c r="C48" s="36" t="s">
        <v>2448</v>
      </c>
      <c r="D48" s="36" t="s">
        <v>889</v>
      </c>
      <c r="E48" s="74" t="str">
        <f t="array" ref="E48">IF(
                C48 = "",
                "",
                       IF(
                           C48 ="FOTOGRAFIA",
                           "LINK",
                           "https://www.appsheet.com/template/gettablefileurl?appName=particulas_magneticas-924373673&amp;tableName=4.reg_fotografico&amp;fileName="&amp;C48                         )
                          )</f>
        <v>https://www.appsheet.com/template/gettablefileurl?appName=particulas_magneticas-924373673&amp;tableName=4.reg_fotografico&amp;fileName=4.reg_fotografico_Images/8a6f261b.imagen.125931.jpg</v>
      </c>
      <c r="F48" s="54" t="str">
        <f t="shared" si="1"/>
        <v/>
      </c>
    </row>
    <row r="49" ht="22.5" customHeight="1">
      <c r="A49" s="36" t="s">
        <v>2449</v>
      </c>
      <c r="B49" s="36" t="s">
        <v>894</v>
      </c>
      <c r="C49" s="36" t="s">
        <v>2450</v>
      </c>
      <c r="D49" s="36" t="s">
        <v>2451</v>
      </c>
      <c r="E49" s="74" t="str">
        <f t="array" ref="E49">IF(
                C49 = "",
                "",
                       IF(
                           C49 ="FOTOGRAFIA",
                           "LINK",
                           "https://www.appsheet.com/template/gettablefileurl?appName=APP022ParticMagnMTV2-924373673-26-05-14&amp;tableName=4.reg_fotografico&amp;fileName="&amp;C49                        )
                          )</f>
        <v>https://www.appsheet.com/template/gettablefileurl?appName=APP022ParticMagnMTV2-924373673-26-05-14&amp;tableName=4.reg_fotografico&amp;fileName=4.reg_fotografico_Images/e83cae04.imagen.171128.jpg</v>
      </c>
      <c r="F49" s="54" t="str">
        <f t="shared" si="1"/>
        <v/>
      </c>
    </row>
    <row r="50" ht="22.5" customHeight="1">
      <c r="A50" s="36" t="s">
        <v>2452</v>
      </c>
      <c r="B50" s="36" t="s">
        <v>890</v>
      </c>
      <c r="C50" s="36" t="s">
        <v>2453</v>
      </c>
      <c r="D50" s="36" t="s">
        <v>2454</v>
      </c>
      <c r="E50" s="74" t="str">
        <f t="array" ref="E50">IF(
                C50 = "",
                "",
                       IF(
                           C50 ="FOTOGRAFIA",
                           "LINK",
                           "https://www.appsheet.com/template/gettablefileurl?appName=APP022ParticMagnMTV2-924373673-26-05-14&amp;tableName=4.reg_fotografico&amp;fileName="&amp;C50                        )
                          )</f>
        <v>https://www.appsheet.com/template/gettablefileurl?appName=APP022ParticMagnMTV2-924373673-26-05-14&amp;tableName=4.reg_fotografico&amp;fileName=4.reg_fotografico_Images/77744a39.imagen.171133.jpg</v>
      </c>
      <c r="F50" s="54" t="str">
        <f t="shared" si="1"/>
        <v/>
      </c>
    </row>
    <row r="51" ht="22.5" customHeight="1">
      <c r="A51" s="36" t="s">
        <v>2433</v>
      </c>
      <c r="B51" s="36" t="s">
        <v>859</v>
      </c>
      <c r="C51" s="36" t="s">
        <v>2434</v>
      </c>
      <c r="D51" s="36" t="s">
        <v>2435</v>
      </c>
      <c r="E51" s="38" t="s">
        <v>2455</v>
      </c>
      <c r="F51" s="54" t="str">
        <f t="shared" si="1"/>
        <v/>
      </c>
    </row>
    <row r="52" ht="22.5" customHeight="1">
      <c r="A52" s="36" t="s">
        <v>2436</v>
      </c>
      <c r="B52" s="36" t="s">
        <v>865</v>
      </c>
      <c r="C52" s="36" t="s">
        <v>2437</v>
      </c>
      <c r="D52" s="36" t="s">
        <v>2438</v>
      </c>
      <c r="E52" s="38" t="s">
        <v>2456</v>
      </c>
      <c r="F52" s="54" t="str">
        <f t="shared" si="1"/>
        <v/>
      </c>
    </row>
    <row r="53" ht="22.5" customHeight="1">
      <c r="A53" s="36" t="s">
        <v>2439</v>
      </c>
      <c r="B53" s="36" t="s">
        <v>880</v>
      </c>
      <c r="C53" s="36" t="s">
        <v>2440</v>
      </c>
      <c r="D53" s="36" t="s">
        <v>881</v>
      </c>
      <c r="E53" s="38" t="s">
        <v>2457</v>
      </c>
      <c r="F53" s="54" t="str">
        <f t="shared" si="1"/>
        <v/>
      </c>
    </row>
    <row r="54" ht="22.5" customHeight="1">
      <c r="A54" s="36">
        <v>9.2623765E7</v>
      </c>
      <c r="B54" s="36" t="s">
        <v>882</v>
      </c>
      <c r="C54" s="36" t="s">
        <v>2442</v>
      </c>
      <c r="D54" s="36" t="s">
        <v>883</v>
      </c>
      <c r="E54" s="38" t="s">
        <v>2458</v>
      </c>
      <c r="F54" s="54" t="str">
        <f t="shared" si="1"/>
        <v/>
      </c>
    </row>
    <row r="55" ht="22.5" customHeight="1">
      <c r="A55" s="36" t="s">
        <v>2443</v>
      </c>
      <c r="B55" s="36" t="s">
        <v>884</v>
      </c>
      <c r="C55" s="36" t="s">
        <v>2444</v>
      </c>
      <c r="D55" s="36" t="s">
        <v>885</v>
      </c>
      <c r="E55" s="38" t="s">
        <v>2459</v>
      </c>
      <c r="F55" s="54" t="str">
        <f t="shared" si="1"/>
        <v/>
      </c>
    </row>
    <row r="56" ht="22.5" customHeight="1">
      <c r="A56" s="36" t="s">
        <v>2445</v>
      </c>
      <c r="B56" s="36" t="s">
        <v>886</v>
      </c>
      <c r="C56" s="36" t="s">
        <v>2446</v>
      </c>
      <c r="D56" s="36" t="s">
        <v>887</v>
      </c>
      <c r="E56" s="38" t="s">
        <v>2460</v>
      </c>
      <c r="F56" s="54" t="str">
        <f t="shared" si="1"/>
        <v/>
      </c>
    </row>
    <row r="57" ht="22.5" customHeight="1">
      <c r="A57" s="36" t="s">
        <v>2447</v>
      </c>
      <c r="B57" s="36" t="s">
        <v>888</v>
      </c>
      <c r="C57" s="36" t="s">
        <v>2448</v>
      </c>
      <c r="D57" s="36" t="s">
        <v>889</v>
      </c>
      <c r="E57" s="38" t="s">
        <v>2461</v>
      </c>
      <c r="F57" s="54" t="str">
        <f t="shared" si="1"/>
        <v/>
      </c>
    </row>
    <row r="58" ht="22.5" customHeight="1">
      <c r="A58" s="36" t="s">
        <v>2462</v>
      </c>
      <c r="B58" s="36" t="s">
        <v>904</v>
      </c>
      <c r="C58" s="36" t="s">
        <v>2463</v>
      </c>
      <c r="D58" s="36" t="s">
        <v>2464</v>
      </c>
      <c r="E58" s="38" t="s">
        <v>2465</v>
      </c>
      <c r="F58" s="54" t="str">
        <f t="shared" si="1"/>
        <v/>
      </c>
    </row>
    <row r="59" ht="22.5" customHeight="1">
      <c r="A59" s="36" t="s">
        <v>2466</v>
      </c>
      <c r="B59" s="36" t="s">
        <v>899</v>
      </c>
      <c r="C59" s="36" t="s">
        <v>2467</v>
      </c>
      <c r="D59" s="36" t="s">
        <v>2468</v>
      </c>
      <c r="E59" s="38" t="s">
        <v>2469</v>
      </c>
      <c r="F59" s="54" t="str">
        <f t="shared" si="1"/>
        <v/>
      </c>
    </row>
    <row r="60" ht="22.5" customHeight="1">
      <c r="A60" s="36" t="s">
        <v>2470</v>
      </c>
      <c r="B60" s="36" t="s">
        <v>907</v>
      </c>
      <c r="C60" s="36" t="s">
        <v>2471</v>
      </c>
      <c r="D60" s="36" t="s">
        <v>2472</v>
      </c>
      <c r="E60" s="38" t="s">
        <v>2473</v>
      </c>
      <c r="F60" s="54" t="str">
        <f t="shared" si="1"/>
        <v/>
      </c>
    </row>
    <row r="61" ht="22.5" customHeight="1">
      <c r="A61" s="36" t="s">
        <v>2474</v>
      </c>
      <c r="B61" s="36" t="s">
        <v>915</v>
      </c>
      <c r="C61" s="36" t="s">
        <v>2475</v>
      </c>
      <c r="D61" s="36" t="s">
        <v>2476</v>
      </c>
      <c r="E61" s="38" t="s">
        <v>2477</v>
      </c>
      <c r="F61" s="54" t="str">
        <f t="shared" si="1"/>
        <v/>
      </c>
    </row>
    <row r="62" ht="22.5" customHeight="1">
      <c r="A62" s="36" t="s">
        <v>2478</v>
      </c>
      <c r="B62" s="36" t="s">
        <v>911</v>
      </c>
      <c r="C62" s="36" t="s">
        <v>2479</v>
      </c>
      <c r="D62" s="36" t="s">
        <v>2480</v>
      </c>
      <c r="E62" s="38" t="s">
        <v>2481</v>
      </c>
      <c r="F62" s="54" t="str">
        <f t="shared" si="1"/>
        <v/>
      </c>
    </row>
    <row r="63" ht="22.5" customHeight="1">
      <c r="A63" s="36" t="s">
        <v>2482</v>
      </c>
      <c r="B63" s="36" t="s">
        <v>919</v>
      </c>
      <c r="C63" s="36" t="s">
        <v>2483</v>
      </c>
      <c r="D63" s="36" t="s">
        <v>2484</v>
      </c>
      <c r="E63" s="74" t="str">
        <f t="array" ref="E63">IF(
                C63 = "",
                "",
                       IF(
                           C63 ="FOTOGRAFIA",
                           "LINK",
                           "https://www.appsheet.com/template/gettablefileurl?appName=APP022ParticMagnMTV2-924373673-26-05-14&amp;tableName=4.reg_fotografico&amp;fileName="&amp;C63                        )
                          )</f>
        <v>https://www.appsheet.com/template/gettablefileurl?appName=APP022ParticMagnMTV2-924373673-26-05-14&amp;tableName=4.reg_fotografico&amp;fileName=4.reg_fotografico_Images/7b4441f7.imagen.033522.jpg</v>
      </c>
      <c r="F63" s="54" t="str">
        <f t="shared" si="1"/>
        <v/>
      </c>
    </row>
    <row r="64" ht="22.5" customHeight="1">
      <c r="A64" s="36" t="s">
        <v>2485</v>
      </c>
      <c r="B64" s="36" t="s">
        <v>923</v>
      </c>
      <c r="C64" s="36" t="s">
        <v>2486</v>
      </c>
      <c r="D64" s="36" t="s">
        <v>2487</v>
      </c>
      <c r="E64" s="74" t="str">
        <f t="array" ref="E64">IF(
                C64 = "",
                "",
                       IF(
                           C64 ="FOTOGRAFIA",
                           "LINK",
                           "https://www.appsheet.com/template/gettablefileurl?appName=APP022ParticMagnMTV2-924373673-26-05-14&amp;tableName=4.reg_fotografico&amp;fileName="&amp;C64                        )
                          )</f>
        <v>https://www.appsheet.com/template/gettablefileurl?appName=APP022ParticMagnMTV2-924373673-26-05-14&amp;tableName=4.reg_fotografico&amp;fileName=4.reg_fotografico_Images/eb95f4e4.imagen.033526.jpg</v>
      </c>
      <c r="F64" s="54" t="str">
        <f t="shared" si="1"/>
        <v/>
      </c>
    </row>
    <row r="65" ht="22.5" customHeight="1">
      <c r="A65" s="36" t="s">
        <v>2488</v>
      </c>
      <c r="B65" s="36" t="s">
        <v>927</v>
      </c>
      <c r="C65" s="36" t="s">
        <v>2489</v>
      </c>
      <c r="D65" s="36" t="s">
        <v>2490</v>
      </c>
      <c r="E65" s="74" t="str">
        <f t="array" ref="E65">IF(
                C65 = "",
                "",
                       IF(
                           C65 ="FOTOGRAFIA",
                           "LINK",
                           "https://www.appsheet.com/template/gettablefileurl?appName=APP022ParticMagnMTV2-924373673-26-05-14&amp;tableName=4.reg_fotografico&amp;fileName="&amp;C65                        )
                          )</f>
        <v>https://www.appsheet.com/template/gettablefileurl?appName=APP022ParticMagnMTV2-924373673-26-05-14&amp;tableName=4.reg_fotografico&amp;fileName=4.reg_fotografico_Images/38c1a4c3.imagen.033529.jpg</v>
      </c>
      <c r="F65" s="54" t="str">
        <f t="shared" si="1"/>
        <v/>
      </c>
    </row>
    <row r="66" ht="22.5" customHeight="1">
      <c r="A66" s="36" t="s">
        <v>2491</v>
      </c>
      <c r="B66" s="36" t="s">
        <v>932</v>
      </c>
      <c r="C66" s="36" t="s">
        <v>2492</v>
      </c>
      <c r="D66" s="36" t="s">
        <v>2493</v>
      </c>
      <c r="E66" s="74" t="str">
        <f t="array" ref="E66">IF(
                C66 = "",
                "",
                       IF(
                           C66 ="FOTOGRAFIA",
                           "LINK",
                           "https://www.appsheet.com/template/gettablefileurl?appName=APP022ParticMagnMTV2-924373673-26-05-14&amp;tableName=4.reg_fotografico&amp;fileName="&amp;C66                        )
                          )</f>
        <v>https://www.appsheet.com/template/gettablefileurl?appName=APP022ParticMagnMTV2-924373673-26-05-14&amp;tableName=4.reg_fotografico&amp;fileName=4.reg_fotografico_Images/20f9493a.imagen.033532.jpg</v>
      </c>
      <c r="F66" s="54" t="str">
        <f t="shared" si="1"/>
        <v/>
      </c>
    </row>
    <row r="67" ht="22.5" customHeight="1">
      <c r="A67" s="36" t="s">
        <v>2494</v>
      </c>
      <c r="B67" s="36" t="s">
        <v>932</v>
      </c>
      <c r="C67" s="36" t="s">
        <v>2495</v>
      </c>
      <c r="D67" s="36" t="s">
        <v>2493</v>
      </c>
      <c r="E67" s="74" t="str">
        <f t="array" ref="E67">IF(
                C67 = "",
                "",
                       IF(
                           C67 ="FOTOGRAFIA",
                           "LINK",
                           "https://www.appsheet.com/template/gettablefileurl?appName=APP022ParticMagnMTV2-924373673-26-05-14&amp;tableName=4.reg_fotografico&amp;fileName="&amp;C67                        )
                          )</f>
        <v>https://www.appsheet.com/template/gettablefileurl?appName=APP022ParticMagnMTV2-924373673-26-05-14&amp;tableName=4.reg_fotografico&amp;fileName=4.reg_fotografico_Images/43d0f1d4.imagen.033536.jpg</v>
      </c>
      <c r="F67" s="54" t="str">
        <f t="shared" si="1"/>
        <v/>
      </c>
    </row>
    <row r="68" ht="22.5" customHeight="1">
      <c r="A68" s="36" t="s">
        <v>2496</v>
      </c>
      <c r="B68" s="36" t="s">
        <v>932</v>
      </c>
      <c r="C68" s="36" t="s">
        <v>2497</v>
      </c>
      <c r="D68" s="36" t="s">
        <v>2493</v>
      </c>
      <c r="E68" s="74" t="str">
        <f t="array" ref="E68">IF(
                C68 = "",
                "",
                       IF(
                           C68 ="FOTOGRAFIA",
                           "LINK",
                           "https://www.appsheet.com/template/gettablefileurl?appName=APP022ParticMagnMTV2-924373673-26-05-14&amp;tableName=4.reg_fotografico&amp;fileName="&amp;C68                        )
                          )</f>
        <v>https://www.appsheet.com/template/gettablefileurl?appName=APP022ParticMagnMTV2-924373673-26-05-14&amp;tableName=4.reg_fotografico&amp;fileName=4.reg_fotografico_Images/59909ff0.imagen.033539.jpg</v>
      </c>
      <c r="F68" s="54" t="str">
        <f t="shared" si="1"/>
        <v/>
      </c>
    </row>
    <row r="69" ht="22.5" customHeight="1">
      <c r="A69" s="36" t="s">
        <v>2498</v>
      </c>
      <c r="B69" s="36" t="s">
        <v>932</v>
      </c>
      <c r="C69" s="36" t="s">
        <v>2499</v>
      </c>
      <c r="D69" s="36" t="s">
        <v>2493</v>
      </c>
      <c r="E69" s="74" t="str">
        <f t="array" ref="E69">IF(
                C69 = "",
                "",
                       IF(
                           C69 ="FOTOGRAFIA",
                           "LINK",
                           "https://www.appsheet.com/template/gettablefileurl?appName=APP022ParticMagnMTV2-924373673-26-05-14&amp;tableName=4.reg_fotografico&amp;fileName="&amp;C69                        )
                          )</f>
        <v>https://www.appsheet.com/template/gettablefileurl?appName=APP022ParticMagnMTV2-924373673-26-05-14&amp;tableName=4.reg_fotografico&amp;fileName=4.reg_fotografico_Images/faa9013e.imagen.033542.jpg</v>
      </c>
      <c r="F69" s="54" t="str">
        <f t="shared" si="1"/>
        <v/>
      </c>
    </row>
    <row r="70" ht="22.5" customHeight="1">
      <c r="A70" s="36" t="s">
        <v>2500</v>
      </c>
      <c r="B70" s="36" t="s">
        <v>937</v>
      </c>
      <c r="C70" s="36" t="s">
        <v>2501</v>
      </c>
      <c r="D70" s="36" t="s">
        <v>2502</v>
      </c>
      <c r="E70" s="74" t="str">
        <f t="array" ref="E70">IF(
                C70 = "",
                "",
                       IF(
                           C70 ="FOTOGRAFIA",
                           "LINK",
                           "https://www.appsheet.com/template/gettablefileurl?appName=APP022ParticMagnMTV2-924373673-26-05-14&amp;tableName=4.reg_fotografico&amp;fileName="&amp;C70                        )
                          )</f>
        <v>https://www.appsheet.com/template/gettablefileurl?appName=APP022ParticMagnMTV2-924373673-26-05-14&amp;tableName=4.reg_fotografico&amp;fileName=4.reg_fotografico_Images/a4df4260.imagen.033545.jpg</v>
      </c>
      <c r="F70" s="54" t="str">
        <f t="shared" si="1"/>
        <v/>
      </c>
    </row>
    <row r="71" ht="22.5" customHeight="1">
      <c r="A71" s="39" t="s">
        <v>2503</v>
      </c>
      <c r="B71" s="36" t="s">
        <v>941</v>
      </c>
      <c r="C71" s="36" t="s">
        <v>2504</v>
      </c>
      <c r="D71" s="36" t="s">
        <v>2505</v>
      </c>
      <c r="E71" s="74" t="str">
        <f t="array" ref="E71">IF(
                C71 = "",
                "",
                       IF(
                           C71 ="FOTOGRAFIA",
                           "LINK",
                           "https://www.appsheet.com/template/gettablefileurl?appName=APP022ParticMagnMTV2-924373673-26-05-14&amp;tableName=4.reg_fotografico&amp;fileName="&amp;C71                        )
                          )</f>
        <v>https://www.appsheet.com/template/gettablefileurl?appName=APP022ParticMagnMTV2-924373673-26-05-14&amp;tableName=4.reg_fotografico&amp;fileName=4.reg_fotografico_Images/38575824.imagen.033548.jpg</v>
      </c>
      <c r="F71" s="54" t="str">
        <f t="shared" si="1"/>
        <v/>
      </c>
    </row>
    <row r="72" ht="22.5" customHeight="1">
      <c r="A72" s="36" t="s">
        <v>2506</v>
      </c>
      <c r="B72" s="36" t="s">
        <v>944</v>
      </c>
      <c r="C72" s="36" t="s">
        <v>2507</v>
      </c>
      <c r="D72" s="36" t="s">
        <v>2508</v>
      </c>
      <c r="E72" s="74" t="str">
        <f t="array" ref="E72">IF(
                C72 = "",
                "",
                       IF(
                           C72 ="FOTOGRAFIA",
                           "LINK",
                           "https://www.appsheet.com/template/gettablefileurl?appName=APP022ParticMagnMTV2-924373673-26-05-14&amp;tableName=4.reg_fotografico&amp;fileName="&amp;C72                        )
                          )</f>
        <v>https://www.appsheet.com/template/gettablefileurl?appName=APP022ParticMagnMTV2-924373673-26-05-14&amp;tableName=4.reg_fotografico&amp;fileName=4.reg_fotografico_Images/8a857b53.imagen.033551.jpg</v>
      </c>
      <c r="F72" s="54" t="str">
        <f t="shared" si="1"/>
        <v/>
      </c>
    </row>
    <row r="73" ht="22.5" customHeight="1">
      <c r="A73" s="36" t="s">
        <v>2509</v>
      </c>
      <c r="B73" s="36" t="s">
        <v>949</v>
      </c>
      <c r="C73" s="36" t="s">
        <v>2510</v>
      </c>
      <c r="D73" s="36" t="s">
        <v>2511</v>
      </c>
      <c r="E73" s="74" t="str">
        <f t="array" ref="E73">IF(
                C73 = "",
                "",
                       IF(
                           C73 ="FOTOGRAFIA",
                           "LINK",
                           "https://www.appsheet.com/template/gettablefileurl?appName=APP022ParticMagnMTV2-924373673-26-05-14&amp;tableName=4.reg_fotografico&amp;fileName="&amp;C73                        )
                          )</f>
        <v>https://www.appsheet.com/template/gettablefileurl?appName=APP022ParticMagnMTV2-924373673-26-05-14&amp;tableName=4.reg_fotografico&amp;fileName=4.reg_fotografico_Images/9a79a6a4.imagen.033554.jpg</v>
      </c>
      <c r="F73" s="54" t="str">
        <f t="shared" si="1"/>
        <v/>
      </c>
    </row>
    <row r="74" ht="22.5" customHeight="1">
      <c r="A74" s="36" t="s">
        <v>2512</v>
      </c>
      <c r="B74" s="36" t="s">
        <v>952</v>
      </c>
      <c r="C74" s="36" t="s">
        <v>2513</v>
      </c>
      <c r="D74" s="36" t="s">
        <v>2514</v>
      </c>
      <c r="E74" s="74" t="str">
        <f t="array" ref="E74">IF(
                C74 = "",
                "",
                       IF(
                           C74 ="FOTOGRAFIA",
                           "LINK",
                           "https://www.appsheet.com/template/gettablefileurl?appName=APP022ParticMagnMTV2-924373673-26-05-14&amp;tableName=4.reg_fotografico&amp;fileName="&amp;C74                        )
                          )</f>
        <v>https://www.appsheet.com/template/gettablefileurl?appName=APP022ParticMagnMTV2-924373673-26-05-14&amp;tableName=4.reg_fotografico&amp;fileName=4.reg_fotografico_Images/dd61796e.imagen.033559.jpg</v>
      </c>
      <c r="F74" s="54" t="str">
        <f t="shared" si="1"/>
        <v/>
      </c>
    </row>
    <row r="75" ht="22.5" customHeight="1">
      <c r="A75" s="36" t="s">
        <v>2515</v>
      </c>
      <c r="B75" s="36" t="s">
        <v>957</v>
      </c>
      <c r="C75" s="36" t="s">
        <v>2516</v>
      </c>
      <c r="D75" s="36" t="s">
        <v>2517</v>
      </c>
      <c r="E75" s="74" t="str">
        <f t="array" ref="E75">IF(
                C75 = "",
                "",
                       IF(
                           C75 ="FOTOGRAFIA",
                           "LINK",
                           "https://www.appsheet.com/template/gettablefileurl?appName=APP022ParticMagnMTV2-924373673-26-05-14&amp;tableName=4.reg_fotografico&amp;fileName="&amp;C75                        )
                          )</f>
        <v>https://www.appsheet.com/template/gettablefileurl?appName=APP022ParticMagnMTV2-924373673-26-05-14&amp;tableName=4.reg_fotografico&amp;fileName=4.reg_fotografico_Images/06c25fd1.imagen.033609.jpg</v>
      </c>
      <c r="F75" s="54" t="str">
        <f t="shared" si="1"/>
        <v/>
      </c>
    </row>
    <row r="76" ht="22.5" customHeight="1">
      <c r="A76" s="36" t="s">
        <v>2518</v>
      </c>
      <c r="B76" s="36" t="s">
        <v>959</v>
      </c>
      <c r="C76" s="36" t="s">
        <v>2519</v>
      </c>
      <c r="D76" s="36" t="s">
        <v>2520</v>
      </c>
      <c r="E76" s="74" t="str">
        <f t="array" ref="E76">IF(
                C76 = "",
                "",
                       IF(
                           C76 ="FOTOGRAFIA",
                           "LINK",
                           "https://www.appsheet.com/template/gettablefileurl?appName=APP022ParticMagnMTV2-924373673-26-05-14&amp;tableName=4.reg_fotografico&amp;fileName="&amp;C76                        )
                          )</f>
        <v>https://www.appsheet.com/template/gettablefileurl?appName=APP022ParticMagnMTV2-924373673-26-05-14&amp;tableName=4.reg_fotografico&amp;fileName=4.reg_fotografico_Images/565f3412.imagen.033616.jpg</v>
      </c>
      <c r="F76" s="54" t="str">
        <f t="shared" si="1"/>
        <v/>
      </c>
    </row>
    <row r="77" ht="22.5" customHeight="1">
      <c r="A77" s="36" t="s">
        <v>2521</v>
      </c>
      <c r="B77" s="36" t="s">
        <v>962</v>
      </c>
      <c r="C77" s="36" t="s">
        <v>2522</v>
      </c>
      <c r="D77" s="36" t="s">
        <v>2523</v>
      </c>
      <c r="E77" s="74" t="str">
        <f t="array" ref="E77">IF(
                C77 = "",
                "",
                       IF(
                           C77 ="FOTOGRAFIA",
                           "LINK",
                           "https://www.appsheet.com/template/gettablefileurl?appName=APP022ParticMagnMTV2-924373673-26-05-14&amp;tableName=4.reg_fotografico&amp;fileName="&amp;C77                        )
                          )</f>
        <v>https://www.appsheet.com/template/gettablefileurl?appName=APP022ParticMagnMTV2-924373673-26-05-14&amp;tableName=4.reg_fotografico&amp;fileName=4.reg_fotografico_Images/14bd2b4b.imagen.033623.jpg</v>
      </c>
      <c r="F77" s="54" t="str">
        <f t="shared" si="1"/>
        <v/>
      </c>
    </row>
    <row r="78" ht="22.5" customHeight="1">
      <c r="A78" s="36" t="s">
        <v>2524</v>
      </c>
      <c r="B78" s="36" t="s">
        <v>982</v>
      </c>
      <c r="C78" s="36" t="s">
        <v>2525</v>
      </c>
      <c r="D78" s="36" t="s">
        <v>2526</v>
      </c>
      <c r="E78" s="74" t="str">
        <f t="array" ref="E78">IF(
                C78 = "",
                "",
                       IF(
                           C78 ="FOTOGRAFIA",
                           "LINK",
                           "https://www.appsheet.com/template/gettablefileurl?appName=APP022ParticMagnMTV2-924373673-26-05-14&amp;tableName=4.reg_fotografico&amp;fileName="&amp;C78                        )
                          )</f>
        <v>https://www.appsheet.com/template/gettablefileurl?appName=APP022ParticMagnMTV2-924373673-26-05-14&amp;tableName=4.reg_fotografico&amp;fileName=4.reg_fotografico_Images/b981e074.imagen.012135.jpg</v>
      </c>
      <c r="F78" s="54" t="str">
        <f t="shared" si="1"/>
        <v/>
      </c>
    </row>
    <row r="79" ht="22.5" customHeight="1">
      <c r="A79" s="36" t="s">
        <v>2527</v>
      </c>
      <c r="B79" s="36" t="s">
        <v>1061</v>
      </c>
      <c r="C79" s="36" t="s">
        <v>2528</v>
      </c>
      <c r="D79" s="36" t="s">
        <v>2529</v>
      </c>
      <c r="E79" s="74" t="str">
        <f t="array" ref="E79">IF(
                C79 = "",
                "",
                       IF(
                           C79 ="FOTOGRAFIA",
                           "LINK",
                           "https://www.appsheet.com/template/gettablefileurl?appName=APP022ParticMagnMTV2-924373673-26-05-14&amp;tableName=4.reg_fotografico&amp;fileName="&amp;C79                        )
                          )</f>
        <v>https://www.appsheet.com/template/gettablefileurl?appName=APP022ParticMagnMTV2-924373673-26-05-14&amp;tableName=4.reg_fotografico&amp;fileName=4.reg_fotografico_Images/e24997bc.imagen.012141.jpg</v>
      </c>
      <c r="F79" s="54" t="str">
        <f t="shared" si="1"/>
        <v/>
      </c>
    </row>
    <row r="80" ht="22.5" customHeight="1">
      <c r="A80" s="36" t="s">
        <v>2530</v>
      </c>
      <c r="B80" s="36" t="s">
        <v>973</v>
      </c>
      <c r="C80" s="36" t="s">
        <v>2531</v>
      </c>
      <c r="D80" s="36" t="s">
        <v>2532</v>
      </c>
      <c r="E80" s="74" t="str">
        <f t="array" ref="E80">IF(
                C80 = "",
                "",
                       IF(
                           C80 ="FOTOGRAFIA",
                           "LINK",
                           "https://www.appsheet.com/template/gettablefileurl?appName=APP022ParticMagnMTV2-924373673-26-05-14&amp;tableName=4.reg_fotografico&amp;fileName="&amp;C80                        )
                          )</f>
        <v>https://www.appsheet.com/template/gettablefileurl?appName=APP022ParticMagnMTV2-924373673-26-05-14&amp;tableName=4.reg_fotografico&amp;fileName=4.reg_fotografico_Images/f199cf37.imagen.012147.jpg</v>
      </c>
      <c r="F80" s="54" t="str">
        <f t="shared" si="1"/>
        <v/>
      </c>
    </row>
    <row r="81" ht="22.5" customHeight="1">
      <c r="A81" s="36" t="s">
        <v>2533</v>
      </c>
      <c r="B81" s="36" t="s">
        <v>1025</v>
      </c>
      <c r="C81" s="36" t="s">
        <v>2534</v>
      </c>
      <c r="D81" s="36" t="s">
        <v>2535</v>
      </c>
      <c r="E81" s="74" t="str">
        <f t="array" ref="E81">IF(
                C81 = "",
                "",
                       IF(
                           C81 ="FOTOGRAFIA",
                           "LINK",
                           "https://www.appsheet.com/template/gettablefileurl?appName=APP022ParticMagnMTV2-924373673-26-05-14&amp;tableName=4.reg_fotografico&amp;fileName="&amp;C81                        )
                          )</f>
        <v>https://www.appsheet.com/template/gettablefileurl?appName=APP022ParticMagnMTV2-924373673-26-05-14&amp;tableName=4.reg_fotografico&amp;fileName=4.reg_fotografico_Images/c43e3375.imagen.012633.jpg</v>
      </c>
      <c r="F81" s="54" t="str">
        <f t="shared" si="1"/>
        <v/>
      </c>
    </row>
    <row r="82" ht="22.5" customHeight="1">
      <c r="A82" s="36" t="s">
        <v>2536</v>
      </c>
      <c r="B82" s="36" t="s">
        <v>1045</v>
      </c>
      <c r="C82" s="36" t="s">
        <v>2537</v>
      </c>
      <c r="D82" s="36" t="s">
        <v>2538</v>
      </c>
      <c r="E82" s="74" t="str">
        <f t="array" ref="E82">IF(
                C82 = "",
                "",
                       IF(
                           C82 ="FOTOGRAFIA",
                           "LINK",
                           "https://www.appsheet.com/template/gettablefileurl?appName=APP022ParticMagnMTV2-924373673-26-05-14&amp;tableName=4.reg_fotografico&amp;fileName="&amp;C82                        )
                          )</f>
        <v>https://www.appsheet.com/template/gettablefileurl?appName=APP022ParticMagnMTV2-924373673-26-05-14&amp;tableName=4.reg_fotografico&amp;fileName=4.reg_fotografico_Images/bbc7ab6d.imagen.012636.jpg</v>
      </c>
      <c r="F82" s="54" t="str">
        <f t="shared" si="1"/>
        <v/>
      </c>
    </row>
    <row r="83" ht="22.5" customHeight="1">
      <c r="A83" s="36" t="s">
        <v>2539</v>
      </c>
      <c r="B83" s="36" t="s">
        <v>982</v>
      </c>
      <c r="C83" s="36" t="s">
        <v>2540</v>
      </c>
      <c r="D83" s="36" t="s">
        <v>2526</v>
      </c>
      <c r="E83" s="74" t="str">
        <f t="array" ref="E83">IF(
                C83 = "",
                "",
                       IF(
                           C83 ="FOTOGRAFIA",
                           "LINK",
                           "https://www.appsheet.com/template/gettablefileurl?appName=APP022ParticMagnMTV2-924373673-26-05-14&amp;tableName=4.reg_fotografico&amp;fileName="&amp;C83                        )
                          )</f>
        <v>https://www.appsheet.com/template/gettablefileurl?appName=APP022ParticMagnMTV2-924373673-26-05-14&amp;tableName=4.reg_fotografico&amp;fileName=4.reg_fotografico_Images/aeb796d4.imagen.012639.jpg</v>
      </c>
      <c r="F83" s="54" t="str">
        <f t="shared" si="1"/>
        <v/>
      </c>
    </row>
    <row r="84" ht="22.5" customHeight="1">
      <c r="A84" s="36" t="s">
        <v>2541</v>
      </c>
      <c r="B84" s="36" t="s">
        <v>994</v>
      </c>
      <c r="C84" s="36" t="s">
        <v>2542</v>
      </c>
      <c r="D84" s="36" t="s">
        <v>2543</v>
      </c>
      <c r="E84" s="74" t="str">
        <f t="array" ref="E84">IF(
                C84 = "",
                "",
                       IF(
                           C84 ="FOTOGRAFIA",
                           "LINK",
                           "https://www.appsheet.com/template/gettablefileurl?appName=APP022ParticMagnMTV2-924373673-26-05-14&amp;tableName=4.reg_fotografico&amp;fileName="&amp;C84                        )
                          )</f>
        <v>https://www.appsheet.com/template/gettablefileurl?appName=APP022ParticMagnMTV2-924373673-26-05-14&amp;tableName=4.reg_fotografico&amp;fileName=4.reg_fotografico_Images/7b4bb483.imagen.012643.jpg</v>
      </c>
      <c r="F84" s="54" t="str">
        <f t="shared" si="1"/>
        <v/>
      </c>
    </row>
    <row r="85" ht="22.5" customHeight="1">
      <c r="A85" s="36" t="s">
        <v>2544</v>
      </c>
      <c r="B85" s="36" t="s">
        <v>1031</v>
      </c>
      <c r="C85" s="36" t="s">
        <v>2545</v>
      </c>
      <c r="D85" s="36" t="s">
        <v>2546</v>
      </c>
      <c r="E85" s="74" t="str">
        <f t="array" ref="E85">IF(
                C85 = "",
                "",
                       IF(
                           C85 ="FOTOGRAFIA",
                           "LINK",
                           "https://www.appsheet.com/template/gettablefileurl?appName=APP022ParticMagnMTV2-924373673-26-05-14&amp;tableName=4.reg_fotografico&amp;fileName="&amp;C85                        )
                          )</f>
        <v>https://www.appsheet.com/template/gettablefileurl?appName=APP022ParticMagnMTV2-924373673-26-05-14&amp;tableName=4.reg_fotografico&amp;fileName=4.reg_fotografico_Images/49a82fcc.imagen.012646.jpg</v>
      </c>
      <c r="F85" s="54" t="str">
        <f t="shared" si="1"/>
        <v/>
      </c>
    </row>
    <row r="86" ht="22.5" customHeight="1">
      <c r="A86" s="36" t="s">
        <v>2547</v>
      </c>
      <c r="B86" s="36" t="s">
        <v>1049</v>
      </c>
      <c r="C86" s="36" t="s">
        <v>2548</v>
      </c>
      <c r="D86" s="36" t="s">
        <v>2549</v>
      </c>
      <c r="E86" s="74" t="str">
        <f t="array" ref="E86">IF(
                C86 = "",
                "",
                       IF(
                           C86 ="FOTOGRAFIA",
                           "LINK",
                           "https://www.appsheet.com/template/gettablefileurl?appName=APP022ParticMagnMTV2-924373673-26-05-14&amp;tableName=4.reg_fotografico&amp;fileName="&amp;C86                        )
                          )</f>
        <v>https://www.appsheet.com/template/gettablefileurl?appName=APP022ParticMagnMTV2-924373673-26-05-14&amp;tableName=4.reg_fotografico&amp;fileName=4.reg_fotografico_Images/2af1a769.imagen.012649.jpg</v>
      </c>
      <c r="F86" s="54" t="str">
        <f t="shared" si="1"/>
        <v/>
      </c>
    </row>
    <row r="87" ht="22.5" customHeight="1">
      <c r="A87" s="36" t="s">
        <v>2550</v>
      </c>
      <c r="B87" s="36" t="s">
        <v>1073</v>
      </c>
      <c r="C87" s="36" t="s">
        <v>2551</v>
      </c>
      <c r="D87" s="36" t="s">
        <v>2552</v>
      </c>
      <c r="E87" s="74" t="str">
        <f t="array" ref="E87">IF(
                C87 = "",
                "",
                       IF(
                           C87 ="FOTOGRAFIA",
                           "LINK",
                           "https://www.appsheet.com/template/gettablefileurl?appName=APP022ParticMagnMTV2-924373673-26-05-14&amp;tableName=4.reg_fotografico&amp;fileName="&amp;C87                        )
                          )</f>
        <v>https://www.appsheet.com/template/gettablefileurl?appName=APP022ParticMagnMTV2-924373673-26-05-14&amp;tableName=4.reg_fotografico&amp;fileName=4.reg_fotografico_Images/bca20d73.imagen.012652.jpg</v>
      </c>
      <c r="F87" s="54" t="str">
        <f t="shared" si="1"/>
        <v/>
      </c>
    </row>
    <row r="88" ht="22.5" customHeight="1">
      <c r="A88" s="36" t="s">
        <v>2553</v>
      </c>
      <c r="B88" s="36" t="s">
        <v>982</v>
      </c>
      <c r="C88" s="36" t="s">
        <v>2554</v>
      </c>
      <c r="D88" s="36" t="s">
        <v>2526</v>
      </c>
      <c r="E88" s="74" t="str">
        <f t="array" ref="E88">IF(
                C88 = "",
                "",
                       IF(
                           C88 ="FOTOGRAFIA",
                           "LINK",
                           "https://www.appsheet.com/template/gettablefileurl?appName=APP022ParticMagnMTV2-924373673-26-05-14&amp;tableName=4.reg_fotografico&amp;fileName="&amp;C88                        )
                          )</f>
        <v>https://www.appsheet.com/template/gettablefileurl?appName=APP022ParticMagnMTV2-924373673-26-05-14&amp;tableName=4.reg_fotografico&amp;fileName=4.reg_fotografico_Images/73c0ac28.imagen.012655.jpg</v>
      </c>
      <c r="F88" s="54" t="str">
        <f t="shared" si="1"/>
        <v/>
      </c>
    </row>
    <row r="89" ht="22.5" customHeight="1">
      <c r="A89" s="36" t="s">
        <v>2555</v>
      </c>
      <c r="B89" s="39" t="s">
        <v>1039</v>
      </c>
      <c r="C89" s="36" t="s">
        <v>2556</v>
      </c>
      <c r="D89" s="36" t="s">
        <v>2557</v>
      </c>
      <c r="E89" s="74" t="str">
        <f t="array" ref="E89">IF(
                C89 = "",
                "",
                       IF(
                           C89 ="FOTOGRAFIA",
                           "LINK",
                           "https://www.appsheet.com/template/gettablefileurl?appName=APP022ParticMagnMTV2-924373673-26-05-14&amp;tableName=4.reg_fotografico&amp;fileName="&amp;C89                        )
                          )</f>
        <v>https://www.appsheet.com/template/gettablefileurl?appName=APP022ParticMagnMTV2-924373673-26-05-14&amp;tableName=4.reg_fotografico&amp;fileName=4.reg_fotografico_Images/79cfee3e.imagen.012658.jpg</v>
      </c>
      <c r="F89" s="54" t="str">
        <f t="shared" si="1"/>
        <v/>
      </c>
    </row>
    <row r="90" ht="22.5" customHeight="1">
      <c r="A90" s="36" t="s">
        <v>2558</v>
      </c>
      <c r="B90" s="36" t="s">
        <v>1005</v>
      </c>
      <c r="C90" s="36" t="s">
        <v>2559</v>
      </c>
      <c r="D90" s="36" t="s">
        <v>2560</v>
      </c>
      <c r="E90" s="74" t="str">
        <f t="array" ref="E90">IF(
                C90 = "",
                "",
                       IF(
                           C90 ="FOTOGRAFIA",
                           "LINK",
                           "https://www.appsheet.com/template/gettablefileurl?appName=APP022ParticMagnMTV2-924373673-26-05-14&amp;tableName=4.reg_fotografico&amp;fileName="&amp;C90                        )
                          )</f>
        <v>https://www.appsheet.com/template/gettablefileurl?appName=APP022ParticMagnMTV2-924373673-26-05-14&amp;tableName=4.reg_fotografico&amp;fileName=4.reg_fotografico_Images/7c0044a3.imagen.012702.jpg</v>
      </c>
      <c r="F90" s="54" t="str">
        <f t="shared" si="1"/>
        <v/>
      </c>
    </row>
    <row r="91" ht="22.5" customHeight="1">
      <c r="A91" s="36" t="s">
        <v>2561</v>
      </c>
      <c r="B91" s="36" t="s">
        <v>998</v>
      </c>
      <c r="C91" s="36" t="s">
        <v>2562</v>
      </c>
      <c r="D91" s="36" t="s">
        <v>2563</v>
      </c>
      <c r="E91" s="74" t="str">
        <f t="array" ref="E91">IF(
                C91 = "",
                "",
                       IF(
                           C91 ="FOTOGRAFIA",
                           "LINK",
                           "https://www.appsheet.com/template/gettablefileurl?appName=APP022ParticMagnMTV2-924373673-26-05-14&amp;tableName=4.reg_fotografico&amp;fileName="&amp;C91                        )
                          )</f>
        <v>https://www.appsheet.com/template/gettablefileurl?appName=APP022ParticMagnMTV2-924373673-26-05-14&amp;tableName=4.reg_fotografico&amp;fileName=4.reg_fotografico_Images/638cb8fe.imagen.012706.jpg</v>
      </c>
      <c r="F91" s="54" t="str">
        <f t="shared" si="1"/>
        <v/>
      </c>
    </row>
    <row r="92" ht="22.5" customHeight="1">
      <c r="A92" s="36" t="s">
        <v>2564</v>
      </c>
      <c r="B92" s="36" t="s">
        <v>1057</v>
      </c>
      <c r="C92" s="36" t="s">
        <v>2565</v>
      </c>
      <c r="D92" s="36" t="s">
        <v>2566</v>
      </c>
      <c r="E92" s="74" t="str">
        <f t="array" ref="E92">IF(
                C92 = "",
                "",
                       IF(
                           C92 ="FOTOGRAFIA",
                           "LINK",
                           "https://www.appsheet.com/template/gettablefileurl?appName=APP022ParticMagnMTV2-924373673-26-05-14&amp;tableName=4.reg_fotografico&amp;fileName="&amp;C92                        )
                          )</f>
        <v>https://www.appsheet.com/template/gettablefileurl?appName=APP022ParticMagnMTV2-924373673-26-05-14&amp;tableName=4.reg_fotografico&amp;fileName=4.reg_fotografico_Images/6883fa7b.imagen.012712.jpg</v>
      </c>
      <c r="F92" s="54" t="str">
        <f t="shared" si="1"/>
        <v/>
      </c>
    </row>
    <row r="93" ht="22.5" customHeight="1">
      <c r="A93" s="36" t="s">
        <v>2567</v>
      </c>
      <c r="B93" s="36" t="s">
        <v>1053</v>
      </c>
      <c r="C93" s="36" t="s">
        <v>2568</v>
      </c>
      <c r="D93" s="36" t="s">
        <v>2569</v>
      </c>
      <c r="E93" s="74" t="str">
        <f t="array" ref="E93">IF(
                C93 = "",
                "",
                       IF(
                           C93 ="FOTOGRAFIA",
                           "LINK",
                           "https://www.appsheet.com/template/gettablefileurl?appName=APP022ParticMagnMTV2-924373673-26-05-14&amp;tableName=4.reg_fotografico&amp;fileName="&amp;C93                        )
                          )</f>
        <v>https://www.appsheet.com/template/gettablefileurl?appName=APP022ParticMagnMTV2-924373673-26-05-14&amp;tableName=4.reg_fotografico&amp;fileName=4.reg_fotografico_Images/6715cdd7.imagen.012716.jpg</v>
      </c>
      <c r="F93" s="54" t="str">
        <f t="shared" si="1"/>
        <v/>
      </c>
    </row>
    <row r="94" ht="22.5" customHeight="1">
      <c r="A94" s="36" t="s">
        <v>2570</v>
      </c>
      <c r="B94" s="36" t="s">
        <v>1042</v>
      </c>
      <c r="C94" s="36" t="s">
        <v>2571</v>
      </c>
      <c r="D94" s="36" t="s">
        <v>2572</v>
      </c>
      <c r="E94" s="74" t="str">
        <f t="array" ref="E94">IF(
                C94 = "",
                "",
                       IF(
                           C94 ="FOTOGRAFIA",
                           "LINK",
                           "https://www.appsheet.com/template/gettablefileurl?appName=APP022ParticMagnMTV2-924373673-26-05-14&amp;tableName=4.reg_fotografico&amp;fileName="&amp;C94                        )
                          )</f>
        <v>https://www.appsheet.com/template/gettablefileurl?appName=APP022ParticMagnMTV2-924373673-26-05-14&amp;tableName=4.reg_fotografico&amp;fileName=4.reg_fotografico_Images/44b77eba.imagen.012804.jpg</v>
      </c>
      <c r="F94" s="54" t="str">
        <f t="shared" si="1"/>
        <v/>
      </c>
    </row>
    <row r="95" ht="22.5" customHeight="1">
      <c r="A95" s="36" t="s">
        <v>2573</v>
      </c>
      <c r="B95" s="36" t="s">
        <v>1015</v>
      </c>
      <c r="C95" s="36" t="s">
        <v>2574</v>
      </c>
      <c r="D95" s="36" t="s">
        <v>2575</v>
      </c>
      <c r="E95" s="74" t="str">
        <f t="array" ref="E95">IF(
                C95 = "",
                "",
                       IF(
                           C95 ="FOTOGRAFIA",
                           "LINK",
                           "https://www.appsheet.com/template/gettablefileurl?appName=APP022ParticMagnMTV2-924373673-26-05-14&amp;tableName=4.reg_fotografico&amp;fileName="&amp;C95                        )
                          )</f>
        <v>https://www.appsheet.com/template/gettablefileurl?appName=APP022ParticMagnMTV2-924373673-26-05-14&amp;tableName=4.reg_fotografico&amp;fileName=4.reg_fotografico_Images/3c1922ae.imagen.012811.jpg</v>
      </c>
      <c r="F95" s="54" t="str">
        <f t="shared" si="1"/>
        <v/>
      </c>
    </row>
    <row r="96" ht="22.5" customHeight="1">
      <c r="A96" s="36" t="s">
        <v>2576</v>
      </c>
      <c r="B96" s="36" t="s">
        <v>965</v>
      </c>
      <c r="C96" s="36" t="s">
        <v>2577</v>
      </c>
      <c r="D96" s="36" t="s">
        <v>2578</v>
      </c>
      <c r="E96" s="74" t="str">
        <f t="array" ref="E96">IF(
                C96 = "",
                "",
                       IF(
                           C96 ="FOTOGRAFIA",
                           "LINK",
                           "https://www.appsheet.com/template/gettablefileurl?appName=APP022ParticMagnMTV2-924373673-26-05-14&amp;tableName=4.reg_fotografico&amp;fileName="&amp;C96                        )
                          )</f>
        <v>https://www.appsheet.com/template/gettablefileurl?appName=APP022ParticMagnMTV2-924373673-26-05-14&amp;tableName=4.reg_fotografico&amp;fileName=4.reg_fotografico_Images/ae043d68.imagen.012815.jpg</v>
      </c>
      <c r="F96" s="54" t="str">
        <f t="shared" si="1"/>
        <v/>
      </c>
    </row>
    <row r="97" ht="22.5" customHeight="1">
      <c r="A97" s="36" t="s">
        <v>2579</v>
      </c>
      <c r="B97" s="39" t="s">
        <v>985</v>
      </c>
      <c r="C97" s="36" t="s">
        <v>2580</v>
      </c>
      <c r="D97" s="36" t="s">
        <v>2581</v>
      </c>
      <c r="E97" s="74" t="str">
        <f t="array" ref="E97">IF(
                C97 = "",
                "",
                       IF(
                           C97 ="FOTOGRAFIA",
                           "LINK",
                           "https://www.appsheet.com/template/gettablefileurl?appName=APP022ParticMagnMTV2-924373673-26-05-14&amp;tableName=4.reg_fotografico&amp;fileName="&amp;C97                        )
                          )</f>
        <v>https://www.appsheet.com/template/gettablefileurl?appName=APP022ParticMagnMTV2-924373673-26-05-14&amp;tableName=4.reg_fotografico&amp;fileName=4.reg_fotografico_Images/155ee595.imagen.012821.jpg</v>
      </c>
      <c r="F97" s="54" t="str">
        <f t="shared" si="1"/>
        <v/>
      </c>
    </row>
    <row r="98" ht="22.5" customHeight="1">
      <c r="A98" s="36" t="s">
        <v>2582</v>
      </c>
      <c r="B98" s="36" t="s">
        <v>1028</v>
      </c>
      <c r="C98" s="36" t="s">
        <v>2583</v>
      </c>
      <c r="D98" s="36" t="s">
        <v>2584</v>
      </c>
      <c r="E98" s="74" t="str">
        <f t="array" ref="E98">IF(
                C98 = "",
                "",
                       IF(
                           C98 ="FOTOGRAFIA",
                           "LINK",
                           "https://www.appsheet.com/template/gettablefileurl?appName=APP022ParticMagnMTV2-924373673-26-05-14&amp;tableName=4.reg_fotografico&amp;fileName="&amp;C98                        )
                          )</f>
        <v>https://www.appsheet.com/template/gettablefileurl?appName=APP022ParticMagnMTV2-924373673-26-05-14&amp;tableName=4.reg_fotografico&amp;fileName=4.reg_fotografico_Images/11ba64a3.imagen.012830.jpg</v>
      </c>
      <c r="F98" s="54" t="str">
        <f t="shared" si="1"/>
        <v/>
      </c>
    </row>
    <row r="99" ht="22.5" customHeight="1">
      <c r="A99" s="36" t="s">
        <v>2585</v>
      </c>
      <c r="B99" s="36" t="s">
        <v>969</v>
      </c>
      <c r="C99" s="36" t="s">
        <v>2586</v>
      </c>
      <c r="D99" s="36" t="s">
        <v>2587</v>
      </c>
      <c r="E99" s="74" t="str">
        <f t="array" ref="E99">IF(
                C99 = "",
                "",
                       IF(
                           C99 ="FOTOGRAFIA",
                           "LINK",
                           "https://www.appsheet.com/template/gettablefileurl?appName=APP022ParticMagnMTV2-924373673-26-05-14&amp;tableName=4.reg_fotografico&amp;fileName="&amp;C99                        )
                          )</f>
        <v>https://www.appsheet.com/template/gettablefileurl?appName=APP022ParticMagnMTV2-924373673-26-05-14&amp;tableName=4.reg_fotografico&amp;fileName=4.reg_fotografico_Images/98f2e16a.imagen.012834.jpg</v>
      </c>
      <c r="F99" s="54" t="str">
        <f t="shared" si="1"/>
        <v/>
      </c>
    </row>
    <row r="100" ht="22.5" customHeight="1">
      <c r="A100" s="36" t="s">
        <v>2588</v>
      </c>
      <c r="B100" s="36" t="s">
        <v>1001</v>
      </c>
      <c r="C100" s="36" t="s">
        <v>2589</v>
      </c>
      <c r="D100" s="36" t="s">
        <v>2590</v>
      </c>
      <c r="E100" s="74" t="str">
        <f t="array" ref="E100">IF(
                C100 = "",
                "",
                       IF(
                           C100 ="FOTOGRAFIA",
                           "LINK",
                           "https://www.appsheet.com/template/gettablefileurl?appName=APP022ParticMagnMTV2-924373673-26-05-14&amp;tableName=4.reg_fotografico&amp;fileName="&amp;C100                        )
                          )</f>
        <v>https://www.appsheet.com/template/gettablefileurl?appName=APP022ParticMagnMTV2-924373673-26-05-14&amp;tableName=4.reg_fotografico&amp;fileName=4.reg_fotografico_Images/bda15c63.imagen.012838.jpg</v>
      </c>
      <c r="F100" s="54" t="str">
        <f t="shared" si="1"/>
        <v/>
      </c>
    </row>
    <row r="101" ht="22.5" customHeight="1">
      <c r="A101" s="36" t="s">
        <v>2591</v>
      </c>
      <c r="B101" s="36" t="s">
        <v>982</v>
      </c>
      <c r="C101" s="36" t="s">
        <v>2592</v>
      </c>
      <c r="D101" s="36" t="s">
        <v>2526</v>
      </c>
      <c r="E101" s="74" t="str">
        <f t="array" ref="E101">IF(
                C101 = "",
                "",
                       IF(
                           C101 ="FOTOGRAFIA",
                           "LINK",
                           "https://www.appsheet.com/template/gettablefileurl?appName=APP022ParticMagnMTV2-924373673-26-05-14&amp;tableName=4.reg_fotografico&amp;fileName="&amp;C101                        )
                          )</f>
        <v>https://www.appsheet.com/template/gettablefileurl?appName=APP022ParticMagnMTV2-924373673-26-05-14&amp;tableName=4.reg_fotografico&amp;fileName=4.reg_fotografico_Images/b4486484.imagen.012843.jpg</v>
      </c>
      <c r="F101" s="54" t="str">
        <f t="shared" si="1"/>
        <v/>
      </c>
    </row>
    <row r="102" ht="22.5" customHeight="1">
      <c r="A102" s="36" t="s">
        <v>2593</v>
      </c>
      <c r="B102" s="36" t="s">
        <v>989</v>
      </c>
      <c r="C102" s="36" t="s">
        <v>2594</v>
      </c>
      <c r="D102" s="36" t="s">
        <v>2595</v>
      </c>
      <c r="E102" s="74" t="str">
        <f t="array" ref="E102">IF(
                C102 = "",
                "",
                       IF(
                           C102 ="FOTOGRAFIA",
                           "LINK",
                           "https://www.appsheet.com/template/gettablefileurl?appName=APP022ParticMagnMTV2-924373673-26-05-14&amp;tableName=4.reg_fotografico&amp;fileName="&amp;C102                        )
                          )</f>
        <v>https://www.appsheet.com/template/gettablefileurl?appName=APP022ParticMagnMTV2-924373673-26-05-14&amp;tableName=4.reg_fotografico&amp;fileName=4.reg_fotografico_Images/4c76c9f4.imagen.012850.jpg</v>
      </c>
      <c r="F102" s="54" t="str">
        <f t="shared" si="1"/>
        <v/>
      </c>
    </row>
    <row r="103" ht="22.5" customHeight="1">
      <c r="A103" s="36" t="s">
        <v>2596</v>
      </c>
      <c r="B103" s="36" t="s">
        <v>1011</v>
      </c>
      <c r="C103" s="36" t="s">
        <v>2597</v>
      </c>
      <c r="D103" s="36" t="s">
        <v>2598</v>
      </c>
      <c r="E103" s="74" t="str">
        <f t="array" ref="E103">IF(
                C103 = "",
                "",
                       IF(
                           C103 ="FOTOGRAFIA",
                           "LINK",
                           "https://www.appsheet.com/template/gettablefileurl?appName=APP022ParticMagnMTV2-924373673-26-05-14&amp;tableName=4.reg_fotografico&amp;fileName="&amp;C103                        )
                          )</f>
        <v>https://www.appsheet.com/template/gettablefileurl?appName=APP022ParticMagnMTV2-924373673-26-05-14&amp;tableName=4.reg_fotografico&amp;fileName=4.reg_fotografico_Images/e96b88f0.imagen.012856.jpg</v>
      </c>
      <c r="F103" s="54" t="str">
        <f t="shared" si="1"/>
        <v/>
      </c>
    </row>
    <row r="104" ht="22.5" customHeight="1">
      <c r="A104" s="36" t="s">
        <v>2599</v>
      </c>
      <c r="B104" s="36" t="s">
        <v>1034</v>
      </c>
      <c r="C104" s="36" t="s">
        <v>2600</v>
      </c>
      <c r="D104" s="36" t="s">
        <v>2601</v>
      </c>
      <c r="E104" s="74" t="str">
        <f t="array" ref="E104">IF(
                C104 = "",
                "",
                       IF(
                           C104 ="FOTOGRAFIA",
                           "LINK",
                           "https://www.appsheet.com/template/gettablefileurl?appName=APP022ParticMagnMTV2-924373673-26-05-14&amp;tableName=4.reg_fotografico&amp;fileName="&amp;C104                        )
                          )</f>
        <v>https://www.appsheet.com/template/gettablefileurl?appName=APP022ParticMagnMTV2-924373673-26-05-14&amp;tableName=4.reg_fotografico&amp;fileName=4.reg_fotografico_Images/fec9dfc4.imagen.012902.jpg</v>
      </c>
      <c r="F104" s="54" t="str">
        <f t="shared" si="1"/>
        <v/>
      </c>
    </row>
    <row r="105" ht="22.5" customHeight="1">
      <c r="A105" s="36" t="s">
        <v>2602</v>
      </c>
      <c r="B105" s="36" t="s">
        <v>978</v>
      </c>
      <c r="C105" s="36" t="s">
        <v>2603</v>
      </c>
      <c r="D105" s="36" t="s">
        <v>2604</v>
      </c>
      <c r="E105" s="74" t="str">
        <f t="array" ref="E105">IF(
                C105 = "",
                "",
                       IF(
                           C105 ="FOTOGRAFIA",
                           "LINK",
                           "https://www.appsheet.com/template/gettablefileurl?appName=APP022ParticMagnMTV2-924373673-26-05-14&amp;tableName=4.reg_fotografico&amp;fileName="&amp;C105                        )
                          )</f>
        <v>https://www.appsheet.com/template/gettablefileurl?appName=APP022ParticMagnMTV2-924373673-26-05-14&amp;tableName=4.reg_fotografico&amp;fileName=4.reg_fotografico_Images/9127e1ce.imagen.012908.jpg</v>
      </c>
      <c r="F105" s="54" t="str">
        <f t="shared" si="1"/>
        <v/>
      </c>
    </row>
    <row r="106" ht="22.5" customHeight="1">
      <c r="A106" s="36" t="s">
        <v>2605</v>
      </c>
      <c r="B106" s="36" t="s">
        <v>1022</v>
      </c>
      <c r="C106" s="36" t="s">
        <v>2606</v>
      </c>
      <c r="D106" s="36" t="s">
        <v>2607</v>
      </c>
      <c r="E106" s="74" t="str">
        <f t="array" ref="E106">IF(
                C106 = "",
                "",
                       IF(
                           C106 ="FOTOGRAFIA",
                           "LINK",
                           "https://www.appsheet.com/template/gettablefileurl?appName=APP022ParticMagnMTV2-924373673-26-05-14&amp;tableName=4.reg_fotografico&amp;fileName="&amp;C106                        )
                          )</f>
        <v>https://www.appsheet.com/template/gettablefileurl?appName=APP022ParticMagnMTV2-924373673-26-05-14&amp;tableName=4.reg_fotografico&amp;fileName=4.reg_fotografico_Images/1b767b42.imagen.012916.jpg</v>
      </c>
      <c r="F106" s="54" t="str">
        <f t="shared" si="1"/>
        <v/>
      </c>
    </row>
    <row r="107" ht="22.5" customHeight="1">
      <c r="A107" s="36" t="s">
        <v>2608</v>
      </c>
      <c r="B107" s="36" t="s">
        <v>1008</v>
      </c>
      <c r="C107" s="36" t="s">
        <v>2609</v>
      </c>
      <c r="D107" s="36" t="s">
        <v>2610</v>
      </c>
      <c r="E107" s="74" t="str">
        <f t="array" ref="E107">IF(
                C107 = "",
                "",
                       IF(
                           C107 ="FOTOGRAFIA",
                           "LINK",
                           "https://www.appsheet.com/template/gettablefileurl?appName=APP022ParticMagnMTV2-924373673-26-05-14&amp;tableName=4.reg_fotografico&amp;fileName="&amp;C107                        )
                          )</f>
        <v>https://www.appsheet.com/template/gettablefileurl?appName=APP022ParticMagnMTV2-924373673-26-05-14&amp;tableName=4.reg_fotografico&amp;fileName=4.reg_fotografico_Images/3172ef35.imagen.012921.jpg</v>
      </c>
      <c r="F107" s="54" t="str">
        <f t="shared" si="1"/>
        <v/>
      </c>
    </row>
    <row r="108" ht="22.5" customHeight="1">
      <c r="A108" s="36" t="s">
        <v>2611</v>
      </c>
      <c r="B108" s="36" t="s">
        <v>1069</v>
      </c>
      <c r="C108" s="36" t="s">
        <v>2612</v>
      </c>
      <c r="D108" s="36" t="s">
        <v>2613</v>
      </c>
      <c r="E108" s="74" t="str">
        <f t="array" ref="E108">IF(
                C108 = "",
                "",
                       IF(
                           C108 ="FOTOGRAFIA",
                           "LINK",
                           "https://www.appsheet.com/template/gettablefileurl?appName=APP022ParticMagnMTV2-924373673-26-05-14&amp;tableName=4.reg_fotografico&amp;fileName="&amp;C108                        )
                          )</f>
        <v>https://www.appsheet.com/template/gettablefileurl?appName=APP022ParticMagnMTV2-924373673-26-05-14&amp;tableName=4.reg_fotografico&amp;fileName=4.reg_fotografico_Images/6c5c808f.imagen.012931.jpg</v>
      </c>
      <c r="F108" s="54" t="str">
        <f t="shared" si="1"/>
        <v/>
      </c>
    </row>
    <row r="109" ht="22.5" customHeight="1">
      <c r="A109" s="36" t="s">
        <v>2614</v>
      </c>
      <c r="B109" s="36" t="s">
        <v>1019</v>
      </c>
      <c r="C109" s="36" t="s">
        <v>2615</v>
      </c>
      <c r="D109" s="36" t="s">
        <v>2601</v>
      </c>
      <c r="E109" s="74" t="str">
        <f t="array" ref="E109">IF(
                C109 = "",
                "",
                       IF(
                           C109 ="FOTOGRAFIA",
                           "LINK",
                           "https://www.appsheet.com/template/gettablefileurl?appName=APP022ParticMagnMTV2-924373673-26-05-14&amp;tableName=4.reg_fotografico&amp;fileName="&amp;C109                        )
                          )</f>
        <v>https://www.appsheet.com/template/gettablefileurl?appName=APP022ParticMagnMTV2-924373673-26-05-14&amp;tableName=4.reg_fotografico&amp;fileName=4.reg_fotografico_Images/33529c72.imagen.012934.jpg</v>
      </c>
      <c r="F109" s="54" t="str">
        <f t="shared" si="1"/>
        <v/>
      </c>
    </row>
    <row r="110" ht="22.5" customHeight="1">
      <c r="A110" s="36" t="s">
        <v>2616</v>
      </c>
      <c r="B110" s="36" t="s">
        <v>1066</v>
      </c>
      <c r="C110" s="36" t="s">
        <v>2617</v>
      </c>
      <c r="D110" s="36" t="s">
        <v>2601</v>
      </c>
      <c r="E110" s="74" t="str">
        <f t="array" ref="E110">IF(
                C110 = "",
                "",
                       IF(
                           C110 ="FOTOGRAFIA",
                           "LINK",
                           "https://www.appsheet.com/template/gettablefileurl?appName=APP022ParticMagnMTV2-924373673-26-05-14&amp;tableName=4.reg_fotografico&amp;fileName="&amp;C110                        )
                          )</f>
        <v>https://www.appsheet.com/template/gettablefileurl?appName=APP022ParticMagnMTV2-924373673-26-05-14&amp;tableName=4.reg_fotografico&amp;fileName=4.reg_fotografico_Images/bab3c813.imagen.012937.jpg</v>
      </c>
      <c r="F110" s="54" t="str">
        <f t="shared" si="1"/>
        <v/>
      </c>
    </row>
    <row r="111" ht="22.5" customHeight="1">
      <c r="A111" s="62" t="s">
        <v>2618</v>
      </c>
      <c r="B111" s="63" t="s">
        <v>1221</v>
      </c>
      <c r="C111" s="63" t="s">
        <v>2619</v>
      </c>
      <c r="D111" s="63" t="s">
        <v>2620</v>
      </c>
      <c r="E111" s="75" t="str">
        <f t="array" ref="E111">IF(
                C111 = "",
                "",
                       IF(
                           C111 ="FOTOGRAFIA",
                           "LINK",
                           "https://www.appsheet.com/template/gettablefileurl?appName=particulas_magneticas-924373673&amp;tableName=4.reg_fotografico&amp;fileName="&amp;C111                         )
                          )</f>
        <v>https://www.appsheet.com/template/gettablefileurl?appName=particulas_magneticas-924373673&amp;tableName=4.reg_fotografico&amp;fileName=4.reg_fotografico_Images/21dfda20.imagen.162819.jpg</v>
      </c>
      <c r="F111" s="54" t="str">
        <f t="shared" si="1"/>
        <v/>
      </c>
    </row>
    <row r="112" ht="22.5" customHeight="1">
      <c r="A112" s="36" t="s">
        <v>2621</v>
      </c>
      <c r="B112" s="36" t="s">
        <v>1078</v>
      </c>
      <c r="C112" s="36" t="s">
        <v>2622</v>
      </c>
      <c r="D112" s="36" t="s">
        <v>2623</v>
      </c>
      <c r="E112" s="74" t="str">
        <f t="array" ref="E112">IF(
                C112 = "",
                "",
                       IF(
                           C112 ="FOTOGRAFIA",
                           "LINK",
                           "https://www.appsheet.com/template/gettablefileurl?appName=APP022ParticMagnMTV2-924373673-26-05-14&amp;tableName=4.reg_fotografico&amp;fileName="&amp;C112                        )
                          )</f>
        <v>https://www.appsheet.com/template/gettablefileurl?appName=APP022ParticMagnMTV2-924373673-26-05-14&amp;tableName=4.reg_fotografico&amp;fileName=4.reg_fotografico_Images/efbd0430.imagen.175059.jpg</v>
      </c>
      <c r="F112" s="54" t="str">
        <f t="shared" si="1"/>
        <v/>
      </c>
    </row>
    <row r="113" ht="22.5" customHeight="1">
      <c r="A113" s="36" t="s">
        <v>2624</v>
      </c>
      <c r="B113" s="36" t="s">
        <v>1082</v>
      </c>
      <c r="C113" s="36" t="s">
        <v>2625</v>
      </c>
      <c r="D113" s="36" t="s">
        <v>2626</v>
      </c>
      <c r="E113" s="74" t="str">
        <f t="array" ref="E113">IF(
                C113 = "",
                "",
                       IF(
                           C113 ="FOTOGRAFIA",
                           "LINK",
                           "https://www.appsheet.com/template/gettablefileurl?appName=APP022ParticMagnMTV2-924373673-26-05-14&amp;tableName=4.reg_fotografico&amp;fileName="&amp;C113                        )
                          )</f>
        <v>https://www.appsheet.com/template/gettablefileurl?appName=APP022ParticMagnMTV2-924373673-26-05-14&amp;tableName=4.reg_fotografico&amp;fileName=4.reg_fotografico_Images/e93022f8.imagen.175103.jpg</v>
      </c>
      <c r="F113" s="54" t="str">
        <f t="shared" si="1"/>
        <v/>
      </c>
    </row>
    <row r="114" ht="22.5" customHeight="1">
      <c r="A114" s="36" t="s">
        <v>2627</v>
      </c>
      <c r="B114" s="36" t="s">
        <v>1082</v>
      </c>
      <c r="C114" s="36" t="s">
        <v>2628</v>
      </c>
      <c r="D114" s="36" t="s">
        <v>2626</v>
      </c>
      <c r="E114" s="74" t="str">
        <f t="array" ref="E114">IF(
                C114 = "",
                "",
                       IF(
                           C114 ="FOTOGRAFIA",
                           "LINK",
                           "https://www.appsheet.com/template/gettablefileurl?appName=APP022ParticMagnMTV2-924373673-26-05-14&amp;tableName=4.reg_fotografico&amp;fileName="&amp;C114                        )
                          )</f>
        <v>https://www.appsheet.com/template/gettablefileurl?appName=APP022ParticMagnMTV2-924373673-26-05-14&amp;tableName=4.reg_fotografico&amp;fileName=4.reg_fotografico_Images/2a1b63df.imagen.175108.jpg</v>
      </c>
      <c r="F114" s="54" t="str">
        <f t="shared" si="1"/>
        <v/>
      </c>
    </row>
    <row r="115" ht="22.5" customHeight="1">
      <c r="A115" s="36" t="s">
        <v>2629</v>
      </c>
      <c r="B115" s="36" t="s">
        <v>1086</v>
      </c>
      <c r="C115" s="36" t="s">
        <v>2630</v>
      </c>
      <c r="D115" s="36" t="s">
        <v>2631</v>
      </c>
      <c r="E115" s="74" t="str">
        <f t="array" ref="E115">IF(
                C115 = "",
                "",
                       IF(
                           C115 ="FOTOGRAFIA",
                           "LINK",
                           "https://www.appsheet.com/template/gettablefileurl?appName=APP022ParticMagnMTV2-924373673-26-05-14&amp;tableName=4.reg_fotografico&amp;fileName="&amp;C115                        )
                          )</f>
        <v>https://www.appsheet.com/template/gettablefileurl?appName=APP022ParticMagnMTV2-924373673-26-05-14&amp;tableName=4.reg_fotografico&amp;fileName=4.reg_fotografico_Images/b80ff35c.imagen.175111.jpg</v>
      </c>
      <c r="F115" s="54" t="str">
        <f t="shared" si="1"/>
        <v/>
      </c>
    </row>
    <row r="116" ht="22.5" customHeight="1">
      <c r="A116" s="36" t="s">
        <v>2632</v>
      </c>
      <c r="B116" s="36" t="s">
        <v>1090</v>
      </c>
      <c r="C116" s="36" t="s">
        <v>2633</v>
      </c>
      <c r="D116" s="36" t="s">
        <v>2634</v>
      </c>
      <c r="E116" s="74" t="str">
        <f t="array" ref="E116">IF(
                C116 = "",
                "",
                       IF(
                           C116 ="FOTOGRAFIA",
                           "LINK",
                           "https://www.appsheet.com/template/gettablefileurl?appName=APP022ParticMagnMTV2-924373673-26-05-14&amp;tableName=4.reg_fotografico&amp;fileName="&amp;C116                        )
                          )</f>
        <v>https://www.appsheet.com/template/gettablefileurl?appName=APP022ParticMagnMTV2-924373673-26-05-14&amp;tableName=4.reg_fotografico&amp;fileName=4.reg_fotografico_Images/7ad02df3.imagen.175115.jpg</v>
      </c>
      <c r="F116" s="54" t="str">
        <f t="shared" si="1"/>
        <v/>
      </c>
    </row>
    <row r="117" ht="22.5" customHeight="1">
      <c r="A117" s="36" t="s">
        <v>2635</v>
      </c>
      <c r="B117" s="36" t="s">
        <v>1094</v>
      </c>
      <c r="C117" s="36" t="s">
        <v>2636</v>
      </c>
      <c r="D117" s="36" t="s">
        <v>2637</v>
      </c>
      <c r="E117" s="74" t="str">
        <f t="array" ref="E117">IF(
                C117 = "",
                "",
                       IF(
                           C117 ="FOTOGRAFIA",
                           "LINK",
                           "https://www.appsheet.com/template/gettablefileurl?appName=APP022ParticMagnMTV2-924373673-26-05-14&amp;tableName=4.reg_fotografico&amp;fileName="&amp;C117                        )
                          )</f>
        <v>https://www.appsheet.com/template/gettablefileurl?appName=APP022ParticMagnMTV2-924373673-26-05-14&amp;tableName=4.reg_fotografico&amp;fileName=4.reg_fotografico_Images/86b1e61c.imagen.212551.jpg</v>
      </c>
      <c r="F117" s="54" t="str">
        <f t="shared" si="1"/>
        <v/>
      </c>
    </row>
    <row r="118" ht="22.5" customHeight="1">
      <c r="A118" s="36" t="s">
        <v>2638</v>
      </c>
      <c r="B118" s="36" t="s">
        <v>1098</v>
      </c>
      <c r="C118" s="36" t="s">
        <v>2639</v>
      </c>
      <c r="D118" s="36" t="s">
        <v>2640</v>
      </c>
      <c r="E118" s="74" t="str">
        <f t="array" ref="E118">IF(
                C118 = "",
                "",
                       IF(
                           C118 ="FOTOGRAFIA",
                           "LINK",
                           "https://www.appsheet.com/template/gettablefileurl?appName=APP022ParticMagnMTV2-924373673-26-05-14&amp;tableName=4.reg_fotografico&amp;fileName="&amp;C118                        )
                          )</f>
        <v>https://www.appsheet.com/template/gettablefileurl?appName=APP022ParticMagnMTV2-924373673-26-05-14&amp;tableName=4.reg_fotografico&amp;fileName=4.reg_fotografico_Images/936d7d39.imagen.212554.jpg</v>
      </c>
      <c r="F118" s="54" t="str">
        <f t="shared" si="1"/>
        <v/>
      </c>
    </row>
    <row r="119" ht="22.5" customHeight="1">
      <c r="A119" s="36" t="s">
        <v>2641</v>
      </c>
      <c r="B119" s="36" t="s">
        <v>1102</v>
      </c>
      <c r="C119" s="36" t="s">
        <v>2642</v>
      </c>
      <c r="D119" s="36" t="s">
        <v>2643</v>
      </c>
      <c r="E119" s="74" t="str">
        <f t="array" ref="E119">IF(
                C119 = "",
                "",
                       IF(
                           C119 ="FOTOGRAFIA",
                           "LINK",
                           "https://www.appsheet.com/template/gettablefileurl?appName=APP022ParticMagnMTV2-924373673-26-05-14&amp;tableName=4.reg_fotografico&amp;fileName="&amp;C119                        )
                          )</f>
        <v>https://www.appsheet.com/template/gettablefileurl?appName=APP022ParticMagnMTV2-924373673-26-05-14&amp;tableName=4.reg_fotografico&amp;fileName=4.reg_fotografico_Images/e84bcd81.imagen.212558.jpg</v>
      </c>
      <c r="F119" s="54" t="str">
        <f t="shared" si="1"/>
        <v/>
      </c>
    </row>
    <row r="120" ht="22.5" customHeight="1">
      <c r="A120" s="36" t="s">
        <v>2644</v>
      </c>
      <c r="B120" s="36" t="s">
        <v>1105</v>
      </c>
      <c r="C120" s="36" t="s">
        <v>2645</v>
      </c>
      <c r="D120" s="36" t="s">
        <v>2646</v>
      </c>
      <c r="E120" s="74" t="str">
        <f t="array" ref="E120">IF(
                C120 = "",
                "",
                       IF(
                           C120 ="FOTOGRAFIA",
                           "LINK",
                           "https://www.appsheet.com/template/gettablefileurl?appName=APP022ParticMagnMTV2-924373673-26-05-14&amp;tableName=4.reg_fotografico&amp;fileName="&amp;C120                        )
                          )</f>
        <v>https://www.appsheet.com/template/gettablefileurl?appName=APP022ParticMagnMTV2-924373673-26-05-14&amp;tableName=4.reg_fotografico&amp;fileName=4.reg_fotografico_Images/f83ba56a.imagen.212601.jpg</v>
      </c>
      <c r="F120" s="54" t="str">
        <f t="shared" si="1"/>
        <v/>
      </c>
    </row>
    <row r="121" ht="22.5" customHeight="1">
      <c r="A121" s="36" t="s">
        <v>2647</v>
      </c>
      <c r="B121" s="36" t="s">
        <v>1109</v>
      </c>
      <c r="C121" s="36" t="s">
        <v>2648</v>
      </c>
      <c r="D121" s="36" t="s">
        <v>2649</v>
      </c>
      <c r="E121" s="74" t="str">
        <f t="array" ref="E121">IF(
                C121 = "",
                "",
                       IF(
                           C121 ="FOTOGRAFIA",
                           "LINK",
                           "https://www.appsheet.com/template/gettablefileurl?appName=APP022ParticMagnMTV2-924373673-26-05-14&amp;tableName=4.reg_fotografico&amp;fileName="&amp;C121                        )
                          )</f>
        <v>https://www.appsheet.com/template/gettablefileurl?appName=APP022ParticMagnMTV2-924373673-26-05-14&amp;tableName=4.reg_fotografico&amp;fileName=4.reg_fotografico_Images/5b0055ea.imagen.212604.jpg</v>
      </c>
      <c r="F121" s="54" t="str">
        <f t="shared" si="1"/>
        <v/>
      </c>
    </row>
    <row r="122" ht="22.5" customHeight="1">
      <c r="A122" s="36" t="s">
        <v>2650</v>
      </c>
      <c r="B122" s="36" t="s">
        <v>1113</v>
      </c>
      <c r="C122" s="36" t="s">
        <v>2651</v>
      </c>
      <c r="D122" s="36" t="s">
        <v>2652</v>
      </c>
      <c r="E122" s="74" t="str">
        <f t="array" ref="E122">IF(
                C122 = "",
                "",
                       IF(
                           C122 ="FOTOGRAFIA",
                           "LINK",
                           "https://www.appsheet.com/template/gettablefileurl?appName=APP022ParticMagnMTV2-924373673-26-05-14&amp;tableName=4.reg_fotografico&amp;fileName="&amp;C122                        )
                          )</f>
        <v>https://www.appsheet.com/template/gettablefileurl?appName=APP022ParticMagnMTV2-924373673-26-05-14&amp;tableName=4.reg_fotografico&amp;fileName=4.reg_fotografico_Images/01e368f8.imagen.212608.jpg</v>
      </c>
      <c r="F122" s="54" t="str">
        <f t="shared" si="1"/>
        <v/>
      </c>
    </row>
    <row r="123" ht="22.5" customHeight="1">
      <c r="A123" s="36" t="s">
        <v>2653</v>
      </c>
      <c r="B123" s="36" t="s">
        <v>1117</v>
      </c>
      <c r="C123" s="36" t="s">
        <v>2654</v>
      </c>
      <c r="D123" s="36" t="s">
        <v>2655</v>
      </c>
      <c r="E123" s="74" t="str">
        <f t="array" ref="E123">IF(
                C123 = "",
                "",
                       IF(
                           C123 ="FOTOGRAFIA",
                           "LINK",
                           "https://www.appsheet.com/template/gettablefileurl?appName=APP022ParticMagnMTV2-924373673-26-05-14&amp;tableName=4.reg_fotografico&amp;fileName="&amp;C123                        )
                          )</f>
        <v>https://www.appsheet.com/template/gettablefileurl?appName=APP022ParticMagnMTV2-924373673-26-05-14&amp;tableName=4.reg_fotografico&amp;fileName=4.reg_fotografico_Images/707a813f.imagen.212614.jpg</v>
      </c>
      <c r="F123" s="54" t="str">
        <f t="shared" si="1"/>
        <v/>
      </c>
    </row>
    <row r="124" ht="22.5" customHeight="1">
      <c r="A124" s="36" t="s">
        <v>2656</v>
      </c>
      <c r="B124" s="36" t="s">
        <v>1121</v>
      </c>
      <c r="C124" s="36" t="s">
        <v>2657</v>
      </c>
      <c r="D124" s="36" t="s">
        <v>2658</v>
      </c>
      <c r="E124" s="74" t="str">
        <f t="array" ref="E124">IF(
                C124 = "",
                "",
                       IF(
                           C124 ="FOTOGRAFIA",
                           "LINK",
                           "https://www.appsheet.com/template/gettablefileurl?appName=APP022ParticMagnMTV2-924373673-26-05-14&amp;tableName=4.reg_fotografico&amp;fileName="&amp;C124                        )
                          )</f>
        <v>https://www.appsheet.com/template/gettablefileurl?appName=APP022ParticMagnMTV2-924373673-26-05-14&amp;tableName=4.reg_fotografico&amp;fileName=4.reg_fotografico_Images/92f04b3f.imagen.212616.jpg</v>
      </c>
      <c r="F124" s="54" t="str">
        <f t="shared" si="1"/>
        <v/>
      </c>
    </row>
    <row r="125" ht="22.5" customHeight="1">
      <c r="A125" s="36" t="s">
        <v>2659</v>
      </c>
      <c r="B125" s="36" t="s">
        <v>1125</v>
      </c>
      <c r="C125" s="36" t="s">
        <v>2660</v>
      </c>
      <c r="D125" s="36" t="s">
        <v>2661</v>
      </c>
      <c r="E125" s="74" t="str">
        <f t="array" ref="E125">IF(
                C125 = "",
                "",
                       IF(
                           C125 ="FOTOGRAFIA",
                           "LINK",
                           "https://www.appsheet.com/template/gettablefileurl?appName=APP022ParticMagnMTV2-924373673-26-05-14&amp;tableName=4.reg_fotografico&amp;fileName="&amp;C125                        )
                          )</f>
        <v>https://www.appsheet.com/template/gettablefileurl?appName=APP022ParticMagnMTV2-924373673-26-05-14&amp;tableName=4.reg_fotografico&amp;fileName=4.reg_fotografico_Images/d8dddfe2.imagen.212619.jpg</v>
      </c>
      <c r="F125" s="54" t="str">
        <f t="shared" si="1"/>
        <v/>
      </c>
    </row>
    <row r="126" ht="22.5" customHeight="1">
      <c r="A126" s="36" t="s">
        <v>2662</v>
      </c>
      <c r="B126" s="36" t="s">
        <v>1129</v>
      </c>
      <c r="C126" s="36" t="s">
        <v>2663</v>
      </c>
      <c r="D126" s="36" t="s">
        <v>2664</v>
      </c>
      <c r="E126" s="74" t="str">
        <f t="array" ref="E126">IF(
                C126 = "",
                "",
                       IF(
                           C126 ="FOTOGRAFIA",
                           "LINK",
                           "https://www.appsheet.com/template/gettablefileurl?appName=APP022ParticMagnMTV2-924373673-26-05-14&amp;tableName=4.reg_fotografico&amp;fileName="&amp;C126                        )
                          )</f>
        <v>https://www.appsheet.com/template/gettablefileurl?appName=APP022ParticMagnMTV2-924373673-26-05-14&amp;tableName=4.reg_fotografico&amp;fileName=4.reg_fotografico_Images/fae25c3c.imagen.212623.jpg</v>
      </c>
      <c r="F126" s="54" t="str">
        <f t="shared" si="1"/>
        <v/>
      </c>
    </row>
    <row r="127" ht="22.5" customHeight="1">
      <c r="A127" s="36" t="s">
        <v>2665</v>
      </c>
      <c r="B127" s="36" t="s">
        <v>1129</v>
      </c>
      <c r="C127" s="36" t="s">
        <v>2666</v>
      </c>
      <c r="D127" s="36" t="s">
        <v>2664</v>
      </c>
      <c r="E127" s="74" t="str">
        <f t="array" ref="E127">IF(
                C127 = "",
                "",
                       IF(
                           C127 ="FOTOGRAFIA",
                           "LINK",
                           "https://www.appsheet.com/template/gettablefileurl?appName=APP022ParticMagnMTV2-924373673-26-05-14&amp;tableName=4.reg_fotografico&amp;fileName="&amp;C127                        )
                          )</f>
        <v>https://www.appsheet.com/template/gettablefileurl?appName=APP022ParticMagnMTV2-924373673-26-05-14&amp;tableName=4.reg_fotografico&amp;fileName=4.reg_fotografico_Images/f69f290c.imagen.212626.jpg</v>
      </c>
      <c r="F127" s="54" t="str">
        <f t="shared" si="1"/>
        <v/>
      </c>
    </row>
    <row r="128" ht="22.5" customHeight="1">
      <c r="A128" s="36" t="s">
        <v>2667</v>
      </c>
      <c r="B128" s="36" t="s">
        <v>1133</v>
      </c>
      <c r="C128" s="36" t="s">
        <v>2668</v>
      </c>
      <c r="D128" s="36" t="s">
        <v>2669</v>
      </c>
      <c r="E128" s="74" t="str">
        <f t="array" ref="E128">IF(
                C128 = "",
                "",
                       IF(
                           C128 ="FOTOGRAFIA",
                           "LINK",
                           "https://www.appsheet.com/template/gettablefileurl?appName=APP022ParticMagnMTV2-924373673-26-05-14&amp;tableName=4.reg_fotografico&amp;fileName="&amp;C128                        )
                          )</f>
        <v>https://www.appsheet.com/template/gettablefileurl?appName=APP022ParticMagnMTV2-924373673-26-05-14&amp;tableName=4.reg_fotografico&amp;fileName=4.reg_fotografico_Images/0a7aa944.imagen.212629.jpg</v>
      </c>
      <c r="F128" s="54" t="str">
        <f t="shared" si="1"/>
        <v/>
      </c>
    </row>
    <row r="129" ht="22.5" customHeight="1">
      <c r="A129" s="36" t="s">
        <v>2670</v>
      </c>
      <c r="B129" s="36" t="s">
        <v>1133</v>
      </c>
      <c r="C129" s="36" t="s">
        <v>2671</v>
      </c>
      <c r="D129" s="36" t="s">
        <v>2669</v>
      </c>
      <c r="E129" s="74" t="str">
        <f t="array" ref="E129">IF(
                C129 = "",
                "",
                       IF(
                           C129 ="FOTOGRAFIA",
                           "LINK",
                           "https://www.appsheet.com/template/gettablefileurl?appName=APP022ParticMagnMTV2-924373673-26-05-14&amp;tableName=4.reg_fotografico&amp;fileName="&amp;C129                        )
                          )</f>
        <v>https://www.appsheet.com/template/gettablefileurl?appName=APP022ParticMagnMTV2-924373673-26-05-14&amp;tableName=4.reg_fotografico&amp;fileName=4.reg_fotografico_Images/70a968c1.imagen.212632.jpg</v>
      </c>
      <c r="F129" s="54" t="str">
        <f t="shared" si="1"/>
        <v/>
      </c>
    </row>
    <row r="130" ht="22.5" customHeight="1">
      <c r="A130" s="36" t="s">
        <v>2672</v>
      </c>
      <c r="B130" s="36" t="s">
        <v>1109</v>
      </c>
      <c r="C130" s="36" t="s">
        <v>2673</v>
      </c>
      <c r="D130" s="36" t="s">
        <v>2649</v>
      </c>
      <c r="E130" s="74" t="str">
        <f t="array" ref="E130">IF(
                C130 = "",
                "",
                       IF(
                           C130 ="FOTOGRAFIA",
                           "LINK",
                           "https://www.appsheet.com/template/gettablefileurl?appName=APP022ParticMagnMTV2-924373673-26-05-14&amp;tableName=4.reg_fotografico&amp;fileName="&amp;C130                        )
                          )</f>
        <v>https://www.appsheet.com/template/gettablefileurl?appName=APP022ParticMagnMTV2-924373673-26-05-14&amp;tableName=4.reg_fotografico&amp;fileName=4.reg_fotografico_Images/77e0f128.imagen.212635.jpg</v>
      </c>
      <c r="F130" s="54" t="str">
        <f t="shared" si="1"/>
        <v/>
      </c>
    </row>
    <row r="131" ht="22.5" customHeight="1">
      <c r="A131" s="36" t="s">
        <v>2674</v>
      </c>
      <c r="B131" s="36" t="s">
        <v>1117</v>
      </c>
      <c r="C131" s="36" t="s">
        <v>2675</v>
      </c>
      <c r="D131" s="36" t="s">
        <v>2655</v>
      </c>
      <c r="E131" s="74" t="str">
        <f t="array" ref="E131">IF(
                C131 = "",
                "",
                       IF(
                           C131 ="FOTOGRAFIA",
                           "LINK",
                           "https://www.appsheet.com/template/gettablefileurl?appName=APP022ParticMagnMTV2-924373673-26-05-14&amp;tableName=4.reg_fotografico&amp;fileName="&amp;C131                        )
                          )</f>
        <v>https://www.appsheet.com/template/gettablefileurl?appName=APP022ParticMagnMTV2-924373673-26-05-14&amp;tableName=4.reg_fotografico&amp;fileName=4.reg_fotografico_Images/ce25c1c8.imagen.212638.jpg</v>
      </c>
      <c r="F131" s="54" t="str">
        <f t="shared" si="1"/>
        <v/>
      </c>
    </row>
    <row r="132" ht="22.5" customHeight="1">
      <c r="A132" s="36" t="s">
        <v>2676</v>
      </c>
      <c r="B132" s="36" t="s">
        <v>1178</v>
      </c>
      <c r="C132" s="36" t="s">
        <v>2677</v>
      </c>
      <c r="D132" s="36" t="s">
        <v>2678</v>
      </c>
      <c r="E132" s="74" t="str">
        <f t="array" ref="E132">IF(
                C132 = "",
                "",
                       IF(
                           C132 ="FOTOGRAFIA",
                           "LINK",
                           "https://www.appsheet.com/template/gettablefileurl?appName=APP022ParticMagnMTV2-924373673-26-05-14&amp;tableName=4.reg_fotografico&amp;fileName="&amp;C132                        )
                          )</f>
        <v>https://www.appsheet.com/template/gettablefileurl?appName=APP022ParticMagnMTV2-924373673-26-05-14&amp;tableName=4.reg_fotografico&amp;fileName=4.reg_fotografico_Images/0e6b6763.imagen.235405.jpg</v>
      </c>
      <c r="F132" s="54" t="str">
        <f t="shared" si="1"/>
        <v/>
      </c>
    </row>
    <row r="133" ht="22.5" customHeight="1">
      <c r="A133" s="36" t="s">
        <v>2679</v>
      </c>
      <c r="B133" s="36" t="s">
        <v>1183</v>
      </c>
      <c r="C133" s="36" t="s">
        <v>2680</v>
      </c>
      <c r="D133" s="36" t="s">
        <v>2681</v>
      </c>
      <c r="E133" s="74" t="str">
        <f t="array" ref="E133">IF(
                C133 = "",
                "",
                       IF(
                           C133 ="FOTOGRAFIA",
                           "LINK",
                           "https://www.appsheet.com/template/gettablefileurl?appName=APP022ParticMagnMTV2-924373673-26-05-14&amp;tableName=4.reg_fotografico&amp;fileName="&amp;C133                        )
                          )</f>
        <v>https://www.appsheet.com/template/gettablefileurl?appName=APP022ParticMagnMTV2-924373673-26-05-14&amp;tableName=4.reg_fotografico&amp;fileName=4.reg_fotografico_Images/1d1ac1c2.imagen.235409.jpg</v>
      </c>
      <c r="F133" s="54" t="str">
        <f t="shared" si="1"/>
        <v/>
      </c>
    </row>
    <row r="134" ht="22.5" customHeight="1">
      <c r="A134" s="36" t="s">
        <v>2682</v>
      </c>
      <c r="B134" s="36" t="s">
        <v>1187</v>
      </c>
      <c r="C134" s="36" t="s">
        <v>2683</v>
      </c>
      <c r="D134" s="36" t="s">
        <v>2684</v>
      </c>
      <c r="E134" s="74" t="str">
        <f t="array" ref="E134">IF(
                C134 = "",
                "",
                       IF(
                           C134 ="FOTOGRAFIA",
                           "LINK",
                           "https://www.appsheet.com/template/gettablefileurl?appName=APP022ParticMagnMTV2-924373673-26-05-14&amp;tableName=4.reg_fotografico&amp;fileName="&amp;C134                        )
                          )</f>
        <v>https://www.appsheet.com/template/gettablefileurl?appName=APP022ParticMagnMTV2-924373673-26-05-14&amp;tableName=4.reg_fotografico&amp;fileName=4.reg_fotografico_Images/d2fa82bc.imagen.235745.jpg</v>
      </c>
      <c r="F134" s="54" t="str">
        <f t="shared" si="1"/>
        <v/>
      </c>
    </row>
    <row r="135" ht="22.5" customHeight="1">
      <c r="A135" s="39" t="s">
        <v>2685</v>
      </c>
      <c r="B135" s="36" t="s">
        <v>1191</v>
      </c>
      <c r="C135" s="36" t="s">
        <v>2686</v>
      </c>
      <c r="D135" s="36" t="s">
        <v>2687</v>
      </c>
      <c r="E135" s="74" t="str">
        <f t="array" ref="E135">IF(
                C135 = "",
                "",
                       IF(
                           C135 ="FOTOGRAFIA",
                           "LINK",
                           "https://www.appsheet.com/template/gettablefileurl?appName=APP022ParticMagnMTV2-924373673-26-05-14&amp;tableName=4.reg_fotografico&amp;fileName="&amp;C135                        )
                          )</f>
        <v>https://www.appsheet.com/template/gettablefileurl?appName=APP022ParticMagnMTV2-924373673-26-05-14&amp;tableName=4.reg_fotografico&amp;fileName=4.reg_fotografico_Images/79915766.imagen.002907.jpg</v>
      </c>
      <c r="F135" s="54" t="str">
        <f t="shared" si="1"/>
        <v/>
      </c>
    </row>
    <row r="136" ht="22.5" customHeight="1">
      <c r="A136" s="36" t="s">
        <v>2688</v>
      </c>
      <c r="B136" s="36" t="s">
        <v>1194</v>
      </c>
      <c r="C136" s="36" t="s">
        <v>2689</v>
      </c>
      <c r="D136" s="36" t="s">
        <v>2690</v>
      </c>
      <c r="E136" s="74" t="str">
        <f t="array" ref="E136">IF(
                C136 = "",
                "",
                       IF(
                           C136 ="FOTOGRAFIA",
                           "LINK",
                           "https://www.appsheet.com/template/gettablefileurl?appName=APP022ParticMagnMTV2-924373673-26-05-14&amp;tableName=4.reg_fotografico&amp;fileName="&amp;C136                        )
                          )</f>
        <v>https://www.appsheet.com/template/gettablefileurl?appName=APP022ParticMagnMTV2-924373673-26-05-14&amp;tableName=4.reg_fotografico&amp;fileName=4.reg_fotografico_Images/415a323d.imagen.002910.jpg</v>
      </c>
      <c r="F136" s="54" t="str">
        <f t="shared" si="1"/>
        <v/>
      </c>
    </row>
    <row r="137" ht="22.5" customHeight="1">
      <c r="A137" s="36" t="s">
        <v>2691</v>
      </c>
      <c r="B137" s="36" t="s">
        <v>1198</v>
      </c>
      <c r="C137" s="36" t="s">
        <v>2692</v>
      </c>
      <c r="D137" s="36" t="s">
        <v>2693</v>
      </c>
      <c r="E137" s="74" t="str">
        <f t="array" ref="E137">IF(
                C137 = "",
                "",
                       IF(
                           C137 ="FOTOGRAFIA",
                           "LINK",
                           "https://www.appsheet.com/template/gettablefileurl?appName=APP022ParticMagnMTV2-924373673-26-05-14&amp;tableName=4.reg_fotografico&amp;fileName="&amp;C137                        )
                          )</f>
        <v>https://www.appsheet.com/template/gettablefileurl?appName=APP022ParticMagnMTV2-924373673-26-05-14&amp;tableName=4.reg_fotografico&amp;fileName=4.reg_fotografico_Images/bef92778.imagen.002913.jpg</v>
      </c>
      <c r="F137" s="54" t="str">
        <f t="shared" si="1"/>
        <v/>
      </c>
    </row>
    <row r="138" ht="22.5" customHeight="1">
      <c r="A138" s="36" t="s">
        <v>2694</v>
      </c>
      <c r="B138" s="36" t="s">
        <v>1202</v>
      </c>
      <c r="C138" s="36" t="s">
        <v>2695</v>
      </c>
      <c r="D138" s="36" t="s">
        <v>2696</v>
      </c>
      <c r="E138" s="74" t="str">
        <f t="array" ref="E138">IF(
                C138 = "",
                "",
                       IF(
                           C138 ="FOTOGRAFIA",
                           "LINK",
                           "https://www.appsheet.com/template/gettablefileurl?appName=APP022ParticMagnMTV2-924373673-26-05-14&amp;tableName=4.reg_fotografico&amp;fileName="&amp;C138                        )
                          )</f>
        <v>https://www.appsheet.com/template/gettablefileurl?appName=APP022ParticMagnMTV2-924373673-26-05-14&amp;tableName=4.reg_fotografico&amp;fileName=4.reg_fotografico_Images/f3de0a62.imagen.002915.jpg</v>
      </c>
      <c r="F138" s="54" t="str">
        <f t="shared" si="1"/>
        <v/>
      </c>
    </row>
    <row r="139" ht="22.5" customHeight="1">
      <c r="A139" s="36" t="s">
        <v>2697</v>
      </c>
      <c r="B139" s="36" t="s">
        <v>1205</v>
      </c>
      <c r="C139" s="36" t="s">
        <v>2698</v>
      </c>
      <c r="D139" s="36" t="s">
        <v>2699</v>
      </c>
      <c r="E139" s="74" t="str">
        <f t="array" ref="E139">IF(
                C139 = "",
                "",
                       IF(
                           C139 ="FOTOGRAFIA",
                           "LINK",
                           "https://www.appsheet.com/template/gettablefileurl?appName=APP022ParticMagnMTV2-924373673-26-05-14&amp;tableName=4.reg_fotografico&amp;fileName="&amp;C139                        )
                          )</f>
        <v>https://www.appsheet.com/template/gettablefileurl?appName=APP022ParticMagnMTV2-924373673-26-05-14&amp;tableName=4.reg_fotografico&amp;fileName=4.reg_fotografico_Images/023b7c3d.imagen.002917.jpg</v>
      </c>
      <c r="F139" s="54" t="str">
        <f t="shared" si="1"/>
        <v/>
      </c>
    </row>
    <row r="140" ht="22.5" customHeight="1">
      <c r="A140" s="36" t="s">
        <v>2700</v>
      </c>
      <c r="B140" s="36" t="s">
        <v>1209</v>
      </c>
      <c r="C140" s="36" t="s">
        <v>2701</v>
      </c>
      <c r="D140" s="36" t="s">
        <v>2702</v>
      </c>
      <c r="E140" s="74" t="str">
        <f t="array" ref="E140">IF(
                C140 = "",
                "",
                       IF(
                           C140 ="FOTOGRAFIA",
                           "LINK",
                           "https://www.appsheet.com/template/gettablefileurl?appName=APP022ParticMagnMTV2-924373673-26-05-14&amp;tableName=4.reg_fotografico&amp;fileName="&amp;C140                        )
                          )</f>
        <v>https://www.appsheet.com/template/gettablefileurl?appName=APP022ParticMagnMTV2-924373673-26-05-14&amp;tableName=4.reg_fotografico&amp;fileName=4.reg_fotografico_Images/b7c35deb.imagen.030159.jpg</v>
      </c>
      <c r="F140" s="54" t="str">
        <f t="shared" si="1"/>
        <v/>
      </c>
    </row>
    <row r="141" ht="22.5" customHeight="1">
      <c r="A141" s="36" t="s">
        <v>2703</v>
      </c>
      <c r="B141" s="36" t="s">
        <v>1212</v>
      </c>
      <c r="C141" s="36" t="s">
        <v>2704</v>
      </c>
      <c r="D141" s="36" t="s">
        <v>2705</v>
      </c>
      <c r="E141" s="74" t="str">
        <f t="array" ref="E141">IF(
                C141 = "",
                "",
                       IF(
                           C141 ="FOTOGRAFIA",
                           "LINK",
                           "https://www.appsheet.com/template/gettablefileurl?appName=APP022ParticMagnMTV2-924373673-26-05-14&amp;tableName=4.reg_fotografico&amp;fileName="&amp;C141                        )
                          )</f>
        <v>https://www.appsheet.com/template/gettablefileurl?appName=APP022ParticMagnMTV2-924373673-26-05-14&amp;tableName=4.reg_fotografico&amp;fileName=4.reg_fotografico_Images/d6d28d4e.imagen.030202.jpg</v>
      </c>
      <c r="F141" s="54" t="str">
        <f t="shared" si="1"/>
        <v/>
      </c>
    </row>
    <row r="142" ht="22.5" customHeight="1">
      <c r="A142" s="36" t="s">
        <v>2706</v>
      </c>
      <c r="B142" s="36" t="s">
        <v>1215</v>
      </c>
      <c r="C142" s="36" t="s">
        <v>2707</v>
      </c>
      <c r="D142" s="36" t="s">
        <v>2708</v>
      </c>
      <c r="E142" s="74" t="str">
        <f t="array" ref="E142">IF(
                C142 = "",
                "",
                       IF(
                           C142 ="FOTOGRAFIA",
                           "LINK",
                           "https://www.appsheet.com/template/gettablefileurl?appName=APP022ParticMagnMTV2-924373673-26-05-14&amp;tableName=4.reg_fotografico&amp;fileName="&amp;C142                        )
                          )</f>
        <v>https://www.appsheet.com/template/gettablefileurl?appName=APP022ParticMagnMTV2-924373673-26-05-14&amp;tableName=4.reg_fotografico&amp;fileName=4.reg_fotografico_Images/79fc7625.imagen.030207.jpg</v>
      </c>
      <c r="F142" s="54" t="str">
        <f t="shared" si="1"/>
        <v/>
      </c>
    </row>
    <row r="143" ht="22.5" customHeight="1">
      <c r="A143" s="36" t="s">
        <v>2709</v>
      </c>
      <c r="B143" s="36" t="s">
        <v>1218</v>
      </c>
      <c r="C143" s="36" t="s">
        <v>2710</v>
      </c>
      <c r="D143" s="36" t="s">
        <v>2711</v>
      </c>
      <c r="E143" s="74" t="str">
        <f t="array" ref="E143">IF(
                C143 = "",
                "",
                       IF(
                           C143 ="FOTOGRAFIA",
                           "LINK",
                           "https://www.appsheet.com/template/gettablefileurl?appName=APP022ParticMagnMTV2-924373673-26-05-14&amp;tableName=4.reg_fotografico&amp;fileName="&amp;C143                        )
                          )</f>
        <v>https://www.appsheet.com/template/gettablefileurl?appName=APP022ParticMagnMTV2-924373673-26-05-14&amp;tableName=4.reg_fotografico&amp;fileName=4.reg_fotografico_Images/876acb7a.imagen.030210.jpg</v>
      </c>
      <c r="F143" s="54" t="str">
        <f t="shared" si="1"/>
        <v/>
      </c>
    </row>
    <row r="144" ht="22.5" customHeight="1">
      <c r="A144" s="36" t="s">
        <v>2618</v>
      </c>
      <c r="B144" s="36" t="s">
        <v>1221</v>
      </c>
      <c r="C144" s="36" t="s">
        <v>2619</v>
      </c>
      <c r="D144" s="36" t="s">
        <v>2620</v>
      </c>
      <c r="E144" s="38" t="s">
        <v>2712</v>
      </c>
      <c r="F144" s="54" t="str">
        <f t="shared" si="1"/>
        <v/>
      </c>
    </row>
    <row r="145" ht="22.5" customHeight="1">
      <c r="A145" s="36" t="s">
        <v>2713</v>
      </c>
      <c r="B145" s="36" t="s">
        <v>1228</v>
      </c>
      <c r="C145" s="36" t="s">
        <v>2714</v>
      </c>
      <c r="D145" s="36" t="s">
        <v>2715</v>
      </c>
      <c r="E145" s="38" t="s">
        <v>2716</v>
      </c>
      <c r="F145" s="54" t="str">
        <f t="shared" si="1"/>
        <v/>
      </c>
    </row>
    <row r="146" ht="22.5" customHeight="1">
      <c r="A146" s="36" t="s">
        <v>2717</v>
      </c>
      <c r="B146" s="36" t="s">
        <v>1255</v>
      </c>
      <c r="C146" s="36" t="s">
        <v>2718</v>
      </c>
      <c r="D146" s="36" t="s">
        <v>2719</v>
      </c>
      <c r="E146" s="38" t="s">
        <v>2720</v>
      </c>
      <c r="F146" s="54" t="str">
        <f t="shared" si="1"/>
        <v/>
      </c>
    </row>
    <row r="147" ht="22.5" customHeight="1">
      <c r="A147" s="36" t="s">
        <v>2721</v>
      </c>
      <c r="B147" s="36" t="s">
        <v>1264</v>
      </c>
      <c r="C147" s="36" t="s">
        <v>2722</v>
      </c>
      <c r="D147" s="36" t="s">
        <v>2723</v>
      </c>
      <c r="E147" s="38" t="s">
        <v>2724</v>
      </c>
      <c r="F147" s="54" t="str">
        <f t="shared" si="1"/>
        <v/>
      </c>
    </row>
    <row r="148" ht="22.5" customHeight="1">
      <c r="A148" s="36" t="s">
        <v>2725</v>
      </c>
      <c r="B148" s="36" t="s">
        <v>1324</v>
      </c>
      <c r="C148" s="36" t="s">
        <v>2726</v>
      </c>
      <c r="D148" s="36" t="s">
        <v>2727</v>
      </c>
      <c r="E148" s="38" t="s">
        <v>2728</v>
      </c>
      <c r="F148" s="54" t="str">
        <f t="shared" si="1"/>
        <v/>
      </c>
    </row>
    <row r="149" ht="22.5" customHeight="1">
      <c r="A149" s="36" t="s">
        <v>2729</v>
      </c>
      <c r="B149" s="36" t="s">
        <v>1252</v>
      </c>
      <c r="C149" s="36" t="s">
        <v>2730</v>
      </c>
      <c r="D149" s="36" t="s">
        <v>2731</v>
      </c>
      <c r="E149" s="38" t="s">
        <v>2732</v>
      </c>
      <c r="F149" s="54" t="str">
        <f t="shared" si="1"/>
        <v/>
      </c>
    </row>
    <row r="150" ht="22.5" customHeight="1">
      <c r="A150" s="36" t="s">
        <v>2733</v>
      </c>
      <c r="B150" s="36" t="s">
        <v>1225</v>
      </c>
      <c r="C150" s="36" t="s">
        <v>2734</v>
      </c>
      <c r="D150" s="36" t="s">
        <v>2735</v>
      </c>
      <c r="E150" s="38" t="s">
        <v>2736</v>
      </c>
      <c r="F150" s="54" t="str">
        <f t="shared" si="1"/>
        <v/>
      </c>
    </row>
    <row r="151" ht="22.5" customHeight="1">
      <c r="A151" s="36" t="s">
        <v>2737</v>
      </c>
      <c r="B151" s="36" t="s">
        <v>1249</v>
      </c>
      <c r="C151" s="36" t="s">
        <v>2738</v>
      </c>
      <c r="D151" s="36" t="s">
        <v>2739</v>
      </c>
      <c r="E151" s="38" t="s">
        <v>2740</v>
      </c>
      <c r="F151" s="54" t="str">
        <f t="shared" si="1"/>
        <v/>
      </c>
    </row>
    <row r="152" ht="22.5" customHeight="1">
      <c r="A152" s="36" t="s">
        <v>2741</v>
      </c>
      <c r="B152" s="36" t="s">
        <v>1334</v>
      </c>
      <c r="C152" s="36" t="s">
        <v>2742</v>
      </c>
      <c r="D152" s="36" t="s">
        <v>2743</v>
      </c>
      <c r="E152" s="38" t="s">
        <v>2744</v>
      </c>
      <c r="F152" s="54" t="str">
        <f t="shared" si="1"/>
        <v/>
      </c>
    </row>
    <row r="153" ht="22.5" customHeight="1">
      <c r="A153" s="36" t="s">
        <v>2745</v>
      </c>
      <c r="B153" s="36" t="s">
        <v>1281</v>
      </c>
      <c r="C153" s="36" t="s">
        <v>2746</v>
      </c>
      <c r="D153" s="36" t="s">
        <v>2747</v>
      </c>
      <c r="E153" s="38" t="s">
        <v>2748</v>
      </c>
      <c r="F153" s="54" t="str">
        <f t="shared" si="1"/>
        <v/>
      </c>
    </row>
    <row r="154" ht="22.5" customHeight="1">
      <c r="A154" s="36" t="s">
        <v>2749</v>
      </c>
      <c r="B154" s="36" t="s">
        <v>1274</v>
      </c>
      <c r="C154" s="36" t="s">
        <v>2750</v>
      </c>
      <c r="D154" s="36" t="s">
        <v>2751</v>
      </c>
      <c r="E154" s="38" t="s">
        <v>2752</v>
      </c>
      <c r="F154" s="54" t="str">
        <f t="shared" si="1"/>
        <v/>
      </c>
    </row>
    <row r="155" ht="22.5" customHeight="1">
      <c r="A155" s="36" t="s">
        <v>2753</v>
      </c>
      <c r="B155" s="36" t="s">
        <v>1318</v>
      </c>
      <c r="C155" s="36" t="s">
        <v>2754</v>
      </c>
      <c r="D155" s="36" t="s">
        <v>2755</v>
      </c>
      <c r="E155" s="38" t="s">
        <v>2756</v>
      </c>
      <c r="F155" s="54" t="str">
        <f t="shared" si="1"/>
        <v/>
      </c>
    </row>
    <row r="156" ht="22.5" customHeight="1">
      <c r="A156" s="36" t="s">
        <v>2757</v>
      </c>
      <c r="B156" s="36" t="s">
        <v>1291</v>
      </c>
      <c r="C156" s="36" t="s">
        <v>2758</v>
      </c>
      <c r="D156" s="36" t="s">
        <v>2759</v>
      </c>
      <c r="E156" s="38" t="s">
        <v>2760</v>
      </c>
      <c r="F156" s="54" t="str">
        <f t="shared" si="1"/>
        <v/>
      </c>
    </row>
    <row r="157" ht="22.5" customHeight="1">
      <c r="A157" s="36" t="s">
        <v>2761</v>
      </c>
      <c r="B157" s="36" t="s">
        <v>1307</v>
      </c>
      <c r="C157" s="36" t="s">
        <v>2762</v>
      </c>
      <c r="D157" s="36" t="s">
        <v>2763</v>
      </c>
      <c r="E157" s="38" t="s">
        <v>2764</v>
      </c>
      <c r="F157" s="54" t="str">
        <f t="shared" si="1"/>
        <v/>
      </c>
    </row>
    <row r="158" ht="22.5" customHeight="1">
      <c r="A158" s="36" t="s">
        <v>2765</v>
      </c>
      <c r="B158" s="36" t="s">
        <v>1330</v>
      </c>
      <c r="C158" s="36" t="s">
        <v>2766</v>
      </c>
      <c r="D158" s="36" t="s">
        <v>2767</v>
      </c>
      <c r="E158" s="38" t="s">
        <v>2768</v>
      </c>
      <c r="F158" s="54" t="str">
        <f t="shared" si="1"/>
        <v/>
      </c>
    </row>
    <row r="159" ht="22.5" customHeight="1">
      <c r="A159" s="36" t="s">
        <v>2769</v>
      </c>
      <c r="B159" s="36" t="s">
        <v>1332</v>
      </c>
      <c r="C159" s="36" t="s">
        <v>2770</v>
      </c>
      <c r="D159" s="36" t="s">
        <v>2771</v>
      </c>
      <c r="E159" s="38" t="s">
        <v>2772</v>
      </c>
      <c r="F159" s="54" t="str">
        <f t="shared" si="1"/>
        <v/>
      </c>
    </row>
    <row r="160" ht="22.5" customHeight="1">
      <c r="A160" s="36">
        <v>2.3213554E7</v>
      </c>
      <c r="B160" s="36" t="s">
        <v>1235</v>
      </c>
      <c r="C160" s="36" t="s">
        <v>2773</v>
      </c>
      <c r="D160" s="36" t="s">
        <v>2774</v>
      </c>
      <c r="E160" s="38" t="s">
        <v>2775</v>
      </c>
      <c r="F160" s="54" t="str">
        <f t="shared" si="1"/>
        <v/>
      </c>
    </row>
    <row r="161" ht="22.5" customHeight="1">
      <c r="A161" s="36" t="s">
        <v>2776</v>
      </c>
      <c r="B161" s="36" t="s">
        <v>1278</v>
      </c>
      <c r="C161" s="36" t="s">
        <v>2777</v>
      </c>
      <c r="D161" s="36" t="s">
        <v>2778</v>
      </c>
      <c r="E161" s="38" t="s">
        <v>2779</v>
      </c>
      <c r="F161" s="54" t="str">
        <f t="shared" si="1"/>
        <v/>
      </c>
    </row>
    <row r="162" ht="22.5" customHeight="1">
      <c r="A162" s="36" t="s">
        <v>2780</v>
      </c>
      <c r="B162" s="36" t="s">
        <v>1239</v>
      </c>
      <c r="C162" s="36" t="s">
        <v>2781</v>
      </c>
      <c r="D162" s="36" t="s">
        <v>2782</v>
      </c>
      <c r="E162" s="38" t="s">
        <v>2783</v>
      </c>
      <c r="F162" s="54" t="str">
        <f t="shared" si="1"/>
        <v/>
      </c>
    </row>
    <row r="163" ht="22.5" customHeight="1">
      <c r="A163" s="36" t="s">
        <v>2784</v>
      </c>
      <c r="B163" s="36" t="s">
        <v>1266</v>
      </c>
      <c r="C163" s="36" t="s">
        <v>2785</v>
      </c>
      <c r="D163" s="36" t="s">
        <v>2786</v>
      </c>
      <c r="E163" s="38" t="s">
        <v>2787</v>
      </c>
      <c r="F163" s="54" t="str">
        <f t="shared" si="1"/>
        <v/>
      </c>
    </row>
    <row r="164" ht="22.5" customHeight="1">
      <c r="A164" s="36" t="s">
        <v>2788</v>
      </c>
      <c r="B164" s="36" t="s">
        <v>1304</v>
      </c>
      <c r="C164" s="36" t="s">
        <v>2789</v>
      </c>
      <c r="D164" s="36" t="s">
        <v>2790</v>
      </c>
      <c r="E164" s="38" t="s">
        <v>2791</v>
      </c>
      <c r="F164" s="54" t="str">
        <f t="shared" si="1"/>
        <v/>
      </c>
    </row>
    <row r="165" ht="22.5" customHeight="1">
      <c r="A165" s="36" t="s">
        <v>2792</v>
      </c>
      <c r="B165" s="36" t="s">
        <v>1301</v>
      </c>
      <c r="C165" s="36" t="s">
        <v>2793</v>
      </c>
      <c r="D165" s="36" t="s">
        <v>2794</v>
      </c>
      <c r="E165" s="38" t="s">
        <v>2795</v>
      </c>
      <c r="F165" s="54" t="str">
        <f t="shared" si="1"/>
        <v/>
      </c>
    </row>
    <row r="166" ht="22.5" customHeight="1">
      <c r="A166" s="36" t="s">
        <v>2796</v>
      </c>
      <c r="B166" s="36" t="s">
        <v>1289</v>
      </c>
      <c r="C166" s="36" t="s">
        <v>2797</v>
      </c>
      <c r="D166" s="36" t="s">
        <v>2798</v>
      </c>
      <c r="E166" s="38" t="s">
        <v>2799</v>
      </c>
      <c r="F166" s="54" t="str">
        <f t="shared" si="1"/>
        <v/>
      </c>
    </row>
    <row r="167" ht="22.5" customHeight="1">
      <c r="A167" s="36" t="s">
        <v>2800</v>
      </c>
      <c r="B167" s="36" t="s">
        <v>1320</v>
      </c>
      <c r="C167" s="36" t="s">
        <v>2801</v>
      </c>
      <c r="D167" s="36" t="s">
        <v>2802</v>
      </c>
      <c r="E167" s="38" t="s">
        <v>2803</v>
      </c>
      <c r="F167" s="54" t="str">
        <f t="shared" si="1"/>
        <v/>
      </c>
    </row>
    <row r="168" ht="22.5" customHeight="1">
      <c r="A168" s="36" t="s">
        <v>2804</v>
      </c>
      <c r="B168" s="36" t="s">
        <v>1260</v>
      </c>
      <c r="C168" s="36" t="s">
        <v>2805</v>
      </c>
      <c r="D168" s="36" t="s">
        <v>2806</v>
      </c>
      <c r="E168" s="38" t="s">
        <v>2807</v>
      </c>
      <c r="F168" s="54" t="str">
        <f t="shared" si="1"/>
        <v/>
      </c>
    </row>
    <row r="169" ht="22.5" customHeight="1">
      <c r="A169" s="36" t="s">
        <v>2808</v>
      </c>
      <c r="B169" s="36" t="s">
        <v>1258</v>
      </c>
      <c r="C169" s="36" t="s">
        <v>2809</v>
      </c>
      <c r="D169" s="36" t="s">
        <v>2810</v>
      </c>
      <c r="E169" s="38" t="s">
        <v>2811</v>
      </c>
      <c r="F169" s="54" t="str">
        <f t="shared" si="1"/>
        <v/>
      </c>
    </row>
    <row r="170" ht="22.5" customHeight="1">
      <c r="A170" s="36" t="s">
        <v>2812</v>
      </c>
      <c r="B170" s="36" t="s">
        <v>1314</v>
      </c>
      <c r="C170" s="36" t="s">
        <v>2813</v>
      </c>
      <c r="D170" s="36" t="s">
        <v>2814</v>
      </c>
      <c r="E170" s="38" t="s">
        <v>2815</v>
      </c>
      <c r="F170" s="54" t="str">
        <f t="shared" si="1"/>
        <v/>
      </c>
    </row>
    <row r="171" ht="22.5" customHeight="1">
      <c r="A171" s="36" t="s">
        <v>2816</v>
      </c>
      <c r="B171" s="36" t="s">
        <v>1243</v>
      </c>
      <c r="C171" s="36" t="s">
        <v>2817</v>
      </c>
      <c r="D171" s="36" t="s">
        <v>2818</v>
      </c>
      <c r="E171" s="38" t="s">
        <v>2819</v>
      </c>
      <c r="F171" s="54" t="str">
        <f t="shared" si="1"/>
        <v/>
      </c>
    </row>
    <row r="172" ht="22.5" customHeight="1">
      <c r="A172" s="36" t="s">
        <v>2820</v>
      </c>
      <c r="B172" s="36" t="s">
        <v>1312</v>
      </c>
      <c r="C172" s="36" t="s">
        <v>2821</v>
      </c>
      <c r="D172" s="36" t="s">
        <v>2822</v>
      </c>
      <c r="E172" s="38" t="s">
        <v>2823</v>
      </c>
      <c r="F172" s="54" t="str">
        <f t="shared" si="1"/>
        <v/>
      </c>
    </row>
    <row r="173" ht="22.5" customHeight="1">
      <c r="A173" s="36" t="s">
        <v>2824</v>
      </c>
      <c r="B173" s="36" t="s">
        <v>1270</v>
      </c>
      <c r="C173" s="36" t="s">
        <v>2825</v>
      </c>
      <c r="D173" s="36" t="s">
        <v>2826</v>
      </c>
      <c r="E173" s="38" t="s">
        <v>2827</v>
      </c>
      <c r="F173" s="54" t="str">
        <f t="shared" si="1"/>
        <v/>
      </c>
    </row>
    <row r="174" ht="22.5" customHeight="1">
      <c r="A174" s="36" t="s">
        <v>2828</v>
      </c>
      <c r="B174" s="36" t="s">
        <v>1232</v>
      </c>
      <c r="C174" s="36" t="s">
        <v>2829</v>
      </c>
      <c r="D174" s="36" t="s">
        <v>2830</v>
      </c>
      <c r="E174" s="38" t="s">
        <v>2831</v>
      </c>
      <c r="F174" s="54" t="str">
        <f t="shared" si="1"/>
        <v/>
      </c>
    </row>
    <row r="175" ht="22.5" customHeight="1">
      <c r="A175" s="36">
        <v>8.6377816E7</v>
      </c>
      <c r="B175" s="36" t="s">
        <v>1245</v>
      </c>
      <c r="C175" s="36" t="s">
        <v>2832</v>
      </c>
      <c r="D175" s="36" t="s">
        <v>2833</v>
      </c>
      <c r="E175" s="38" t="s">
        <v>2834</v>
      </c>
      <c r="F175" s="54" t="str">
        <f t="shared" si="1"/>
        <v/>
      </c>
    </row>
    <row r="176" ht="22.5" customHeight="1">
      <c r="A176" s="36" t="s">
        <v>2835</v>
      </c>
      <c r="B176" s="36" t="s">
        <v>1269</v>
      </c>
      <c r="C176" s="36" t="s">
        <v>2836</v>
      </c>
      <c r="D176" s="36" t="s">
        <v>2837</v>
      </c>
      <c r="E176" s="38" t="s">
        <v>2838</v>
      </c>
      <c r="F176" s="54" t="str">
        <f t="shared" si="1"/>
        <v/>
      </c>
    </row>
    <row r="177" ht="22.5" customHeight="1">
      <c r="A177" s="36">
        <v>3.2625213E7</v>
      </c>
      <c r="B177" s="36" t="s">
        <v>1294</v>
      </c>
      <c r="C177" s="36" t="s">
        <v>2839</v>
      </c>
      <c r="D177" s="36" t="s">
        <v>2840</v>
      </c>
      <c r="E177" s="38" t="s">
        <v>2841</v>
      </c>
      <c r="F177" s="54" t="str">
        <f t="shared" si="1"/>
        <v/>
      </c>
    </row>
    <row r="178" ht="22.5" customHeight="1">
      <c r="A178" s="36" t="s">
        <v>2842</v>
      </c>
      <c r="B178" s="36" t="s">
        <v>1326</v>
      </c>
      <c r="C178" s="36" t="s">
        <v>2843</v>
      </c>
      <c r="D178" s="36" t="s">
        <v>2844</v>
      </c>
      <c r="E178" s="38" t="s">
        <v>2845</v>
      </c>
      <c r="F178" s="54" t="str">
        <f t="shared" si="1"/>
        <v/>
      </c>
    </row>
    <row r="179" ht="22.5" customHeight="1">
      <c r="A179" s="36" t="s">
        <v>2846</v>
      </c>
      <c r="B179" s="36" t="s">
        <v>1286</v>
      </c>
      <c r="C179" s="36" t="s">
        <v>2847</v>
      </c>
      <c r="D179" s="36" t="s">
        <v>2848</v>
      </c>
      <c r="E179" s="38" t="s">
        <v>2849</v>
      </c>
      <c r="F179" s="54" t="str">
        <f t="shared" si="1"/>
        <v/>
      </c>
    </row>
    <row r="180" ht="22.5" customHeight="1">
      <c r="A180" s="36" t="s">
        <v>2850</v>
      </c>
      <c r="B180" s="36">
        <v>2.7655643E7</v>
      </c>
      <c r="C180" s="36" t="s">
        <v>2851</v>
      </c>
      <c r="D180" s="36" t="s">
        <v>2852</v>
      </c>
      <c r="E180" s="38" t="s">
        <v>2853</v>
      </c>
      <c r="F180" s="54" t="str">
        <f t="shared" si="1"/>
        <v/>
      </c>
    </row>
    <row r="181" ht="22.5" customHeight="1">
      <c r="A181" s="36" t="s">
        <v>2854</v>
      </c>
      <c r="B181" s="36" t="s">
        <v>1269</v>
      </c>
      <c r="C181" s="36" t="s">
        <v>2855</v>
      </c>
      <c r="D181" s="36" t="s">
        <v>2837</v>
      </c>
      <c r="E181" s="38" t="s">
        <v>2856</v>
      </c>
      <c r="F181" s="54" t="str">
        <f t="shared" si="1"/>
        <v/>
      </c>
    </row>
    <row r="182" ht="22.5" customHeight="1">
      <c r="A182" s="36" t="s">
        <v>2857</v>
      </c>
      <c r="B182" s="36" t="s">
        <v>1336</v>
      </c>
      <c r="C182" s="36" t="s">
        <v>2858</v>
      </c>
      <c r="D182" s="36" t="s">
        <v>2859</v>
      </c>
      <c r="E182" s="74" t="str">
        <f t="array" ref="E182">IF(
                C182 = "",
                "",
                       IF(
                           C182 ="FOTOGRAFIA",
                           "LINK",
                           "https://www.appsheet.com/template/gettablefileurl?appName=APP022ParticMagnMTV2-924373673-26-05-14&amp;tableName=4.reg_fotografico&amp;fileName="&amp;C182                        )
                          )</f>
        <v>https://www.appsheet.com/template/gettablefileurl?appName=APP022ParticMagnMTV2-924373673-26-05-14&amp;tableName=4.reg_fotografico&amp;fileName=4.reg_fotografico_Images/e0091ddb.imagen.121410.jpg</v>
      </c>
      <c r="F182" s="54" t="str">
        <f t="shared" si="1"/>
        <v/>
      </c>
    </row>
    <row r="183" ht="22.5" customHeight="1">
      <c r="A183" s="36" t="s">
        <v>2860</v>
      </c>
      <c r="B183" s="36" t="s">
        <v>1137</v>
      </c>
      <c r="C183" s="36" t="s">
        <v>2861</v>
      </c>
      <c r="D183" s="36" t="s">
        <v>2862</v>
      </c>
      <c r="E183" s="74" t="str">
        <f t="array" ref="E183">IF(
                C183 = "",
                "",
                       IF(
                           C183 ="FOTOGRAFIA",
                           "LINK",
                           "https://www.appsheet.com/template/gettablefileurl?appName=APP022ParticMagnMTV2-924373673-26-05-14&amp;tableName=4.reg_fotografico&amp;fileName="&amp;C183                        )
                          )</f>
        <v>https://www.appsheet.com/template/gettablefileurl?appName=APP022ParticMagnMTV2-924373673-26-05-14&amp;tableName=4.reg_fotografico&amp;fileName=4.reg_fotografico_Images/d257a409.imagen.225856.png</v>
      </c>
      <c r="F183" s="54" t="str">
        <f t="shared" si="1"/>
        <v/>
      </c>
    </row>
    <row r="184" ht="22.5" customHeight="1">
      <c r="A184" s="36" t="s">
        <v>2863</v>
      </c>
      <c r="B184" s="36" t="s">
        <v>1141</v>
      </c>
      <c r="C184" s="36" t="s">
        <v>2864</v>
      </c>
      <c r="D184" s="36" t="s">
        <v>2865</v>
      </c>
      <c r="E184" s="74" t="str">
        <f t="array" ref="E184">IF(
                C184 = "",
                "",
                       IF(
                           C184 ="FOTOGRAFIA",
                           "LINK",
                           "https://www.appsheet.com/template/gettablefileurl?appName=APP022ParticMagnMTV2-924373673-26-05-14&amp;tableName=4.reg_fotografico&amp;fileName="&amp;C184                        )
                          )</f>
        <v>https://www.appsheet.com/template/gettablefileurl?appName=APP022ParticMagnMTV2-924373673-26-05-14&amp;tableName=4.reg_fotografico&amp;fileName=4.reg_fotografico_Images/311e5c60.imagen.225859.png</v>
      </c>
      <c r="F184" s="54" t="str">
        <f t="shared" si="1"/>
        <v/>
      </c>
    </row>
    <row r="185" ht="22.5" customHeight="1">
      <c r="A185" s="36" t="s">
        <v>2866</v>
      </c>
      <c r="B185" s="36" t="s">
        <v>1144</v>
      </c>
      <c r="C185" s="36" t="s">
        <v>2867</v>
      </c>
      <c r="D185" s="36" t="s">
        <v>2868</v>
      </c>
      <c r="E185" s="74" t="str">
        <f t="array" ref="E185">IF(
                C185 = "",
                "",
                       IF(
                           C185 ="FOTOGRAFIA",
                           "LINK",
                           "https://www.appsheet.com/template/gettablefileurl?appName=APP022ParticMagnMTV2-924373673-26-05-14&amp;tableName=4.reg_fotografico&amp;fileName="&amp;C185                        )
                          )</f>
        <v>https://www.appsheet.com/template/gettablefileurl?appName=APP022ParticMagnMTV2-924373673-26-05-14&amp;tableName=4.reg_fotografico&amp;fileName=4.reg_fotografico_Images/d0d42275.imagen.225902.png</v>
      </c>
      <c r="F185" s="54" t="str">
        <f t="shared" si="1"/>
        <v/>
      </c>
    </row>
    <row r="186" ht="22.5" customHeight="1">
      <c r="A186" s="36" t="s">
        <v>2869</v>
      </c>
      <c r="B186" s="36" t="s">
        <v>1147</v>
      </c>
      <c r="C186" s="36" t="s">
        <v>2870</v>
      </c>
      <c r="D186" s="36" t="s">
        <v>2871</v>
      </c>
      <c r="E186" s="74" t="str">
        <f t="array" ref="E186">IF(
                C186 = "",
                "",
                       IF(
                           C186 ="FOTOGRAFIA",
                           "LINK",
                           "https://www.appsheet.com/template/gettablefileurl?appName=APP022ParticMagnMTV2-924373673-26-05-14&amp;tableName=4.reg_fotografico&amp;fileName="&amp;C186                        )
                          )</f>
        <v>https://www.appsheet.com/template/gettablefileurl?appName=APP022ParticMagnMTV2-924373673-26-05-14&amp;tableName=4.reg_fotografico&amp;fileName=4.reg_fotografico_Images/ff39c038.imagen.225905.png</v>
      </c>
      <c r="F186" s="54" t="str">
        <f t="shared" si="1"/>
        <v/>
      </c>
    </row>
    <row r="187" ht="22.5" customHeight="1">
      <c r="A187" s="36" t="s">
        <v>2872</v>
      </c>
      <c r="B187" s="36" t="s">
        <v>1150</v>
      </c>
      <c r="C187" s="36" t="s">
        <v>2873</v>
      </c>
      <c r="D187" s="36" t="s">
        <v>2874</v>
      </c>
      <c r="E187" s="74" t="str">
        <f t="array" ref="E187">IF(
                C187 = "",
                "",
                       IF(
                           C187 ="FOTOGRAFIA",
                           "LINK",
                           "https://www.appsheet.com/template/gettablefileurl?appName=APP022ParticMagnMTV2-924373673-26-05-14&amp;tableName=4.reg_fotografico&amp;fileName="&amp;C187                        )
                          )</f>
        <v>https://www.appsheet.com/template/gettablefileurl?appName=APP022ParticMagnMTV2-924373673-26-05-14&amp;tableName=4.reg_fotografico&amp;fileName=4.reg_fotografico_Images/448da10b.imagen.225908.png</v>
      </c>
      <c r="F187" s="54" t="str">
        <f t="shared" si="1"/>
        <v/>
      </c>
    </row>
    <row r="188" ht="22.5" customHeight="1">
      <c r="A188" s="36" t="s">
        <v>2875</v>
      </c>
      <c r="B188" s="36" t="s">
        <v>1153</v>
      </c>
      <c r="C188" s="36" t="s">
        <v>2876</v>
      </c>
      <c r="D188" s="36" t="s">
        <v>2877</v>
      </c>
      <c r="E188" s="74" t="str">
        <f t="array" ref="E188">IF(
                C188 = "",
                "",
                       IF(
                           C188 ="FOTOGRAFIA",
                           "LINK",
                           "https://www.appsheet.com/template/gettablefileurl?appName=APP022ParticMagnMTV2-924373673-26-05-14&amp;tableName=4.reg_fotografico&amp;fileName="&amp;C188                        )
                          )</f>
        <v>https://www.appsheet.com/template/gettablefileurl?appName=APP022ParticMagnMTV2-924373673-26-05-14&amp;tableName=4.reg_fotografico&amp;fileName=4.reg_fotografico_Images/18f1aaaf.imagen.225911.png</v>
      </c>
      <c r="F188" s="54" t="str">
        <f t="shared" si="1"/>
        <v/>
      </c>
    </row>
    <row r="189" ht="22.5" customHeight="1">
      <c r="A189" s="36" t="s">
        <v>2878</v>
      </c>
      <c r="B189" s="36" t="s">
        <v>1156</v>
      </c>
      <c r="C189" s="36" t="s">
        <v>2879</v>
      </c>
      <c r="D189" s="36" t="s">
        <v>2880</v>
      </c>
      <c r="E189" s="74" t="str">
        <f t="array" ref="E189">IF(
                C189 = "",
                "",
                       IF(
                           C189 ="FOTOGRAFIA",
                           "LINK",
                           "https://www.appsheet.com/template/gettablefileurl?appName=APP022ParticMagnMTV2-924373673-26-05-14&amp;tableName=4.reg_fotografico&amp;fileName="&amp;C189                        )
                          )</f>
        <v>https://www.appsheet.com/template/gettablefileurl?appName=APP022ParticMagnMTV2-924373673-26-05-14&amp;tableName=4.reg_fotografico&amp;fileName=4.reg_fotografico_Images/d2a0fcaa.imagen.225914.png</v>
      </c>
      <c r="F189" s="54" t="str">
        <f t="shared" si="1"/>
        <v/>
      </c>
    </row>
    <row r="190" ht="22.5" customHeight="1">
      <c r="A190" s="36" t="s">
        <v>2881</v>
      </c>
      <c r="B190" s="36" t="s">
        <v>1159</v>
      </c>
      <c r="C190" s="36" t="s">
        <v>2882</v>
      </c>
      <c r="D190" s="36" t="s">
        <v>2883</v>
      </c>
      <c r="E190" s="74" t="str">
        <f t="array" ref="E190">IF(
                C190 = "",
                "",
                       IF(
                           C190 ="FOTOGRAFIA",
                           "LINK",
                           "https://www.appsheet.com/template/gettablefileurl?appName=APP022ParticMagnMTV2-924373673-26-05-14&amp;tableName=4.reg_fotografico&amp;fileName="&amp;C190                        )
                          )</f>
        <v>https://www.appsheet.com/template/gettablefileurl?appName=APP022ParticMagnMTV2-924373673-26-05-14&amp;tableName=4.reg_fotografico&amp;fileName=4.reg_fotografico_Images/addbb4df.imagen.225917.png</v>
      </c>
      <c r="F190" s="54" t="str">
        <f t="shared" si="1"/>
        <v/>
      </c>
    </row>
    <row r="191" ht="22.5" customHeight="1">
      <c r="A191" s="36" t="s">
        <v>2884</v>
      </c>
      <c r="B191" s="36" t="s">
        <v>1162</v>
      </c>
      <c r="C191" s="36" t="s">
        <v>2885</v>
      </c>
      <c r="D191" s="36" t="s">
        <v>2886</v>
      </c>
      <c r="E191" s="74" t="str">
        <f t="array" ref="E191">IF(
                C191 = "",
                "",
                       IF(
                           C191 ="FOTOGRAFIA",
                           "LINK",
                           "https://www.appsheet.com/template/gettablefileurl?appName=APP022ParticMagnMTV2-924373673-26-05-14&amp;tableName=4.reg_fotografico&amp;fileName="&amp;C191                        )
                          )</f>
        <v>https://www.appsheet.com/template/gettablefileurl?appName=APP022ParticMagnMTV2-924373673-26-05-14&amp;tableName=4.reg_fotografico&amp;fileName=4.reg_fotografico_Images/9740134a.imagen.225920.png</v>
      </c>
      <c r="F191" s="54" t="str">
        <f t="shared" si="1"/>
        <v/>
      </c>
    </row>
    <row r="192" ht="22.5" customHeight="1">
      <c r="A192" s="36" t="s">
        <v>2887</v>
      </c>
      <c r="B192" s="36" t="s">
        <v>1165</v>
      </c>
      <c r="C192" s="36" t="s">
        <v>2888</v>
      </c>
      <c r="D192" s="36" t="s">
        <v>2889</v>
      </c>
      <c r="E192" s="74" t="str">
        <f t="array" ref="E192">IF(
                C192 = "",
                "",
                       IF(
                           C192 ="FOTOGRAFIA",
                           "LINK",
                           "https://www.appsheet.com/template/gettablefileurl?appName=APP022ParticMagnMTV2-924373673-26-05-14&amp;tableName=4.reg_fotografico&amp;fileName="&amp;C192                        )
                          )</f>
        <v>https://www.appsheet.com/template/gettablefileurl?appName=APP022ParticMagnMTV2-924373673-26-05-14&amp;tableName=4.reg_fotografico&amp;fileName=4.reg_fotografico_Images/894fe1dd.imagen.225923.png</v>
      </c>
      <c r="F192" s="54" t="str">
        <f t="shared" si="1"/>
        <v/>
      </c>
    </row>
    <row r="193" ht="22.5" customHeight="1">
      <c r="A193" s="36" t="s">
        <v>2890</v>
      </c>
      <c r="B193" s="36" t="s">
        <v>1168</v>
      </c>
      <c r="C193" s="36" t="s">
        <v>2891</v>
      </c>
      <c r="D193" s="36" t="s">
        <v>2892</v>
      </c>
      <c r="E193" s="74" t="str">
        <f t="array" ref="E193">IF(
                C193 = "",
                "",
                       IF(
                           C193 ="FOTOGRAFIA",
                           "LINK",
                           "https://www.appsheet.com/template/gettablefileurl?appName=APP022ParticMagnMTV2-924373673-26-05-14&amp;tableName=4.reg_fotografico&amp;fileName="&amp;C193                        )
                          )</f>
        <v>https://www.appsheet.com/template/gettablefileurl?appName=APP022ParticMagnMTV2-924373673-26-05-14&amp;tableName=4.reg_fotografico&amp;fileName=4.reg_fotografico_Images/f1751890.imagen.225927.png</v>
      </c>
      <c r="F193" s="54" t="str">
        <f t="shared" si="1"/>
        <v/>
      </c>
    </row>
    <row r="194" ht="22.5" customHeight="1">
      <c r="A194" s="36" t="s">
        <v>2893</v>
      </c>
      <c r="B194" s="36" t="s">
        <v>1171</v>
      </c>
      <c r="C194" s="36" t="s">
        <v>2894</v>
      </c>
      <c r="D194" s="36" t="s">
        <v>2895</v>
      </c>
      <c r="E194" s="74" t="str">
        <f t="array" ref="E194">IF(
                C194 = "",
                "",
                       IF(
                           C194 ="FOTOGRAFIA",
                           "LINK",
                           "https://www.appsheet.com/template/gettablefileurl?appName=APP022ParticMagnMTV2-924373673-26-05-14&amp;tableName=4.reg_fotografico&amp;fileName="&amp;C194                        )
                          )</f>
        <v>https://www.appsheet.com/template/gettablefileurl?appName=APP022ParticMagnMTV2-924373673-26-05-14&amp;tableName=4.reg_fotografico&amp;fileName=4.reg_fotografico_Images/b866ef2c.imagen.225935.png</v>
      </c>
      <c r="F194" s="54" t="str">
        <f t="shared" si="1"/>
        <v/>
      </c>
    </row>
    <row r="195" ht="22.5" customHeight="1">
      <c r="A195" s="36" t="s">
        <v>2896</v>
      </c>
      <c r="B195" s="36" t="s">
        <v>1174</v>
      </c>
      <c r="C195" s="36" t="s">
        <v>2897</v>
      </c>
      <c r="D195" s="36" t="s">
        <v>2898</v>
      </c>
      <c r="E195" s="74" t="str">
        <f t="array" ref="E195">IF(
                C195 = "",
                "",
                       IF(
                           C195 ="FOTOGRAFIA",
                           "LINK",
                           "https://www.appsheet.com/template/gettablefileurl?appName=APP022ParticMagnMTV2-924373673-26-05-14&amp;tableName=4.reg_fotografico&amp;fileName="&amp;C195                        )
                          )</f>
        <v>https://www.appsheet.com/template/gettablefileurl?appName=APP022ParticMagnMTV2-924373673-26-05-14&amp;tableName=4.reg_fotografico&amp;fileName=4.reg_fotografico_Images/fab0e30f.imagen.225938.png</v>
      </c>
      <c r="F195" s="54" t="str">
        <f t="shared" si="1"/>
        <v/>
      </c>
    </row>
    <row r="196" ht="22.5" customHeight="1">
      <c r="A196" s="36" t="s">
        <v>2899</v>
      </c>
      <c r="B196" s="36" t="s">
        <v>1176</v>
      </c>
      <c r="C196" s="36" t="s">
        <v>2900</v>
      </c>
      <c r="D196" s="36" t="s">
        <v>2901</v>
      </c>
      <c r="E196" s="74" t="str">
        <f t="array" ref="E196">IF(
                C196 = "",
                "",
                       IF(
                           C196 ="FOTOGRAFIA",
                           "LINK",
                           "https://www.appsheet.com/template/gettablefileurl?appName=APP022ParticMagnMTV2-924373673-26-05-14&amp;tableName=4.reg_fotografico&amp;fileName="&amp;C196                        )
                          )</f>
        <v>https://www.appsheet.com/template/gettablefileurl?appName=APP022ParticMagnMTV2-924373673-26-05-14&amp;tableName=4.reg_fotografico&amp;fileName=4.reg_fotografico_Images/0b7629a5.imagen.225941.png</v>
      </c>
      <c r="F196" s="54" t="str">
        <f t="shared" si="1"/>
        <v/>
      </c>
    </row>
    <row r="197" ht="22.5" customHeight="1">
      <c r="A197" s="36" t="s">
        <v>2902</v>
      </c>
      <c r="B197" s="36" t="s">
        <v>1340</v>
      </c>
      <c r="C197" s="36" t="s">
        <v>2903</v>
      </c>
      <c r="D197" s="36" t="s">
        <v>2904</v>
      </c>
      <c r="E197" s="74" t="str">
        <f t="array" ref="E197">IF(
                C197 = "",
                "",
                       IF(
                           C197 ="FOTOGRAFIA",
                           "LINK",
                           "https://www.appsheet.com/template/gettablefileurl?appName=APP022ParticMagnMTV2-924373673-26-05-14&amp;tableName=4.reg_fotografico&amp;fileName="&amp;C197                        )
                          )</f>
        <v>https://www.appsheet.com/template/gettablefileurl?appName=APP022ParticMagnMTV2-924373673-26-05-14&amp;tableName=4.reg_fotografico&amp;fileName=4.reg_fotografico_Images/9654bfea.imagen.234605.jpg</v>
      </c>
      <c r="F197" s="54" t="str">
        <f t="shared" si="1"/>
        <v/>
      </c>
    </row>
    <row r="198" ht="22.5" customHeight="1">
      <c r="A198" s="36" t="s">
        <v>2905</v>
      </c>
      <c r="B198" s="36" t="s">
        <v>1340</v>
      </c>
      <c r="C198" s="36" t="s">
        <v>2906</v>
      </c>
      <c r="D198" s="36" t="s">
        <v>2904</v>
      </c>
      <c r="E198" s="74" t="str">
        <f t="array" ref="E198">IF(
                C198 = "",
                "",
                       IF(
                           C198 ="FOTOGRAFIA",
                           "LINK",
                           "https://www.appsheet.com/template/gettablefileurl?appName=APP022ParticMagnMTV2-924373673-26-05-14&amp;tableName=4.reg_fotografico&amp;fileName="&amp;C198                        )
                          )</f>
        <v>https://www.appsheet.com/template/gettablefileurl?appName=APP022ParticMagnMTV2-924373673-26-05-14&amp;tableName=4.reg_fotografico&amp;fileName=4.reg_fotografico_Images/50baf50a.imagen.234609.jpg</v>
      </c>
      <c r="F198" s="54" t="str">
        <f t="shared" si="1"/>
        <v/>
      </c>
    </row>
    <row r="199" ht="22.5" customHeight="1">
      <c r="A199" s="36" t="s">
        <v>2907</v>
      </c>
      <c r="B199" s="36" t="s">
        <v>1340</v>
      </c>
      <c r="C199" s="36" t="s">
        <v>2908</v>
      </c>
      <c r="D199" s="36" t="s">
        <v>2904</v>
      </c>
      <c r="E199" s="74" t="str">
        <f t="array" ref="E199">IF(
                C199 = "",
                "",
                       IF(
                           C199 ="FOTOGRAFIA",
                           "LINK",
                           "https://www.appsheet.com/template/gettablefileurl?appName=APP022ParticMagnMTV2-924373673-26-05-14&amp;tableName=4.reg_fotografico&amp;fileName="&amp;C199                        )
                          )</f>
        <v>https://www.appsheet.com/template/gettablefileurl?appName=APP022ParticMagnMTV2-924373673-26-05-14&amp;tableName=4.reg_fotografico&amp;fileName=4.reg_fotografico_Images/c53cf980.imagen.234612.jpg</v>
      </c>
      <c r="F199" s="54" t="str">
        <f t="shared" si="1"/>
        <v/>
      </c>
    </row>
    <row r="200" ht="22.5" customHeight="1">
      <c r="A200" s="36" t="s">
        <v>2909</v>
      </c>
      <c r="B200" s="36" t="s">
        <v>1340</v>
      </c>
      <c r="C200" s="36" t="s">
        <v>2910</v>
      </c>
      <c r="D200" s="36" t="s">
        <v>2904</v>
      </c>
      <c r="E200" s="74" t="str">
        <f t="array" ref="E200">IF(
                C200 = "",
                "",
                       IF(
                           C200 ="FOTOGRAFIA",
                           "LINK",
                           "https://www.appsheet.com/template/gettablefileurl?appName=APP022ParticMagnMTV2-924373673-26-05-14&amp;tableName=4.reg_fotografico&amp;fileName="&amp;C200                        )
                          )</f>
        <v>https://www.appsheet.com/template/gettablefileurl?appName=APP022ParticMagnMTV2-924373673-26-05-14&amp;tableName=4.reg_fotografico&amp;fileName=4.reg_fotografico_Images/ddd8bd72.imagen.234615.jpg</v>
      </c>
      <c r="F200" s="54" t="str">
        <f t="shared" si="1"/>
        <v/>
      </c>
    </row>
    <row r="201" ht="22.5" customHeight="1">
      <c r="A201" s="36" t="s">
        <v>2911</v>
      </c>
      <c r="B201" s="39" t="s">
        <v>1344</v>
      </c>
      <c r="C201" s="36" t="s">
        <v>2912</v>
      </c>
      <c r="D201" s="36" t="s">
        <v>2913</v>
      </c>
      <c r="E201" s="74" t="str">
        <f t="array" ref="E201">IF(
                C201 = "",
                "",
                       IF(
                           C201 ="FOTOGRAFIA",
                           "LINK",
                           "https://www.appsheet.com/template/gettablefileurl?appName=APP022ParticMagnMTV2-924373673-26-05-14&amp;tableName=4.reg_fotografico&amp;fileName="&amp;C201                        )
                          )</f>
        <v>https://www.appsheet.com/template/gettablefileurl?appName=APP022ParticMagnMTV2-924373673-26-05-14&amp;tableName=4.reg_fotografico&amp;fileName=4.reg_fotografico_Images/f09672b8.imagen.234618.jpg</v>
      </c>
      <c r="F201" s="54" t="str">
        <f t="shared" si="1"/>
        <v/>
      </c>
    </row>
    <row r="202" ht="22.5" customHeight="1">
      <c r="A202" s="36" t="s">
        <v>2914</v>
      </c>
      <c r="B202" s="36" t="s">
        <v>1347</v>
      </c>
      <c r="C202" s="36" t="s">
        <v>2915</v>
      </c>
      <c r="D202" s="36" t="s">
        <v>2916</v>
      </c>
      <c r="E202" s="74" t="str">
        <f t="array" ref="E202">IF(
                C202 = "",
                "",
                       IF(
                           C202 ="FOTOGRAFIA",
                           "LINK",
                           "https://www.appsheet.com/template/gettablefileurl?appName=APP022ParticMagnMTV2-924373673-26-05-14&amp;tableName=4.reg_fotografico&amp;fileName="&amp;C202                        )
                          )</f>
        <v>https://www.appsheet.com/template/gettablefileurl?appName=APP022ParticMagnMTV2-924373673-26-05-14&amp;tableName=4.reg_fotografico&amp;fileName=4.reg_fotografico_Images/b9459f2f.imagen.151859.jpg</v>
      </c>
      <c r="F202" s="54" t="str">
        <f t="shared" si="1"/>
        <v/>
      </c>
    </row>
    <row r="203" ht="22.5" customHeight="1">
      <c r="A203" s="36" t="s">
        <v>2917</v>
      </c>
      <c r="B203" s="36" t="s">
        <v>1351</v>
      </c>
      <c r="C203" s="36" t="s">
        <v>2918</v>
      </c>
      <c r="D203" s="36" t="s">
        <v>2919</v>
      </c>
      <c r="E203" s="74" t="str">
        <f t="array" ref="E203">IF(
                C203 = "",
                "",
                       IF(
                           C203 ="FOTOGRAFIA",
                           "LINK",
                           "https://www.appsheet.com/template/gettablefileurl?appName=APP022ParticMagnMTV2-924373673-26-05-14&amp;tableName=4.reg_fotografico&amp;fileName="&amp;C203                        )
                          )</f>
        <v>https://www.appsheet.com/template/gettablefileurl?appName=APP022ParticMagnMTV2-924373673-26-05-14&amp;tableName=4.reg_fotografico&amp;fileName=4.reg_fotografico_Images/8ae7e510.imagen.151903.jpg</v>
      </c>
      <c r="F203" s="54" t="str">
        <f t="shared" si="1"/>
        <v/>
      </c>
    </row>
    <row r="204" ht="22.5" customHeight="1">
      <c r="A204" s="36" t="s">
        <v>2920</v>
      </c>
      <c r="B204" s="36" t="s">
        <v>1354</v>
      </c>
      <c r="C204" s="36" t="s">
        <v>2921</v>
      </c>
      <c r="D204" s="36" t="s">
        <v>2922</v>
      </c>
      <c r="E204" s="74" t="str">
        <f t="array" ref="E204">IF(
                C204 = "",
                "",
                       IF(
                           C204 ="FOTOGRAFIA",
                           "LINK",
                           "https://www.appsheet.com/template/gettablefileurl?appName=APP022ParticMagnMTV2-924373673-26-05-14&amp;tableName=4.reg_fotografico&amp;fileName="&amp;C204                        )
                          )</f>
        <v>https://www.appsheet.com/template/gettablefileurl?appName=APP022ParticMagnMTV2-924373673-26-05-14&amp;tableName=4.reg_fotografico&amp;fileName=4.reg_fotografico_Images/6bb13907.imagen.190845.jpg</v>
      </c>
      <c r="F204" s="54" t="str">
        <f t="shared" si="1"/>
        <v/>
      </c>
    </row>
    <row r="205" ht="22.5" customHeight="1">
      <c r="A205" s="36" t="s">
        <v>2923</v>
      </c>
      <c r="B205" s="36" t="s">
        <v>1372</v>
      </c>
      <c r="C205" s="36" t="s">
        <v>2924</v>
      </c>
      <c r="D205" s="36" t="s">
        <v>2925</v>
      </c>
      <c r="E205" s="74" t="str">
        <f t="array" ref="E205">IF(
                C205 = "",
                "",
                       IF(
                           C205 ="FOTOGRAFIA",
                           "LINK",
                           "https://www.appsheet.com/template/gettablefileurl?appName=APP022ParticMagnMTV2-924373673-26-05-14&amp;tableName=4.reg_fotografico&amp;fileName="&amp;C205                        )
                          )</f>
        <v>https://www.appsheet.com/template/gettablefileurl?appName=APP022ParticMagnMTV2-924373673-26-05-14&amp;tableName=4.reg_fotografico&amp;fileName=4.reg_fotografico_Images/5f106fcc.imagen.162420.jpg</v>
      </c>
      <c r="F205" s="54" t="str">
        <f t="shared" si="1"/>
        <v/>
      </c>
    </row>
    <row r="206" ht="22.5" customHeight="1">
      <c r="A206" s="36" t="s">
        <v>2926</v>
      </c>
      <c r="B206" s="36" t="s">
        <v>1387</v>
      </c>
      <c r="C206" s="36" t="s">
        <v>2927</v>
      </c>
      <c r="D206" s="36" t="s">
        <v>2928</v>
      </c>
      <c r="E206" s="74" t="str">
        <f t="array" ref="E206">IF(
                C206 = "",
                "",
                       IF(
                           C206 ="FOTOGRAFIA",
                           "LINK",
                           "https://www.appsheet.com/template/gettablefileurl?appName=APP022ParticMagnMTV2-924373673-26-05-14&amp;tableName=4.reg_fotografico&amp;fileName="&amp;C206                        )
                          )</f>
        <v>https://www.appsheet.com/template/gettablefileurl?appName=APP022ParticMagnMTV2-924373673-26-05-14&amp;tableName=4.reg_fotografico&amp;fileName=4.reg_fotografico_Images/e08e0746.imagen.162423.jpg</v>
      </c>
      <c r="F206" s="54" t="str">
        <f t="shared" si="1"/>
        <v/>
      </c>
    </row>
    <row r="207" ht="22.5" customHeight="1">
      <c r="A207" s="36" t="s">
        <v>2929</v>
      </c>
      <c r="B207" s="36" t="s">
        <v>1359</v>
      </c>
      <c r="C207" s="36" t="s">
        <v>2930</v>
      </c>
      <c r="D207" s="36" t="s">
        <v>2931</v>
      </c>
      <c r="E207" s="74" t="str">
        <f t="array" ref="E207">IF(
                C207 = "",
                "",
                       IF(
                           C207 ="FOTOGRAFIA",
                           "LINK",
                           "https://www.appsheet.com/template/gettablefileurl?appName=APP022ParticMagnMTV2-924373673-26-05-14&amp;tableName=4.reg_fotografico&amp;fileName="&amp;C207                        )
                          )</f>
        <v>https://www.appsheet.com/template/gettablefileurl?appName=APP022ParticMagnMTV2-924373673-26-05-14&amp;tableName=4.reg_fotografico&amp;fileName=4.reg_fotografico_Images/b43deabd.imagen.162428.jpg</v>
      </c>
      <c r="F207" s="54" t="str">
        <f t="shared" si="1"/>
        <v/>
      </c>
    </row>
    <row r="208" ht="22.5" customHeight="1">
      <c r="A208" s="36" t="s">
        <v>2932</v>
      </c>
      <c r="B208" s="36" t="s">
        <v>1364</v>
      </c>
      <c r="C208" s="36" t="s">
        <v>2933</v>
      </c>
      <c r="D208" s="36" t="s">
        <v>2934</v>
      </c>
      <c r="E208" s="74" t="str">
        <f t="array" ref="E208">IF(
                C208 = "",
                "",
                       IF(
                           C208 ="FOTOGRAFIA",
                           "LINK",
                           "https://www.appsheet.com/template/gettablefileurl?appName=APP022ParticMagnMTV2-924373673-26-05-14&amp;tableName=4.reg_fotografico&amp;fileName="&amp;C208                        )
                          )</f>
        <v>https://www.appsheet.com/template/gettablefileurl?appName=APP022ParticMagnMTV2-924373673-26-05-14&amp;tableName=4.reg_fotografico&amp;fileName=4.reg_fotografico_Images/afc97f13.imagen.162432.jpg</v>
      </c>
      <c r="F208" s="54" t="str">
        <f t="shared" si="1"/>
        <v/>
      </c>
    </row>
    <row r="209" ht="22.5" customHeight="1">
      <c r="A209" s="39" t="s">
        <v>2935</v>
      </c>
      <c r="B209" s="36" t="s">
        <v>1379</v>
      </c>
      <c r="C209" s="36" t="s">
        <v>2936</v>
      </c>
      <c r="D209" s="36" t="s">
        <v>2937</v>
      </c>
      <c r="E209" s="74" t="str">
        <f t="array" ref="E209">IF(
                C209 = "",
                "",
                       IF(
                           C209 ="FOTOGRAFIA",
                           "LINK",
                           "https://www.appsheet.com/template/gettablefileurl?appName=APP022ParticMagnMTV2-924373673-26-05-14&amp;tableName=4.reg_fotografico&amp;fileName="&amp;C209                        )
                          )</f>
        <v>https://www.appsheet.com/template/gettablefileurl?appName=APP022ParticMagnMTV2-924373673-26-05-14&amp;tableName=4.reg_fotografico&amp;fileName=4.reg_fotografico_Images/59972123.imagen.162436.jpg</v>
      </c>
      <c r="F209" s="54" t="str">
        <f t="shared" si="1"/>
        <v/>
      </c>
    </row>
    <row r="210" ht="22.5" customHeight="1">
      <c r="A210" s="36" t="s">
        <v>2938</v>
      </c>
      <c r="B210" s="36" t="s">
        <v>1384</v>
      </c>
      <c r="C210" s="36" t="s">
        <v>2939</v>
      </c>
      <c r="D210" s="36" t="s">
        <v>2940</v>
      </c>
      <c r="E210" s="74" t="str">
        <f t="array" ref="E210">IF(
                C210 = "",
                "",
                       IF(
                           C210 ="FOTOGRAFIA",
                           "LINK",
                           "https://www.appsheet.com/template/gettablefileurl?appName=APP022ParticMagnMTV2-924373673-26-05-14&amp;tableName=4.reg_fotografico&amp;fileName="&amp;C210                        )
                          )</f>
        <v>https://www.appsheet.com/template/gettablefileurl?appName=APP022ParticMagnMTV2-924373673-26-05-14&amp;tableName=4.reg_fotografico&amp;fileName=4.reg_fotografico_Images/36f2862a.imagen.162440.jpg</v>
      </c>
      <c r="F210" s="54" t="str">
        <f t="shared" si="1"/>
        <v/>
      </c>
    </row>
    <row r="211" ht="22.5" customHeight="1">
      <c r="A211" s="36" t="s">
        <v>2941</v>
      </c>
      <c r="B211" s="36" t="s">
        <v>1375</v>
      </c>
      <c r="C211" s="36" t="s">
        <v>2942</v>
      </c>
      <c r="D211" s="36" t="s">
        <v>2943</v>
      </c>
      <c r="E211" s="74" t="str">
        <f t="array" ref="E211">IF(
                C211 = "",
                "",
                       IF(
                           C211 ="FOTOGRAFIA",
                           "LINK",
                           "https://www.appsheet.com/template/gettablefileurl?appName=APP022ParticMagnMTV2-924373673-26-05-14&amp;tableName=4.reg_fotografico&amp;fileName="&amp;C211                        )
                          )</f>
        <v>https://www.appsheet.com/template/gettablefileurl?appName=APP022ParticMagnMTV2-924373673-26-05-14&amp;tableName=4.reg_fotografico&amp;fileName=4.reg_fotografico_Images/dcf70ab3.imagen.162444.jpg</v>
      </c>
      <c r="F211" s="54" t="str">
        <f t="shared" si="1"/>
        <v/>
      </c>
    </row>
    <row r="212" ht="22.5" customHeight="1">
      <c r="A212" s="36" t="s">
        <v>2944</v>
      </c>
      <c r="B212" s="36" t="s">
        <v>1368</v>
      </c>
      <c r="C212" s="36" t="s">
        <v>2945</v>
      </c>
      <c r="D212" s="36" t="s">
        <v>2946</v>
      </c>
      <c r="E212" s="74" t="str">
        <f t="array" ref="E212">IF(
                C212 = "",
                "",
                       IF(
                           C212 ="FOTOGRAFIA",
                           "LINK",
                           "https://www.appsheet.com/template/gettablefileurl?appName=APP022ParticMagnMTV2-924373673-26-05-14&amp;tableName=4.reg_fotografico&amp;fileName="&amp;C212                        )
                          )</f>
        <v>https://www.appsheet.com/template/gettablefileurl?appName=APP022ParticMagnMTV2-924373673-26-05-14&amp;tableName=4.reg_fotografico&amp;fileName=4.reg_fotografico_Images/df5678b5.imagen.162448.jpg</v>
      </c>
      <c r="F212" s="54" t="str">
        <f t="shared" si="1"/>
        <v/>
      </c>
    </row>
    <row r="213" ht="22.5" customHeight="1">
      <c r="A213" s="36" t="s">
        <v>2947</v>
      </c>
      <c r="B213" s="36" t="s">
        <v>1382</v>
      </c>
      <c r="C213" s="36" t="s">
        <v>2948</v>
      </c>
      <c r="D213" s="36" t="s">
        <v>2949</v>
      </c>
      <c r="E213" s="74" t="str">
        <f t="array" ref="E213">IF(
                C213 = "",
                "",
                       IF(
                           C213 ="FOTOGRAFIA",
                           "LINK",
                           "https://www.appsheet.com/template/gettablefileurl?appName=APP022ParticMagnMTV2-924373673-26-05-14&amp;tableName=4.reg_fotografico&amp;fileName="&amp;C213                        )
                          )</f>
        <v>https://www.appsheet.com/template/gettablefileurl?appName=APP022ParticMagnMTV2-924373673-26-05-14&amp;tableName=4.reg_fotografico&amp;fileName=4.reg_fotografico_Images/01f2a14e.imagen.162748.jpg</v>
      </c>
      <c r="F213" s="54" t="str">
        <f t="shared" si="1"/>
        <v/>
      </c>
    </row>
    <row r="214" ht="22.5" customHeight="1">
      <c r="A214" s="36" t="s">
        <v>2950</v>
      </c>
      <c r="B214" s="36" t="s">
        <v>1390</v>
      </c>
      <c r="C214" s="36" t="s">
        <v>2951</v>
      </c>
      <c r="D214" s="36" t="s">
        <v>2952</v>
      </c>
      <c r="E214" s="74" t="str">
        <f t="array" ref="E214">IF(
                C214 = "",
                "",
                       IF(
                           C214 ="FOTOGRAFIA",
                           "LINK",
                           "https://www.appsheet.com/template/gettablefileurl?appName=APP022ParticMagnMTV2-924373673-26-05-14&amp;tableName=4.reg_fotografico&amp;fileName="&amp;C214                        )
                          )</f>
        <v>https://www.appsheet.com/template/gettablefileurl?appName=APP022ParticMagnMTV2-924373673-26-05-14&amp;tableName=4.reg_fotografico&amp;fileName=4.reg_fotografico_Images/e1cf1729.imagen.202215.jpg</v>
      </c>
      <c r="F214" s="54" t="str">
        <f t="shared" ref="F214:F396" si="2">map(E214, lambda(url, image(url,1)))</f>
        <v/>
      </c>
    </row>
    <row r="215" ht="22.5" customHeight="1">
      <c r="A215" s="36" t="s">
        <v>2953</v>
      </c>
      <c r="B215" s="36" t="s">
        <v>1398</v>
      </c>
      <c r="C215" s="36" t="s">
        <v>2954</v>
      </c>
      <c r="D215" s="36" t="s">
        <v>2955</v>
      </c>
      <c r="E215" s="74" t="str">
        <f t="array" ref="E215">IF(
                C215 = "",
                "",
                       IF(
                           C215 ="FOTOGRAFIA",
                           "LINK",
                           "https://www.appsheet.com/template/gettablefileurl?appName=APP022ParticMagnMTV2-924373673-26-05-14&amp;tableName=4.reg_fotografico&amp;fileName="&amp;C215                        )
                          )</f>
        <v>https://www.appsheet.com/template/gettablefileurl?appName=APP022ParticMagnMTV2-924373673-26-05-14&amp;tableName=4.reg_fotografico&amp;fileName=4.reg_fotografico_Images/8f303851.imagen.202219.jpg</v>
      </c>
      <c r="F215" s="54" t="str">
        <f t="shared" si="2"/>
        <v/>
      </c>
    </row>
    <row r="216" ht="22.5" customHeight="1">
      <c r="A216" s="36" t="s">
        <v>2956</v>
      </c>
      <c r="B216" s="36" t="s">
        <v>1394</v>
      </c>
      <c r="C216" s="36" t="s">
        <v>2957</v>
      </c>
      <c r="D216" s="36" t="s">
        <v>2958</v>
      </c>
      <c r="E216" s="74" t="str">
        <f t="array" ref="E216">IF(
                C216 = "",
                "",
                       IF(
                           C216 ="FOTOGRAFIA",
                           "LINK",
                           "https://www.appsheet.com/template/gettablefileurl?appName=APP022ParticMagnMTV2-924373673-26-05-14&amp;tableName=4.reg_fotografico&amp;fileName="&amp;C216                        )
                          )</f>
        <v>https://www.appsheet.com/template/gettablefileurl?appName=APP022ParticMagnMTV2-924373673-26-05-14&amp;tableName=4.reg_fotografico&amp;fileName=4.reg_fotografico_Images/a4e8036f.imagen.202223.jpg</v>
      </c>
      <c r="F216" s="54" t="str">
        <f t="shared" si="2"/>
        <v/>
      </c>
    </row>
    <row r="217" ht="22.5" customHeight="1">
      <c r="A217" s="36" t="s">
        <v>2959</v>
      </c>
      <c r="B217" s="36" t="s">
        <v>1402</v>
      </c>
      <c r="C217" s="36" t="s">
        <v>2960</v>
      </c>
      <c r="D217" s="36" t="s">
        <v>2961</v>
      </c>
      <c r="E217" s="74" t="str">
        <f t="array" ref="E217">IF(
                C217 = "",
                "",
                       IF(
                           C217 ="FOTOGRAFIA",
                           "LINK",
                           "https://www.appsheet.com/template/gettablefileurl?appName=APP022ParticMagnMTV2-924373673-26-05-14&amp;tableName=4.reg_fotografico&amp;fileName="&amp;C217                        )
                          )</f>
        <v>https://www.appsheet.com/template/gettablefileurl?appName=APP022ParticMagnMTV2-924373673-26-05-14&amp;tableName=4.reg_fotografico&amp;fileName=4.reg_fotografico_Images/dce28762.imagen.202226.jpg</v>
      </c>
      <c r="F217" s="54" t="str">
        <f t="shared" si="2"/>
        <v/>
      </c>
    </row>
    <row r="218" ht="22.5" customHeight="1">
      <c r="A218" s="36" t="s">
        <v>2962</v>
      </c>
      <c r="B218" s="36" t="s">
        <v>1406</v>
      </c>
      <c r="C218" s="36" t="s">
        <v>2963</v>
      </c>
      <c r="D218" s="36" t="s">
        <v>2964</v>
      </c>
      <c r="E218" s="74" t="str">
        <f t="array" ref="E218">IF(
                C218 = "",
                "",
                       IF(
                           C218 ="FOTOGRAFIA",
                           "LINK",
                           "https://www.appsheet.com/template/gettablefileurl?appName=APP022ParticMagnMTV2-924373673-26-05-14&amp;tableName=4.reg_fotografico&amp;fileName="&amp;C218                        )
                          )</f>
        <v>https://www.appsheet.com/template/gettablefileurl?appName=APP022ParticMagnMTV2-924373673-26-05-14&amp;tableName=4.reg_fotografico&amp;fileName=4.reg_fotografico_Images/ecff98ed.imagen.202230.jpg</v>
      </c>
      <c r="F218" s="54" t="str">
        <f t="shared" si="2"/>
        <v/>
      </c>
    </row>
    <row r="219" ht="22.5" customHeight="1">
      <c r="A219" s="36" t="s">
        <v>2965</v>
      </c>
      <c r="B219" s="36" t="s">
        <v>1406</v>
      </c>
      <c r="C219" s="36" t="s">
        <v>2966</v>
      </c>
      <c r="D219" s="36" t="s">
        <v>2964</v>
      </c>
      <c r="E219" s="74" t="str">
        <f t="array" ref="E219">IF(
                C219 = "",
                "",
                       IF(
                           C219 ="FOTOGRAFIA",
                           "LINK",
                           "https://www.appsheet.com/template/gettablefileurl?appName=APP022ParticMagnMTV2-924373673-26-05-14&amp;tableName=4.reg_fotografico&amp;fileName="&amp;C219                        )
                          )</f>
        <v>https://www.appsheet.com/template/gettablefileurl?appName=APP022ParticMagnMTV2-924373673-26-05-14&amp;tableName=4.reg_fotografico&amp;fileName=4.reg_fotografico_Images/cb686e55.imagen.213259.jpg</v>
      </c>
      <c r="F219" s="54" t="str">
        <f t="shared" si="2"/>
        <v/>
      </c>
    </row>
    <row r="220" ht="22.5" customHeight="1">
      <c r="A220" s="36" t="s">
        <v>2967</v>
      </c>
      <c r="B220" s="36" t="s">
        <v>1411</v>
      </c>
      <c r="C220" s="36" t="s">
        <v>2968</v>
      </c>
      <c r="D220" s="36" t="s">
        <v>2969</v>
      </c>
      <c r="E220" s="74" t="str">
        <f t="array" ref="E220">IF(
                C220 = "",
                "",
                       IF(
                           C220 ="FOTOGRAFIA",
                           "LINK",
                           "https://www.appsheet.com/template/gettablefileurl?appName=APP022ParticMagnMTV2-924373673-26-05-14&amp;tableName=4.reg_fotografico&amp;fileName="&amp;C220                        )
                          )</f>
        <v>https://www.appsheet.com/template/gettablefileurl?appName=APP022ParticMagnMTV2-924373673-26-05-14&amp;tableName=4.reg_fotografico&amp;fileName=4.reg_fotografico_Images/04fc48c9.imagen.142103.jpg</v>
      </c>
      <c r="F220" s="54" t="str">
        <f t="shared" si="2"/>
        <v/>
      </c>
    </row>
    <row r="221" ht="22.5" customHeight="1">
      <c r="A221" s="36" t="s">
        <v>2970</v>
      </c>
      <c r="B221" s="36" t="s">
        <v>1415</v>
      </c>
      <c r="C221" s="36" t="s">
        <v>2971</v>
      </c>
      <c r="D221" s="36" t="s">
        <v>2972</v>
      </c>
      <c r="E221" s="74" t="str">
        <f t="array" ref="E221">IF(
                C221 = "",
                "",
                       IF(
                           C221 ="FOTOGRAFIA",
                           "LINK",
                           "https://www.appsheet.com/template/gettablefileurl?appName=APP022ParticMagnMTV2-924373673-26-05-14&amp;tableName=4.reg_fotografico&amp;fileName="&amp;C221                        )
                          )</f>
        <v>https://www.appsheet.com/template/gettablefileurl?appName=APP022ParticMagnMTV2-924373673-26-05-14&amp;tableName=4.reg_fotografico&amp;fileName=4.reg_fotografico_Images/7541e2ee.imagen.142107.jpg</v>
      </c>
      <c r="F221" s="54" t="str">
        <f t="shared" si="2"/>
        <v/>
      </c>
    </row>
    <row r="222" ht="22.5" customHeight="1">
      <c r="A222" s="36" t="s">
        <v>2973</v>
      </c>
      <c r="B222" s="36" t="s">
        <v>1419</v>
      </c>
      <c r="C222" s="36" t="s">
        <v>2974</v>
      </c>
      <c r="D222" s="36" t="s">
        <v>2975</v>
      </c>
      <c r="E222" s="74" t="str">
        <f t="array" ref="E222">IF(
                C222 = "",
                "",
                       IF(
                           C222 ="FOTOGRAFIA",
                           "LINK",
                           "https://www.appsheet.com/template/gettablefileurl?appName=APP022ParticMagnMTV2-924373673-26-05-14&amp;tableName=4.reg_fotografico&amp;fileName="&amp;C222                        )
                          )</f>
        <v>https://www.appsheet.com/template/gettablefileurl?appName=APP022ParticMagnMTV2-924373673-26-05-14&amp;tableName=4.reg_fotografico&amp;fileName=4.reg_fotografico_Images/65bd3621.imagen.142111.jpg</v>
      </c>
      <c r="F222" s="54" t="str">
        <f t="shared" si="2"/>
        <v/>
      </c>
    </row>
    <row r="223" ht="22.5" customHeight="1">
      <c r="A223" s="36" t="s">
        <v>2976</v>
      </c>
      <c r="B223" s="36" t="s">
        <v>1422</v>
      </c>
      <c r="C223" s="36" t="s">
        <v>2977</v>
      </c>
      <c r="D223" s="36" t="s">
        <v>2978</v>
      </c>
      <c r="E223" s="74" t="str">
        <f t="array" ref="E223">IF(
                C223 = "",
                "",
                       IF(
                           C223 ="FOTOGRAFIA",
                           "LINK",
                           "https://www.appsheet.com/template/gettablefileurl?appName=APP022ParticMagnMTV2-924373673-26-05-14&amp;tableName=4.reg_fotografico&amp;fileName="&amp;C223                        )
                          )</f>
        <v>https://www.appsheet.com/template/gettablefileurl?appName=APP022ParticMagnMTV2-924373673-26-05-14&amp;tableName=4.reg_fotografico&amp;fileName=4.reg_fotografico_Images/4e22acad.imagen.142115.jpg</v>
      </c>
      <c r="F223" s="54" t="str">
        <f t="shared" si="2"/>
        <v/>
      </c>
    </row>
    <row r="224" ht="22.5" customHeight="1">
      <c r="A224" s="36" t="s">
        <v>2979</v>
      </c>
      <c r="B224" s="36" t="s">
        <v>1425</v>
      </c>
      <c r="C224" s="36" t="s">
        <v>2980</v>
      </c>
      <c r="D224" s="36" t="s">
        <v>2981</v>
      </c>
      <c r="E224" s="74" t="str">
        <f t="array" ref="E224">IF(
                C224 = "",
                "",
                       IF(
                           C224 ="FOTOGRAFIA",
                           "LINK",
                           "https://www.appsheet.com/template/gettablefileurl?appName=APP022ParticMagnMTV2-924373673-26-05-14&amp;tableName=4.reg_fotografico&amp;fileName="&amp;C224                        )
                          )</f>
        <v>https://www.appsheet.com/template/gettablefileurl?appName=APP022ParticMagnMTV2-924373673-26-05-14&amp;tableName=4.reg_fotografico&amp;fileName=4.reg_fotografico_Images/88e98fc6.imagen.142119.jpg</v>
      </c>
      <c r="F224" s="54" t="str">
        <f t="shared" si="2"/>
        <v/>
      </c>
    </row>
    <row r="225" ht="22.5" customHeight="1">
      <c r="A225" s="36" t="s">
        <v>2982</v>
      </c>
      <c r="B225" s="36" t="s">
        <v>1428</v>
      </c>
      <c r="C225" s="36" t="s">
        <v>2983</v>
      </c>
      <c r="D225" s="36" t="s">
        <v>2984</v>
      </c>
      <c r="E225" s="74" t="str">
        <f t="array" ref="E225">IF(
                C225 = "",
                "",
                       IF(
                           C225 ="FOTOGRAFIA",
                           "LINK",
                           "https://www.appsheet.com/template/gettablefileurl?appName=APP022ParticMagnMTV2-924373673-26-05-14&amp;tableName=4.reg_fotografico&amp;fileName="&amp;C225                        )
                          )</f>
        <v>https://www.appsheet.com/template/gettablefileurl?appName=APP022ParticMagnMTV2-924373673-26-05-14&amp;tableName=4.reg_fotografico&amp;fileName=4.reg_fotografico_Images/4e28cb9d.imagen.142122.jpg</v>
      </c>
      <c r="F225" s="54" t="str">
        <f t="shared" si="2"/>
        <v/>
      </c>
    </row>
    <row r="226" ht="22.5" customHeight="1">
      <c r="A226" s="36" t="s">
        <v>2985</v>
      </c>
      <c r="B226" s="36" t="s">
        <v>1431</v>
      </c>
      <c r="C226" s="36" t="s">
        <v>2986</v>
      </c>
      <c r="D226" s="36" t="s">
        <v>2987</v>
      </c>
      <c r="E226" s="74" t="str">
        <f t="array" ref="E226">IF(
                C226 = "",
                "",
                       IF(
                           C226 ="FOTOGRAFIA",
                           "LINK",
                           "https://www.appsheet.com/template/gettablefileurl?appName=APP022ParticMagnMTV2-924373673-26-05-14&amp;tableName=4.reg_fotografico&amp;fileName="&amp;C226                        )
                          )</f>
        <v>https://www.appsheet.com/template/gettablefileurl?appName=APP022ParticMagnMTV2-924373673-26-05-14&amp;tableName=4.reg_fotografico&amp;fileName=4.reg_fotografico_Images/c80168d3.imagen.142127.jpg</v>
      </c>
      <c r="F226" s="54" t="str">
        <f t="shared" si="2"/>
        <v/>
      </c>
    </row>
    <row r="227" ht="22.5" customHeight="1">
      <c r="A227" s="36" t="s">
        <v>2988</v>
      </c>
      <c r="B227" s="36" t="s">
        <v>1434</v>
      </c>
      <c r="C227" s="36" t="s">
        <v>2989</v>
      </c>
      <c r="D227" s="36" t="s">
        <v>2990</v>
      </c>
      <c r="E227" s="74" t="str">
        <f t="array" ref="E227">IF(
                C227 = "",
                "",
                       IF(
                           C227 ="FOTOGRAFIA",
                           "LINK",
                           "https://www.appsheet.com/template/gettablefileurl?appName=APP022ParticMagnMTV2-924373673-26-05-14&amp;tableName=4.reg_fotografico&amp;fileName="&amp;C227                        )
                          )</f>
        <v>https://www.appsheet.com/template/gettablefileurl?appName=APP022ParticMagnMTV2-924373673-26-05-14&amp;tableName=4.reg_fotografico&amp;fileName=4.reg_fotografico_Images/21758d86.imagen.142129.jpg</v>
      </c>
      <c r="F227" s="54" t="str">
        <f t="shared" si="2"/>
        <v/>
      </c>
    </row>
    <row r="228" ht="22.5" customHeight="1">
      <c r="A228" s="36" t="s">
        <v>2991</v>
      </c>
      <c r="B228" s="36" t="s">
        <v>1437</v>
      </c>
      <c r="C228" s="36" t="s">
        <v>2992</v>
      </c>
      <c r="D228" s="36" t="s">
        <v>2993</v>
      </c>
      <c r="E228" s="74" t="str">
        <f t="array" ref="E228">IF(
                C228 = "",
                "",
                       IF(
                           C228 ="FOTOGRAFIA",
                           "LINK",
                           "https://www.appsheet.com/template/gettablefileurl?appName=APP022ParticMagnMTV2-924373673-26-05-14&amp;tableName=4.reg_fotografico&amp;fileName="&amp;C228                        )
                          )</f>
        <v>https://www.appsheet.com/template/gettablefileurl?appName=APP022ParticMagnMTV2-924373673-26-05-14&amp;tableName=4.reg_fotografico&amp;fileName=4.reg_fotografico_Images/09da4d2c.imagen.142133.jpg</v>
      </c>
      <c r="F228" s="54" t="str">
        <f t="shared" si="2"/>
        <v/>
      </c>
    </row>
    <row r="229" ht="22.5" customHeight="1">
      <c r="A229" s="36" t="s">
        <v>2994</v>
      </c>
      <c r="B229" s="39" t="s">
        <v>1441</v>
      </c>
      <c r="C229" s="36" t="s">
        <v>2995</v>
      </c>
      <c r="D229" s="36" t="s">
        <v>2996</v>
      </c>
      <c r="E229" s="74" t="str">
        <f t="array" ref="E229">IF(
                C229 = "",
                "",
                       IF(
                           C229 ="FOTOGRAFIA",
                           "LINK",
                           "https://www.appsheet.com/template/gettablefileurl?appName=APP022ParticMagnMTV2-924373673-26-05-14&amp;tableName=4.reg_fotografico&amp;fileName="&amp;C229                        )
                          )</f>
        <v>https://www.appsheet.com/template/gettablefileurl?appName=APP022ParticMagnMTV2-924373673-26-05-14&amp;tableName=4.reg_fotografico&amp;fileName=4.reg_fotografico_Images/9716605a.imagen.142136.jpg</v>
      </c>
      <c r="F229" s="54" t="str">
        <f t="shared" si="2"/>
        <v/>
      </c>
    </row>
    <row r="230" ht="22.5" customHeight="1">
      <c r="A230" s="36" t="s">
        <v>2997</v>
      </c>
      <c r="B230" s="36" t="s">
        <v>1444</v>
      </c>
      <c r="C230" s="36" t="s">
        <v>2998</v>
      </c>
      <c r="D230" s="36" t="s">
        <v>2999</v>
      </c>
      <c r="E230" s="74" t="str">
        <f t="array" ref="E230">IF(
                C230 = "",
                "",
                       IF(
                           C230 ="FOTOGRAFIA",
                           "LINK",
                           "https://www.appsheet.com/template/gettablefileurl?appName=APP022ParticMagnMTV2-924373673-26-05-14&amp;tableName=4.reg_fotografico&amp;fileName="&amp;C230                        )
                          )</f>
        <v>https://www.appsheet.com/template/gettablefileurl?appName=APP022ParticMagnMTV2-924373673-26-05-14&amp;tableName=4.reg_fotografico&amp;fileName=4.reg_fotografico_Images/45b31027.imagen.142139.jpg</v>
      </c>
      <c r="F230" s="54" t="str">
        <f t="shared" si="2"/>
        <v/>
      </c>
    </row>
    <row r="231" ht="22.5" customHeight="1">
      <c r="A231" s="36" t="s">
        <v>3000</v>
      </c>
      <c r="B231" s="36" t="s">
        <v>1448</v>
      </c>
      <c r="C231" s="36" t="s">
        <v>3001</v>
      </c>
      <c r="D231" s="36" t="s">
        <v>3002</v>
      </c>
      <c r="E231" s="74" t="str">
        <f t="array" ref="E231">IF(
                C231 = "",
                "",
                       IF(
                           C231 ="FOTOGRAFIA",
                           "LINK",
                           "https://www.appsheet.com/template/gettablefileurl?appName=APP022ParticMagnMTV2-924373673-26-05-14&amp;tableName=4.reg_fotografico&amp;fileName="&amp;C231                        )
                          )</f>
        <v>https://www.appsheet.com/template/gettablefileurl?appName=APP022ParticMagnMTV2-924373673-26-05-14&amp;tableName=4.reg_fotografico&amp;fileName=4.reg_fotografico_Images/2e8d4df1.imagen.144636.jpg</v>
      </c>
      <c r="F231" s="54" t="str">
        <f t="shared" si="2"/>
        <v/>
      </c>
    </row>
    <row r="232" ht="22.5" customHeight="1">
      <c r="A232" s="36" t="s">
        <v>3003</v>
      </c>
      <c r="B232" s="36" t="s">
        <v>1451</v>
      </c>
      <c r="C232" s="36" t="s">
        <v>3004</v>
      </c>
      <c r="D232" s="36" t="s">
        <v>3005</v>
      </c>
      <c r="E232" s="74" t="str">
        <f t="array" ref="E232">IF(
                C232 = "",
                "",
                       IF(
                           C232 ="FOTOGRAFIA",
                           "LINK",
                           "https://www.appsheet.com/template/gettablefileurl?appName=APP022ParticMagnMTV2-924373673-26-05-14&amp;tableName=4.reg_fotografico&amp;fileName="&amp;C232                        )
                          )</f>
        <v>https://www.appsheet.com/template/gettablefileurl?appName=APP022ParticMagnMTV2-924373673-26-05-14&amp;tableName=4.reg_fotografico&amp;fileName=4.reg_fotografico_Images/fab392ac.imagen.144644.jpg</v>
      </c>
      <c r="F232" s="54" t="str">
        <f t="shared" si="2"/>
        <v/>
      </c>
    </row>
    <row r="233" ht="22.5" customHeight="1">
      <c r="A233" s="36" t="s">
        <v>3006</v>
      </c>
      <c r="B233" s="36" t="s">
        <v>1454</v>
      </c>
      <c r="C233" s="36" t="s">
        <v>3007</v>
      </c>
      <c r="D233" s="36" t="s">
        <v>3008</v>
      </c>
      <c r="E233" s="74" t="str">
        <f t="array" ref="E233">IF(
                C233 = "",
                "",
                       IF(
                           C233 ="FOTOGRAFIA",
                           "LINK",
                           "https://www.appsheet.com/template/gettablefileurl?appName=APP022ParticMagnMTV2-924373673-26-05-14&amp;tableName=4.reg_fotografico&amp;fileName="&amp;C233                        )
                          )</f>
        <v>https://www.appsheet.com/template/gettablefileurl?appName=APP022ParticMagnMTV2-924373673-26-05-14&amp;tableName=4.reg_fotografico&amp;fileName=4.reg_fotografico_Images/c38e80fc.imagen.013248.jpg</v>
      </c>
      <c r="F233" s="54" t="str">
        <f t="shared" si="2"/>
        <v/>
      </c>
    </row>
    <row r="234" ht="22.5" customHeight="1">
      <c r="A234" s="36" t="s">
        <v>3009</v>
      </c>
      <c r="B234" s="36" t="s">
        <v>3010</v>
      </c>
      <c r="C234" s="36" t="s">
        <v>3011</v>
      </c>
      <c r="D234" s="36" t="s">
        <v>3012</v>
      </c>
      <c r="E234" s="74" t="str">
        <f t="array" ref="E234">IF(
                C234 = "",
                "",
                       IF(
                           C234 ="FOTOGRAFIA",
                           "LINK",
                           "https://www.appsheet.com/template/gettablefileurl?appName=APP022ParticMagnMTV2-924373673-26-05-14&amp;tableName=4.reg_fotografico&amp;fileName="&amp;C234                        )
                          )</f>
        <v>https://www.appsheet.com/template/gettablefileurl?appName=APP022ParticMagnMTV2-924373673-26-05-14&amp;tableName=4.reg_fotografico&amp;fileName=4.reg_fotografico_Images/222a27ee.imagen.013251.jpg</v>
      </c>
      <c r="F234" s="54" t="str">
        <f t="shared" si="2"/>
        <v/>
      </c>
    </row>
    <row r="235" ht="22.5" customHeight="1">
      <c r="A235" s="36" t="s">
        <v>3013</v>
      </c>
      <c r="B235" s="36" t="s">
        <v>1458</v>
      </c>
      <c r="C235" s="36" t="s">
        <v>3014</v>
      </c>
      <c r="D235" s="36" t="s">
        <v>3015</v>
      </c>
      <c r="E235" s="74" t="str">
        <f t="array" ref="E235">IF(
                C235 = "",
                "",
                       IF(
                           C235 ="FOTOGRAFIA",
                           "LINK",
                           "https://www.appsheet.com/template/gettablefileurl?appName=APP022ParticMagnMTV2-924373673-26-05-14&amp;tableName=4.reg_fotografico&amp;fileName="&amp;C235                        )
                          )</f>
        <v>https://www.appsheet.com/template/gettablefileurl?appName=APP022ParticMagnMTV2-924373673-26-05-14&amp;tableName=4.reg_fotografico&amp;fileName=4.reg_fotografico_Images/12cc4e60.imagen.013254.jpg</v>
      </c>
      <c r="F235" s="54" t="str">
        <f t="shared" si="2"/>
        <v/>
      </c>
    </row>
    <row r="236" ht="22.5" customHeight="1">
      <c r="A236" s="36" t="s">
        <v>3016</v>
      </c>
      <c r="B236" s="39" t="s">
        <v>1462</v>
      </c>
      <c r="C236" s="36" t="s">
        <v>3017</v>
      </c>
      <c r="D236" s="36" t="s">
        <v>3018</v>
      </c>
      <c r="E236" s="74" t="str">
        <f t="array" ref="E236">IF(
                C236 = "",
                "",
                       IF(
                           C236 ="FOTOGRAFIA",
                           "LINK",
                           "https://www.appsheet.com/template/gettablefileurl?appName=APP022ParticMagnMTV2-924373673-26-05-14&amp;tableName=4.reg_fotografico&amp;fileName="&amp;C236                        )
                          )</f>
        <v>https://www.appsheet.com/template/gettablefileurl?appName=APP022ParticMagnMTV2-924373673-26-05-14&amp;tableName=4.reg_fotografico&amp;fileName=4.reg_fotografico_Images/228284f5.imagen.013257.jpg</v>
      </c>
      <c r="F236" s="54" t="str">
        <f t="shared" si="2"/>
        <v/>
      </c>
    </row>
    <row r="237" ht="22.5" customHeight="1">
      <c r="A237" s="36" t="s">
        <v>3019</v>
      </c>
      <c r="B237" s="36" t="s">
        <v>1466</v>
      </c>
      <c r="C237" s="36" t="s">
        <v>3020</v>
      </c>
      <c r="D237" s="36" t="s">
        <v>3021</v>
      </c>
      <c r="E237" s="74" t="str">
        <f t="array" ref="E237">IF(
                C237 = "",
                "",
                       IF(
                           C237 ="FOTOGRAFIA",
                           "LINK",
                           "https://www.appsheet.com/template/gettablefileurl?appName=APP022ParticMagnMTV2-924373673-26-05-14&amp;tableName=4.reg_fotografico&amp;fileName="&amp;C237                        )
                          )</f>
        <v>https://www.appsheet.com/template/gettablefileurl?appName=APP022ParticMagnMTV2-924373673-26-05-14&amp;tableName=4.reg_fotografico&amp;fileName=4.reg_fotografico_Images/c5503b33.imagen.013300.jpg</v>
      </c>
      <c r="F237" s="54" t="str">
        <f t="shared" si="2"/>
        <v/>
      </c>
    </row>
    <row r="238" ht="22.5" customHeight="1">
      <c r="A238" s="36" t="s">
        <v>3022</v>
      </c>
      <c r="B238" s="36" t="s">
        <v>1470</v>
      </c>
      <c r="C238" s="36" t="s">
        <v>3023</v>
      </c>
      <c r="D238" s="36" t="s">
        <v>3024</v>
      </c>
      <c r="E238" s="74" t="str">
        <f t="array" ref="E238">IF(
                C238 = "",
                "",
                       IF(
                           C238 ="FOTOGRAFIA",
                           "LINK",
                           "https://www.appsheet.com/template/gettablefileurl?appName=APP022ParticMagnMTV2-924373673-26-05-14&amp;tableName=4.reg_fotografico&amp;fileName="&amp;C238                        )
                          )</f>
        <v>https://www.appsheet.com/template/gettablefileurl?appName=APP022ParticMagnMTV2-924373673-26-05-14&amp;tableName=4.reg_fotografico&amp;fileName=4.reg_fotografico_Images/4c355e66.imagen.014245.jpg</v>
      </c>
      <c r="F238" s="54" t="str">
        <f t="shared" si="2"/>
        <v/>
      </c>
    </row>
    <row r="239" ht="22.5" customHeight="1">
      <c r="A239" s="36" t="s">
        <v>3025</v>
      </c>
      <c r="B239" s="36" t="s">
        <v>1474</v>
      </c>
      <c r="C239" s="36" t="s">
        <v>3026</v>
      </c>
      <c r="D239" s="36" t="s">
        <v>3027</v>
      </c>
      <c r="E239" s="74" t="str">
        <f t="array" ref="E239">IF(
                C239 = "",
                "",
                       IF(
                           C239 ="FOTOGRAFIA",
                           "LINK",
                           "https://www.appsheet.com/template/gettablefileurl?appName=APP022ParticMagnMTV2-924373673-26-05-14&amp;tableName=4.reg_fotografico&amp;fileName="&amp;C239                        )
                          )</f>
        <v>https://www.appsheet.com/template/gettablefileurl?appName=APP022ParticMagnMTV2-924373673-26-05-14&amp;tableName=4.reg_fotografico&amp;fileName=4.reg_fotografico_Images/fa3cc2db.imagen.014248.jpg</v>
      </c>
      <c r="F239" s="54" t="str">
        <f t="shared" si="2"/>
        <v/>
      </c>
    </row>
    <row r="240" ht="22.5" customHeight="1">
      <c r="A240" s="36" t="s">
        <v>3028</v>
      </c>
      <c r="B240" s="36" t="s">
        <v>1478</v>
      </c>
      <c r="C240" s="36" t="s">
        <v>3029</v>
      </c>
      <c r="D240" s="36" t="s">
        <v>3030</v>
      </c>
      <c r="E240" s="74" t="str">
        <f t="array" ref="E240">IF(
                C240 = "",
                "",
                       IF(
                           C240 ="FOTOGRAFIA",
                           "LINK",
                           "https://www.appsheet.com/template/gettablefileurl?appName=APP022ParticMagnMTV2-924373673-26-05-14&amp;tableName=4.reg_fotografico&amp;fileName="&amp;C240                        )
                          )</f>
        <v>https://www.appsheet.com/template/gettablefileurl?appName=APP022ParticMagnMTV2-924373673-26-05-14&amp;tableName=4.reg_fotografico&amp;fileName=4.reg_fotografico_Images/77cd4a48.imagen.014251.jpg</v>
      </c>
      <c r="F240" s="54" t="str">
        <f t="shared" si="2"/>
        <v/>
      </c>
    </row>
    <row r="241" ht="22.5" customHeight="1">
      <c r="A241" s="36" t="s">
        <v>3031</v>
      </c>
      <c r="B241" s="36" t="s">
        <v>1482</v>
      </c>
      <c r="C241" s="36" t="s">
        <v>3032</v>
      </c>
      <c r="D241" s="36" t="s">
        <v>3033</v>
      </c>
      <c r="E241" s="74" t="str">
        <f t="array" ref="E241">IF(
                C241 = "",
                "",
                       IF(
                           C241 ="FOTOGRAFIA",
                           "LINK",
                           "https://www.appsheet.com/template/gettablefileurl?appName=APP022ParticMagnMTV2-924373673-26-05-14&amp;tableName=4.reg_fotografico&amp;fileName="&amp;C241                        )
                          )</f>
        <v>https://www.appsheet.com/template/gettablefileurl?appName=APP022ParticMagnMTV2-924373673-26-05-14&amp;tableName=4.reg_fotografico&amp;fileName=4.reg_fotografico_Images/26de4ae8.imagen.015044.jpg</v>
      </c>
      <c r="F241" s="54" t="str">
        <f t="shared" si="2"/>
        <v/>
      </c>
    </row>
    <row r="242" ht="22.5" customHeight="1">
      <c r="A242" s="36" t="s">
        <v>3034</v>
      </c>
      <c r="B242" s="36" t="s">
        <v>1485</v>
      </c>
      <c r="C242" s="36" t="s">
        <v>3035</v>
      </c>
      <c r="D242" s="36" t="s">
        <v>3036</v>
      </c>
      <c r="E242" s="74" t="str">
        <f t="array" ref="E242">IF(
                C242 = "",
                "",
                       IF(
                           C242 ="FOTOGRAFIA",
                           "LINK",
                           "https://www.appsheet.com/template/gettablefileurl?appName=APP022ParticMagnMTV2-924373673-26-05-14&amp;tableName=4.reg_fotografico&amp;fileName="&amp;C242                        )
                          )</f>
        <v>https://www.appsheet.com/template/gettablefileurl?appName=APP022ParticMagnMTV2-924373673-26-05-14&amp;tableName=4.reg_fotografico&amp;fileName=4.reg_fotografico_Images/7791d896.imagen.015047.jpg</v>
      </c>
      <c r="F242" s="54" t="str">
        <f t="shared" si="2"/>
        <v/>
      </c>
    </row>
    <row r="243" ht="22.5" customHeight="1">
      <c r="A243" s="36" t="s">
        <v>3037</v>
      </c>
      <c r="B243" s="36" t="s">
        <v>1497</v>
      </c>
      <c r="C243" s="36" t="s">
        <v>3038</v>
      </c>
      <c r="D243" s="36" t="s">
        <v>3039</v>
      </c>
      <c r="E243" s="74" t="str">
        <f t="array" ref="E243">IF(
                C243 = "",
                "",
                       IF(
                           C243 ="FOTOGRAFIA",
                           "LINK",
                           "https://www.appsheet.com/template/gettablefileurl?appName=APP022ParticMagnMTV2-924373673-26-05-14&amp;tableName=4.reg_fotografico&amp;fileName="&amp;C243                        )
                          )</f>
        <v>https://www.appsheet.com/template/gettablefileurl?appName=APP022ParticMagnMTV2-924373673-26-05-14&amp;tableName=4.reg_fotografico&amp;fileName=4.reg_fotografico_Images/dfca8cdd.imagen.183130.jpg</v>
      </c>
      <c r="F243" s="54" t="str">
        <f t="shared" si="2"/>
        <v/>
      </c>
    </row>
    <row r="244" ht="22.5" customHeight="1">
      <c r="A244" s="36" t="s">
        <v>3040</v>
      </c>
      <c r="B244" s="36" t="s">
        <v>1501</v>
      </c>
      <c r="C244" s="36" t="s">
        <v>3041</v>
      </c>
      <c r="D244" s="36" t="s">
        <v>3042</v>
      </c>
      <c r="E244" s="74" t="str">
        <f t="array" ref="E244">IF(
                C244 = "",
                "",
                       IF(
                           C244 ="FOTOGRAFIA",
                           "LINK",
                           "https://www.appsheet.com/template/gettablefileurl?appName=APP022ParticMagnMTV2-924373673-26-05-14&amp;tableName=4.reg_fotografico&amp;fileName="&amp;C244                        )
                          )</f>
        <v>https://www.appsheet.com/template/gettablefileurl?appName=APP022ParticMagnMTV2-924373673-26-05-14&amp;tableName=4.reg_fotografico&amp;fileName=4.reg_fotografico_Images/d97dadd5.imagen.193554.jpg</v>
      </c>
      <c r="F244" s="54" t="str">
        <f t="shared" si="2"/>
        <v/>
      </c>
    </row>
    <row r="245" ht="22.5" customHeight="1">
      <c r="A245" s="36" t="s">
        <v>3043</v>
      </c>
      <c r="B245" s="36" t="s">
        <v>1505</v>
      </c>
      <c r="C245" s="36" t="s">
        <v>3044</v>
      </c>
      <c r="D245" s="36" t="s">
        <v>3045</v>
      </c>
      <c r="E245" s="74" t="str">
        <f t="array" ref="E245">IF(
                C245 = "",
                "",
                       IF(
                           C245 ="FOTOGRAFIA",
                           "LINK",
                           "https://www.appsheet.com/template/gettablefileurl?appName=APP022ParticMagnMTV2-924373673-26-05-14&amp;tableName=4.reg_fotografico&amp;fileName="&amp;C245                        )
                          )</f>
        <v>https://www.appsheet.com/template/gettablefileurl?appName=APP022ParticMagnMTV2-924373673-26-05-14&amp;tableName=4.reg_fotografico&amp;fileName=4.reg_fotografico_Images/9b667742.imagen.193557.jpg</v>
      </c>
      <c r="F245" s="54" t="str">
        <f t="shared" si="2"/>
        <v/>
      </c>
    </row>
    <row r="246" ht="22.5" customHeight="1">
      <c r="A246" s="36" t="s">
        <v>3046</v>
      </c>
      <c r="B246" s="36" t="s">
        <v>1509</v>
      </c>
      <c r="C246" s="36" t="s">
        <v>3047</v>
      </c>
      <c r="D246" s="36" t="s">
        <v>3048</v>
      </c>
      <c r="E246" s="74" t="str">
        <f t="array" ref="E246">IF(
                C246 = "",
                "",
                       IF(
                           C246 ="FOTOGRAFIA",
                           "LINK",
                           "https://www.appsheet.com/template/gettablefileurl?appName=APP022ParticMagnMTV2-924373673-26-05-14&amp;tableName=4.reg_fotografico&amp;fileName="&amp;C246                        )
                          )</f>
        <v>https://www.appsheet.com/template/gettablefileurl?appName=APP022ParticMagnMTV2-924373673-26-05-14&amp;tableName=4.reg_fotografico&amp;fileName=4.reg_fotografico_Images/abbc7488.imagen.193600.jpg</v>
      </c>
      <c r="F246" s="54" t="str">
        <f t="shared" si="2"/>
        <v/>
      </c>
    </row>
    <row r="247" ht="22.5" customHeight="1">
      <c r="A247" s="36" t="s">
        <v>3049</v>
      </c>
      <c r="B247" s="36" t="s">
        <v>1513</v>
      </c>
      <c r="C247" s="36" t="s">
        <v>3050</v>
      </c>
      <c r="D247" s="36" t="s">
        <v>3051</v>
      </c>
      <c r="E247" s="74" t="str">
        <f t="array" ref="E247">IF(
                C247 = "",
                "",
                       IF(
                           C247 ="FOTOGRAFIA",
                           "LINK",
                           "https://www.appsheet.com/template/gettablefileurl?appName=APP022ParticMagnMTV2-924373673-26-05-14&amp;tableName=4.reg_fotografico&amp;fileName="&amp;C247                        )
                          )</f>
        <v>https://www.appsheet.com/template/gettablefileurl?appName=APP022ParticMagnMTV2-924373673-26-05-14&amp;tableName=4.reg_fotografico&amp;fileName=4.reg_fotografico_Images/d9aece9e.imagen.193604.jpg</v>
      </c>
      <c r="F247" s="54" t="str">
        <f t="shared" si="2"/>
        <v/>
      </c>
    </row>
    <row r="248" ht="22.5" customHeight="1">
      <c r="A248" s="36" t="s">
        <v>3052</v>
      </c>
      <c r="B248" s="36" t="s">
        <v>1517</v>
      </c>
      <c r="C248" s="36" t="s">
        <v>3053</v>
      </c>
      <c r="D248" s="36" t="s">
        <v>3054</v>
      </c>
      <c r="E248" s="74" t="str">
        <f t="array" ref="E248">IF(
                C248 = "",
                "",
                       IF(
                           C248 ="FOTOGRAFIA",
                           "LINK",
                           "https://www.appsheet.com/template/gettablefileurl?appName=APP022ParticMagnMTV2-924373673-26-05-14&amp;tableName=4.reg_fotografico&amp;fileName="&amp;C248                        )
                          )</f>
        <v>https://www.appsheet.com/template/gettablefileurl?appName=APP022ParticMagnMTV2-924373673-26-05-14&amp;tableName=4.reg_fotografico&amp;fileName=4.reg_fotografico_Images/8e8591aa.imagen.193607.jpg</v>
      </c>
      <c r="F248" s="54" t="str">
        <f t="shared" si="2"/>
        <v/>
      </c>
    </row>
    <row r="249" ht="22.5" customHeight="1">
      <c r="A249" s="36" t="s">
        <v>3055</v>
      </c>
      <c r="B249" s="36" t="s">
        <v>1520</v>
      </c>
      <c r="C249" s="36" t="s">
        <v>3056</v>
      </c>
      <c r="D249" s="36" t="s">
        <v>3057</v>
      </c>
      <c r="E249" s="74" t="str">
        <f t="array" ref="E249">IF(
                C249 = "",
                "",
                       IF(
                           C249 ="FOTOGRAFIA",
                           "LINK",
                           "https://www.appsheet.com/template/gettablefileurl?appName=APP022ParticMagnMTV2-924373673-26-05-14&amp;tableName=4.reg_fotografico&amp;fileName="&amp;C249                        )
                          )</f>
        <v>https://www.appsheet.com/template/gettablefileurl?appName=APP022ParticMagnMTV2-924373673-26-05-14&amp;tableName=4.reg_fotografico&amp;fileName=4.reg_fotografico_Images/a7ab5b15.imagen.193609.jpg</v>
      </c>
      <c r="F249" s="54" t="str">
        <f t="shared" si="2"/>
        <v/>
      </c>
    </row>
    <row r="250" ht="22.5" customHeight="1">
      <c r="A250" s="36" t="s">
        <v>3058</v>
      </c>
      <c r="B250" s="36" t="s">
        <v>1523</v>
      </c>
      <c r="C250" s="36" t="s">
        <v>3059</v>
      </c>
      <c r="D250" s="36" t="s">
        <v>3060</v>
      </c>
      <c r="E250" s="74" t="str">
        <f t="array" ref="E250">IF(
                C250 = "",
                "",
                       IF(
                           C250 ="FOTOGRAFIA",
                           "LINK",
                           "https://www.appsheet.com/template/gettablefileurl?appName=APP022ParticMagnMTV2-924373673-26-05-14&amp;tableName=4.reg_fotografico&amp;fileName="&amp;C250                        )
                          )</f>
        <v>https://www.appsheet.com/template/gettablefileurl?appName=APP022ParticMagnMTV2-924373673-26-05-14&amp;tableName=4.reg_fotografico&amp;fileName=4.reg_fotografico_Images/7b33896f.imagen.193613.jpg</v>
      </c>
      <c r="F250" s="54" t="str">
        <f t="shared" si="2"/>
        <v/>
      </c>
    </row>
    <row r="251" ht="22.5" customHeight="1">
      <c r="A251" s="36" t="s">
        <v>3061</v>
      </c>
      <c r="B251" s="36" t="s">
        <v>1527</v>
      </c>
      <c r="C251" s="36" t="s">
        <v>3062</v>
      </c>
      <c r="D251" s="36" t="s">
        <v>3063</v>
      </c>
      <c r="E251" s="74" t="str">
        <f t="array" ref="E251">IF(
                C251 = "",
                "",
                       IF(
                           C251 ="FOTOGRAFIA",
                           "LINK",
                           "https://www.appsheet.com/template/gettablefileurl?appName=APP022ParticMagnMTV2-924373673-26-05-14&amp;tableName=4.reg_fotografico&amp;fileName="&amp;C251                        )
                          )</f>
        <v>https://www.appsheet.com/template/gettablefileurl?appName=APP022ParticMagnMTV2-924373673-26-05-14&amp;tableName=4.reg_fotografico&amp;fileName=4.reg_fotografico_Images/c3ec6623.imagen.193616.jpg</v>
      </c>
      <c r="F251" s="54" t="str">
        <f t="shared" si="2"/>
        <v/>
      </c>
    </row>
    <row r="252" ht="22.5" customHeight="1">
      <c r="A252" s="36" t="s">
        <v>3064</v>
      </c>
      <c r="B252" s="39" t="s">
        <v>1531</v>
      </c>
      <c r="C252" s="36" t="s">
        <v>3065</v>
      </c>
      <c r="D252" s="36" t="s">
        <v>3066</v>
      </c>
      <c r="E252" s="74" t="str">
        <f t="array" ref="E252">IF(
                C252 = "",
                "",
                       IF(
                           C252 ="FOTOGRAFIA",
                           "LINK",
                           "https://www.appsheet.com/template/gettablefileurl?appName=APP022ParticMagnMTV2-924373673-26-05-14&amp;tableName=4.reg_fotografico&amp;fileName="&amp;C252                        )
                          )</f>
        <v>https://www.appsheet.com/template/gettablefileurl?appName=APP022ParticMagnMTV2-924373673-26-05-14&amp;tableName=4.reg_fotografico&amp;fileName=4.reg_fotografico_Images/6fb1bfd0.imagen.193618.jpg</v>
      </c>
      <c r="F252" s="54" t="str">
        <f t="shared" si="2"/>
        <v/>
      </c>
    </row>
    <row r="253" ht="22.5" customHeight="1">
      <c r="A253" s="36" t="s">
        <v>3067</v>
      </c>
      <c r="B253" s="36" t="s">
        <v>1534</v>
      </c>
      <c r="C253" s="36" t="s">
        <v>3068</v>
      </c>
      <c r="D253" s="36" t="s">
        <v>3069</v>
      </c>
      <c r="E253" s="74" t="str">
        <f t="array" ref="E253">IF(
                C253 = "",
                "",
                       IF(
                           C253 ="FOTOGRAFIA",
                           "LINK",
                           "https://www.appsheet.com/template/gettablefileurl?appName=APP022ParticMagnMTV2-924373673-26-05-14&amp;tableName=4.reg_fotografico&amp;fileName="&amp;C253                        )
                          )</f>
        <v>https://www.appsheet.com/template/gettablefileurl?appName=APP022ParticMagnMTV2-924373673-26-05-14&amp;tableName=4.reg_fotografico&amp;fileName=4.reg_fotografico_Images/7a75fc0b.imagen.193621.jpg</v>
      </c>
      <c r="F253" s="54" t="str">
        <f t="shared" si="2"/>
        <v/>
      </c>
    </row>
    <row r="254" ht="22.5" customHeight="1">
      <c r="A254" s="36" t="s">
        <v>3070</v>
      </c>
      <c r="B254" s="36" t="s">
        <v>1534</v>
      </c>
      <c r="C254" s="36" t="s">
        <v>3071</v>
      </c>
      <c r="D254" s="36" t="s">
        <v>3069</v>
      </c>
      <c r="E254" s="74" t="str">
        <f t="array" ref="E254">IF(
                C254 = "",
                "",
                       IF(
                           C254 ="FOTOGRAFIA",
                           "LINK",
                           "https://www.appsheet.com/template/gettablefileurl?appName=APP022ParticMagnMTV2-924373673-26-05-14&amp;tableName=4.reg_fotografico&amp;fileName="&amp;C254                        )
                          )</f>
        <v>https://www.appsheet.com/template/gettablefileurl?appName=APP022ParticMagnMTV2-924373673-26-05-14&amp;tableName=4.reg_fotografico&amp;fileName=4.reg_fotografico_Images/45bbdeea.imagen.193625.jpg</v>
      </c>
      <c r="F254" s="54" t="str">
        <f t="shared" si="2"/>
        <v/>
      </c>
    </row>
    <row r="255" ht="22.5" customHeight="1">
      <c r="A255" s="36" t="s">
        <v>3072</v>
      </c>
      <c r="B255" s="36" t="s">
        <v>1538</v>
      </c>
      <c r="C255" s="36" t="s">
        <v>3073</v>
      </c>
      <c r="D255" s="36" t="s">
        <v>3074</v>
      </c>
      <c r="E255" s="74" t="str">
        <f t="array" ref="E255">IF(
                C255 = "",
                "",
                       IF(
                           C255 ="FOTOGRAFIA",
                           "LINK",
                           "https://www.appsheet.com/template/gettablefileurl?appName=APP022ParticMagnMTV2-924373673-26-05-14&amp;tableName=4.reg_fotografico&amp;fileName="&amp;C255                        )
                          )</f>
        <v>https://www.appsheet.com/template/gettablefileurl?appName=APP022ParticMagnMTV2-924373673-26-05-14&amp;tableName=4.reg_fotografico&amp;fileName=4.reg_fotografico_Images/a1294405.imagen.194041.jpg</v>
      </c>
      <c r="F255" s="54" t="str">
        <f t="shared" si="2"/>
        <v/>
      </c>
    </row>
    <row r="256" ht="22.5" customHeight="1">
      <c r="A256" s="36" t="s">
        <v>3075</v>
      </c>
      <c r="B256" s="36" t="s">
        <v>1538</v>
      </c>
      <c r="C256" s="36" t="s">
        <v>3076</v>
      </c>
      <c r="D256" s="36" t="s">
        <v>3074</v>
      </c>
      <c r="E256" s="74" t="str">
        <f t="array" ref="E256">IF(
                C256 = "",
                "",
                       IF(
                           C256 ="FOTOGRAFIA",
                           "LINK",
                           "https://www.appsheet.com/template/gettablefileurl?appName=APP022ParticMagnMTV2-924373673-26-05-14&amp;tableName=4.reg_fotografico&amp;fileName="&amp;C256                        )
                          )</f>
        <v>https://www.appsheet.com/template/gettablefileurl?appName=APP022ParticMagnMTV2-924373673-26-05-14&amp;tableName=4.reg_fotografico&amp;fileName=4.reg_fotografico_Images/62a96eb7.imagen.194044.jpg</v>
      </c>
      <c r="F256" s="54" t="str">
        <f t="shared" si="2"/>
        <v/>
      </c>
    </row>
    <row r="257" ht="22.5" customHeight="1">
      <c r="A257" s="36" t="s">
        <v>3077</v>
      </c>
      <c r="B257" s="36" t="s">
        <v>1538</v>
      </c>
      <c r="C257" s="36" t="s">
        <v>3078</v>
      </c>
      <c r="D257" s="36" t="s">
        <v>3074</v>
      </c>
      <c r="E257" s="74" t="str">
        <f t="array" ref="E257">IF(
                C257 = "",
                "",
                       IF(
                           C257 ="FOTOGRAFIA",
                           "LINK",
                           "https://www.appsheet.com/template/gettablefileurl?appName=APP022ParticMagnMTV2-924373673-26-05-14&amp;tableName=4.reg_fotografico&amp;fileName="&amp;C257                        )
                          )</f>
        <v>https://www.appsheet.com/template/gettablefileurl?appName=APP022ParticMagnMTV2-924373673-26-05-14&amp;tableName=4.reg_fotografico&amp;fileName=4.reg_fotografico_Images/a16eb79e.imagen.194048.jpg</v>
      </c>
      <c r="F257" s="54" t="str">
        <f t="shared" si="2"/>
        <v/>
      </c>
    </row>
    <row r="258" ht="22.5" customHeight="1">
      <c r="A258" s="36" t="s">
        <v>3079</v>
      </c>
      <c r="B258" s="36" t="s">
        <v>1542</v>
      </c>
      <c r="C258" s="36" t="s">
        <v>3080</v>
      </c>
      <c r="D258" s="36" t="s">
        <v>3081</v>
      </c>
      <c r="E258" s="74" t="str">
        <f t="array" ref="E258">IF(
                C258 = "",
                "",
                       IF(
                           C258 ="FOTOGRAFIA",
                           "LINK",
                           "https://www.appsheet.com/template/gettablefileurl?appName=APP022ParticMagnMTV2-924373673-26-05-14&amp;tableName=4.reg_fotografico&amp;fileName="&amp;C258                        )
                          )</f>
        <v>https://www.appsheet.com/template/gettablefileurl?appName=APP022ParticMagnMTV2-924373673-26-05-14&amp;tableName=4.reg_fotografico&amp;fileName=4.reg_fotografico_Images/8d720a19.imagen.204013.jpg</v>
      </c>
      <c r="F258" s="54" t="str">
        <f t="shared" si="2"/>
        <v/>
      </c>
    </row>
    <row r="259" ht="22.5" customHeight="1">
      <c r="A259" s="36" t="s">
        <v>3082</v>
      </c>
      <c r="B259" s="36" t="s">
        <v>1545</v>
      </c>
      <c r="C259" s="36" t="s">
        <v>3083</v>
      </c>
      <c r="D259" s="36" t="s">
        <v>3084</v>
      </c>
      <c r="E259" s="74" t="str">
        <f t="array" ref="E259">IF(
                C259 = "",
                "",
                       IF(
                           C259 ="FOTOGRAFIA",
                           "LINK",
                           "https://www.appsheet.com/template/gettablefileurl?appName=APP022ParticMagnMTV2-924373673-26-05-14&amp;tableName=4.reg_fotografico&amp;fileName="&amp;C259                        )
                          )</f>
        <v>https://www.appsheet.com/template/gettablefileurl?appName=APP022ParticMagnMTV2-924373673-26-05-14&amp;tableName=4.reg_fotografico&amp;fileName=4.reg_fotografico_Images/e9c98d7a.imagen.204019.jpg</v>
      </c>
      <c r="F259" s="54" t="str">
        <f t="shared" si="2"/>
        <v/>
      </c>
    </row>
    <row r="260" ht="22.5" customHeight="1">
      <c r="A260" s="36" t="s">
        <v>3085</v>
      </c>
      <c r="B260" s="36" t="s">
        <v>1548</v>
      </c>
      <c r="C260" s="36" t="s">
        <v>3086</v>
      </c>
      <c r="D260" s="36" t="s">
        <v>3087</v>
      </c>
      <c r="E260" s="74" t="str">
        <f t="array" ref="E260">IF(
                C260 = "",
                "",
                       IF(
                           C260 ="FOTOGRAFIA",
                           "LINK",
                           "https://www.appsheet.com/template/gettablefileurl?appName=APP022ParticMagnMTV2-924373673-26-05-14&amp;tableName=4.reg_fotografico&amp;fileName="&amp;C260                        )
                          )</f>
        <v>https://www.appsheet.com/template/gettablefileurl?appName=APP022ParticMagnMTV2-924373673-26-05-14&amp;tableName=4.reg_fotografico&amp;fileName=4.reg_fotografico_Images/26d5f826.imagen.204026.jpg</v>
      </c>
      <c r="F260" s="54" t="str">
        <f t="shared" si="2"/>
        <v/>
      </c>
    </row>
    <row r="261" ht="22.5" customHeight="1">
      <c r="A261" s="36" t="s">
        <v>3088</v>
      </c>
      <c r="B261" s="36" t="s">
        <v>1551</v>
      </c>
      <c r="C261" s="36" t="s">
        <v>3089</v>
      </c>
      <c r="D261" s="36" t="s">
        <v>3090</v>
      </c>
      <c r="E261" s="74" t="str">
        <f t="array" ref="E261">IF(
                C261 = "",
                "",
                       IF(
                           C261 ="FOTOGRAFIA",
                           "LINK",
                           "https://www.appsheet.com/template/gettablefileurl?appName=APP022ParticMagnMTV2-924373673-26-05-14&amp;tableName=4.reg_fotografico&amp;fileName="&amp;C261                        )
                          )</f>
        <v>https://www.appsheet.com/template/gettablefileurl?appName=APP022ParticMagnMTV2-924373673-26-05-14&amp;tableName=4.reg_fotografico&amp;fileName=4.reg_fotografico_Images/08da6d60.imagen.204033.jpg</v>
      </c>
      <c r="F261" s="54" t="str">
        <f t="shared" si="2"/>
        <v/>
      </c>
    </row>
    <row r="262" ht="22.5" customHeight="1">
      <c r="A262" s="36" t="s">
        <v>3091</v>
      </c>
      <c r="B262" s="36" t="s">
        <v>1551</v>
      </c>
      <c r="C262" s="36" t="s">
        <v>3092</v>
      </c>
      <c r="D262" s="36" t="s">
        <v>3090</v>
      </c>
      <c r="E262" s="74" t="str">
        <f t="array" ref="E262">IF(
                C262 = "",
                "",
                       IF(
                           C262 ="FOTOGRAFIA",
                           "LINK",
                           "https://www.appsheet.com/template/gettablefileurl?appName=APP022ParticMagnMTV2-924373673-26-05-14&amp;tableName=4.reg_fotografico&amp;fileName="&amp;C262                        )
                          )</f>
        <v>https://www.appsheet.com/template/gettablefileurl?appName=APP022ParticMagnMTV2-924373673-26-05-14&amp;tableName=4.reg_fotografico&amp;fileName=4.reg_fotografico_Images/040cbc5e.imagen.204038.jpg</v>
      </c>
      <c r="F262" s="54" t="str">
        <f t="shared" si="2"/>
        <v/>
      </c>
    </row>
    <row r="263" ht="22.5" customHeight="1">
      <c r="A263" s="36" t="s">
        <v>3093</v>
      </c>
      <c r="B263" s="36" t="s">
        <v>1551</v>
      </c>
      <c r="C263" s="36" t="s">
        <v>3094</v>
      </c>
      <c r="D263" s="36" t="s">
        <v>3090</v>
      </c>
      <c r="E263" s="74" t="str">
        <f t="array" ref="E263">IF(
                C263 = "",
                "",
                       IF(
                           C263 ="FOTOGRAFIA",
                           "LINK",
                           "https://www.appsheet.com/template/gettablefileurl?appName=APP022ParticMagnMTV2-924373673-26-05-14&amp;tableName=4.reg_fotografico&amp;fileName="&amp;C263                        )
                          )</f>
        <v>https://www.appsheet.com/template/gettablefileurl?appName=APP022ParticMagnMTV2-924373673-26-05-14&amp;tableName=4.reg_fotografico&amp;fileName=4.reg_fotografico_Images/9f7b6731.imagen.204043.jpg</v>
      </c>
      <c r="F263" s="54" t="str">
        <f t="shared" si="2"/>
        <v/>
      </c>
    </row>
    <row r="264" ht="22.5" customHeight="1">
      <c r="A264" s="36" t="s">
        <v>3095</v>
      </c>
      <c r="B264" s="36" t="s">
        <v>1551</v>
      </c>
      <c r="C264" s="36" t="s">
        <v>3096</v>
      </c>
      <c r="D264" s="36" t="s">
        <v>3090</v>
      </c>
      <c r="E264" s="74" t="str">
        <f t="array" ref="E264">IF(
                C264 = "",
                "",
                       IF(
                           C264 ="FOTOGRAFIA",
                           "LINK",
                           "https://www.appsheet.com/template/gettablefileurl?appName=APP022ParticMagnMTV2-924373673-26-05-14&amp;tableName=4.reg_fotografico&amp;fileName="&amp;C264                        )
                          )</f>
        <v>https://www.appsheet.com/template/gettablefileurl?appName=APP022ParticMagnMTV2-924373673-26-05-14&amp;tableName=4.reg_fotografico&amp;fileName=4.reg_fotografico_Images/065b0776.imagen.204048.jpg</v>
      </c>
      <c r="F264" s="54" t="str">
        <f t="shared" si="2"/>
        <v/>
      </c>
    </row>
    <row r="265" ht="22.5" customHeight="1">
      <c r="A265" s="36" t="s">
        <v>3097</v>
      </c>
      <c r="B265" s="36" t="s">
        <v>1551</v>
      </c>
      <c r="C265" s="36" t="s">
        <v>3098</v>
      </c>
      <c r="D265" s="36" t="s">
        <v>3090</v>
      </c>
      <c r="E265" s="74" t="str">
        <f t="array" ref="E265">IF(
                C265 = "",
                "",
                       IF(
                           C265 ="FOTOGRAFIA",
                           "LINK",
                           "https://www.appsheet.com/template/gettablefileurl?appName=APP022ParticMagnMTV2-924373673-26-05-14&amp;tableName=4.reg_fotografico&amp;fileName="&amp;C265                        )
                          )</f>
        <v>https://www.appsheet.com/template/gettablefileurl?appName=APP022ParticMagnMTV2-924373673-26-05-14&amp;tableName=4.reg_fotografico&amp;fileName=4.reg_fotografico_Images/4911da9d.imagen.204054.jpg</v>
      </c>
      <c r="F265" s="54" t="str">
        <f t="shared" si="2"/>
        <v/>
      </c>
    </row>
    <row r="266" ht="22.5" customHeight="1">
      <c r="A266" s="36" t="s">
        <v>3099</v>
      </c>
      <c r="B266" s="36" t="s">
        <v>1551</v>
      </c>
      <c r="C266" s="36" t="s">
        <v>3100</v>
      </c>
      <c r="D266" s="36" t="s">
        <v>3090</v>
      </c>
      <c r="E266" s="74" t="str">
        <f t="array" ref="E266">IF(
                C266 = "",
                "",
                       IF(
                           C266 ="FOTOGRAFIA",
                           "LINK",
                           "https://www.appsheet.com/template/gettablefileurl?appName=APP022ParticMagnMTV2-924373673-26-05-14&amp;tableName=4.reg_fotografico&amp;fileName="&amp;C266                        )
                          )</f>
        <v>https://www.appsheet.com/template/gettablefileurl?appName=APP022ParticMagnMTV2-924373673-26-05-14&amp;tableName=4.reg_fotografico&amp;fileName=4.reg_fotografico_Images/1129a0c1.imagen.204102.jpg</v>
      </c>
      <c r="F266" s="54" t="str">
        <f t="shared" si="2"/>
        <v/>
      </c>
    </row>
    <row r="267" ht="22.5" customHeight="1">
      <c r="A267" s="36" t="s">
        <v>3101</v>
      </c>
      <c r="B267" s="36" t="s">
        <v>1551</v>
      </c>
      <c r="C267" s="36" t="s">
        <v>3102</v>
      </c>
      <c r="D267" s="36" t="s">
        <v>3090</v>
      </c>
      <c r="E267" s="74" t="str">
        <f t="array" ref="E267">IF(
                C267 = "",
                "",
                       IF(
                           C267 ="FOTOGRAFIA",
                           "LINK",
                           "https://www.appsheet.com/template/gettablefileurl?appName=APP022ParticMagnMTV2-924373673-26-05-14&amp;tableName=4.reg_fotografico&amp;fileName="&amp;C267                        )
                          )</f>
        <v>https://www.appsheet.com/template/gettablefileurl?appName=APP022ParticMagnMTV2-924373673-26-05-14&amp;tableName=4.reg_fotografico&amp;fileName=4.reg_fotografico_Images/6427d026.imagen.204107.jpg</v>
      </c>
      <c r="F267" s="54" t="str">
        <f t="shared" si="2"/>
        <v/>
      </c>
    </row>
    <row r="268" ht="22.5" customHeight="1">
      <c r="A268" s="36" t="s">
        <v>3103</v>
      </c>
      <c r="B268" s="36" t="s">
        <v>1551</v>
      </c>
      <c r="C268" s="36" t="s">
        <v>3104</v>
      </c>
      <c r="D268" s="36" t="s">
        <v>3090</v>
      </c>
      <c r="E268" s="74" t="str">
        <f t="array" ref="E268">IF(
                C268 = "",
                "",
                       IF(
                           C268 ="FOTOGRAFIA",
                           "LINK",
                           "https://www.appsheet.com/template/gettablefileurl?appName=APP022ParticMagnMTV2-924373673-26-05-14&amp;tableName=4.reg_fotografico&amp;fileName="&amp;C268                        )
                          )</f>
        <v>https://www.appsheet.com/template/gettablefileurl?appName=APP022ParticMagnMTV2-924373673-26-05-14&amp;tableName=4.reg_fotografico&amp;fileName=4.reg_fotografico_Images/7bd8ca15.imagen.204112.jpg</v>
      </c>
      <c r="F268" s="54" t="str">
        <f t="shared" si="2"/>
        <v/>
      </c>
    </row>
    <row r="269" ht="22.5" customHeight="1">
      <c r="A269" s="36" t="s">
        <v>3105</v>
      </c>
      <c r="B269" s="36" t="s">
        <v>1554</v>
      </c>
      <c r="C269" s="36" t="s">
        <v>3106</v>
      </c>
      <c r="D269" s="36" t="s">
        <v>3107</v>
      </c>
      <c r="E269" s="74" t="str">
        <f t="array" ref="E269">IF(
                C269 = "",
                "",
                       IF(
                           C269 ="FOTOGRAFIA",
                           "LINK",
                           "https://www.appsheet.com/template/gettablefileurl?appName=APP022ParticMagnMTV2-924373673-26-05-14&amp;tableName=4.reg_fotografico&amp;fileName="&amp;C269                        )
                          )</f>
        <v>https://www.appsheet.com/template/gettablefileurl?appName=APP022ParticMagnMTV2-924373673-26-05-14&amp;tableName=4.reg_fotografico&amp;fileName=4.reg_fotografico_Images/90a44e2b.imagen.204117.jpg</v>
      </c>
      <c r="F269" s="54" t="str">
        <f t="shared" si="2"/>
        <v/>
      </c>
    </row>
    <row r="270" ht="22.5" customHeight="1">
      <c r="A270" s="36" t="s">
        <v>3108</v>
      </c>
      <c r="B270" s="36" t="s">
        <v>1558</v>
      </c>
      <c r="C270" s="36" t="s">
        <v>3109</v>
      </c>
      <c r="D270" s="36" t="s">
        <v>3110</v>
      </c>
      <c r="E270" s="74" t="str">
        <f t="array" ref="E270">IF(
                C270 = "",
                "",
                       IF(
                           C270 ="FOTOGRAFIA",
                           "LINK",
                           "https://www.appsheet.com/template/gettablefileurl?appName=APP022ParticMagnMTV2-924373673-26-05-14&amp;tableName=4.reg_fotografico&amp;fileName="&amp;C270                        )
                          )</f>
        <v>https://www.appsheet.com/template/gettablefileurl?appName=APP022ParticMagnMTV2-924373673-26-05-14&amp;tableName=4.reg_fotografico&amp;fileName=4.reg_fotografico_Images/d6f677eb.imagen.204124.jpg</v>
      </c>
      <c r="F270" s="54" t="str">
        <f t="shared" si="2"/>
        <v/>
      </c>
    </row>
    <row r="271" ht="22.5" customHeight="1">
      <c r="A271" s="36" t="s">
        <v>3111</v>
      </c>
      <c r="B271" s="36" t="s">
        <v>1562</v>
      </c>
      <c r="C271" s="36" t="s">
        <v>3112</v>
      </c>
      <c r="D271" s="36" t="s">
        <v>3113</v>
      </c>
      <c r="E271" s="74" t="str">
        <f t="array" ref="E271">IF(
                C271 = "",
                "",
                       IF(
                           C271 ="FOTOGRAFIA",
                           "LINK",
                           "https://www.appsheet.com/template/gettablefileurl?appName=APP022ParticMagnMTV2-924373673-26-05-14&amp;tableName=4.reg_fotografico&amp;fileName="&amp;C271                        )
                          )</f>
        <v>https://www.appsheet.com/template/gettablefileurl?appName=APP022ParticMagnMTV2-924373673-26-05-14&amp;tableName=4.reg_fotografico&amp;fileName=4.reg_fotografico_Images/d2fb273a.imagen.204131.jpg</v>
      </c>
      <c r="F271" s="54" t="str">
        <f t="shared" si="2"/>
        <v/>
      </c>
    </row>
    <row r="272" ht="22.5" customHeight="1">
      <c r="A272" s="36" t="s">
        <v>3114</v>
      </c>
      <c r="B272" s="36" t="s">
        <v>1566</v>
      </c>
      <c r="C272" s="36" t="s">
        <v>3115</v>
      </c>
      <c r="D272" s="36" t="s">
        <v>3116</v>
      </c>
      <c r="E272" s="74" t="str">
        <f t="array" ref="E272">IF(
                C272 = "",
                "",
                       IF(
                           C272 ="FOTOGRAFIA",
                           "LINK",
                           "https://www.appsheet.com/template/gettablefileurl?appName=APP022ParticMagnMTV2-924373673-26-05-14&amp;tableName=4.reg_fotografico&amp;fileName="&amp;C272                        )
                          )</f>
        <v>https://www.appsheet.com/template/gettablefileurl?appName=APP022ParticMagnMTV2-924373673-26-05-14&amp;tableName=4.reg_fotografico&amp;fileName=4.reg_fotografico_Images/636f9486.imagen.204300.jpg</v>
      </c>
      <c r="F272" s="54" t="str">
        <f t="shared" si="2"/>
        <v/>
      </c>
    </row>
    <row r="273" ht="22.5" customHeight="1">
      <c r="A273" s="36" t="s">
        <v>3117</v>
      </c>
      <c r="B273" s="36" t="s">
        <v>1570</v>
      </c>
      <c r="C273" s="36" t="s">
        <v>3118</v>
      </c>
      <c r="D273" s="36" t="s">
        <v>3119</v>
      </c>
      <c r="E273" s="74" t="str">
        <f t="array" ref="E273">IF(
                C273 = "",
                "",
                       IF(
                           C273 ="FOTOGRAFIA",
                           "LINK",
                           "https://www.appsheet.com/template/gettablefileurl?appName=APP022ParticMagnMTV2-924373673-26-05-14&amp;tableName=4.reg_fotografico&amp;fileName="&amp;C273                        )
                          )</f>
        <v>https://www.appsheet.com/template/gettablefileurl?appName=APP022ParticMagnMTV2-924373673-26-05-14&amp;tableName=4.reg_fotografico&amp;fileName=4.reg_fotografico_Images/59d644f0.imagen.204349.jpg</v>
      </c>
      <c r="F273" s="54" t="str">
        <f t="shared" si="2"/>
        <v/>
      </c>
    </row>
    <row r="274" ht="22.5" customHeight="1">
      <c r="A274" s="36" t="s">
        <v>3120</v>
      </c>
      <c r="B274" s="36" t="s">
        <v>1574</v>
      </c>
      <c r="C274" s="36" t="s">
        <v>3121</v>
      </c>
      <c r="D274" s="36" t="s">
        <v>3122</v>
      </c>
      <c r="E274" s="74" t="str">
        <f t="array" ref="E274">IF(
                C274 = "",
                "",
                       IF(
                           C274 ="FOTOGRAFIA",
                           "LINK",
                           "https://www.appsheet.com/template/gettablefileurl?appName=APP022ParticMagnMTV2-924373673-26-05-14&amp;tableName=4.reg_fotografico&amp;fileName="&amp;C274                        )
                          )</f>
        <v>https://www.appsheet.com/template/gettablefileurl?appName=APP022ParticMagnMTV2-924373673-26-05-14&amp;tableName=4.reg_fotografico&amp;fileName=4.reg_fotografico_Images/ea9a723c.imagen.204351.jpg</v>
      </c>
      <c r="F274" s="54" t="str">
        <f t="shared" si="2"/>
        <v/>
      </c>
    </row>
    <row r="275" ht="22.5" customHeight="1">
      <c r="A275" s="36" t="s">
        <v>3123</v>
      </c>
      <c r="B275" s="36" t="s">
        <v>1577</v>
      </c>
      <c r="C275" s="36" t="s">
        <v>3124</v>
      </c>
      <c r="D275" s="36" t="s">
        <v>3125</v>
      </c>
      <c r="E275" s="74" t="str">
        <f t="array" ref="E275">IF(
                C275 = "",
                "",
                       IF(
                           C275 ="FOTOGRAFIA",
                           "LINK",
                           "https://www.appsheet.com/template/gettablefileurl?appName=APP022ParticMagnMTV2-924373673-26-05-14&amp;tableName=4.reg_fotografico&amp;fileName="&amp;C275                        )
                          )</f>
        <v>https://www.appsheet.com/template/gettablefileurl?appName=APP022ParticMagnMTV2-924373673-26-05-14&amp;tableName=4.reg_fotografico&amp;fileName=4.reg_fotografico_Images/3be2d054.imagen.204355.jpg</v>
      </c>
      <c r="F275" s="54" t="str">
        <f t="shared" si="2"/>
        <v/>
      </c>
    </row>
    <row r="276" ht="22.5" customHeight="1">
      <c r="A276" s="36" t="s">
        <v>3126</v>
      </c>
      <c r="B276" s="36" t="s">
        <v>1580</v>
      </c>
      <c r="C276" s="36" t="s">
        <v>3127</v>
      </c>
      <c r="D276" s="36" t="s">
        <v>3128</v>
      </c>
      <c r="E276" s="74" t="str">
        <f t="array" ref="E276">IF(
                C276 = "",
                "",
                       IF(
                           C276 ="FOTOGRAFIA",
                           "LINK",
                           "https://www.appsheet.com/template/gettablefileurl?appName=APP022ParticMagnMTV2-924373673-26-05-14&amp;tableName=4.reg_fotografico&amp;fileName="&amp;C276                        )
                          )</f>
        <v>https://www.appsheet.com/template/gettablefileurl?appName=APP022ParticMagnMTV2-924373673-26-05-14&amp;tableName=4.reg_fotografico&amp;fileName=4.reg_fotografico_Images/aa88b997.imagen.204359.jpg</v>
      </c>
      <c r="F276" s="54" t="str">
        <f t="shared" si="2"/>
        <v/>
      </c>
    </row>
    <row r="277" ht="22.5" customHeight="1">
      <c r="A277" s="36" t="s">
        <v>3129</v>
      </c>
      <c r="B277" s="36" t="s">
        <v>1584</v>
      </c>
      <c r="C277" s="36" t="s">
        <v>3130</v>
      </c>
      <c r="D277" s="36" t="s">
        <v>3131</v>
      </c>
      <c r="E277" s="74" t="str">
        <f t="array" ref="E277">IF(
                C277 = "",
                "",
                       IF(
                           C277 ="FOTOGRAFIA",
                           "LINK",
                           "https://www.appsheet.com/template/gettablefileurl?appName=APP022ParticMagnMTV2-924373673-26-05-14&amp;tableName=4.reg_fotografico&amp;fileName="&amp;C277                        )
                          )</f>
        <v>https://www.appsheet.com/template/gettablefileurl?appName=APP022ParticMagnMTV2-924373673-26-05-14&amp;tableName=4.reg_fotografico&amp;fileName=4.reg_fotografico_Images/e78e874b.imagen.204402.jpg</v>
      </c>
      <c r="F277" s="54" t="str">
        <f t="shared" si="2"/>
        <v/>
      </c>
    </row>
    <row r="278" ht="22.5" customHeight="1">
      <c r="A278" s="36" t="s">
        <v>3132</v>
      </c>
      <c r="B278" s="36" t="s">
        <v>1587</v>
      </c>
      <c r="C278" s="36" t="s">
        <v>3133</v>
      </c>
      <c r="D278" s="36" t="s">
        <v>3134</v>
      </c>
      <c r="E278" s="74" t="str">
        <f t="array" ref="E278">IF(
                C278 = "",
                "",
                       IF(
                           C278 ="FOTOGRAFIA",
                           "LINK",
                           "https://www.appsheet.com/template/gettablefileurl?appName=APP022ParticMagnMTV2-924373673-26-05-14&amp;tableName=4.reg_fotografico&amp;fileName="&amp;C278                        )
                          )</f>
        <v>https://www.appsheet.com/template/gettablefileurl?appName=APP022ParticMagnMTV2-924373673-26-05-14&amp;tableName=4.reg_fotografico&amp;fileName=4.reg_fotografico_Images/ad8be256.imagen.204405.jpg</v>
      </c>
      <c r="F278" s="54" t="str">
        <f t="shared" si="2"/>
        <v/>
      </c>
    </row>
    <row r="279" ht="22.5" customHeight="1">
      <c r="A279" s="36" t="s">
        <v>3135</v>
      </c>
      <c r="B279" s="36" t="s">
        <v>1591</v>
      </c>
      <c r="C279" s="36" t="s">
        <v>3136</v>
      </c>
      <c r="D279" s="36" t="s">
        <v>3137</v>
      </c>
      <c r="E279" s="74" t="str">
        <f t="array" ref="E279">IF(
                C279 = "",
                "",
                       IF(
                           C279 ="FOTOGRAFIA",
                           "LINK",
                           "https://www.appsheet.com/template/gettablefileurl?appName=APP022ParticMagnMTV2-924373673-26-05-14&amp;tableName=4.reg_fotografico&amp;fileName="&amp;C279                        )
                          )</f>
        <v>https://www.appsheet.com/template/gettablefileurl?appName=APP022ParticMagnMTV2-924373673-26-05-14&amp;tableName=4.reg_fotografico&amp;fileName=4.reg_fotografico_Images/f890cc68.imagen.204408.jpg</v>
      </c>
      <c r="F279" s="54" t="str">
        <f t="shared" si="2"/>
        <v/>
      </c>
    </row>
    <row r="280" ht="22.5" customHeight="1">
      <c r="A280" s="36" t="s">
        <v>3138</v>
      </c>
      <c r="B280" s="36" t="s">
        <v>1595</v>
      </c>
      <c r="C280" s="36" t="s">
        <v>3139</v>
      </c>
      <c r="D280" s="36" t="s">
        <v>3140</v>
      </c>
      <c r="E280" s="74" t="str">
        <f t="array" ref="E280">IF(
                C280 = "",
                "",
                       IF(
                           C280 ="FOTOGRAFIA",
                           "LINK",
                           "https://www.appsheet.com/template/gettablefileurl?appName=APP022ParticMagnMTV2-924373673-26-05-14&amp;tableName=4.reg_fotografico&amp;fileName="&amp;C280                        )
                          )</f>
        <v>https://www.appsheet.com/template/gettablefileurl?appName=APP022ParticMagnMTV2-924373673-26-05-14&amp;tableName=4.reg_fotografico&amp;fileName=4.reg_fotografico_Images/4f113080.imagen.204411.jpg</v>
      </c>
      <c r="F280" s="54" t="str">
        <f t="shared" si="2"/>
        <v/>
      </c>
    </row>
    <row r="281" ht="22.5" customHeight="1">
      <c r="A281" s="36" t="s">
        <v>3141</v>
      </c>
      <c r="B281" s="36" t="s">
        <v>1599</v>
      </c>
      <c r="C281" s="36" t="s">
        <v>3142</v>
      </c>
      <c r="D281" s="36" t="s">
        <v>3143</v>
      </c>
      <c r="E281" s="74" t="str">
        <f t="array" ref="E281">IF(
                C281 = "",
                "",
                       IF(
                           C281 ="FOTOGRAFIA",
                           "LINK",
                           "https://www.appsheet.com/template/gettablefileurl?appName=APP022ParticMagnMTV2-924373673-26-05-14&amp;tableName=4.reg_fotografico&amp;fileName="&amp;C281                        )
                          )</f>
        <v>https://www.appsheet.com/template/gettablefileurl?appName=APP022ParticMagnMTV2-924373673-26-05-14&amp;tableName=4.reg_fotografico&amp;fileName=4.reg_fotografico_Images/cc56d19f.imagen.204415.jpg</v>
      </c>
      <c r="F281" s="54" t="str">
        <f t="shared" si="2"/>
        <v/>
      </c>
    </row>
    <row r="282" ht="22.5" customHeight="1">
      <c r="A282" s="36" t="s">
        <v>3144</v>
      </c>
      <c r="B282" s="36" t="s">
        <v>1599</v>
      </c>
      <c r="C282" s="36" t="s">
        <v>3145</v>
      </c>
      <c r="D282" s="36" t="s">
        <v>3143</v>
      </c>
      <c r="E282" s="74" t="str">
        <f t="array" ref="E282">IF(
                C282 = "",
                "",
                       IF(
                           C282 ="FOTOGRAFIA",
                           "LINK",
                           "https://www.appsheet.com/template/gettablefileurl?appName=APP022ParticMagnMTV2-924373673-26-05-14&amp;tableName=4.reg_fotografico&amp;fileName="&amp;C282                        )
                          )</f>
        <v>https://www.appsheet.com/template/gettablefileurl?appName=APP022ParticMagnMTV2-924373673-26-05-14&amp;tableName=4.reg_fotografico&amp;fileName=4.reg_fotografico_Images/b942e839.imagen.204417.jpg</v>
      </c>
      <c r="F282" s="54" t="str">
        <f t="shared" si="2"/>
        <v/>
      </c>
    </row>
    <row r="283" ht="22.5" customHeight="1">
      <c r="A283" s="36" t="s">
        <v>3146</v>
      </c>
      <c r="B283" s="36" t="s">
        <v>1603</v>
      </c>
      <c r="C283" s="36" t="s">
        <v>3147</v>
      </c>
      <c r="D283" s="36" t="s">
        <v>3148</v>
      </c>
      <c r="E283" s="74" t="str">
        <f t="array" ref="E283">IF(
                C283 = "",
                "",
                       IF(
                           C283 ="FOTOGRAFIA",
                           "LINK",
                           "https://www.appsheet.com/template/gettablefileurl?appName=APP022ParticMagnMTV2-924373673-26-05-14&amp;tableName=4.reg_fotografico&amp;fileName="&amp;C283                        )
                          )</f>
        <v>https://www.appsheet.com/template/gettablefileurl?appName=APP022ParticMagnMTV2-924373673-26-05-14&amp;tableName=4.reg_fotografico&amp;fileName=4.reg_fotografico_Images/5768147d.imagen.204420.jpg</v>
      </c>
      <c r="F283" s="54" t="str">
        <f t="shared" si="2"/>
        <v/>
      </c>
    </row>
    <row r="284" ht="22.5" customHeight="1">
      <c r="A284" s="36" t="s">
        <v>3149</v>
      </c>
      <c r="B284" s="36" t="s">
        <v>1608</v>
      </c>
      <c r="C284" s="36" t="s">
        <v>3150</v>
      </c>
      <c r="D284" s="36" t="s">
        <v>3151</v>
      </c>
      <c r="E284" s="74" t="str">
        <f t="array" ref="E284">IF(
                C284 = "",
                "",
                       IF(
                           C284 ="FOTOGRAFIA",
                           "LINK",
                           "https://www.appsheet.com/template/gettablefileurl?appName=APP022ParticMagnMTV2-924373673-26-05-14&amp;tableName=4.reg_fotografico&amp;fileName="&amp;C284                        )
                          )</f>
        <v>https://www.appsheet.com/template/gettablefileurl?appName=APP022ParticMagnMTV2-924373673-26-05-14&amp;tableName=4.reg_fotografico&amp;fileName=4.reg_fotografico_Images/e691823c.imagen.024210.jpg</v>
      </c>
      <c r="F284" s="54" t="str">
        <f t="shared" si="2"/>
        <v/>
      </c>
    </row>
    <row r="285" ht="22.5" customHeight="1">
      <c r="A285" s="36" t="s">
        <v>3152</v>
      </c>
      <c r="B285" s="36" t="s">
        <v>1611</v>
      </c>
      <c r="C285" s="36" t="s">
        <v>3153</v>
      </c>
      <c r="D285" s="36" t="s">
        <v>3154</v>
      </c>
      <c r="E285" s="74" t="str">
        <f t="array" ref="E285">IF(
                C285 = "",
                "",
                       IF(
                           C285 ="FOTOGRAFIA",
                           "LINK",
                           "https://www.appsheet.com/template/gettablefileurl?appName=APP022ParticMagnMTV2-924373673-26-05-14&amp;tableName=4.reg_fotografico&amp;fileName="&amp;C285                        )
                          )</f>
        <v>https://www.appsheet.com/template/gettablefileurl?appName=APP022ParticMagnMTV2-924373673-26-05-14&amp;tableName=4.reg_fotografico&amp;fileName=4.reg_fotografico_Images/f43007d8.imagen.024638.jpg</v>
      </c>
      <c r="F285" s="54" t="str">
        <f t="shared" si="2"/>
        <v/>
      </c>
    </row>
    <row r="286" ht="22.5" customHeight="1">
      <c r="A286" s="36" t="s">
        <v>3155</v>
      </c>
      <c r="B286" s="36" t="s">
        <v>1614</v>
      </c>
      <c r="C286" s="36" t="s">
        <v>3156</v>
      </c>
      <c r="D286" s="36" t="s">
        <v>3157</v>
      </c>
      <c r="E286" s="74" t="str">
        <f t="array" ref="E286">IF(
                C286 = "",
                "",
                       IF(
                           C286 ="FOTOGRAFIA",
                           "LINK",
                           "https://www.appsheet.com/template/gettablefileurl?appName=APP022ParticMagnMTV2-924373673-26-05-14&amp;tableName=4.reg_fotografico&amp;fileName="&amp;C286                        )
                          )</f>
        <v>https://www.appsheet.com/template/gettablefileurl?appName=APP022ParticMagnMTV2-924373673-26-05-14&amp;tableName=4.reg_fotografico&amp;fileName=4.reg_fotografico_Images/fc198405.imagen.222953.jpg</v>
      </c>
      <c r="F286" s="54" t="str">
        <f t="shared" si="2"/>
        <v/>
      </c>
    </row>
    <row r="287" ht="22.5" customHeight="1">
      <c r="A287" s="36" t="s">
        <v>3158</v>
      </c>
      <c r="B287" s="36" t="s">
        <v>1618</v>
      </c>
      <c r="C287" s="36" t="s">
        <v>3159</v>
      </c>
      <c r="D287" s="36" t="s">
        <v>3160</v>
      </c>
      <c r="E287" s="74" t="str">
        <f t="array" ref="E287">IF(
                C287 = "",
                "",
                       IF(
                           C287 ="FOTOGRAFIA",
                           "LINK",
                           "https://www.appsheet.com/template/gettablefileurl?appName=APP022ParticMagnMTV2-924373673-26-05-14&amp;tableName=4.reg_fotografico&amp;fileName="&amp;C287                        )
                          )</f>
        <v>https://www.appsheet.com/template/gettablefileurl?appName=APP022ParticMagnMTV2-924373673-26-05-14&amp;tableName=4.reg_fotografico&amp;fileName=4.reg_fotografico_Images/c8e1bb07.imagen.222955.jpg</v>
      </c>
      <c r="F287" s="54" t="str">
        <f t="shared" si="2"/>
        <v/>
      </c>
    </row>
    <row r="288" ht="22.5" customHeight="1">
      <c r="A288" s="36" t="s">
        <v>3161</v>
      </c>
      <c r="B288" s="36" t="s">
        <v>1622</v>
      </c>
      <c r="C288" s="36" t="s">
        <v>3162</v>
      </c>
      <c r="D288" s="36" t="s">
        <v>3163</v>
      </c>
      <c r="E288" s="74" t="str">
        <f t="array" ref="E288">IF(
                C288 = "",
                "",
                       IF(
                           C288 ="FOTOGRAFIA",
                           "LINK",
                           "https://www.appsheet.com/template/gettablefileurl?appName=APP022ParticMagnMTV2-924373673-26-05-14&amp;tableName=4.reg_fotografico&amp;fileName="&amp;C288                        )
                          )</f>
        <v>https://www.appsheet.com/template/gettablefileurl?appName=APP022ParticMagnMTV2-924373673-26-05-14&amp;tableName=4.reg_fotografico&amp;fileName=4.reg_fotografico_Images/e5a224ae.imagen.232313.jpg</v>
      </c>
      <c r="F288" s="54" t="str">
        <f t="shared" si="2"/>
        <v/>
      </c>
    </row>
    <row r="289" ht="22.5" customHeight="1">
      <c r="A289" s="36" t="s">
        <v>3164</v>
      </c>
      <c r="B289" s="36" t="s">
        <v>1626</v>
      </c>
      <c r="C289" s="36" t="s">
        <v>3165</v>
      </c>
      <c r="D289" s="36" t="s">
        <v>3166</v>
      </c>
      <c r="E289" s="74" t="str">
        <f t="array" ref="E289">IF(
                C289 = "",
                "",
                       IF(
                           C289 ="FOTOGRAFIA",
                           "LINK",
                           "https://www.appsheet.com/template/gettablefileurl?appName=APP022ParticMagnMTV2-924373673-26-05-14&amp;tableName=4.reg_fotografico&amp;fileName="&amp;C289                        )
                          )</f>
        <v>https://www.appsheet.com/template/gettablefileurl?appName=APP022ParticMagnMTV2-924373673-26-05-14&amp;tableName=4.reg_fotografico&amp;fileName=4.reg_fotografico_Images/0a4aa788.imagen.232316.jpg</v>
      </c>
      <c r="F289" s="54" t="str">
        <f t="shared" si="2"/>
        <v/>
      </c>
    </row>
    <row r="290" ht="22.5" customHeight="1">
      <c r="A290" s="36" t="s">
        <v>3167</v>
      </c>
      <c r="B290" s="36" t="s">
        <v>3168</v>
      </c>
      <c r="C290" s="36" t="s">
        <v>3169</v>
      </c>
      <c r="D290" s="36" t="s">
        <v>3170</v>
      </c>
      <c r="E290" s="74" t="str">
        <f t="array" ref="E290">IF(
                C290 = "",
                "",
                       IF(
                           C290 ="FOTOGRAFIA",
                           "LINK",
                           "https://www.appsheet.com/template/gettablefileurl?appName=APP022ParticMagnMTV2-924373673-26-05-14&amp;tableName=4.reg_fotografico&amp;fileName="&amp;C290                        )
                          )</f>
        <v>https://www.appsheet.com/template/gettablefileurl?appName=APP022ParticMagnMTV2-924373673-26-05-14&amp;tableName=4.reg_fotografico&amp;fileName=4.reg_fotografico_Images/b9d3adc3.imagen.232319.jpg</v>
      </c>
      <c r="F290" s="54" t="str">
        <f t="shared" si="2"/>
        <v/>
      </c>
    </row>
    <row r="291" ht="22.5" customHeight="1">
      <c r="A291" s="36" t="s">
        <v>3171</v>
      </c>
      <c r="B291" s="36" t="s">
        <v>1630</v>
      </c>
      <c r="C291" s="36" t="s">
        <v>3172</v>
      </c>
      <c r="D291" s="36" t="s">
        <v>3173</v>
      </c>
      <c r="E291" s="74" t="str">
        <f t="array" ref="E291">IF(
                C291 = "",
                "",
                       IF(
                           C291 ="FOTOGRAFIA",
                           "LINK",
                           "https://www.appsheet.com/template/gettablefileurl?appName=APP022ParticMagnMTV2-924373673-26-05-14&amp;tableName=4.reg_fotografico&amp;fileName="&amp;C291                        )
                          )</f>
        <v>https://www.appsheet.com/template/gettablefileurl?appName=APP022ParticMagnMTV2-924373673-26-05-14&amp;tableName=4.reg_fotografico&amp;fileName=4.reg_fotografico_Images/5318920f.imagen.232322.jpg</v>
      </c>
      <c r="F291" s="54" t="str">
        <f t="shared" si="2"/>
        <v/>
      </c>
    </row>
    <row r="292" ht="22.5" customHeight="1">
      <c r="A292" s="36" t="s">
        <v>3174</v>
      </c>
      <c r="B292" s="36" t="s">
        <v>1632</v>
      </c>
      <c r="C292" s="36" t="s">
        <v>3175</v>
      </c>
      <c r="D292" s="36" t="s">
        <v>3176</v>
      </c>
      <c r="E292" s="74" t="str">
        <f t="array" ref="E292">IF(
                C292 = "",
                "",
                       IF(
                           C292 ="FOTOGRAFIA",
                           "LINK",
                           "https://www.appsheet.com/template/gettablefileurl?appName=APP022ParticMagnMTV2-924373673-26-05-14&amp;tableName=4.reg_fotografico&amp;fileName="&amp;C292                        )
                          )</f>
        <v>https://www.appsheet.com/template/gettablefileurl?appName=APP022ParticMagnMTV2-924373673-26-05-14&amp;tableName=4.reg_fotografico&amp;fileName=4.reg_fotografico_Images/2a7b7600.imagen.004447.jpg</v>
      </c>
      <c r="F292" s="54" t="str">
        <f t="shared" si="2"/>
        <v/>
      </c>
    </row>
    <row r="293" ht="22.5" customHeight="1">
      <c r="A293" s="36" t="s">
        <v>3177</v>
      </c>
      <c r="B293" s="36" t="s">
        <v>1636</v>
      </c>
      <c r="C293" s="36" t="s">
        <v>3178</v>
      </c>
      <c r="D293" s="36" t="s">
        <v>3179</v>
      </c>
      <c r="E293" s="74" t="str">
        <f t="array" ref="E293">IF(
                C293 = "",
                "",
                       IF(
                           C293 ="FOTOGRAFIA",
                           "LINK",
                           "https://www.appsheet.com/template/gettablefileurl?appName=APP022ParticMagnMTV2-924373673-26-05-14&amp;tableName=4.reg_fotografico&amp;fileName="&amp;C293                        )
                          )</f>
        <v>https://www.appsheet.com/template/gettablefileurl?appName=APP022ParticMagnMTV2-924373673-26-05-14&amp;tableName=4.reg_fotografico&amp;fileName=4.reg_fotografico_Images/debbeb37.imagen.004450.jpg</v>
      </c>
      <c r="F293" s="54" t="str">
        <f t="shared" si="2"/>
        <v/>
      </c>
    </row>
    <row r="294" ht="22.5" customHeight="1">
      <c r="A294" s="36" t="s">
        <v>3180</v>
      </c>
      <c r="B294" s="36" t="s">
        <v>1640</v>
      </c>
      <c r="C294" s="36" t="s">
        <v>3181</v>
      </c>
      <c r="D294" s="36" t="s">
        <v>3182</v>
      </c>
      <c r="E294" s="74" t="str">
        <f t="array" ref="E294">IF(
                C294 = "",
                "",
                       IF(
                           C294 ="FOTOGRAFIA",
                           "LINK",
                           "https://www.appsheet.com/template/gettablefileurl?appName=APP022ParticMagnMTV2-924373673-26-05-14&amp;tableName=4.reg_fotografico&amp;fileName="&amp;C294                        )
                          )</f>
        <v>https://www.appsheet.com/template/gettablefileurl?appName=APP022ParticMagnMTV2-924373673-26-05-14&amp;tableName=4.reg_fotografico&amp;fileName=4.reg_fotografico_Images/07950b12.imagen.004454.jpg</v>
      </c>
      <c r="F294" s="54" t="str">
        <f t="shared" si="2"/>
        <v/>
      </c>
    </row>
    <row r="295" ht="22.5" customHeight="1">
      <c r="A295" s="36" t="s">
        <v>3183</v>
      </c>
      <c r="B295" s="36" t="s">
        <v>1644</v>
      </c>
      <c r="C295" s="36" t="s">
        <v>3184</v>
      </c>
      <c r="D295" s="36" t="s">
        <v>3185</v>
      </c>
      <c r="E295" s="74" t="str">
        <f t="array" ref="E295">IF(
                C295 = "",
                "",
                       IF(
                           C295 ="FOTOGRAFIA",
                           "LINK",
                           "https://www.appsheet.com/template/gettablefileurl?appName=APP022ParticMagnMTV2-924373673-26-05-14&amp;tableName=4.reg_fotografico&amp;fileName="&amp;C295                        )
                          )</f>
        <v>https://www.appsheet.com/template/gettablefileurl?appName=APP022ParticMagnMTV2-924373673-26-05-14&amp;tableName=4.reg_fotografico&amp;fileName=4.reg_fotografico_Images/73eeb96c.imagen.004457.jpg</v>
      </c>
      <c r="F295" s="54" t="str">
        <f t="shared" si="2"/>
        <v/>
      </c>
    </row>
    <row r="296" ht="22.5" customHeight="1">
      <c r="A296" s="36" t="s">
        <v>3186</v>
      </c>
      <c r="B296" s="36" t="s">
        <v>1647</v>
      </c>
      <c r="C296" s="36" t="s">
        <v>3187</v>
      </c>
      <c r="D296" s="36" t="s">
        <v>3188</v>
      </c>
      <c r="E296" s="74" t="str">
        <f t="array" ref="E296">IF(
                C296 = "",
                "",
                       IF(
                           C296 ="FOTOGRAFIA",
                           "LINK",
                           "https://www.appsheet.com/template/gettablefileurl?appName=APP022ParticMagnMTV2-924373673-26-05-14&amp;tableName=4.reg_fotografico&amp;fileName="&amp;C296                        )
                          )</f>
        <v>https://www.appsheet.com/template/gettablefileurl?appName=APP022ParticMagnMTV2-924373673-26-05-14&amp;tableName=4.reg_fotografico&amp;fileName=4.reg_fotografico_Images/0772636d.imagen.004500.jpg</v>
      </c>
      <c r="F296" s="54" t="str">
        <f t="shared" si="2"/>
        <v/>
      </c>
    </row>
    <row r="297" ht="22.5" customHeight="1">
      <c r="A297" s="36" t="s">
        <v>3189</v>
      </c>
      <c r="B297" s="36" t="s">
        <v>1651</v>
      </c>
      <c r="C297" s="36" t="s">
        <v>3190</v>
      </c>
      <c r="D297" s="36" t="s">
        <v>3191</v>
      </c>
      <c r="E297" s="74" t="str">
        <f t="array" ref="E297">IF(
                C297 = "",
                "",
                       IF(
                           C297 ="FOTOGRAFIA",
                           "LINK",
                           "https://www.appsheet.com/template/gettablefileurl?appName=APP022ParticMagnMTV2-924373673-26-05-14&amp;tableName=4.reg_fotografico&amp;fileName="&amp;C297                        )
                          )</f>
        <v>https://www.appsheet.com/template/gettablefileurl?appName=APP022ParticMagnMTV2-924373673-26-05-14&amp;tableName=4.reg_fotografico&amp;fileName=4.reg_fotografico_Images/79acbf16.imagen.004503.jpg</v>
      </c>
      <c r="F297" s="54" t="str">
        <f t="shared" si="2"/>
        <v/>
      </c>
    </row>
    <row r="298" ht="22.5" customHeight="1">
      <c r="A298" s="36" t="s">
        <v>3192</v>
      </c>
      <c r="B298" s="36" t="s">
        <v>1655</v>
      </c>
      <c r="C298" s="36" t="s">
        <v>3193</v>
      </c>
      <c r="D298" s="36" t="s">
        <v>3194</v>
      </c>
      <c r="E298" s="74" t="str">
        <f t="array" ref="E298">IF(
                C298 = "",
                "",
                       IF(
                           C298 ="FOTOGRAFIA",
                           "LINK",
                           "https://www.appsheet.com/template/gettablefileurl?appName=APP022ParticMagnMTV2-924373673-26-05-14&amp;tableName=4.reg_fotografico&amp;fileName="&amp;C298                        )
                          )</f>
        <v>https://www.appsheet.com/template/gettablefileurl?appName=APP022ParticMagnMTV2-924373673-26-05-14&amp;tableName=4.reg_fotografico&amp;fileName=4.reg_fotografico_Images/b1943303.imagen.004506.jpg</v>
      </c>
      <c r="F298" s="54" t="str">
        <f t="shared" si="2"/>
        <v/>
      </c>
    </row>
    <row r="299" ht="22.5" customHeight="1">
      <c r="A299" s="36" t="s">
        <v>3195</v>
      </c>
      <c r="B299" s="36" t="s">
        <v>1659</v>
      </c>
      <c r="C299" s="36" t="s">
        <v>3196</v>
      </c>
      <c r="D299" s="36" t="s">
        <v>3197</v>
      </c>
      <c r="E299" s="74" t="str">
        <f t="array" ref="E299">IF(
                C299 = "",
                "",
                       IF(
                           C299 ="FOTOGRAFIA",
                           "LINK",
                           "https://www.appsheet.com/template/gettablefileurl?appName=APP022ParticMagnMTV2-924373673-26-05-14&amp;tableName=4.reg_fotografico&amp;fileName="&amp;C299                        )
                          )</f>
        <v>https://www.appsheet.com/template/gettablefileurl?appName=APP022ParticMagnMTV2-924373673-26-05-14&amp;tableName=4.reg_fotografico&amp;fileName=4.reg_fotografico_Images/39a57466.imagen.004509.jpg</v>
      </c>
      <c r="F299" s="54" t="str">
        <f t="shared" si="2"/>
        <v/>
      </c>
    </row>
    <row r="300" ht="22.5" customHeight="1">
      <c r="A300" s="36" t="s">
        <v>3198</v>
      </c>
      <c r="B300" s="36" t="s">
        <v>1661</v>
      </c>
      <c r="C300" s="36" t="s">
        <v>3199</v>
      </c>
      <c r="D300" s="36" t="s">
        <v>3200</v>
      </c>
      <c r="E300" s="74" t="str">
        <f t="array" ref="E300">IF(
                C300 = "",
                "",
                       IF(
                           C300 ="FOTOGRAFIA",
                           "LINK",
                           "https://www.appsheet.com/template/gettablefileurl?appName=APP022ParticMagnMTV2-924373673-26-05-14&amp;tableName=4.reg_fotografico&amp;fileName="&amp;C300                        )
                          )</f>
        <v>https://www.appsheet.com/template/gettablefileurl?appName=APP022ParticMagnMTV2-924373673-26-05-14&amp;tableName=4.reg_fotografico&amp;fileName=4.reg_fotografico_Images/2d8963fd.imagen.004512.jpg</v>
      </c>
      <c r="F300" s="54" t="str">
        <f t="shared" si="2"/>
        <v/>
      </c>
    </row>
    <row r="301" ht="22.5" customHeight="1">
      <c r="A301" s="36" t="s">
        <v>3201</v>
      </c>
      <c r="B301" s="36" t="s">
        <v>1665</v>
      </c>
      <c r="C301" s="36" t="s">
        <v>3202</v>
      </c>
      <c r="D301" s="36" t="s">
        <v>3203</v>
      </c>
      <c r="E301" s="74" t="str">
        <f t="array" ref="E301">IF(
                C301 = "",
                "",
                       IF(
                           C301 ="FOTOGRAFIA",
                           "LINK",
                           "https://www.appsheet.com/template/gettablefileurl?appName=APP022ParticMagnMTV2-924373673-26-05-14&amp;tableName=4.reg_fotografico&amp;fileName="&amp;C301                        )
                          )</f>
        <v>https://www.appsheet.com/template/gettablefileurl?appName=APP022ParticMagnMTV2-924373673-26-05-14&amp;tableName=4.reg_fotografico&amp;fileName=4.reg_fotografico_Images/6f9b1e64.imagen.005141.jpg</v>
      </c>
      <c r="F301" s="54" t="str">
        <f t="shared" si="2"/>
        <v/>
      </c>
    </row>
    <row r="302" ht="22.5" customHeight="1">
      <c r="A302" s="36" t="s">
        <v>3204</v>
      </c>
      <c r="B302" s="39" t="s">
        <v>1668</v>
      </c>
      <c r="C302" s="36" t="s">
        <v>3205</v>
      </c>
      <c r="D302" s="36" t="s">
        <v>3206</v>
      </c>
      <c r="E302" s="74" t="str">
        <f t="array" ref="E302">IF(
                C302 = "",
                "",
                       IF(
                           C302 ="FOTOGRAFIA",
                           "LINK",
                           "https://www.appsheet.com/template/gettablefileurl?appName=APP022ParticMagnMTV2-924373673-26-05-14&amp;tableName=4.reg_fotografico&amp;fileName="&amp;C302                        )
                          )</f>
        <v>https://www.appsheet.com/template/gettablefileurl?appName=APP022ParticMagnMTV2-924373673-26-05-14&amp;tableName=4.reg_fotografico&amp;fileName=4.reg_fotografico_Images/9a8dcbef.imagen.005145.jpg</v>
      </c>
      <c r="F302" s="54" t="str">
        <f t="shared" si="2"/>
        <v/>
      </c>
    </row>
    <row r="303" ht="22.5" customHeight="1">
      <c r="A303" s="36" t="s">
        <v>3207</v>
      </c>
      <c r="B303" s="36" t="s">
        <v>1669</v>
      </c>
      <c r="C303" s="36" t="s">
        <v>3208</v>
      </c>
      <c r="D303" s="36" t="s">
        <v>3209</v>
      </c>
      <c r="E303" s="74" t="str">
        <f t="array" ref="E303">IF(
                C303 = "",
                "",
                       IF(
                           C303 ="FOTOGRAFIA",
                           "LINK",
                           "https://www.appsheet.com/template/gettablefileurl?appName=APP022ParticMagnMTV2-924373673-26-05-14&amp;tableName=4.reg_fotografico&amp;fileName="&amp;C303                        )
                          )</f>
        <v>https://www.appsheet.com/template/gettablefileurl?appName=APP022ParticMagnMTV2-924373673-26-05-14&amp;tableName=4.reg_fotografico&amp;fileName=4.reg_fotografico_Images/7e4a71f9.imagen.172822.jpg</v>
      </c>
      <c r="F303" s="54" t="str">
        <f t="shared" si="2"/>
        <v/>
      </c>
    </row>
    <row r="304" ht="22.5" customHeight="1">
      <c r="A304" s="36" t="s">
        <v>3210</v>
      </c>
      <c r="B304" s="36" t="s">
        <v>1673</v>
      </c>
      <c r="C304" s="36" t="s">
        <v>3211</v>
      </c>
      <c r="D304" s="36" t="s">
        <v>3212</v>
      </c>
      <c r="E304" s="74" t="str">
        <f t="array" ref="E304">IF(
                C304 = "",
                "",
                       IF(
                           C304 ="FOTOGRAFIA",
                           "LINK",
                           "https://www.appsheet.com/template/gettablefileurl?appName=APP022ParticMagnMTV2-924373673-26-05-14&amp;tableName=4.reg_fotografico&amp;fileName="&amp;C304                        )
                          )</f>
        <v>https://www.appsheet.com/template/gettablefileurl?appName=APP022ParticMagnMTV2-924373673-26-05-14&amp;tableName=4.reg_fotografico&amp;fileName=4.reg_fotografico_Images/00f6d590.imagen.172826.jpg</v>
      </c>
      <c r="F304" s="54" t="str">
        <f t="shared" si="2"/>
        <v/>
      </c>
    </row>
    <row r="305" ht="22.5" customHeight="1">
      <c r="A305" s="36" t="s">
        <v>3213</v>
      </c>
      <c r="B305" s="36" t="s">
        <v>1677</v>
      </c>
      <c r="C305" s="36" t="s">
        <v>3214</v>
      </c>
      <c r="D305" s="36" t="s">
        <v>3215</v>
      </c>
      <c r="E305" s="74" t="str">
        <f t="array" ref="E305">IF(
                C305 = "",
                "",
                       IF(
                           C305 ="FOTOGRAFIA",
                           "LINK",
                           "https://www.appsheet.com/template/gettablefileurl?appName=APP022ParticMagnMTV2-924373673-26-05-14&amp;tableName=4.reg_fotografico&amp;fileName="&amp;C305                        )
                          )</f>
        <v>https://www.appsheet.com/template/gettablefileurl?appName=APP022ParticMagnMTV2-924373673-26-05-14&amp;tableName=4.reg_fotografico&amp;fileName=4.reg_fotografico_Images/621a926e.imagen.172829.jpg</v>
      </c>
      <c r="F305" s="54" t="str">
        <f t="shared" si="2"/>
        <v/>
      </c>
    </row>
    <row r="306" ht="22.5" customHeight="1">
      <c r="A306" s="36" t="s">
        <v>3216</v>
      </c>
      <c r="B306" s="36" t="s">
        <v>1681</v>
      </c>
      <c r="C306" s="36" t="s">
        <v>3217</v>
      </c>
      <c r="D306" s="36" t="s">
        <v>3218</v>
      </c>
      <c r="E306" s="74" t="str">
        <f t="array" ref="E306">IF(
                C306 = "",
                "",
                       IF(
                           C306 ="FOTOGRAFIA",
                           "LINK",
                           "https://www.appsheet.com/template/gettablefileurl?appName=APP022ParticMagnMTV2-924373673-26-05-14&amp;tableName=4.reg_fotografico&amp;fileName="&amp;C306                        )
                          )</f>
        <v>https://www.appsheet.com/template/gettablefileurl?appName=APP022ParticMagnMTV2-924373673-26-05-14&amp;tableName=4.reg_fotografico&amp;fileName=4.reg_fotografico_Images/a4f75372.imagen.172834.jpg</v>
      </c>
      <c r="F306" s="54" t="str">
        <f t="shared" si="2"/>
        <v/>
      </c>
    </row>
    <row r="307" ht="22.5" customHeight="1">
      <c r="A307" s="36" t="s">
        <v>3219</v>
      </c>
      <c r="B307" s="36" t="s">
        <v>1684</v>
      </c>
      <c r="C307" s="36" t="s">
        <v>3220</v>
      </c>
      <c r="D307" s="36" t="s">
        <v>3221</v>
      </c>
      <c r="E307" s="74" t="str">
        <f t="array" ref="E307">IF(
                C307 = "",
                "",
                       IF(
                           C307 ="FOTOGRAFIA",
                           "LINK",
                           "https://www.appsheet.com/template/gettablefileurl?appName=APP022ParticMagnMTV2-924373673-26-05-14&amp;tableName=4.reg_fotografico&amp;fileName="&amp;C307                        )
                          )</f>
        <v>https://www.appsheet.com/template/gettablefileurl?appName=APP022ParticMagnMTV2-924373673-26-05-14&amp;tableName=4.reg_fotografico&amp;fileName=4.reg_fotografico_Images/0649e3e6.imagen.172836.jpg</v>
      </c>
      <c r="F307" s="54" t="str">
        <f t="shared" si="2"/>
        <v/>
      </c>
    </row>
    <row r="308" ht="22.5" customHeight="1">
      <c r="A308" s="36" t="s">
        <v>3222</v>
      </c>
      <c r="B308" s="36" t="s">
        <v>1686</v>
      </c>
      <c r="C308" s="36" t="s">
        <v>3223</v>
      </c>
      <c r="D308" s="36" t="s">
        <v>3224</v>
      </c>
      <c r="E308" s="74" t="str">
        <f t="array" ref="E308">IF(
                C308 = "",
                "",
                       IF(
                           C308 ="FOTOGRAFIA",
                           "LINK",
                           "https://www.appsheet.com/template/gettablefileurl?appName=APP022ParticMagnMTV2-924373673-26-05-14&amp;tableName=4.reg_fotografico&amp;fileName="&amp;C308                        )
                          )</f>
        <v>https://www.appsheet.com/template/gettablefileurl?appName=APP022ParticMagnMTV2-924373673-26-05-14&amp;tableName=4.reg_fotografico&amp;fileName=4.reg_fotografico_Images/24baced4.imagen.172639.jpg</v>
      </c>
      <c r="F308" s="54" t="str">
        <f t="shared" si="2"/>
        <v/>
      </c>
    </row>
    <row r="309" ht="22.5" customHeight="1">
      <c r="A309" s="36" t="s">
        <v>3225</v>
      </c>
      <c r="B309" s="36" t="s">
        <v>1690</v>
      </c>
      <c r="C309" s="36" t="s">
        <v>3226</v>
      </c>
      <c r="D309" s="36" t="s">
        <v>3227</v>
      </c>
      <c r="E309" s="74" t="str">
        <f t="array" ref="E309">IF(
                C309 = "",
                "",
                       IF(
                           C309 ="FOTOGRAFIA",
                           "LINK",
                           "https://www.appsheet.com/template/gettablefileurl?appName=APP022ParticMagnMTV2-924373673-26-05-14&amp;tableName=4.reg_fotografico&amp;fileName="&amp;C309                        )
                          )</f>
        <v>https://www.appsheet.com/template/gettablefileurl?appName=APP022ParticMagnMTV2-924373673-26-05-14&amp;tableName=4.reg_fotografico&amp;fileName=4.reg_fotografico_Images/8f8c0c8a.imagen.172643.jpg</v>
      </c>
      <c r="F309" s="54" t="str">
        <f t="shared" si="2"/>
        <v/>
      </c>
    </row>
    <row r="310" ht="22.5" customHeight="1">
      <c r="A310" s="36" t="s">
        <v>3228</v>
      </c>
      <c r="B310" s="36" t="s">
        <v>1694</v>
      </c>
      <c r="C310" s="36" t="s">
        <v>3229</v>
      </c>
      <c r="D310" s="36" t="s">
        <v>3230</v>
      </c>
      <c r="E310" s="74" t="str">
        <f t="array" ref="E310">IF(
                C310 = "",
                "",
                       IF(
                           C310 ="FOTOGRAFIA",
                           "LINK",
                           "https://www.appsheet.com/template/gettablefileurl?appName=APP022ParticMagnMTV2-924373673-26-05-14&amp;tableName=4.reg_fotografico&amp;fileName="&amp;C310                        )
                          )</f>
        <v>https://www.appsheet.com/template/gettablefileurl?appName=APP022ParticMagnMTV2-924373673-26-05-14&amp;tableName=4.reg_fotografico&amp;fileName=4.reg_fotografico_Images/9a2ebbe6.imagen.193443.jpg</v>
      </c>
      <c r="F310" s="54" t="str">
        <f t="shared" si="2"/>
        <v/>
      </c>
    </row>
    <row r="311" ht="22.5" customHeight="1">
      <c r="A311" s="36" t="s">
        <v>3231</v>
      </c>
      <c r="B311" s="36" t="s">
        <v>1700</v>
      </c>
      <c r="C311" s="36" t="s">
        <v>3232</v>
      </c>
      <c r="D311" s="36" t="s">
        <v>3233</v>
      </c>
      <c r="E311" s="74" t="str">
        <f t="array" ref="E311">IF(
                C311 = "",
                "",
                       IF(
                           C311 ="FOTOGRAFIA",
                           "LINK",
                           "https://www.appsheet.com/template/gettablefileurl?appName=APP022ParticMagnMTV2-924373673-26-05-14&amp;tableName=4.reg_fotografico&amp;fileName="&amp;C311                        )
                          )</f>
        <v>https://www.appsheet.com/template/gettablefileurl?appName=APP022ParticMagnMTV2-924373673-26-05-14&amp;tableName=4.reg_fotografico&amp;fileName=4.reg_fotografico_Images/a97178cf.imagen.023614.png</v>
      </c>
      <c r="F311" s="54" t="str">
        <f t="shared" si="2"/>
        <v/>
      </c>
    </row>
    <row r="312" ht="22.5" customHeight="1">
      <c r="A312" s="36" t="s">
        <v>3234</v>
      </c>
      <c r="B312" s="36" t="s">
        <v>1704</v>
      </c>
      <c r="C312" s="36" t="s">
        <v>3235</v>
      </c>
      <c r="D312" s="36" t="s">
        <v>3236</v>
      </c>
      <c r="E312" s="74" t="str">
        <f t="array" ref="E312">IF(
                C312 = "",
                "",
                       IF(
                           C312 ="FOTOGRAFIA",
                           "LINK",
                           "https://www.appsheet.com/template/gettablefileurl?appName=APP022ParticMagnMTV2-924373673-26-05-14&amp;tableName=4.reg_fotografico&amp;fileName="&amp;C312                        )
                          )</f>
        <v>https://www.appsheet.com/template/gettablefileurl?appName=APP022ParticMagnMTV2-924373673-26-05-14&amp;tableName=4.reg_fotografico&amp;fileName=4.reg_fotografico_Images/066d43c4.imagen.023620.jpg</v>
      </c>
      <c r="F312" s="54" t="str">
        <f t="shared" si="2"/>
        <v/>
      </c>
    </row>
    <row r="313" ht="22.5" customHeight="1">
      <c r="A313" s="36" t="s">
        <v>3237</v>
      </c>
      <c r="B313" s="36" t="s">
        <v>1708</v>
      </c>
      <c r="C313" s="36" t="s">
        <v>3238</v>
      </c>
      <c r="D313" s="36" t="s">
        <v>3239</v>
      </c>
      <c r="E313" s="74" t="str">
        <f t="array" ref="E313">IF(
                C313 = "",
                "",
                       IF(
                           C313 ="FOTOGRAFIA",
                           "LINK",
                           "https://www.appsheet.com/template/gettablefileurl?appName=APP022ParticMagnMTV2-924373673-26-05-14&amp;tableName=4.reg_fotografico&amp;fileName="&amp;C313                        )
                          )</f>
        <v>https://www.appsheet.com/template/gettablefileurl?appName=APP022ParticMagnMTV2-924373673-26-05-14&amp;tableName=4.reg_fotografico&amp;fileName=4.reg_fotografico_Images/53b7791b.imagen.023626.jpg</v>
      </c>
      <c r="F313" s="54" t="str">
        <f t="shared" si="2"/>
        <v/>
      </c>
    </row>
    <row r="314" ht="22.5" customHeight="1">
      <c r="A314" s="36" t="s">
        <v>3240</v>
      </c>
      <c r="B314" s="36" t="s">
        <v>1712</v>
      </c>
      <c r="C314" s="36" t="s">
        <v>3241</v>
      </c>
      <c r="D314" s="36" t="s">
        <v>3242</v>
      </c>
      <c r="E314" s="74" t="str">
        <f t="array" ref="E314">IF(
                C314 = "",
                "",
                       IF(
                           C314 ="FOTOGRAFIA",
                           "LINK",
                           "https://www.appsheet.com/template/gettablefileurl?appName=APP022ParticMagnMTV2-924373673-26-05-14&amp;tableName=4.reg_fotografico&amp;fileName="&amp;C314                        )
                          )</f>
        <v>https://www.appsheet.com/template/gettablefileurl?appName=APP022ParticMagnMTV2-924373673-26-05-14&amp;tableName=4.reg_fotografico&amp;fileName=4.reg_fotografico_Images/c4566ec4.imagen.023632.jpg</v>
      </c>
      <c r="F314" s="54" t="str">
        <f t="shared" si="2"/>
        <v/>
      </c>
    </row>
    <row r="315" ht="22.5" customHeight="1">
      <c r="A315" s="36" t="s">
        <v>3243</v>
      </c>
      <c r="B315" s="36" t="s">
        <v>1716</v>
      </c>
      <c r="C315" s="36" t="s">
        <v>3244</v>
      </c>
      <c r="D315" s="36" t="s">
        <v>3245</v>
      </c>
      <c r="E315" s="74" t="str">
        <f t="array" ref="E315">IF(
                C315 = "",
                "",
                       IF(
                           C315 ="FOTOGRAFIA",
                           "LINK",
                           "https://www.appsheet.com/template/gettablefileurl?appName=APP022ParticMagnMTV2-924373673-26-05-14&amp;tableName=4.reg_fotografico&amp;fileName="&amp;C315                        )
                          )</f>
        <v>https://www.appsheet.com/template/gettablefileurl?appName=APP022ParticMagnMTV2-924373673-26-05-14&amp;tableName=4.reg_fotografico&amp;fileName=4.reg_fotografico_Images/61fd69f9.imagen.023638.jpg</v>
      </c>
      <c r="F315" s="54" t="str">
        <f t="shared" si="2"/>
        <v/>
      </c>
    </row>
    <row r="316" ht="22.5" customHeight="1">
      <c r="A316" s="36" t="s">
        <v>3246</v>
      </c>
      <c r="B316" s="36" t="s">
        <v>1716</v>
      </c>
      <c r="C316" s="36" t="s">
        <v>3247</v>
      </c>
      <c r="D316" s="36" t="s">
        <v>3245</v>
      </c>
      <c r="E316" s="74" t="str">
        <f t="array" ref="E316">IF(
                C316 = "",
                "",
                       IF(
                           C316 ="FOTOGRAFIA",
                           "LINK",
                           "https://www.appsheet.com/template/gettablefileurl?appName=APP022ParticMagnMTV2-924373673-26-05-14&amp;tableName=4.reg_fotografico&amp;fileName="&amp;C316                        )
                          )</f>
        <v>https://www.appsheet.com/template/gettablefileurl?appName=APP022ParticMagnMTV2-924373673-26-05-14&amp;tableName=4.reg_fotografico&amp;fileName=4.reg_fotografico_Images/e26b6c1f.imagen.023644.jpg</v>
      </c>
      <c r="F316" s="54" t="str">
        <f t="shared" si="2"/>
        <v/>
      </c>
    </row>
    <row r="317" ht="22.5" customHeight="1">
      <c r="A317" s="36" t="s">
        <v>3248</v>
      </c>
      <c r="B317" s="36" t="s">
        <v>1712</v>
      </c>
      <c r="C317" s="36" t="s">
        <v>3249</v>
      </c>
      <c r="D317" s="36" t="s">
        <v>3242</v>
      </c>
      <c r="E317" s="74" t="str">
        <f t="array" ref="E317">IF(
                C317 = "",
                "",
                       IF(
                           C317 ="FOTOGRAFIA",
                           "LINK",
                           "https://www.appsheet.com/template/gettablefileurl?appName=APP022ParticMagnMTV2-924373673-26-05-14&amp;tableName=4.reg_fotografico&amp;fileName="&amp;C317                        )
                          )</f>
        <v>https://www.appsheet.com/template/gettablefileurl?appName=APP022ParticMagnMTV2-924373673-26-05-14&amp;tableName=4.reg_fotografico&amp;fileName=4.reg_fotografico_Images/4a5566cb.imagen.023651.jpg</v>
      </c>
      <c r="F317" s="54" t="str">
        <f t="shared" si="2"/>
        <v/>
      </c>
    </row>
    <row r="318" ht="22.5" customHeight="1">
      <c r="A318" s="36" t="s">
        <v>3250</v>
      </c>
      <c r="B318" s="36" t="s">
        <v>1708</v>
      </c>
      <c r="C318" s="36" t="s">
        <v>3251</v>
      </c>
      <c r="D318" s="36" t="s">
        <v>3239</v>
      </c>
      <c r="E318" s="74" t="str">
        <f t="array" ref="E318">IF(
                C318 = "",
                "",
                       IF(
                           C318 ="FOTOGRAFIA",
                           "LINK",
                           "https://www.appsheet.com/template/gettablefileurl?appName=APP022ParticMagnMTV2-924373673-26-05-14&amp;tableName=4.reg_fotografico&amp;fileName="&amp;C318                        )
                          )</f>
        <v>https://www.appsheet.com/template/gettablefileurl?appName=APP022ParticMagnMTV2-924373673-26-05-14&amp;tableName=4.reg_fotografico&amp;fileName=4.reg_fotografico_Images/d5a12496.imagen.023657.jpg</v>
      </c>
      <c r="F318" s="54" t="str">
        <f t="shared" si="2"/>
        <v/>
      </c>
    </row>
    <row r="319" ht="22.5" customHeight="1">
      <c r="A319" s="36" t="s">
        <v>3252</v>
      </c>
      <c r="B319" s="36" t="s">
        <v>1704</v>
      </c>
      <c r="C319" s="36" t="s">
        <v>3253</v>
      </c>
      <c r="D319" s="36" t="s">
        <v>3236</v>
      </c>
      <c r="E319" s="74" t="str">
        <f t="array" ref="E319">IF(
                C319 = "",
                "",
                       IF(
                           C319 ="FOTOGRAFIA",
                           "LINK",
                           "https://www.appsheet.com/template/gettablefileurl?appName=APP022ParticMagnMTV2-924373673-26-05-14&amp;tableName=4.reg_fotografico&amp;fileName="&amp;C319                        )
                          )</f>
        <v>https://www.appsheet.com/template/gettablefileurl?appName=APP022ParticMagnMTV2-924373673-26-05-14&amp;tableName=4.reg_fotografico&amp;fileName=4.reg_fotografico_Images/4d7dc839.imagen.023702.jpg</v>
      </c>
      <c r="F319" s="54" t="str">
        <f t="shared" si="2"/>
        <v/>
      </c>
    </row>
    <row r="320" ht="22.5" customHeight="1">
      <c r="A320" s="36" t="s">
        <v>3254</v>
      </c>
      <c r="B320" s="36" t="s">
        <v>1720</v>
      </c>
      <c r="C320" s="36" t="s">
        <v>3255</v>
      </c>
      <c r="D320" s="36" t="s">
        <v>3256</v>
      </c>
      <c r="E320" s="74" t="str">
        <f t="array" ref="E320">IF(
                C320 = "",
                "",
                       IF(
                           C320 ="FOTOGRAFIA",
                           "LINK",
                           "https://www.appsheet.com/template/gettablefileurl?appName=APP022ParticMagnMTV2-924373673-26-05-14&amp;tableName=4.reg_fotografico&amp;fileName="&amp;C320                        )
                          )</f>
        <v>https://www.appsheet.com/template/gettablefileurl?appName=APP022ParticMagnMTV2-924373673-26-05-14&amp;tableName=4.reg_fotografico&amp;fileName=4.reg_fotografico_Images/98a27ab8.imagen.194807.jpg</v>
      </c>
      <c r="F320" s="54" t="str">
        <f t="shared" si="2"/>
        <v/>
      </c>
    </row>
    <row r="321" ht="22.5" customHeight="1">
      <c r="A321" s="36" t="s">
        <v>3257</v>
      </c>
      <c r="B321" s="36" t="s">
        <v>1724</v>
      </c>
      <c r="C321" s="36" t="s">
        <v>3258</v>
      </c>
      <c r="D321" s="36" t="s">
        <v>3259</v>
      </c>
      <c r="E321" s="74" t="str">
        <f t="array" ref="E321">IF(
                C321 = "",
                "",
                       IF(
                           C321 ="FOTOGRAFIA",
                           "LINK",
                           "https://www.appsheet.com/template/gettablefileurl?appName=APP022ParticMagnMTV2-924373673-26-05-14&amp;tableName=4.reg_fotografico&amp;fileName="&amp;C321                        )
                          )</f>
        <v>https://www.appsheet.com/template/gettablefileurl?appName=APP022ParticMagnMTV2-924373673-26-05-14&amp;tableName=4.reg_fotografico&amp;fileName=4.reg_fotografico_Images/37d3c5ba.imagen.200331.jpg</v>
      </c>
      <c r="F321" s="54" t="str">
        <f t="shared" si="2"/>
        <v/>
      </c>
    </row>
    <row r="322" ht="22.5" customHeight="1">
      <c r="A322" s="36" t="s">
        <v>3260</v>
      </c>
      <c r="B322" s="36" t="s">
        <v>1833</v>
      </c>
      <c r="C322" s="36" t="s">
        <v>3261</v>
      </c>
      <c r="D322" s="36" t="s">
        <v>3262</v>
      </c>
      <c r="E322" s="74" t="str">
        <f t="array" ref="E322">IF(
                C322 = "",
                "",
                       IF(
                           C322 ="FOTOGRAFIA",
                           "LINK",
                           "https://www.appsheet.com/template/gettablefileurl?appName=APP022ParticMagnMTV2-924373673-26-05-14&amp;tableName=4.reg_fotografico&amp;fileName="&amp;C322                        )
                          )</f>
        <v>https://www.appsheet.com/template/gettablefileurl?appName=APP022ParticMagnMTV2-924373673-26-05-14&amp;tableName=4.reg_fotografico&amp;fileName=4.reg_fotografico_Images/3c2c8b31.imagen.203323.jpg</v>
      </c>
      <c r="F322" s="54" t="str">
        <f t="shared" si="2"/>
        <v/>
      </c>
    </row>
    <row r="323" ht="22.5" customHeight="1">
      <c r="A323" s="36" t="s">
        <v>3263</v>
      </c>
      <c r="B323" s="36" t="s">
        <v>1837</v>
      </c>
      <c r="C323" s="36" t="s">
        <v>3264</v>
      </c>
      <c r="D323" s="36" t="s">
        <v>3265</v>
      </c>
      <c r="E323" s="74" t="str">
        <f t="array" ref="E323">IF(
                C323 = "",
                "",
                       IF(
                           C323 ="FOTOGRAFIA",
                           "LINK",
                           "https://www.appsheet.com/template/gettablefileurl?appName=APP022ParticMagnMTV2-924373673-26-05-14&amp;tableName=4.reg_fotografico&amp;fileName="&amp;C323                        )
                          )</f>
        <v>https://www.appsheet.com/template/gettablefileurl?appName=APP022ParticMagnMTV2-924373673-26-05-14&amp;tableName=4.reg_fotografico&amp;fileName=4.reg_fotografico_Images/1c180cc6.imagen.203326.jpg</v>
      </c>
      <c r="F323" s="54" t="str">
        <f t="shared" si="2"/>
        <v/>
      </c>
    </row>
    <row r="324" ht="22.5" customHeight="1">
      <c r="A324" s="36" t="s">
        <v>3266</v>
      </c>
      <c r="B324" s="36" t="s">
        <v>1840</v>
      </c>
      <c r="C324" s="36" t="s">
        <v>3267</v>
      </c>
      <c r="D324" s="36" t="s">
        <v>3268</v>
      </c>
      <c r="E324" s="74" t="str">
        <f t="array" ref="E324">IF(
                C324 = "",
                "",
                       IF(
                           C324 ="FOTOGRAFIA",
                           "LINK",
                           "https://www.appsheet.com/template/gettablefileurl?appName=APP022ParticMagnMTV2-924373673-26-05-14&amp;tableName=4.reg_fotografico&amp;fileName="&amp;C324                        )
                          )</f>
        <v>https://www.appsheet.com/template/gettablefileurl?appName=APP022ParticMagnMTV2-924373673-26-05-14&amp;tableName=4.reg_fotografico&amp;fileName=4.reg_fotografico_Images/63cd5e54.imagen.203329.jpg</v>
      </c>
      <c r="F324" s="54" t="str">
        <f t="shared" si="2"/>
        <v/>
      </c>
    </row>
    <row r="325" ht="22.5" customHeight="1">
      <c r="A325" s="36" t="s">
        <v>3269</v>
      </c>
      <c r="B325" s="36" t="s">
        <v>1843</v>
      </c>
      <c r="C325" s="36" t="s">
        <v>3270</v>
      </c>
      <c r="D325" s="36" t="s">
        <v>3271</v>
      </c>
      <c r="E325" s="74" t="str">
        <f t="array" ref="E325">IF(
                C325 = "",
                "",
                       IF(
                           C325 ="FOTOGRAFIA",
                           "LINK",
                           "https://www.appsheet.com/template/gettablefileurl?appName=APP022ParticMagnMTV2-924373673-26-05-14&amp;tableName=4.reg_fotografico&amp;fileName="&amp;C325                        )
                          )</f>
        <v>https://www.appsheet.com/template/gettablefileurl?appName=APP022ParticMagnMTV2-924373673-26-05-14&amp;tableName=4.reg_fotografico&amp;fileName=4.reg_fotografico_Images/9b51fd4a.imagen.204529.jpg</v>
      </c>
      <c r="F325" s="54" t="str">
        <f t="shared" si="2"/>
        <v/>
      </c>
    </row>
    <row r="326" ht="22.5" customHeight="1">
      <c r="A326" s="36" t="s">
        <v>3272</v>
      </c>
      <c r="B326" s="36" t="s">
        <v>1845</v>
      </c>
      <c r="C326" s="36" t="s">
        <v>3273</v>
      </c>
      <c r="D326" s="36" t="s">
        <v>3274</v>
      </c>
      <c r="E326" s="74" t="str">
        <f t="array" ref="E326">IF(
                C326 = "",
                "",
                       IF(
                           C326 ="FOTOGRAFIA",
                           "LINK",
                           "https://www.appsheet.com/template/gettablefileurl?appName=APP022ParticMagnMTV2-924373673-26-05-14&amp;tableName=4.reg_fotografico&amp;fileName="&amp;C326                        )
                          )</f>
        <v>https://www.appsheet.com/template/gettablefileurl?appName=APP022ParticMagnMTV2-924373673-26-05-14&amp;tableName=4.reg_fotografico&amp;fileName=4.reg_fotografico_Images/c04c0f50.imagen.203335.jpg</v>
      </c>
      <c r="F326" s="54" t="str">
        <f t="shared" si="2"/>
        <v/>
      </c>
    </row>
    <row r="327" ht="22.5" customHeight="1">
      <c r="A327" s="36" t="s">
        <v>3275</v>
      </c>
      <c r="B327" s="36" t="s">
        <v>1848</v>
      </c>
      <c r="C327" s="36" t="s">
        <v>3276</v>
      </c>
      <c r="D327" s="36" t="s">
        <v>3277</v>
      </c>
      <c r="E327" s="74" t="str">
        <f t="array" ref="E327">IF(
                C327 = "",
                "",
                       IF(
                           C327 ="FOTOGRAFIA",
                           "LINK",
                           "https://www.appsheet.com/template/gettablefileurl?appName=APP022ParticMagnMTV2-924373673-26-05-14&amp;tableName=4.reg_fotografico&amp;fileName="&amp;C327                        )
                          )</f>
        <v>https://www.appsheet.com/template/gettablefileurl?appName=APP022ParticMagnMTV2-924373673-26-05-14&amp;tableName=4.reg_fotografico&amp;fileName=4.reg_fotografico_Images/d0dc800f.imagen.203340.jpg</v>
      </c>
      <c r="F327" s="54" t="str">
        <f t="shared" si="2"/>
        <v/>
      </c>
    </row>
    <row r="328" ht="22.5" customHeight="1">
      <c r="A328" s="36" t="s">
        <v>3278</v>
      </c>
      <c r="B328" s="36" t="s">
        <v>1851</v>
      </c>
      <c r="C328" s="36" t="s">
        <v>3279</v>
      </c>
      <c r="D328" s="36" t="s">
        <v>3280</v>
      </c>
      <c r="E328" s="74" t="str">
        <f t="array" ref="E328">IF(
                C328 = "",
                "",
                       IF(
                           C328 ="FOTOGRAFIA",
                           "LINK",
                           "https://www.appsheet.com/template/gettablefileurl?appName=APP022ParticMagnMTV2-924373673-26-05-14&amp;tableName=4.reg_fotografico&amp;fileName="&amp;C328                        )
                          )</f>
        <v>https://www.appsheet.com/template/gettablefileurl?appName=APP022ParticMagnMTV2-924373673-26-05-14&amp;tableName=4.reg_fotografico&amp;fileName=4.reg_fotografico_Images/16f0a4fc.imagen.203343.jpg</v>
      </c>
      <c r="F328" s="54" t="str">
        <f t="shared" si="2"/>
        <v/>
      </c>
    </row>
    <row r="329" ht="22.5" customHeight="1">
      <c r="A329" s="36" t="s">
        <v>3281</v>
      </c>
      <c r="B329" s="36" t="s">
        <v>1854</v>
      </c>
      <c r="C329" s="36" t="s">
        <v>3282</v>
      </c>
      <c r="D329" s="36" t="s">
        <v>3283</v>
      </c>
      <c r="E329" s="74" t="str">
        <f t="array" ref="E329">IF(
                C329 = "",
                "",
                       IF(
                           C329 ="FOTOGRAFIA",
                           "LINK",
                           "https://www.appsheet.com/template/gettablefileurl?appName=APP022ParticMagnMTV2-924373673-26-05-14&amp;tableName=4.reg_fotografico&amp;fileName="&amp;C329                        )
                          )</f>
        <v>https://www.appsheet.com/template/gettablefileurl?appName=APP022ParticMagnMTV2-924373673-26-05-14&amp;tableName=4.reg_fotografico&amp;fileName=4.reg_fotografico_Images/c3f1e9ec.imagen.203346.jpg</v>
      </c>
      <c r="F329" s="54" t="str">
        <f t="shared" si="2"/>
        <v/>
      </c>
    </row>
    <row r="330" ht="22.5" customHeight="1">
      <c r="A330" s="36" t="s">
        <v>3284</v>
      </c>
      <c r="B330" s="36" t="s">
        <v>1857</v>
      </c>
      <c r="C330" s="36" t="s">
        <v>3285</v>
      </c>
      <c r="D330" s="36" t="s">
        <v>3286</v>
      </c>
      <c r="E330" s="74" t="str">
        <f t="array" ref="E330">IF(
                C330 = "",
                "",
                       IF(
                           C330 ="FOTOGRAFIA",
                           "LINK",
                           "https://www.appsheet.com/template/gettablefileurl?appName=APP022ParticMagnMTV2-924373673-26-05-14&amp;tableName=4.reg_fotografico&amp;fileName="&amp;C330                        )
                          )</f>
        <v>https://www.appsheet.com/template/gettablefileurl?appName=APP022ParticMagnMTV2-924373673-26-05-14&amp;tableName=4.reg_fotografico&amp;fileName=4.reg_fotografico_Images/2be4ce0d.imagen.203349.jpg</v>
      </c>
      <c r="F330" s="54" t="str">
        <f t="shared" si="2"/>
        <v/>
      </c>
    </row>
    <row r="331" ht="22.5" customHeight="1">
      <c r="A331" s="36" t="s">
        <v>3287</v>
      </c>
      <c r="B331" s="36" t="s">
        <v>1861</v>
      </c>
      <c r="C331" s="36" t="s">
        <v>3288</v>
      </c>
      <c r="D331" s="36" t="s">
        <v>3289</v>
      </c>
      <c r="E331" s="74" t="str">
        <f t="array" ref="E331">IF(
                C331 = "",
                "",
                       IF(
                           C331 ="FOTOGRAFIA",
                           "LINK",
                           "https://www.appsheet.com/template/gettablefileurl?appName=APP022ParticMagnMTV2-924373673-26-05-14&amp;tableName=4.reg_fotografico&amp;fileName="&amp;C331                        )
                          )</f>
        <v>https://www.appsheet.com/template/gettablefileurl?appName=APP022ParticMagnMTV2-924373673-26-05-14&amp;tableName=4.reg_fotografico&amp;fileName=4.reg_fotografico_Images/35fc2dec.imagen.203352.jpg</v>
      </c>
      <c r="F331" s="54" t="str">
        <f t="shared" si="2"/>
        <v/>
      </c>
    </row>
    <row r="332" ht="22.5" customHeight="1">
      <c r="A332" s="36" t="s">
        <v>3290</v>
      </c>
      <c r="B332" s="36" t="s">
        <v>1864</v>
      </c>
      <c r="C332" s="36" t="s">
        <v>3291</v>
      </c>
      <c r="D332" s="36" t="s">
        <v>3292</v>
      </c>
      <c r="E332" s="74" t="str">
        <f t="array" ref="E332">IF(
                C332 = "",
                "",
                       IF(
                           C332 ="FOTOGRAFIA",
                           "LINK",
                           "https://www.appsheet.com/template/gettablefileurl?appName=APP022ParticMagnMTV2-924373673-26-05-14&amp;tableName=4.reg_fotografico&amp;fileName="&amp;C332                        )
                          )</f>
        <v>https://www.appsheet.com/template/gettablefileurl?appName=APP022ParticMagnMTV2-924373673-26-05-14&amp;tableName=4.reg_fotografico&amp;fileName=4.reg_fotografico_Images/0b9c2024.imagen.203356.jpg</v>
      </c>
      <c r="F332" s="54" t="str">
        <f t="shared" si="2"/>
        <v/>
      </c>
    </row>
    <row r="333" ht="22.5" customHeight="1">
      <c r="A333" s="36" t="s">
        <v>3293</v>
      </c>
      <c r="B333" s="36" t="s">
        <v>1868</v>
      </c>
      <c r="C333" s="36" t="s">
        <v>3294</v>
      </c>
      <c r="D333" s="36" t="s">
        <v>3295</v>
      </c>
      <c r="E333" s="74" t="str">
        <f t="array" ref="E333">IF(
                C333 = "",
                "",
                       IF(
                           C333 ="FOTOGRAFIA",
                           "LINK",
                           "https://www.appsheet.com/template/gettablefileurl?appName=APP022ParticMagnMTV2-924373673-26-05-14&amp;tableName=4.reg_fotografico&amp;fileName="&amp;C333                        )
                          )</f>
        <v>https://www.appsheet.com/template/gettablefileurl?appName=APP022ParticMagnMTV2-924373673-26-05-14&amp;tableName=4.reg_fotografico&amp;fileName=4.reg_fotografico_Images/faa9edcc.imagen.203359.jpg</v>
      </c>
      <c r="F333" s="54" t="str">
        <f t="shared" si="2"/>
        <v/>
      </c>
    </row>
    <row r="334" ht="22.5" customHeight="1">
      <c r="A334" s="36" t="s">
        <v>3296</v>
      </c>
      <c r="B334" s="36" t="s">
        <v>1871</v>
      </c>
      <c r="C334" s="36" t="s">
        <v>3297</v>
      </c>
      <c r="D334" s="36" t="s">
        <v>3298</v>
      </c>
      <c r="E334" s="74" t="str">
        <f t="array" ref="E334">IF(
                C334 = "",
                "",
                       IF(
                           C334 ="FOTOGRAFIA",
                           "LINK",
                           "https://www.appsheet.com/template/gettablefileurl?appName=APP022ParticMagnMTV2-924373673-26-05-14&amp;tableName=4.reg_fotografico&amp;fileName="&amp;C334                        )
                          )</f>
        <v>https://www.appsheet.com/template/gettablefileurl?appName=APP022ParticMagnMTV2-924373673-26-05-14&amp;tableName=4.reg_fotografico&amp;fileName=4.reg_fotografico_Images/7df68333.imagen.203403.jpg</v>
      </c>
      <c r="F334" s="54" t="str">
        <f t="shared" si="2"/>
        <v/>
      </c>
    </row>
    <row r="335" ht="22.5" customHeight="1">
      <c r="A335" s="36" t="s">
        <v>3299</v>
      </c>
      <c r="B335" s="36" t="s">
        <v>1805</v>
      </c>
      <c r="C335" s="36" t="s">
        <v>3300</v>
      </c>
      <c r="D335" s="36" t="s">
        <v>3301</v>
      </c>
      <c r="E335" s="74" t="str">
        <f t="array" ref="E335">IF(
                C335 = "",
                "",
                       IF(
                           C335 ="FOTOGRAFIA",
                           "LINK",
                           "https://www.appsheet.com/template/gettablefileurl?appName=APP022ParticMagnMTV2-924373673-26-05-14&amp;tableName=4.reg_fotografico&amp;fileName="&amp;C335                        )
                          )</f>
        <v>https://www.appsheet.com/template/gettablefileurl?appName=APP022ParticMagnMTV2-924373673-26-05-14&amp;tableName=4.reg_fotografico&amp;fileName=4.reg_fotografico_Images/8fa95627.imagen.205001.jpg</v>
      </c>
      <c r="F335" s="54" t="str">
        <f t="shared" si="2"/>
        <v/>
      </c>
    </row>
    <row r="336" ht="22.5" customHeight="1">
      <c r="A336" s="36" t="s">
        <v>3302</v>
      </c>
      <c r="B336" s="36" t="s">
        <v>1790</v>
      </c>
      <c r="C336" s="36" t="s">
        <v>3303</v>
      </c>
      <c r="D336" s="36" t="s">
        <v>3304</v>
      </c>
      <c r="E336" s="74" t="str">
        <f t="array" ref="E336">IF(
                C336 = "",
                "",
                       IF(
                           C336 ="FOTOGRAFIA",
                           "LINK",
                           "https://www.appsheet.com/template/gettablefileurl?appName=APP022ParticMagnMTV2-924373673-26-05-14&amp;tableName=4.reg_fotografico&amp;fileName="&amp;C336                        )
                          )</f>
        <v>https://www.appsheet.com/template/gettablefileurl?appName=APP022ParticMagnMTV2-924373673-26-05-14&amp;tableName=4.reg_fotografico&amp;fileName=4.reg_fotografico_Images/93a97631.imagen.205004.jpg</v>
      </c>
      <c r="F336" s="54" t="str">
        <f t="shared" si="2"/>
        <v/>
      </c>
    </row>
    <row r="337" ht="22.5" customHeight="1">
      <c r="A337" s="36" t="s">
        <v>3305</v>
      </c>
      <c r="B337" s="36" t="s">
        <v>1758</v>
      </c>
      <c r="C337" s="36" t="s">
        <v>3306</v>
      </c>
      <c r="D337" s="36" t="s">
        <v>3307</v>
      </c>
      <c r="E337" s="74" t="str">
        <f t="array" ref="E337">IF(
                C337 = "",
                "",
                       IF(
                           C337 ="FOTOGRAFIA",
                           "LINK",
                           "https://www.appsheet.com/template/gettablefileurl?appName=APP022ParticMagnMTV2-924373673-26-05-14&amp;tableName=4.reg_fotografico&amp;fileName="&amp;C337                        )
                          )</f>
        <v>https://www.appsheet.com/template/gettablefileurl?appName=APP022ParticMagnMTV2-924373673-26-05-14&amp;tableName=4.reg_fotografico&amp;fileName=4.reg_fotografico_Images/c1571b4a.imagen.205007.jpg</v>
      </c>
      <c r="F337" s="54" t="str">
        <f t="shared" si="2"/>
        <v/>
      </c>
    </row>
    <row r="338" ht="22.5" customHeight="1">
      <c r="A338" s="36" t="s">
        <v>3308</v>
      </c>
      <c r="B338" s="36" t="s">
        <v>1780</v>
      </c>
      <c r="C338" s="36" t="s">
        <v>3309</v>
      </c>
      <c r="D338" s="36" t="s">
        <v>3310</v>
      </c>
      <c r="E338" s="74" t="str">
        <f t="array" ref="E338">IF(
                C338 = "",
                "",
                       IF(
                           C338 ="FOTOGRAFIA",
                           "LINK",
                           "https://www.appsheet.com/template/gettablefileurl?appName=APP022ParticMagnMTV2-924373673-26-05-14&amp;tableName=4.reg_fotografico&amp;fileName="&amp;C338                        )
                          )</f>
        <v>https://www.appsheet.com/template/gettablefileurl?appName=APP022ParticMagnMTV2-924373673-26-05-14&amp;tableName=4.reg_fotografico&amp;fileName=4.reg_fotografico_Images/1b199f9a.imagen.205010.jpg</v>
      </c>
      <c r="F338" s="54" t="str">
        <f t="shared" si="2"/>
        <v/>
      </c>
    </row>
    <row r="339" ht="22.5" customHeight="1">
      <c r="A339" s="36" t="s">
        <v>3311</v>
      </c>
      <c r="B339" s="36" t="s">
        <v>1817</v>
      </c>
      <c r="C339" s="36" t="s">
        <v>3312</v>
      </c>
      <c r="D339" s="36" t="s">
        <v>3313</v>
      </c>
      <c r="E339" s="74" t="str">
        <f t="array" ref="E339">IF(
                C339 = "",
                "",
                       IF(
                           C339 ="FOTOGRAFIA",
                           "LINK",
                           "https://www.appsheet.com/template/gettablefileurl?appName=APP022ParticMagnMTV2-924373673-26-05-14&amp;tableName=4.reg_fotografico&amp;fileName="&amp;C339                        )
                          )</f>
        <v>https://www.appsheet.com/template/gettablefileurl?appName=APP022ParticMagnMTV2-924373673-26-05-14&amp;tableName=4.reg_fotografico&amp;fileName=4.reg_fotografico_Images/9e491e29.imagen.205014.jpg</v>
      </c>
      <c r="F339" s="54" t="str">
        <f t="shared" si="2"/>
        <v/>
      </c>
    </row>
    <row r="340" ht="22.5" customHeight="1">
      <c r="A340" s="36" t="s">
        <v>3314</v>
      </c>
      <c r="B340" s="36" t="s">
        <v>1747</v>
      </c>
      <c r="C340" s="36" t="s">
        <v>3315</v>
      </c>
      <c r="D340" s="36" t="s">
        <v>3316</v>
      </c>
      <c r="E340" s="74" t="str">
        <f t="array" ref="E340">IF(
                C340 = "",
                "",
                       IF(
                           C340 ="FOTOGRAFIA",
                           "LINK",
                           "https://www.appsheet.com/template/gettablefileurl?appName=APP022ParticMagnMTV2-924373673-26-05-14&amp;tableName=4.reg_fotografico&amp;fileName="&amp;C340                        )
                          )</f>
        <v>https://www.appsheet.com/template/gettablefileurl?appName=APP022ParticMagnMTV2-924373673-26-05-14&amp;tableName=4.reg_fotografico&amp;fileName=4.reg_fotografico_Images/070ee24d.imagen.205018.jpg</v>
      </c>
      <c r="F340" s="54" t="str">
        <f t="shared" si="2"/>
        <v/>
      </c>
    </row>
    <row r="341" ht="22.5" customHeight="1">
      <c r="A341" s="36" t="s">
        <v>3317</v>
      </c>
      <c r="B341" s="36" t="s">
        <v>1764</v>
      </c>
      <c r="C341" s="36" t="s">
        <v>3318</v>
      </c>
      <c r="D341" s="36" t="s">
        <v>3319</v>
      </c>
      <c r="E341" s="74" t="str">
        <f t="array" ref="E341">IF(
                C341 = "",
                "",
                       IF(
                           C341 ="FOTOGRAFIA",
                           "LINK",
                           "https://www.appsheet.com/template/gettablefileurl?appName=APP022ParticMagnMTV2-924373673-26-05-14&amp;tableName=4.reg_fotografico&amp;fileName="&amp;C341                        )
                          )</f>
        <v>https://www.appsheet.com/template/gettablefileurl?appName=APP022ParticMagnMTV2-924373673-26-05-14&amp;tableName=4.reg_fotografico&amp;fileName=4.reg_fotografico_Images/1974f4af.imagen.205021.jpg</v>
      </c>
      <c r="F341" s="54" t="str">
        <f t="shared" si="2"/>
        <v/>
      </c>
    </row>
    <row r="342" ht="22.5" customHeight="1">
      <c r="A342" s="36" t="s">
        <v>3320</v>
      </c>
      <c r="B342" s="36" t="s">
        <v>1814</v>
      </c>
      <c r="C342" s="36" t="s">
        <v>3321</v>
      </c>
      <c r="D342" s="36" t="s">
        <v>3322</v>
      </c>
      <c r="E342" s="74" t="str">
        <f t="array" ref="E342">IF(
                C342 = "",
                "",
                       IF(
                           C342 ="FOTOGRAFIA",
                           "LINK",
                           "https://www.appsheet.com/template/gettablefileurl?appName=APP022ParticMagnMTV2-924373673-26-05-14&amp;tableName=4.reg_fotografico&amp;fileName="&amp;C342                        )
                          )</f>
        <v>https://www.appsheet.com/template/gettablefileurl?appName=APP022ParticMagnMTV2-924373673-26-05-14&amp;tableName=4.reg_fotografico&amp;fileName=4.reg_fotografico_Images/369e77fb.imagen.205024.jpg</v>
      </c>
      <c r="F342" s="54" t="str">
        <f t="shared" si="2"/>
        <v/>
      </c>
    </row>
    <row r="343" ht="22.5" customHeight="1">
      <c r="A343" s="36" t="s">
        <v>3323</v>
      </c>
      <c r="B343" s="36" t="s">
        <v>1755</v>
      </c>
      <c r="C343" s="36" t="s">
        <v>3324</v>
      </c>
      <c r="D343" s="36" t="s">
        <v>3325</v>
      </c>
      <c r="E343" s="74" t="str">
        <f t="array" ref="E343">IF(
                C343 = "",
                "",
                       IF(
                           C343 ="FOTOGRAFIA",
                           "LINK",
                           "https://www.appsheet.com/template/gettablefileurl?appName=APP022ParticMagnMTV2-924373673-26-05-14&amp;tableName=4.reg_fotografico&amp;fileName="&amp;C343                        )
                          )</f>
        <v>https://www.appsheet.com/template/gettablefileurl?appName=APP022ParticMagnMTV2-924373673-26-05-14&amp;tableName=4.reg_fotografico&amp;fileName=4.reg_fotografico_Images/957cfe61.imagen.205027.jpg</v>
      </c>
      <c r="F343" s="54" t="str">
        <f t="shared" si="2"/>
        <v/>
      </c>
    </row>
    <row r="344" ht="22.5" customHeight="1">
      <c r="A344" s="36" t="s">
        <v>3326</v>
      </c>
      <c r="B344" s="36" t="s">
        <v>1783</v>
      </c>
      <c r="C344" s="36" t="s">
        <v>3327</v>
      </c>
      <c r="D344" s="36" t="s">
        <v>3328</v>
      </c>
      <c r="E344" s="74" t="str">
        <f t="array" ref="E344">IF(
                C344 = "",
                "",
                       IF(
                           C344 ="FOTOGRAFIA",
                           "LINK",
                           "https://www.appsheet.com/template/gettablefileurl?appName=APP022ParticMagnMTV2-924373673-26-05-14&amp;tableName=4.reg_fotografico&amp;fileName="&amp;C344                        )
                          )</f>
        <v>https://www.appsheet.com/template/gettablefileurl?appName=APP022ParticMagnMTV2-924373673-26-05-14&amp;tableName=4.reg_fotografico&amp;fileName=4.reg_fotografico_Images/1635f33f.imagen.205030.jpg</v>
      </c>
      <c r="F344" s="54" t="str">
        <f t="shared" si="2"/>
        <v/>
      </c>
    </row>
    <row r="345" ht="22.5" customHeight="1">
      <c r="A345" s="36" t="s">
        <v>3329</v>
      </c>
      <c r="B345" s="36" t="s">
        <v>1732</v>
      </c>
      <c r="C345" s="36" t="s">
        <v>3330</v>
      </c>
      <c r="D345" s="36" t="s">
        <v>3331</v>
      </c>
      <c r="E345" s="74" t="str">
        <f t="array" ref="E345">IF(
                C345 = "",
                "",
                       IF(
                           C345 ="FOTOGRAFIA",
                           "LINK",
                           "https://www.appsheet.com/template/gettablefileurl?appName=APP022ParticMagnMTV2-924373673-26-05-14&amp;tableName=4.reg_fotografico&amp;fileName="&amp;C345                        )
                          )</f>
        <v>https://www.appsheet.com/template/gettablefileurl?appName=APP022ParticMagnMTV2-924373673-26-05-14&amp;tableName=4.reg_fotografico&amp;fileName=4.reg_fotografico_Images/87047db7.imagen.205033.jpg</v>
      </c>
      <c r="F345" s="54" t="str">
        <f t="shared" si="2"/>
        <v/>
      </c>
    </row>
    <row r="346" ht="22.5" customHeight="1">
      <c r="A346" s="36" t="s">
        <v>3332</v>
      </c>
      <c r="B346" s="36" t="s">
        <v>1802</v>
      </c>
      <c r="C346" s="36" t="s">
        <v>3333</v>
      </c>
      <c r="D346" s="36" t="s">
        <v>3334</v>
      </c>
      <c r="E346" s="74" t="str">
        <f t="array" ref="E346">IF(
                C346 = "",
                "",
                       IF(
                           C346 ="FOTOGRAFIA",
                           "LINK",
                           "https://www.appsheet.com/template/gettablefileurl?appName=APP022ParticMagnMTV2-924373673-26-05-14&amp;tableName=4.reg_fotografico&amp;fileName="&amp;C346                        )
                          )</f>
        <v>https://www.appsheet.com/template/gettablefileurl?appName=APP022ParticMagnMTV2-924373673-26-05-14&amp;tableName=4.reg_fotografico&amp;fileName=4.reg_fotografico_Images/64660dbd.imagen.205036.jpg</v>
      </c>
      <c r="F346" s="54" t="str">
        <f t="shared" si="2"/>
        <v/>
      </c>
    </row>
    <row r="347" ht="22.5" customHeight="1">
      <c r="A347" s="36" t="s">
        <v>3335</v>
      </c>
      <c r="B347" s="36" t="s">
        <v>1773</v>
      </c>
      <c r="C347" s="36" t="s">
        <v>3336</v>
      </c>
      <c r="D347" s="36" t="s">
        <v>3337</v>
      </c>
      <c r="E347" s="74" t="str">
        <f t="array" ref="E347">IF(
                C347 = "",
                "",
                       IF(
                           C347 ="FOTOGRAFIA",
                           "LINK",
                           "https://www.appsheet.com/template/gettablefileurl?appName=APP022ParticMagnMTV2-924373673-26-05-14&amp;tableName=4.reg_fotografico&amp;fileName="&amp;C347                        )
                          )</f>
        <v>https://www.appsheet.com/template/gettablefileurl?appName=APP022ParticMagnMTV2-924373673-26-05-14&amp;tableName=4.reg_fotografico&amp;fileName=4.reg_fotografico_Images/01c11ab7.imagen.205040.jpg</v>
      </c>
      <c r="F347" s="54" t="str">
        <f t="shared" si="2"/>
        <v/>
      </c>
    </row>
    <row r="348" ht="22.5" customHeight="1">
      <c r="A348" s="36" t="s">
        <v>3338</v>
      </c>
      <c r="B348" s="36" t="s">
        <v>1770</v>
      </c>
      <c r="C348" s="36" t="s">
        <v>3339</v>
      </c>
      <c r="D348" s="36" t="s">
        <v>3340</v>
      </c>
      <c r="E348" s="74" t="str">
        <f t="array" ref="E348">IF(
                C348 = "",
                "",
                       IF(
                           C348 ="FOTOGRAFIA",
                           "LINK",
                           "https://www.appsheet.com/template/gettablefileurl?appName=APP022ParticMagnMTV2-924373673-26-05-14&amp;tableName=4.reg_fotografico&amp;fileName="&amp;C348                        )
                          )</f>
        <v>https://www.appsheet.com/template/gettablefileurl?appName=APP022ParticMagnMTV2-924373673-26-05-14&amp;tableName=4.reg_fotografico&amp;fileName=4.reg_fotografico_Images/ce1a5ae4.imagen.205043.jpg</v>
      </c>
      <c r="F348" s="54" t="str">
        <f t="shared" si="2"/>
        <v/>
      </c>
    </row>
    <row r="349" ht="22.5" customHeight="1">
      <c r="A349" s="36" t="s">
        <v>3341</v>
      </c>
      <c r="B349" s="36" t="s">
        <v>1796</v>
      </c>
      <c r="C349" s="36" t="s">
        <v>3342</v>
      </c>
      <c r="D349" s="36" t="s">
        <v>3343</v>
      </c>
      <c r="E349" s="74" t="str">
        <f t="array" ref="E349">IF(
                C349 = "",
                "",
                       IF(
                           C349 ="FOTOGRAFIA",
                           "LINK",
                           "https://www.appsheet.com/template/gettablefileurl?appName=APP022ParticMagnMTV2-924373673-26-05-14&amp;tableName=4.reg_fotografico&amp;fileName="&amp;C349                        )
                          )</f>
        <v>https://www.appsheet.com/template/gettablefileurl?appName=APP022ParticMagnMTV2-924373673-26-05-14&amp;tableName=4.reg_fotografico&amp;fileName=4.reg_fotografico_Images/c04d5b7c.imagen.205047.jpg</v>
      </c>
      <c r="F349" s="54" t="str">
        <f t="shared" si="2"/>
        <v/>
      </c>
    </row>
    <row r="350" ht="22.5" customHeight="1">
      <c r="A350" s="36" t="s">
        <v>3344</v>
      </c>
      <c r="B350" s="36" t="s">
        <v>1786</v>
      </c>
      <c r="C350" s="36" t="s">
        <v>3345</v>
      </c>
      <c r="D350" s="36" t="s">
        <v>3346</v>
      </c>
      <c r="E350" s="74" t="str">
        <f t="array" ref="E350">IF(
                C350 = "",
                "",
                       IF(
                           C350 ="FOTOGRAFIA",
                           "LINK",
                           "https://www.appsheet.com/template/gettablefileurl?appName=APP022ParticMagnMTV2-924373673-26-05-14&amp;tableName=4.reg_fotografico&amp;fileName="&amp;C350                        )
                          )</f>
        <v>https://www.appsheet.com/template/gettablefileurl?appName=APP022ParticMagnMTV2-924373673-26-05-14&amp;tableName=4.reg_fotografico&amp;fileName=4.reg_fotografico_Images/ae45a98c.imagen.205051.jpg</v>
      </c>
      <c r="F350" s="54" t="str">
        <f t="shared" si="2"/>
        <v/>
      </c>
    </row>
    <row r="351" ht="22.5" customHeight="1">
      <c r="A351" s="36" t="s">
        <v>3347</v>
      </c>
      <c r="B351" s="36" t="s">
        <v>1808</v>
      </c>
      <c r="C351" s="36" t="s">
        <v>3348</v>
      </c>
      <c r="D351" s="36" t="s">
        <v>3349</v>
      </c>
      <c r="E351" s="74" t="str">
        <f t="array" ref="E351">IF(
                C351 = "",
                "",
                       IF(
                           C351 ="FOTOGRAFIA",
                           "LINK",
                           "https://www.appsheet.com/template/gettablefileurl?appName=APP022ParticMagnMTV2-924373673-26-05-14&amp;tableName=4.reg_fotografico&amp;fileName="&amp;C351                        )
                          )</f>
        <v>https://www.appsheet.com/template/gettablefileurl?appName=APP022ParticMagnMTV2-924373673-26-05-14&amp;tableName=4.reg_fotografico&amp;fileName=4.reg_fotografico_Images/48bf1301.imagen.205054.jpg</v>
      </c>
      <c r="F351" s="54" t="str">
        <f t="shared" si="2"/>
        <v/>
      </c>
    </row>
    <row r="352" ht="22.5" customHeight="1">
      <c r="A352" s="36" t="s">
        <v>3350</v>
      </c>
      <c r="B352" s="36" t="s">
        <v>1777</v>
      </c>
      <c r="C352" s="36" t="s">
        <v>3351</v>
      </c>
      <c r="D352" s="36" t="s">
        <v>3352</v>
      </c>
      <c r="E352" s="74" t="str">
        <f t="array" ref="E352">IF(
                C352 = "",
                "",
                       IF(
                           C352 ="FOTOGRAFIA",
                           "LINK",
                           "https://www.appsheet.com/template/gettablefileurl?appName=APP022ParticMagnMTV2-924373673-26-05-14&amp;tableName=4.reg_fotografico&amp;fileName="&amp;C352                        )
                          )</f>
        <v>https://www.appsheet.com/template/gettablefileurl?appName=APP022ParticMagnMTV2-924373673-26-05-14&amp;tableName=4.reg_fotografico&amp;fileName=4.reg_fotografico_Images/8ba7e222.imagen.205057.jpg</v>
      </c>
      <c r="F352" s="54" t="str">
        <f t="shared" si="2"/>
        <v/>
      </c>
    </row>
    <row r="353" ht="22.5" customHeight="1">
      <c r="A353" s="36" t="s">
        <v>3353</v>
      </c>
      <c r="B353" s="36" t="s">
        <v>1793</v>
      </c>
      <c r="C353" s="36" t="s">
        <v>3354</v>
      </c>
      <c r="D353" s="36" t="s">
        <v>3355</v>
      </c>
      <c r="E353" s="74" t="str">
        <f t="array" ref="E353">IF(
                C353 = "",
                "",
                       IF(
                           C353 ="FOTOGRAFIA",
                           "LINK",
                           "https://www.appsheet.com/template/gettablefileurl?appName=APP022ParticMagnMTV2-924373673-26-05-14&amp;tableName=4.reg_fotografico&amp;fileName="&amp;C353                        )
                          )</f>
        <v>https://www.appsheet.com/template/gettablefileurl?appName=APP022ParticMagnMTV2-924373673-26-05-14&amp;tableName=4.reg_fotografico&amp;fileName=4.reg_fotografico_Images/22c85dfa.imagen.205101.jpg</v>
      </c>
      <c r="F353" s="54" t="str">
        <f t="shared" si="2"/>
        <v/>
      </c>
    </row>
    <row r="354" ht="22.5" customHeight="1">
      <c r="A354" s="36" t="s">
        <v>3356</v>
      </c>
      <c r="B354" s="36" t="s">
        <v>1874</v>
      </c>
      <c r="C354" s="36" t="s">
        <v>3357</v>
      </c>
      <c r="D354" s="36" t="s">
        <v>3358</v>
      </c>
      <c r="E354" s="74" t="str">
        <f t="array" ref="E354">IF(
                C354 = "",
                "",
                       IF(
                           C354 ="FOTOGRAFIA",
                           "LINK",
                           "https://www.appsheet.com/template/gettablefileurl?appName=APP022ParticMagnMTV2-924373673-26-05-14&amp;tableName=4.reg_fotografico&amp;fileName="&amp;C354                        )
                          )</f>
        <v>https://www.appsheet.com/template/gettablefileurl?appName=APP022ParticMagnMTV2-924373673-26-05-14&amp;tableName=4.reg_fotografico&amp;fileName=4.reg_fotografico_Images/2f67e002.imagen.205104.jpg</v>
      </c>
      <c r="F354" s="54" t="str">
        <f t="shared" si="2"/>
        <v/>
      </c>
    </row>
    <row r="355" ht="22.5" customHeight="1">
      <c r="A355" s="36" t="s">
        <v>3359</v>
      </c>
      <c r="B355" s="36" t="s">
        <v>1811</v>
      </c>
      <c r="C355" s="36" t="s">
        <v>3360</v>
      </c>
      <c r="D355" s="36" t="s">
        <v>3361</v>
      </c>
      <c r="E355" s="74" t="str">
        <f t="array" ref="E355">IF(
                C355 = "",
                "",
                       IF(
                           C355 ="FOTOGRAFIA",
                           "LINK",
                           "https://www.appsheet.com/template/gettablefileurl?appName=APP022ParticMagnMTV2-924373673-26-05-14&amp;tableName=4.reg_fotografico&amp;fileName="&amp;C355                        )
                          )</f>
        <v>https://www.appsheet.com/template/gettablefileurl?appName=APP022ParticMagnMTV2-924373673-26-05-14&amp;tableName=4.reg_fotografico&amp;fileName=4.reg_fotografico_Images/a0aaa70a.imagen.205107.jpg</v>
      </c>
      <c r="F355" s="54" t="str">
        <f t="shared" si="2"/>
        <v/>
      </c>
    </row>
    <row r="356" ht="22.5" customHeight="1">
      <c r="A356" s="36" t="s">
        <v>3362</v>
      </c>
      <c r="B356" s="36" t="s">
        <v>1828</v>
      </c>
      <c r="C356" s="36" t="s">
        <v>3363</v>
      </c>
      <c r="D356" s="36" t="s">
        <v>3364</v>
      </c>
      <c r="E356" s="74" t="str">
        <f t="array" ref="E356">IF(
                C356 = "",
                "",
                       IF(
                           C356 ="FOTOGRAFIA",
                           "LINK",
                           "https://www.appsheet.com/template/gettablefileurl?appName=APP022ParticMagnMTV2-924373673-26-05-14&amp;tableName=4.reg_fotografico&amp;fileName="&amp;C356                        )
                          )</f>
        <v>https://www.appsheet.com/template/gettablefileurl?appName=APP022ParticMagnMTV2-924373673-26-05-14&amp;tableName=4.reg_fotografico&amp;fileName=4.reg_fotografico_Images/0c00190b.imagen.205110.jpg</v>
      </c>
      <c r="F356" s="54" t="str">
        <f t="shared" si="2"/>
        <v/>
      </c>
    </row>
    <row r="357" ht="22.5" customHeight="1">
      <c r="A357" s="36" t="s">
        <v>3365</v>
      </c>
      <c r="B357" s="36" t="s">
        <v>1729</v>
      </c>
      <c r="C357" s="36" t="s">
        <v>3366</v>
      </c>
      <c r="D357" s="36" t="s">
        <v>3367</v>
      </c>
      <c r="E357" s="74" t="str">
        <f t="array" ref="E357">IF(
                C357 = "",
                "",
                       IF(
                           C357 ="FOTOGRAFIA",
                           "LINK",
                           "https://www.appsheet.com/template/gettablefileurl?appName=APP022ParticMagnMTV2-924373673-26-05-14&amp;tableName=4.reg_fotografico&amp;fileName="&amp;C357                        )
                          )</f>
        <v>https://www.appsheet.com/template/gettablefileurl?appName=APP022ParticMagnMTV2-924373673-26-05-14&amp;tableName=4.reg_fotografico&amp;fileName=4.reg_fotografico_Images/e5937213.imagen.205113.jpg</v>
      </c>
      <c r="F357" s="54" t="str">
        <f t="shared" si="2"/>
        <v/>
      </c>
    </row>
    <row r="358" ht="22.5" customHeight="1">
      <c r="A358" s="36" t="s">
        <v>3368</v>
      </c>
      <c r="B358" s="36" t="s">
        <v>1761</v>
      </c>
      <c r="C358" s="36" t="s">
        <v>3369</v>
      </c>
      <c r="D358" s="36" t="s">
        <v>3370</v>
      </c>
      <c r="E358" s="74" t="str">
        <f t="array" ref="E358">IF(
                C358 = "",
                "",
                       IF(
                           C358 ="FOTOGRAFIA",
                           "LINK",
                           "https://www.appsheet.com/template/gettablefileurl?appName=APP022ParticMagnMTV2-924373673-26-05-14&amp;tableName=4.reg_fotografico&amp;fileName="&amp;C358                        )
                          )</f>
        <v>https://www.appsheet.com/template/gettablefileurl?appName=APP022ParticMagnMTV2-924373673-26-05-14&amp;tableName=4.reg_fotografico&amp;fileName=4.reg_fotografico_Images/98ed217e.imagen.205117.jpg</v>
      </c>
      <c r="F358" s="54" t="str">
        <f t="shared" si="2"/>
        <v/>
      </c>
    </row>
    <row r="359" ht="22.5" customHeight="1">
      <c r="A359" s="36" t="s">
        <v>3371</v>
      </c>
      <c r="B359" s="36" t="s">
        <v>1740</v>
      </c>
      <c r="C359" s="36" t="s">
        <v>3372</v>
      </c>
      <c r="D359" s="36" t="s">
        <v>3373</v>
      </c>
      <c r="E359" s="74" t="str">
        <f t="array" ref="E359">IF(
                C359 = "",
                "",
                       IF(
                           C359 ="FOTOGRAFIA",
                           "LINK",
                           "https://www.appsheet.com/template/gettablefileurl?appName=APP022ParticMagnMTV2-924373673-26-05-14&amp;tableName=4.reg_fotografico&amp;fileName="&amp;C359                        )
                          )</f>
        <v>https://www.appsheet.com/template/gettablefileurl?appName=APP022ParticMagnMTV2-924373673-26-05-14&amp;tableName=4.reg_fotografico&amp;fileName=4.reg_fotografico_Images/9b32be67.imagen.205120.jpg</v>
      </c>
      <c r="F359" s="54" t="str">
        <f t="shared" si="2"/>
        <v/>
      </c>
    </row>
    <row r="360" ht="22.5" customHeight="1">
      <c r="A360" s="36" t="s">
        <v>3374</v>
      </c>
      <c r="B360" s="36" t="s">
        <v>1736</v>
      </c>
      <c r="C360" s="36" t="s">
        <v>3375</v>
      </c>
      <c r="D360" s="36" t="s">
        <v>3376</v>
      </c>
      <c r="E360" s="74" t="str">
        <f t="array" ref="E360">IF(
                C360 = "",
                "",
                       IF(
                           C360 ="FOTOGRAFIA",
                           "LINK",
                           "https://www.appsheet.com/template/gettablefileurl?appName=APP022ParticMagnMTV2-924373673-26-05-14&amp;tableName=4.reg_fotografico&amp;fileName="&amp;C360                        )
                          )</f>
        <v>https://www.appsheet.com/template/gettablefileurl?appName=APP022ParticMagnMTV2-924373673-26-05-14&amp;tableName=4.reg_fotografico&amp;fileName=4.reg_fotografico_Images/d1765060.imagen.205123.jpg</v>
      </c>
      <c r="F360" s="54" t="str">
        <f t="shared" si="2"/>
        <v/>
      </c>
    </row>
    <row r="361" ht="22.5" customHeight="1">
      <c r="A361" s="36" t="s">
        <v>3377</v>
      </c>
      <c r="B361" s="36" t="s">
        <v>1767</v>
      </c>
      <c r="C361" s="36" t="s">
        <v>3378</v>
      </c>
      <c r="D361" s="36" t="s">
        <v>3379</v>
      </c>
      <c r="E361" s="74" t="str">
        <f t="array" ref="E361">IF(
                C361 = "",
                "",
                       IF(
                           C361 ="FOTOGRAFIA",
                           "LINK",
                           "https://www.appsheet.com/template/gettablefileurl?appName=APP022ParticMagnMTV2-924373673-26-05-14&amp;tableName=4.reg_fotografico&amp;fileName="&amp;C361                        )
                          )</f>
        <v>https://www.appsheet.com/template/gettablefileurl?appName=APP022ParticMagnMTV2-924373673-26-05-14&amp;tableName=4.reg_fotografico&amp;fileName=4.reg_fotografico_Images/39be53db.imagen.205127.jpg</v>
      </c>
      <c r="F361" s="54" t="str">
        <f t="shared" si="2"/>
        <v/>
      </c>
    </row>
    <row r="362" ht="22.5" customHeight="1">
      <c r="A362" s="36" t="s">
        <v>3380</v>
      </c>
      <c r="B362" s="36" t="s">
        <v>1799</v>
      </c>
      <c r="C362" s="36" t="s">
        <v>3381</v>
      </c>
      <c r="D362" s="36" t="s">
        <v>3382</v>
      </c>
      <c r="E362" s="74" t="str">
        <f t="array" ref="E362">IF(
                C362 = "",
                "",
                       IF(
                           C362 ="FOTOGRAFIA",
                           "LINK",
                           "https://www.appsheet.com/template/gettablefileurl?appName=APP022ParticMagnMTV2-924373673-26-05-14&amp;tableName=4.reg_fotografico&amp;fileName="&amp;C362                        )
                          )</f>
        <v>https://www.appsheet.com/template/gettablefileurl?appName=APP022ParticMagnMTV2-924373673-26-05-14&amp;tableName=4.reg_fotografico&amp;fileName=4.reg_fotografico_Images/0e07f6c2.imagen.205130.jpg</v>
      </c>
      <c r="F362" s="54" t="str">
        <f t="shared" si="2"/>
        <v/>
      </c>
    </row>
    <row r="363" ht="22.5" customHeight="1">
      <c r="A363" s="36" t="s">
        <v>3383</v>
      </c>
      <c r="B363" s="36" t="s">
        <v>1874</v>
      </c>
      <c r="C363" s="36" t="s">
        <v>3384</v>
      </c>
      <c r="D363" s="36" t="s">
        <v>3358</v>
      </c>
      <c r="E363" s="74" t="str">
        <f t="array" ref="E363">IF(
                C363 = "",
                "",
                       IF(
                           C363 ="FOTOGRAFIA",
                           "LINK",
                           "https://www.appsheet.com/template/gettablefileurl?appName=APP022ParticMagnMTV2-924373673-26-05-14&amp;tableName=4.reg_fotografico&amp;fileName="&amp;C363                        )
                          )</f>
        <v>https://www.appsheet.com/template/gettablefileurl?appName=APP022ParticMagnMTV2-924373673-26-05-14&amp;tableName=4.reg_fotografico&amp;fileName=4.reg_fotografico_Images/cec8aa92.imagen.205134.jpg</v>
      </c>
      <c r="F363" s="54" t="str">
        <f t="shared" si="2"/>
        <v/>
      </c>
    </row>
    <row r="364" ht="22.5" customHeight="1">
      <c r="A364" s="36" t="s">
        <v>3385</v>
      </c>
      <c r="B364" s="36" t="s">
        <v>1823</v>
      </c>
      <c r="C364" s="36" t="s">
        <v>3386</v>
      </c>
      <c r="D364" s="36" t="s">
        <v>3387</v>
      </c>
      <c r="E364" s="74" t="str">
        <f t="array" ref="E364">IF(
                C364 = "",
                "",
                       IF(
                           C364 ="FOTOGRAFIA",
                           "LINK",
                           "https://www.appsheet.com/template/gettablefileurl?appName=APP022ParticMagnMTV2-924373673-26-05-14&amp;tableName=4.reg_fotografico&amp;fileName="&amp;C364                        )
                          )</f>
        <v>https://www.appsheet.com/template/gettablefileurl?appName=APP022ParticMagnMTV2-924373673-26-05-14&amp;tableName=4.reg_fotografico&amp;fileName=4.reg_fotografico_Images/3f07e2c0.imagen.205307.jpg</v>
      </c>
      <c r="F364" s="54" t="str">
        <f t="shared" si="2"/>
        <v/>
      </c>
    </row>
    <row r="365" ht="22.5" customHeight="1">
      <c r="A365" s="36" t="s">
        <v>3388</v>
      </c>
      <c r="B365" s="36" t="s">
        <v>1820</v>
      </c>
      <c r="C365" s="36" t="s">
        <v>3389</v>
      </c>
      <c r="D365" s="36" t="s">
        <v>3390</v>
      </c>
      <c r="E365" s="74" t="str">
        <f t="array" ref="E365">IF(
                C365 = "",
                "",
                       IF(
                           C365 ="FOTOGRAFIA",
                           "LINK",
                           "https://www.appsheet.com/template/gettablefileurl?appName=APP022ParticMagnMTV2-924373673-26-05-14&amp;tableName=4.reg_fotografico&amp;fileName="&amp;C365                        )
                          )</f>
        <v>https://www.appsheet.com/template/gettablefileurl?appName=APP022ParticMagnMTV2-924373673-26-05-14&amp;tableName=4.reg_fotografico&amp;fileName=4.reg_fotografico_Images/10cb4873.imagen.205311.jpg</v>
      </c>
      <c r="F365" s="54" t="str">
        <f t="shared" si="2"/>
        <v/>
      </c>
    </row>
    <row r="366" ht="22.5" customHeight="1">
      <c r="A366" s="36" t="s">
        <v>3391</v>
      </c>
      <c r="B366" s="36" t="s">
        <v>1885</v>
      </c>
      <c r="C366" s="36" t="s">
        <v>3392</v>
      </c>
      <c r="D366" s="36" t="s">
        <v>3393</v>
      </c>
      <c r="E366" s="74" t="str">
        <f t="array" ref="E366">IF(
                C366 = "",
                "",
                       IF(
                           C366 ="FOTOGRAFIA",
                           "LINK",
                           "https://www.appsheet.com/template/gettablefileurl?appName=APP022ParticMagnMTV2-924373673-26-05-14&amp;tableName=4.reg_fotografico&amp;fileName="&amp;C366                        )
                          )</f>
        <v>https://www.appsheet.com/template/gettablefileurl?appName=APP022ParticMagnMTV2-924373673-26-05-14&amp;tableName=4.reg_fotografico&amp;fileName=4.reg_fotografico_Images/ce25fc43.imagen.140747.jpg</v>
      </c>
      <c r="F366" s="54" t="str">
        <f t="shared" si="2"/>
        <v/>
      </c>
    </row>
    <row r="367" ht="22.5" customHeight="1">
      <c r="A367" s="36" t="s">
        <v>3394</v>
      </c>
      <c r="B367" s="36" t="s">
        <v>1936</v>
      </c>
      <c r="C367" s="36" t="s">
        <v>3395</v>
      </c>
      <c r="D367" s="36" t="s">
        <v>3396</v>
      </c>
      <c r="E367" s="74" t="str">
        <f t="array" ref="E367">IF(
                C367 = "",
                "",
                       IF(
                           C367 ="FOTOGRAFIA",
                           "LINK",
                           "https://www.appsheet.com/template/gettablefileurl?appName=APP022ParticMagnMTV2-924373673-26-05-14&amp;tableName=4.reg_fotografico&amp;fileName="&amp;C367                        )
                          )</f>
        <v>https://www.appsheet.com/template/gettablefileurl?appName=APP022ParticMagnMTV2-924373673-26-05-14&amp;tableName=4.reg_fotografico&amp;fileName=4.reg_fotografico_Images/ad00d92c.imagen.140751.jpg</v>
      </c>
      <c r="F367" s="54" t="str">
        <f t="shared" si="2"/>
        <v/>
      </c>
    </row>
    <row r="368" ht="22.5" customHeight="1">
      <c r="A368" s="36" t="s">
        <v>3397</v>
      </c>
      <c r="B368" s="36" t="s">
        <v>1931</v>
      </c>
      <c r="C368" s="36" t="s">
        <v>3398</v>
      </c>
      <c r="D368" s="36" t="s">
        <v>3399</v>
      </c>
      <c r="E368" s="74" t="str">
        <f t="array" ref="E368">IF(
                C368 = "",
                "",
                       IF(
                           C368 ="FOTOGRAFIA",
                           "LINK",
                           "https://www.appsheet.com/template/gettablefileurl?appName=APP022ParticMagnMTV2-924373673-26-05-14&amp;tableName=4.reg_fotografico&amp;fileName="&amp;C368                        )
                          )</f>
        <v>https://www.appsheet.com/template/gettablefileurl?appName=APP022ParticMagnMTV2-924373673-26-05-14&amp;tableName=4.reg_fotografico&amp;fileName=4.reg_fotografico_Images/f0736f2e.imagen.140754.jpg</v>
      </c>
      <c r="F368" s="54" t="str">
        <f t="shared" si="2"/>
        <v/>
      </c>
    </row>
    <row r="369" ht="22.5" customHeight="1">
      <c r="A369" s="36" t="s">
        <v>3400</v>
      </c>
      <c r="B369" s="36" t="s">
        <v>1915</v>
      </c>
      <c r="C369" s="36" t="s">
        <v>3401</v>
      </c>
      <c r="D369" s="36" t="s">
        <v>3402</v>
      </c>
      <c r="E369" s="74" t="str">
        <f t="array" ref="E369">IF(
                C369 = "",
                "",
                       IF(
                           C369 ="FOTOGRAFIA",
                           "LINK",
                           "https://www.appsheet.com/template/gettablefileurl?appName=APP022ParticMagnMTV2-924373673-26-05-14&amp;tableName=4.reg_fotografico&amp;fileName="&amp;C369                        )
                          )</f>
        <v>https://www.appsheet.com/template/gettablefileurl?appName=APP022ParticMagnMTV2-924373673-26-05-14&amp;tableName=4.reg_fotografico&amp;fileName=4.reg_fotografico_Images/8a48d54b.imagen.140758.jpg</v>
      </c>
      <c r="F369" s="54" t="str">
        <f t="shared" si="2"/>
        <v/>
      </c>
    </row>
    <row r="370" ht="22.5" customHeight="1">
      <c r="A370" s="36" t="s">
        <v>3403</v>
      </c>
      <c r="B370" s="36" t="s">
        <v>1984</v>
      </c>
      <c r="C370" s="36" t="s">
        <v>3404</v>
      </c>
      <c r="D370" s="36" t="s">
        <v>3405</v>
      </c>
      <c r="E370" s="74" t="str">
        <f t="array" ref="E370">IF(
                C370 = "",
                "",
                       IF(
                           C370 ="FOTOGRAFIA",
                           "LINK",
                           "https://www.appsheet.com/template/gettablefileurl?appName=APP022ParticMagnMTV2-924373673-26-05-14&amp;tableName=4.reg_fotografico&amp;fileName="&amp;C370                        )
                          )</f>
        <v>https://www.appsheet.com/template/gettablefileurl?appName=APP022ParticMagnMTV2-924373673-26-05-14&amp;tableName=4.reg_fotografico&amp;fileName=4.reg_fotografico_Images/d2f628b8.imagen.140802.jpg</v>
      </c>
      <c r="F370" s="54" t="str">
        <f t="shared" si="2"/>
        <v/>
      </c>
    </row>
    <row r="371" ht="22.5" customHeight="1">
      <c r="A371" s="36" t="s">
        <v>3406</v>
      </c>
      <c r="B371" s="36" t="s">
        <v>1922</v>
      </c>
      <c r="C371" s="36" t="s">
        <v>3407</v>
      </c>
      <c r="D371" s="36" t="s">
        <v>3408</v>
      </c>
      <c r="E371" s="74" t="str">
        <f t="array" ref="E371">IF(
                C371 = "",
                "",
                       IF(
                           C371 ="FOTOGRAFIA",
                           "LINK",
                           "https://www.appsheet.com/template/gettablefileurl?appName=APP022ParticMagnMTV2-924373673-26-05-14&amp;tableName=4.reg_fotografico&amp;fileName="&amp;C371                        )
                          )</f>
        <v>https://www.appsheet.com/template/gettablefileurl?appName=APP022ParticMagnMTV2-924373673-26-05-14&amp;tableName=4.reg_fotografico&amp;fileName=4.reg_fotografico_Images/101e0c0f.imagen.140806.jpg</v>
      </c>
      <c r="F371" s="54" t="str">
        <f t="shared" si="2"/>
        <v/>
      </c>
    </row>
    <row r="372" ht="22.5" customHeight="1">
      <c r="A372" s="36" t="s">
        <v>3409</v>
      </c>
      <c r="B372" s="36" t="s">
        <v>1944</v>
      </c>
      <c r="C372" s="36" t="s">
        <v>3410</v>
      </c>
      <c r="D372" s="36" t="s">
        <v>3411</v>
      </c>
      <c r="E372" s="74" t="str">
        <f t="array" ref="E372">IF(
                C372 = "",
                "",
                       IF(
                           C372 ="FOTOGRAFIA",
                           "LINK",
                           "https://www.appsheet.com/template/gettablefileurl?appName=APP022ParticMagnMTV2-924373673-26-05-14&amp;tableName=4.reg_fotografico&amp;fileName="&amp;C372                        )
                          )</f>
        <v>https://www.appsheet.com/template/gettablefileurl?appName=APP022ParticMagnMTV2-924373673-26-05-14&amp;tableName=4.reg_fotografico&amp;fileName=4.reg_fotografico_Images/f70a4cad.imagen.140810.jpg</v>
      </c>
      <c r="F372" s="54" t="str">
        <f t="shared" si="2"/>
        <v/>
      </c>
    </row>
    <row r="373" ht="22.5" customHeight="1">
      <c r="A373" s="36" t="s">
        <v>3412</v>
      </c>
      <c r="B373" s="36" t="s">
        <v>1940</v>
      </c>
      <c r="C373" s="36" t="s">
        <v>3413</v>
      </c>
      <c r="D373" s="36" t="s">
        <v>3414</v>
      </c>
      <c r="E373" s="74" t="str">
        <f t="array" ref="E373">IF(
                C373 = "",
                "",
                       IF(
                           C373 ="FOTOGRAFIA",
                           "LINK",
                           "https://www.appsheet.com/template/gettablefileurl?appName=APP022ParticMagnMTV2-924373673-26-05-14&amp;tableName=4.reg_fotografico&amp;fileName="&amp;C373                        )
                          )</f>
        <v>https://www.appsheet.com/template/gettablefileurl?appName=APP022ParticMagnMTV2-924373673-26-05-14&amp;tableName=4.reg_fotografico&amp;fileName=4.reg_fotografico_Images/52fe5ec2.imagen.140816.jpg</v>
      </c>
      <c r="F373" s="54" t="str">
        <f t="shared" si="2"/>
        <v/>
      </c>
    </row>
    <row r="374" ht="22.5" customHeight="1">
      <c r="A374" s="36" t="s">
        <v>3415</v>
      </c>
      <c r="B374" s="36" t="s">
        <v>1961</v>
      </c>
      <c r="C374" s="36" t="s">
        <v>3416</v>
      </c>
      <c r="D374" s="36" t="s">
        <v>3417</v>
      </c>
      <c r="E374" s="74" t="str">
        <f t="array" ref="E374">IF(
                C374 = "",
                "",
                       IF(
                           C374 ="FOTOGRAFIA",
                           "LINK",
                           "https://www.appsheet.com/template/gettablefileurl?appName=APP022ParticMagnMTV2-924373673-26-05-14&amp;tableName=4.reg_fotografico&amp;fileName="&amp;C374                        )
                          )</f>
        <v>https://www.appsheet.com/template/gettablefileurl?appName=APP022ParticMagnMTV2-924373673-26-05-14&amp;tableName=4.reg_fotografico&amp;fileName=4.reg_fotografico_Images/ffdf7ef9.imagen.140821.jpg</v>
      </c>
      <c r="F374" s="54" t="str">
        <f t="shared" si="2"/>
        <v/>
      </c>
    </row>
    <row r="375" ht="22.5" customHeight="1">
      <c r="A375" s="36" t="s">
        <v>3418</v>
      </c>
      <c r="B375" s="36" t="s">
        <v>1900</v>
      </c>
      <c r="C375" s="36" t="s">
        <v>3419</v>
      </c>
      <c r="D375" s="36" t="s">
        <v>3420</v>
      </c>
      <c r="E375" s="74" t="str">
        <f t="array" ref="E375">IF(
                C375 = "",
                "",
                       IF(
                           C375 ="FOTOGRAFIA",
                           "LINK",
                           "https://www.appsheet.com/template/gettablefileurl?appName=APP022ParticMagnMTV2-924373673-26-05-14&amp;tableName=4.reg_fotografico&amp;fileName="&amp;C375                        )
                          )</f>
        <v>https://www.appsheet.com/template/gettablefileurl?appName=APP022ParticMagnMTV2-924373673-26-05-14&amp;tableName=4.reg_fotografico&amp;fileName=4.reg_fotografico_Images/9e34ddb7.imagen.140825.jpg</v>
      </c>
      <c r="F375" s="54" t="str">
        <f t="shared" si="2"/>
        <v/>
      </c>
    </row>
    <row r="376" ht="22.5" customHeight="1">
      <c r="A376" s="36" t="s">
        <v>3421</v>
      </c>
      <c r="B376" s="36" t="s">
        <v>1888</v>
      </c>
      <c r="C376" s="36" t="s">
        <v>3422</v>
      </c>
      <c r="D376" s="36" t="s">
        <v>3423</v>
      </c>
      <c r="E376" s="74" t="str">
        <f t="array" ref="E376">IF(
                C376 = "",
                "",
                       IF(
                           C376 ="FOTOGRAFIA",
                           "LINK",
                           "https://www.appsheet.com/template/gettablefileurl?appName=APP022ParticMagnMTV2-924373673-26-05-14&amp;tableName=4.reg_fotografico&amp;fileName="&amp;C376                        )
                          )</f>
        <v>https://www.appsheet.com/template/gettablefileurl?appName=APP022ParticMagnMTV2-924373673-26-05-14&amp;tableName=4.reg_fotografico&amp;fileName=4.reg_fotografico_Images/d799f51c.imagen.140829.jpg</v>
      </c>
      <c r="F376" s="54" t="str">
        <f t="shared" si="2"/>
        <v/>
      </c>
    </row>
    <row r="377" ht="22.5" customHeight="1">
      <c r="A377" s="36" t="s">
        <v>3424</v>
      </c>
      <c r="B377" s="36" t="s">
        <v>1948</v>
      </c>
      <c r="C377" s="36" t="s">
        <v>3425</v>
      </c>
      <c r="D377" s="36" t="s">
        <v>3426</v>
      </c>
      <c r="E377" s="74" t="str">
        <f t="array" ref="E377">IF(
                C377 = "",
                "",
                       IF(
                           C377 ="FOTOGRAFIA",
                           "LINK",
                           "https://www.appsheet.com/template/gettablefileurl?appName=APP022ParticMagnMTV2-924373673-26-05-14&amp;tableName=4.reg_fotografico&amp;fileName="&amp;C377                        )
                          )</f>
        <v>https://www.appsheet.com/template/gettablefileurl?appName=APP022ParticMagnMTV2-924373673-26-05-14&amp;tableName=4.reg_fotografico&amp;fileName=4.reg_fotografico_Images/62cf269b.imagen.140833.jpg</v>
      </c>
      <c r="F377" s="54" t="str">
        <f t="shared" si="2"/>
        <v/>
      </c>
    </row>
    <row r="378" ht="22.5" customHeight="1">
      <c r="A378" s="36" t="s">
        <v>3427</v>
      </c>
      <c r="B378" s="36" t="s">
        <v>1903</v>
      </c>
      <c r="C378" s="36" t="s">
        <v>3428</v>
      </c>
      <c r="D378" s="36" t="s">
        <v>3429</v>
      </c>
      <c r="E378" s="74" t="str">
        <f t="array" ref="E378">IF(
                C378 = "",
                "",
                       IF(
                           C378 ="FOTOGRAFIA",
                           "LINK",
                           "https://www.appsheet.com/template/gettablefileurl?appName=APP022ParticMagnMTV2-924373673-26-05-14&amp;tableName=4.reg_fotografico&amp;fileName="&amp;C378                        )
                          )</f>
        <v>https://www.appsheet.com/template/gettablefileurl?appName=APP022ParticMagnMTV2-924373673-26-05-14&amp;tableName=4.reg_fotografico&amp;fileName=4.reg_fotografico_Images/29d80d1d.imagen.140837.jpg</v>
      </c>
      <c r="F378" s="54" t="str">
        <f t="shared" si="2"/>
        <v/>
      </c>
    </row>
    <row r="379" ht="22.5" customHeight="1">
      <c r="A379" s="39" t="s">
        <v>3430</v>
      </c>
      <c r="B379" s="36" t="s">
        <v>1918</v>
      </c>
      <c r="C379" s="36" t="s">
        <v>3431</v>
      </c>
      <c r="D379" s="36" t="s">
        <v>3432</v>
      </c>
      <c r="E379" s="74" t="str">
        <f t="array" ref="E379">IF(
                C379 = "",
                "",
                       IF(
                           C379 ="FOTOGRAFIA",
                           "LINK",
                           "https://www.appsheet.com/template/gettablefileurl?appName=APP022ParticMagnMTV2-924373673-26-05-14&amp;tableName=4.reg_fotografico&amp;fileName="&amp;C379                        )
                          )</f>
        <v>https://www.appsheet.com/template/gettablefileurl?appName=APP022ParticMagnMTV2-924373673-26-05-14&amp;tableName=4.reg_fotografico&amp;fileName=4.reg_fotografico_Images/98936277.imagen.140841.jpg</v>
      </c>
      <c r="F379" s="54" t="str">
        <f t="shared" si="2"/>
        <v/>
      </c>
    </row>
    <row r="380" ht="22.5" customHeight="1">
      <c r="A380" s="36" t="s">
        <v>3433</v>
      </c>
      <c r="B380" s="36" t="s">
        <v>1909</v>
      </c>
      <c r="C380" s="36" t="s">
        <v>3434</v>
      </c>
      <c r="D380" s="36" t="s">
        <v>3435</v>
      </c>
      <c r="E380" s="74" t="str">
        <f t="array" ref="E380">IF(
                C380 = "",
                "",
                       IF(
                           C380 ="FOTOGRAFIA",
                           "LINK",
                           "https://www.appsheet.com/template/gettablefileurl?appName=APP022ParticMagnMTV2-924373673-26-05-14&amp;tableName=4.reg_fotografico&amp;fileName="&amp;C380                        )
                          )</f>
        <v>https://www.appsheet.com/template/gettablefileurl?appName=APP022ParticMagnMTV2-924373673-26-05-14&amp;tableName=4.reg_fotografico&amp;fileName=4.reg_fotografico_Images/caf2af9e.imagen.140847.jpg</v>
      </c>
      <c r="F380" s="54" t="str">
        <f t="shared" si="2"/>
        <v/>
      </c>
    </row>
    <row r="381" ht="22.5" customHeight="1">
      <c r="A381" s="36" t="s">
        <v>3436</v>
      </c>
      <c r="B381" s="36" t="s">
        <v>1912</v>
      </c>
      <c r="C381" s="36" t="s">
        <v>3437</v>
      </c>
      <c r="D381" s="36" t="s">
        <v>3438</v>
      </c>
      <c r="E381" s="74" t="str">
        <f t="array" ref="E381">IF(
                C381 = "",
                "",
                       IF(
                           C381 ="FOTOGRAFIA",
                           "LINK",
                           "https://www.appsheet.com/template/gettablefileurl?appName=APP022ParticMagnMTV2-924373673-26-05-14&amp;tableName=4.reg_fotografico&amp;fileName="&amp;C381                        )
                          )</f>
        <v>https://www.appsheet.com/template/gettablefileurl?appName=APP022ParticMagnMTV2-924373673-26-05-14&amp;tableName=4.reg_fotografico&amp;fileName=4.reg_fotografico_Images/ec4911c3.imagen.140852.jpg</v>
      </c>
      <c r="F381" s="54" t="str">
        <f t="shared" si="2"/>
        <v/>
      </c>
    </row>
    <row r="382" ht="22.5" customHeight="1">
      <c r="A382" s="36" t="s">
        <v>3439</v>
      </c>
      <c r="B382" s="36" t="s">
        <v>1878</v>
      </c>
      <c r="C382" s="36" t="s">
        <v>3440</v>
      </c>
      <c r="D382" s="36" t="s">
        <v>3441</v>
      </c>
      <c r="E382" s="74" t="str">
        <f t="array" ref="E382">IF(
                C382 = "",
                "",
                       IF(
                           C382 ="FOTOGRAFIA",
                           "LINK",
                           "https://www.appsheet.com/template/gettablefileurl?appName=APP022ParticMagnMTV2-924373673-26-05-14&amp;tableName=4.reg_fotografico&amp;fileName="&amp;C382                        )
                          )</f>
        <v>https://www.appsheet.com/template/gettablefileurl?appName=APP022ParticMagnMTV2-924373673-26-05-14&amp;tableName=4.reg_fotografico&amp;fileName=4.reg_fotografico_Images/66cf7b70.imagen.140856.jpg</v>
      </c>
      <c r="F382" s="54" t="str">
        <f t="shared" si="2"/>
        <v/>
      </c>
    </row>
    <row r="383" ht="22.5" customHeight="1">
      <c r="A383" s="36" t="s">
        <v>3442</v>
      </c>
      <c r="B383" s="36" t="s">
        <v>1897</v>
      </c>
      <c r="C383" s="36" t="s">
        <v>3443</v>
      </c>
      <c r="D383" s="36" t="s">
        <v>3444</v>
      </c>
      <c r="E383" s="74" t="str">
        <f t="array" ref="E383">IF(
                C383 = "",
                "",
                       IF(
                           C383 ="FOTOGRAFIA",
                           "LINK",
                           "https://www.appsheet.com/template/gettablefileurl?appName=APP022ParticMagnMTV2-924373673-26-05-14&amp;tableName=4.reg_fotografico&amp;fileName="&amp;C383                        )
                          )</f>
        <v>https://www.appsheet.com/template/gettablefileurl?appName=APP022ParticMagnMTV2-924373673-26-05-14&amp;tableName=4.reg_fotografico&amp;fileName=4.reg_fotografico_Images/87ea4e8e.imagen.140901.jpg</v>
      </c>
      <c r="F383" s="54" t="str">
        <f t="shared" si="2"/>
        <v/>
      </c>
    </row>
    <row r="384" ht="22.5" customHeight="1">
      <c r="A384" s="36" t="s">
        <v>3445</v>
      </c>
      <c r="B384" s="36" t="s">
        <v>1957</v>
      </c>
      <c r="C384" s="36" t="s">
        <v>3446</v>
      </c>
      <c r="D384" s="36" t="s">
        <v>3447</v>
      </c>
      <c r="E384" s="74" t="str">
        <f t="array" ref="E384">IF(
                C384 = "",
                "",
                       IF(
                           C384 ="FOTOGRAFIA",
                           "LINK",
                           "https://www.appsheet.com/template/gettablefileurl?appName=APP022ParticMagnMTV2-924373673-26-05-14&amp;tableName=4.reg_fotografico&amp;fileName="&amp;C384                        )
                          )</f>
        <v>https://www.appsheet.com/template/gettablefileurl?appName=APP022ParticMagnMTV2-924373673-26-05-14&amp;tableName=4.reg_fotografico&amp;fileName=4.reg_fotografico_Images/3ef6863f.imagen.140906.jpg</v>
      </c>
      <c r="F384" s="54" t="str">
        <f t="shared" si="2"/>
        <v/>
      </c>
    </row>
    <row r="385" ht="22.5" customHeight="1">
      <c r="A385" s="36" t="s">
        <v>3448</v>
      </c>
      <c r="B385" s="36" t="s">
        <v>1882</v>
      </c>
      <c r="C385" s="36" t="s">
        <v>3449</v>
      </c>
      <c r="D385" s="36" t="s">
        <v>3450</v>
      </c>
      <c r="E385" s="74" t="str">
        <f t="array" ref="E385">IF(
                C385 = "",
                "",
                       IF(
                           C385 ="FOTOGRAFIA",
                           "LINK",
                           "https://www.appsheet.com/template/gettablefileurl?appName=APP022ParticMagnMTV2-924373673-26-05-14&amp;tableName=4.reg_fotografico&amp;fileName="&amp;C385                        )
                          )</f>
        <v>https://www.appsheet.com/template/gettablefileurl?appName=APP022ParticMagnMTV2-924373673-26-05-14&amp;tableName=4.reg_fotografico&amp;fileName=4.reg_fotografico_Images/2b14ed87.imagen.140910.jpg</v>
      </c>
      <c r="F385" s="54" t="str">
        <f t="shared" si="2"/>
        <v/>
      </c>
    </row>
    <row r="386" ht="22.5" customHeight="1">
      <c r="A386" s="39" t="s">
        <v>3451</v>
      </c>
      <c r="B386" s="36" t="s">
        <v>1906</v>
      </c>
      <c r="C386" s="36" t="s">
        <v>3452</v>
      </c>
      <c r="D386" s="36" t="s">
        <v>3453</v>
      </c>
      <c r="E386" s="74" t="str">
        <f t="array" ref="E386">IF(
                C386 = "",
                "",
                       IF(
                           C386 ="FOTOGRAFIA",
                           "LINK",
                           "https://www.appsheet.com/template/gettablefileurl?appName=APP022ParticMagnMTV2-924373673-26-05-14&amp;tableName=4.reg_fotografico&amp;fileName="&amp;C386                        )
                          )</f>
        <v>https://www.appsheet.com/template/gettablefileurl?appName=APP022ParticMagnMTV2-924373673-26-05-14&amp;tableName=4.reg_fotografico&amp;fileName=4.reg_fotografico_Images/91543908.imagen.140915.jpg</v>
      </c>
      <c r="F386" s="54" t="str">
        <f t="shared" si="2"/>
        <v/>
      </c>
    </row>
    <row r="387" ht="22.5" customHeight="1">
      <c r="A387" s="36" t="s">
        <v>3454</v>
      </c>
      <c r="B387" s="36" t="s">
        <v>1926</v>
      </c>
      <c r="C387" s="36" t="s">
        <v>3455</v>
      </c>
      <c r="D387" s="36" t="s">
        <v>3456</v>
      </c>
      <c r="E387" s="74" t="str">
        <f t="array" ref="E387">IF(
                C387 = "",
                "",
                       IF(
                           C387 ="FOTOGRAFIA",
                           "LINK",
                           "https://www.appsheet.com/template/gettablefileurl?appName=APP022ParticMagnMTV2-924373673-26-05-14&amp;tableName=4.reg_fotografico&amp;fileName="&amp;C387                        )
                          )</f>
        <v>https://www.appsheet.com/template/gettablefileurl?appName=APP022ParticMagnMTV2-924373673-26-05-14&amp;tableName=4.reg_fotografico&amp;fileName=4.reg_fotografico_Images/30fb266d.imagen.140922.jpg</v>
      </c>
      <c r="F387" s="54" t="str">
        <f t="shared" si="2"/>
        <v/>
      </c>
    </row>
    <row r="388" ht="22.5" customHeight="1">
      <c r="A388" s="36" t="s">
        <v>3457</v>
      </c>
      <c r="B388" s="36" t="s">
        <v>1891</v>
      </c>
      <c r="C388" s="36" t="s">
        <v>3458</v>
      </c>
      <c r="D388" s="36" t="s">
        <v>3459</v>
      </c>
      <c r="E388" s="74" t="str">
        <f t="array" ref="E388">IF(
                C388 = "",
                "",
                       IF(
                           C388 ="FOTOGRAFIA",
                           "LINK",
                           "https://www.appsheet.com/template/gettablefileurl?appName=APP022ParticMagnMTV2-924373673-26-05-14&amp;tableName=4.reg_fotografico&amp;fileName="&amp;C388                        )
                          )</f>
        <v>https://www.appsheet.com/template/gettablefileurl?appName=APP022ParticMagnMTV2-924373673-26-05-14&amp;tableName=4.reg_fotografico&amp;fileName=4.reg_fotografico_Images/19b381d1.imagen.140926.jpg</v>
      </c>
      <c r="F388" s="54" t="str">
        <f t="shared" si="2"/>
        <v/>
      </c>
    </row>
    <row r="389" ht="22.5" customHeight="1">
      <c r="A389" s="36" t="s">
        <v>3460</v>
      </c>
      <c r="B389" s="36" t="s">
        <v>1894</v>
      </c>
      <c r="C389" s="36" t="s">
        <v>3461</v>
      </c>
      <c r="D389" s="36" t="s">
        <v>3462</v>
      </c>
      <c r="E389" s="74" t="str">
        <f t="array" ref="E389">IF(
                C389 = "",
                "",
                       IF(
                           C389 ="FOTOGRAFIA",
                           "LINK",
                           "https://www.appsheet.com/template/gettablefileurl?appName=APP022ParticMagnMTV2-924373673-26-05-14&amp;tableName=4.reg_fotografico&amp;fileName="&amp;C389                        )
                          )</f>
        <v>https://www.appsheet.com/template/gettablefileurl?appName=APP022ParticMagnMTV2-924373673-26-05-14&amp;tableName=4.reg_fotografico&amp;fileName=4.reg_fotografico_Images/6f922830.imagen.140931.jpg</v>
      </c>
      <c r="F389" s="54" t="str">
        <f t="shared" si="2"/>
        <v/>
      </c>
    </row>
    <row r="390" ht="22.5" customHeight="1">
      <c r="A390" s="36" t="s">
        <v>3463</v>
      </c>
      <c r="B390" s="36" t="s">
        <v>1980</v>
      </c>
      <c r="C390" s="36" t="s">
        <v>3464</v>
      </c>
      <c r="D390" s="36" t="s">
        <v>3465</v>
      </c>
      <c r="E390" s="74" t="str">
        <f t="array" ref="E390">IF(
                C390 = "",
                "",
                       IF(
                           C390 ="FOTOGRAFIA",
                           "LINK",
                           "https://www.appsheet.com/template/gettablefileurl?appName=APP022ParticMagnMTV2-924373673-26-05-14&amp;tableName=4.reg_fotografico&amp;fileName="&amp;C390                        )
                          )</f>
        <v>https://www.appsheet.com/template/gettablefileurl?appName=APP022ParticMagnMTV2-924373673-26-05-14&amp;tableName=4.reg_fotografico&amp;fileName=4.reg_fotografico_Images/282c8dc7.imagen.140959.jpg</v>
      </c>
      <c r="F390" s="54" t="str">
        <f t="shared" si="2"/>
        <v/>
      </c>
    </row>
    <row r="391" ht="22.5" customHeight="1">
      <c r="A391" s="36" t="s">
        <v>3466</v>
      </c>
      <c r="B391" s="36" t="s">
        <v>1976</v>
      </c>
      <c r="C391" s="36" t="s">
        <v>3467</v>
      </c>
      <c r="D391" s="36" t="s">
        <v>3468</v>
      </c>
      <c r="E391" s="74" t="str">
        <f t="array" ref="E391">IF(
                C391 = "",
                "",
                       IF(
                           C391 ="FOTOGRAFIA",
                           "LINK",
                           "https://www.appsheet.com/template/gettablefileurl?appName=APP022ParticMagnMTV2-924373673-26-05-14&amp;tableName=4.reg_fotografico&amp;fileName="&amp;C391                        )
                          )</f>
        <v>https://www.appsheet.com/template/gettablefileurl?appName=APP022ParticMagnMTV2-924373673-26-05-14&amp;tableName=4.reg_fotografico&amp;fileName=4.reg_fotografico_Images/d736b79e.imagen.141003.jpg</v>
      </c>
      <c r="F391" s="54" t="str">
        <f t="shared" si="2"/>
        <v/>
      </c>
    </row>
    <row r="392" ht="22.5" customHeight="1">
      <c r="A392" s="36" t="s">
        <v>3469</v>
      </c>
      <c r="B392" s="36" t="s">
        <v>1964</v>
      </c>
      <c r="C392" s="36" t="s">
        <v>3470</v>
      </c>
      <c r="D392" s="36" t="s">
        <v>3471</v>
      </c>
      <c r="E392" s="74" t="str">
        <f t="array" ref="E392">IF(
                C392 = "",
                "",
                       IF(
                           C392 ="FOTOGRAFIA",
                           "LINK",
                           "https://www.appsheet.com/template/gettablefileurl?appName=APP022ParticMagnMTV2-924373673-26-05-14&amp;tableName=4.reg_fotografico&amp;fileName="&amp;C392                        )
                          )</f>
        <v>https://www.appsheet.com/template/gettablefileurl?appName=APP022ParticMagnMTV2-924373673-26-05-14&amp;tableName=4.reg_fotografico&amp;fileName=4.reg_fotografico_Images/fa9e1ab7.imagen.141006.jpg</v>
      </c>
      <c r="F392" s="54" t="str">
        <f t="shared" si="2"/>
        <v/>
      </c>
    </row>
    <row r="393" ht="22.5" customHeight="1">
      <c r="A393" s="36" t="s">
        <v>3472</v>
      </c>
      <c r="B393" s="36" t="s">
        <v>1953</v>
      </c>
      <c r="C393" s="36" t="s">
        <v>3473</v>
      </c>
      <c r="D393" s="36" t="s">
        <v>3474</v>
      </c>
      <c r="E393" s="74" t="str">
        <f t="array" ref="E393">IF(
                C393 = "",
                "",
                       IF(
                           C393 ="FOTOGRAFIA",
                           "LINK",
                           "https://www.appsheet.com/template/gettablefileurl?appName=APP022ParticMagnMTV2-924373673-26-05-14&amp;tableName=4.reg_fotografico&amp;fileName="&amp;C393                        )
                          )</f>
        <v>https://www.appsheet.com/template/gettablefileurl?appName=APP022ParticMagnMTV2-924373673-26-05-14&amp;tableName=4.reg_fotografico&amp;fileName=4.reg_fotografico_Images/da9ca65f.imagen.141009.jpg</v>
      </c>
      <c r="F393" s="54" t="str">
        <f t="shared" si="2"/>
        <v/>
      </c>
    </row>
    <row r="394" ht="22.5" customHeight="1">
      <c r="A394" s="36" t="s">
        <v>3475</v>
      </c>
      <c r="B394" s="36" t="s">
        <v>1968</v>
      </c>
      <c r="C394" s="36" t="s">
        <v>3476</v>
      </c>
      <c r="D394" s="36" t="s">
        <v>3477</v>
      </c>
      <c r="E394" s="74" t="str">
        <f t="array" ref="E394">IF(
                C394 = "",
                "",
                       IF(
                           C394 ="FOTOGRAFIA",
                           "LINK",
                           "https://www.appsheet.com/template/gettablefileurl?appName=APP022ParticMagnMTV2-924373673-26-05-14&amp;tableName=4.reg_fotografico&amp;fileName="&amp;C394                        )
                          )</f>
        <v>https://www.appsheet.com/template/gettablefileurl?appName=APP022ParticMagnMTV2-924373673-26-05-14&amp;tableName=4.reg_fotografico&amp;fileName=4.reg_fotografico_Images/13825ff1.imagen.141015.jpg</v>
      </c>
      <c r="F394" s="54" t="str">
        <f t="shared" si="2"/>
        <v/>
      </c>
    </row>
    <row r="395" ht="22.5" customHeight="1">
      <c r="A395" s="36" t="s">
        <v>3478</v>
      </c>
      <c r="B395" s="36" t="s">
        <v>1976</v>
      </c>
      <c r="C395" s="36" t="s">
        <v>3479</v>
      </c>
      <c r="D395" s="36" t="s">
        <v>3468</v>
      </c>
      <c r="E395" s="74" t="str">
        <f t="array" ref="E395">IF(
                C395 = "",
                "",
                       IF(
                           C395 ="FOTOGRAFIA",
                           "LINK",
                           "https://www.appsheet.com/template/gettablefileurl?appName=APP022ParticMagnMTV2-924373673-26-05-14&amp;tableName=4.reg_fotografico&amp;fileName="&amp;C395                        )
                          )</f>
        <v>https://www.appsheet.com/template/gettablefileurl?appName=APP022ParticMagnMTV2-924373673-26-05-14&amp;tableName=4.reg_fotografico&amp;fileName=4.reg_fotografico_Images/70d912c5.imagen.141019.jpg</v>
      </c>
      <c r="F395" s="54" t="str">
        <f t="shared" si="2"/>
        <v/>
      </c>
    </row>
    <row r="396" ht="22.5" customHeight="1">
      <c r="A396" s="36" t="s">
        <v>3480</v>
      </c>
      <c r="B396" s="36" t="s">
        <v>1972</v>
      </c>
      <c r="C396" s="36" t="s">
        <v>3481</v>
      </c>
      <c r="D396" s="36" t="s">
        <v>3482</v>
      </c>
      <c r="E396" s="74" t="str">
        <f t="array" ref="E396">IF(
                C396 = "",
                "",
                       IF(
                           C396 ="FOTOGRAFIA",
                           "LINK",
                           "https://www.appsheet.com/template/gettablefileurl?appName=APP022ParticMagnMTV2-924373673-26-05-14&amp;tableName=4.reg_fotografico&amp;fileName="&amp;C396                        )
                          )</f>
        <v>https://www.appsheet.com/template/gettablefileurl?appName=APP022ParticMagnMTV2-924373673-26-05-14&amp;tableName=4.reg_fotografico&amp;fileName=4.reg_fotografico_Images/f7e30579.imagen.141024.jpg</v>
      </c>
      <c r="F396" s="54" t="str">
        <f t="shared" si="2"/>
        <v/>
      </c>
    </row>
    <row r="397" ht="22.5" customHeight="1">
      <c r="A397" s="36" t="s">
        <v>3483</v>
      </c>
      <c r="B397" s="36" t="s">
        <v>1987</v>
      </c>
      <c r="C397" s="36" t="s">
        <v>3484</v>
      </c>
      <c r="D397" s="36" t="s">
        <v>3485</v>
      </c>
      <c r="E397" s="74" t="str">
        <f t="array" ref="E397">IF(
                C397 = "",
                "",
                       IF(
                           C397 ="FOTOGRAFIA",
                           "LINK",
                           "https://www.appsheet.com/template/gettablefileurl?appName=APP022ParticMagnMTV2-924373673-26-05-14&amp;tableName=4.reg_fotografico&amp;fileName="&amp;C397                        )
                          )</f>
        <v>https://www.appsheet.com/template/gettablefileurl?appName=APP022ParticMagnMTV2-924373673-26-05-14&amp;tableName=4.reg_fotografico&amp;fileName=4.reg_fotografico_Images/75fce583.imagen.004444.jpg</v>
      </c>
      <c r="F397" s="54" t="str">
        <f t="shared" ref="F397:F422" si="3">map(E397, lambda(url, image(url,1)))</f>
        <v/>
      </c>
    </row>
    <row r="398" ht="22.5" customHeight="1">
      <c r="A398" s="36" t="s">
        <v>3486</v>
      </c>
      <c r="B398" s="36" t="s">
        <v>2010</v>
      </c>
      <c r="C398" s="36" t="s">
        <v>3487</v>
      </c>
      <c r="D398" s="36" t="s">
        <v>3488</v>
      </c>
      <c r="E398" s="74" t="str">
        <f t="array" ref="E398">IF(
                C398 = "",
                "",
                       IF(
                           C398 ="FOTOGRAFIA",
                           "LINK",
                           "https://www.appsheet.com/template/gettablefileurl?appName=APP022ParticMagnMTV2-924373673-26-05-14&amp;tableName=4.reg_fotografico&amp;fileName="&amp;C398                        )
                          )</f>
        <v>https://www.appsheet.com/template/gettablefileurl?appName=APP022ParticMagnMTV2-924373673-26-05-14&amp;tableName=4.reg_fotografico&amp;fileName=4.reg_fotografico_Images/01cb0294.imagen.004744.jpg</v>
      </c>
      <c r="F398" s="54" t="str">
        <f t="shared" si="3"/>
        <v/>
      </c>
    </row>
    <row r="399" ht="22.5" customHeight="1">
      <c r="A399" s="36" t="s">
        <v>3489</v>
      </c>
      <c r="B399" s="36" t="s">
        <v>1997</v>
      </c>
      <c r="C399" s="36" t="s">
        <v>3490</v>
      </c>
      <c r="D399" s="36" t="s">
        <v>3491</v>
      </c>
      <c r="E399" s="74" t="str">
        <f t="array" ref="E399">IF(
                C399 = "",
                "",
                       IF(
                           C399 ="FOTOGRAFIA",
                           "LINK",
                           "https://www.appsheet.com/template/gettablefileurl?appName=APP022ParticMagnMTV2-924373673-26-05-14&amp;tableName=4.reg_fotografico&amp;fileName="&amp;C399                        )
                          )</f>
        <v>https://www.appsheet.com/template/gettablefileurl?appName=APP022ParticMagnMTV2-924373673-26-05-14&amp;tableName=4.reg_fotografico&amp;fileName=4.reg_fotografico_Images/6bd72419.imagen.005544.jpg</v>
      </c>
      <c r="F399" s="54" t="str">
        <f t="shared" si="3"/>
        <v/>
      </c>
    </row>
    <row r="400" ht="22.5" customHeight="1">
      <c r="A400" s="36" t="s">
        <v>3492</v>
      </c>
      <c r="B400" s="36" t="s">
        <v>2015</v>
      </c>
      <c r="C400" s="36" t="s">
        <v>3493</v>
      </c>
      <c r="D400" s="36" t="s">
        <v>3494</v>
      </c>
      <c r="E400" s="74" t="str">
        <f t="array" ref="E400">IF(
                C400 = "",
                "",
                       IF(
                           C400 ="FOTOGRAFIA",
                           "LINK",
                           "https://www.appsheet.com/template/gettablefileurl?appName=APP022ParticMagnMTV2-924373673-26-05-14&amp;tableName=4.reg_fotografico&amp;fileName="&amp;C400                        )
                          )</f>
        <v>https://www.appsheet.com/template/gettablefileurl?appName=APP022ParticMagnMTV2-924373673-26-05-14&amp;tableName=4.reg_fotografico&amp;fileName=4.reg_fotografico_Images/67ecb5fe.imagen.005847.jpg</v>
      </c>
      <c r="F400" s="54" t="str">
        <f t="shared" si="3"/>
        <v/>
      </c>
    </row>
    <row r="401" ht="22.5" customHeight="1">
      <c r="A401" s="36" t="s">
        <v>3495</v>
      </c>
      <c r="B401" s="36" t="s">
        <v>1992</v>
      </c>
      <c r="C401" s="36" t="s">
        <v>3496</v>
      </c>
      <c r="D401" s="36" t="s">
        <v>3497</v>
      </c>
      <c r="E401" s="74" t="str">
        <f t="array" ref="E401">IF(
                C401 = "",
                "",
                       IF(
                           C401 ="FOTOGRAFIA",
                           "LINK",
                           "https://www.appsheet.com/template/gettablefileurl?appName=APP022ParticMagnMTV2-924373673-26-05-14&amp;tableName=4.reg_fotografico&amp;fileName="&amp;C401                        )
                          )</f>
        <v>https://www.appsheet.com/template/gettablefileurl?appName=APP022ParticMagnMTV2-924373673-26-05-14&amp;tableName=4.reg_fotografico&amp;fileName=4.reg_fotografico_Images/d4f2127f.imagen.005853.jpg</v>
      </c>
      <c r="F401" s="54" t="str">
        <f t="shared" si="3"/>
        <v/>
      </c>
    </row>
    <row r="402" ht="22.5" customHeight="1">
      <c r="A402" s="36" t="s">
        <v>3498</v>
      </c>
      <c r="B402" s="36" t="s">
        <v>2006</v>
      </c>
      <c r="C402" s="36" t="s">
        <v>3499</v>
      </c>
      <c r="D402" s="36" t="s">
        <v>3500</v>
      </c>
      <c r="E402" s="74" t="str">
        <f t="array" ref="E402">IF(
                C402 = "",
                "",
                       IF(
                           C402 ="FOTOGRAFIA",
                           "LINK",
                           "https://www.appsheet.com/template/gettablefileurl?appName=APP022ParticMagnMTV2-924373673-26-05-14&amp;tableName=4.reg_fotografico&amp;fileName="&amp;C402                        )
                          )</f>
        <v>https://www.appsheet.com/template/gettablefileurl?appName=APP022ParticMagnMTV2-924373673-26-05-14&amp;tableName=4.reg_fotografico&amp;fileName=4.reg_fotografico_Images/71d80afe.imagen.005856.jpg</v>
      </c>
      <c r="F402" s="54" t="str">
        <f t="shared" si="3"/>
        <v/>
      </c>
    </row>
    <row r="403" ht="22.5" customHeight="1">
      <c r="A403" s="36" t="s">
        <v>3501</v>
      </c>
      <c r="B403" s="36" t="s">
        <v>2060</v>
      </c>
      <c r="C403" s="36" t="s">
        <v>3502</v>
      </c>
      <c r="D403" s="36" t="s">
        <v>3503</v>
      </c>
      <c r="E403" s="74" t="str">
        <f t="array" ref="E403">IF(
                C403 = "",
                "",
                       IF(
                           C403 ="FOTOGRAFIA",
                           "LINK",
                           "https://www.appsheet.com/template/gettablefileurl?appName=APP022ParticMagnMTV2-924373673-26-05-14&amp;tableName=4.reg_fotografico&amp;fileName="&amp;C403                        )
                          )</f>
        <v>https://www.appsheet.com/template/gettablefileurl?appName=APP022ParticMagnMTV2-924373673-26-05-14&amp;tableName=4.reg_fotografico&amp;fileName=4.reg_fotografico_Images/391f59c7.imagen.005859.jpg</v>
      </c>
      <c r="F403" s="54" t="str">
        <f t="shared" si="3"/>
        <v/>
      </c>
    </row>
    <row r="404" ht="22.5" customHeight="1">
      <c r="A404" s="36" t="s">
        <v>3504</v>
      </c>
      <c r="B404" s="36" t="s">
        <v>2056</v>
      </c>
      <c r="C404" s="36" t="s">
        <v>3505</v>
      </c>
      <c r="D404" s="36" t="s">
        <v>3506</v>
      </c>
      <c r="E404" s="74" t="str">
        <f t="array" ref="E404">IF(
                C404 = "",
                "",
                       IF(
                           C404 ="FOTOGRAFIA",
                           "LINK",
                           "https://www.appsheet.com/template/gettablefileurl?appName=APP022ParticMagnMTV2-924373673-26-05-14&amp;tableName=4.reg_fotografico&amp;fileName="&amp;C404                        )
                          )</f>
        <v>https://www.appsheet.com/template/gettablefileurl?appName=APP022ParticMagnMTV2-924373673-26-05-14&amp;tableName=4.reg_fotografico&amp;fileName=4.reg_fotografico_Images/2e5912f6.imagen.005902.jpg</v>
      </c>
      <c r="F404" s="54" t="str">
        <f t="shared" si="3"/>
        <v/>
      </c>
    </row>
    <row r="405" ht="22.5" customHeight="1">
      <c r="A405" s="36" t="s">
        <v>3507</v>
      </c>
      <c r="B405" s="36" t="s">
        <v>2051</v>
      </c>
      <c r="C405" s="36" t="s">
        <v>3508</v>
      </c>
      <c r="D405" s="36" t="s">
        <v>3509</v>
      </c>
      <c r="E405" s="74" t="str">
        <f t="array" ref="E405">IF(
                C405 = "",
                "",
                       IF(
                           C405 ="FOTOGRAFIA",
                           "LINK",
                           "https://www.appsheet.com/template/gettablefileurl?appName=APP022ParticMagnMTV2-924373673-26-05-14&amp;tableName=4.reg_fotografico&amp;fileName="&amp;C405                        )
                          )</f>
        <v>https://www.appsheet.com/template/gettablefileurl?appName=APP022ParticMagnMTV2-924373673-26-05-14&amp;tableName=4.reg_fotografico&amp;fileName=4.reg_fotografico_Images/81bd7bcb.imagen.005906.jpg</v>
      </c>
      <c r="F405" s="54" t="str">
        <f t="shared" si="3"/>
        <v/>
      </c>
    </row>
    <row r="406" ht="22.5" customHeight="1">
      <c r="A406" s="36" t="s">
        <v>3510</v>
      </c>
      <c r="B406" s="36" t="s">
        <v>2019</v>
      </c>
      <c r="C406" s="36" t="s">
        <v>3511</v>
      </c>
      <c r="D406" s="36" t="s">
        <v>3512</v>
      </c>
      <c r="E406" s="74" t="str">
        <f t="array" ref="E406">IF(
                C406 = "",
                "",
                       IF(
                           C406 ="FOTOGRAFIA",
                           "LINK",
                           "https://www.appsheet.com/template/gettablefileurl?appName=APP022ParticMagnMTV2-924373673-26-05-14&amp;tableName=4.reg_fotografico&amp;fileName="&amp;C406                        )
                          )</f>
        <v>https://www.appsheet.com/template/gettablefileurl?appName=APP022ParticMagnMTV2-924373673-26-05-14&amp;tableName=4.reg_fotografico&amp;fileName=4.reg_fotografico_Images/90f19413.imagen.005910.jpg</v>
      </c>
      <c r="F406" s="54" t="str">
        <f t="shared" si="3"/>
        <v/>
      </c>
    </row>
    <row r="407" ht="22.5" customHeight="1">
      <c r="A407" s="36" t="s">
        <v>3513</v>
      </c>
      <c r="B407" s="36" t="s">
        <v>2001</v>
      </c>
      <c r="C407" s="36" t="s">
        <v>3514</v>
      </c>
      <c r="D407" s="36" t="s">
        <v>3515</v>
      </c>
      <c r="E407" s="74" t="str">
        <f t="array" ref="E407">IF(
                C407 = "",
                "",
                       IF(
                           C407 ="FOTOGRAFIA",
                           "LINK",
                           "https://www.appsheet.com/template/gettablefileurl?appName=APP022ParticMagnMTV2-924373673-26-05-14&amp;tableName=4.reg_fotografico&amp;fileName="&amp;C407                        )
                          )</f>
        <v>https://www.appsheet.com/template/gettablefileurl?appName=APP022ParticMagnMTV2-924373673-26-05-14&amp;tableName=4.reg_fotografico&amp;fileName=4.reg_fotografico_Images/bdb8a594.imagen.005913.jpg</v>
      </c>
      <c r="F407" s="54" t="str">
        <f t="shared" si="3"/>
        <v/>
      </c>
    </row>
    <row r="408" ht="22.5" customHeight="1">
      <c r="A408" s="36" t="s">
        <v>3516</v>
      </c>
      <c r="B408" s="36" t="s">
        <v>2064</v>
      </c>
      <c r="C408" s="36" t="s">
        <v>3517</v>
      </c>
      <c r="D408" s="36" t="s">
        <v>3518</v>
      </c>
      <c r="E408" s="74" t="str">
        <f t="array" ref="E408">IF(
                C408 = "",
                "",
                       IF(
                           C408 ="FOTOGRAFIA",
                           "LINK",
                           "https://www.appsheet.com/template/gettablefileurl?appName=APP022ParticMagnMTV2-924373673-26-05-14&amp;tableName=4.reg_fotografico&amp;fileName="&amp;C408                        )
                          )</f>
        <v>https://www.appsheet.com/template/gettablefileurl?appName=APP022ParticMagnMTV2-924373673-26-05-14&amp;tableName=4.reg_fotografico&amp;fileName=4.reg_fotografico_Images/7d284ccf.imagen.005917.jpg</v>
      </c>
      <c r="F408" s="54" t="str">
        <f t="shared" si="3"/>
        <v/>
      </c>
    </row>
    <row r="409" ht="22.5" customHeight="1">
      <c r="A409" s="36" t="s">
        <v>3519</v>
      </c>
      <c r="B409" s="36" t="s">
        <v>2023</v>
      </c>
      <c r="C409" s="36" t="s">
        <v>3520</v>
      </c>
      <c r="D409" s="36" t="s">
        <v>3521</v>
      </c>
      <c r="E409" s="74" t="str">
        <f t="array" ref="E409">IF(
                C409 = "",
                "",
                       IF(
                           C409 ="FOTOGRAFIA",
                           "LINK",
                           "https://www.appsheet.com/template/gettablefileurl?appName=APP022ParticMagnMTV2-924373673-26-05-14&amp;tableName=4.reg_fotografico&amp;fileName="&amp;C409                        )
                          )</f>
        <v>https://www.appsheet.com/template/gettablefileurl?appName=APP022ParticMagnMTV2-924373673-26-05-14&amp;tableName=4.reg_fotografico&amp;fileName=4.reg_fotografico_Images/bedbbcff.imagen.005920.jpg</v>
      </c>
      <c r="F409" s="54" t="str">
        <f t="shared" si="3"/>
        <v/>
      </c>
    </row>
    <row r="410" ht="22.5" customHeight="1">
      <c r="A410" s="36" t="s">
        <v>3522</v>
      </c>
      <c r="B410" s="36" t="s">
        <v>2032</v>
      </c>
      <c r="C410" s="36" t="s">
        <v>3523</v>
      </c>
      <c r="D410" s="36" t="s">
        <v>3524</v>
      </c>
      <c r="E410" s="74" t="str">
        <f t="array" ref="E410">IF(
                C410 = "",
                "",
                       IF(
                           C410 ="FOTOGRAFIA",
                           "LINK",
                           "https://www.appsheet.com/template/gettablefileurl?appName=APP022ParticMagnMTV2-924373673-26-05-14&amp;tableName=4.reg_fotografico&amp;fileName="&amp;C410                        )
                          )</f>
        <v>https://www.appsheet.com/template/gettablefileurl?appName=APP022ParticMagnMTV2-924373673-26-05-14&amp;tableName=4.reg_fotografico&amp;fileName=4.reg_fotografico_Images/da1a3ce9.imagen.005923.jpg</v>
      </c>
      <c r="F410" s="54" t="str">
        <f t="shared" si="3"/>
        <v/>
      </c>
    </row>
    <row r="411" ht="22.5" customHeight="1">
      <c r="A411" s="36" t="s">
        <v>3525</v>
      </c>
      <c r="B411" s="36" t="s">
        <v>2037</v>
      </c>
      <c r="C411" s="36" t="s">
        <v>3526</v>
      </c>
      <c r="D411" s="36" t="s">
        <v>3527</v>
      </c>
      <c r="E411" s="74" t="str">
        <f t="array" ref="E411">IF(
                C411 = "",
                "",
                       IF(
                           C411 ="FOTOGRAFIA",
                           "LINK",
                           "https://www.appsheet.com/template/gettablefileurl?appName=APP022ParticMagnMTV2-924373673-26-05-14&amp;tableName=4.reg_fotografico&amp;fileName="&amp;C411                        )
                          )</f>
        <v>https://www.appsheet.com/template/gettablefileurl?appName=APP022ParticMagnMTV2-924373673-26-05-14&amp;tableName=4.reg_fotografico&amp;fileName=4.reg_fotografico_Images/8059f2a7.imagen.005926.jpg</v>
      </c>
      <c r="F411" s="54" t="str">
        <f t="shared" si="3"/>
        <v/>
      </c>
    </row>
    <row r="412" ht="22.5" customHeight="1">
      <c r="A412" s="36" t="s">
        <v>3528</v>
      </c>
      <c r="B412" s="36" t="s">
        <v>2041</v>
      </c>
      <c r="C412" s="36" t="s">
        <v>3529</v>
      </c>
      <c r="D412" s="36" t="s">
        <v>3530</v>
      </c>
      <c r="E412" s="74" t="str">
        <f t="array" ref="E412">IF(
                C412 = "",
                "",
                       IF(
                           C412 ="FOTOGRAFIA",
                           "LINK",
                           "https://www.appsheet.com/template/gettablefileurl?appName=APP022ParticMagnMTV2-924373673-26-05-14&amp;tableName=4.reg_fotografico&amp;fileName="&amp;C412                        )
                          )</f>
        <v>https://www.appsheet.com/template/gettablefileurl?appName=APP022ParticMagnMTV2-924373673-26-05-14&amp;tableName=4.reg_fotografico&amp;fileName=4.reg_fotografico_Images/f6108159.imagen.005929.jpg</v>
      </c>
      <c r="F412" s="54" t="str">
        <f t="shared" si="3"/>
        <v/>
      </c>
    </row>
    <row r="413" ht="22.5" customHeight="1">
      <c r="A413" s="36" t="s">
        <v>3531</v>
      </c>
      <c r="B413" s="36" t="s">
        <v>2027</v>
      </c>
      <c r="C413" s="36" t="s">
        <v>3532</v>
      </c>
      <c r="D413" s="36" t="s">
        <v>3533</v>
      </c>
      <c r="E413" s="74" t="str">
        <f t="array" ref="E413">IF(
                C413 = "",
                "",
                       IF(
                           C413 ="FOTOGRAFIA",
                           "LINK",
                           "https://www.appsheet.com/template/gettablefileurl?appName=APP022ParticMagnMTV2-924373673-26-05-14&amp;tableName=4.reg_fotografico&amp;fileName="&amp;C413                        )
                          )</f>
        <v>https://www.appsheet.com/template/gettablefileurl?appName=APP022ParticMagnMTV2-924373673-26-05-14&amp;tableName=4.reg_fotografico&amp;fileName=4.reg_fotografico_Images/aae9eabe.imagen.005932.jpg</v>
      </c>
      <c r="F413" s="54" t="str">
        <f t="shared" si="3"/>
        <v/>
      </c>
    </row>
    <row r="414" ht="22.5" customHeight="1">
      <c r="A414" s="36" t="s">
        <v>3534</v>
      </c>
      <c r="B414" s="36" t="s">
        <v>2046</v>
      </c>
      <c r="C414" s="36" t="s">
        <v>3535</v>
      </c>
      <c r="D414" s="36" t="s">
        <v>3536</v>
      </c>
      <c r="E414" s="74" t="str">
        <f t="array" ref="E414">IF(
                C414 = "",
                "",
                       IF(
                           C414 ="FOTOGRAFIA",
                           "LINK",
                           "https://www.appsheet.com/template/gettablefileurl?appName=APP022ParticMagnMTV2-924373673-26-05-14&amp;tableName=4.reg_fotografico&amp;fileName="&amp;C414                        )
                          )</f>
        <v>https://www.appsheet.com/template/gettablefileurl?appName=APP022ParticMagnMTV2-924373673-26-05-14&amp;tableName=4.reg_fotografico&amp;fileName=4.reg_fotografico_Images/8209d145.imagen.005935.jpg</v>
      </c>
      <c r="F414" s="54" t="str">
        <f t="shared" si="3"/>
        <v/>
      </c>
    </row>
    <row r="415" ht="22.5" customHeight="1">
      <c r="A415" s="36" t="s">
        <v>3537</v>
      </c>
      <c r="B415" s="36" t="s">
        <v>2082</v>
      </c>
      <c r="C415" s="36" t="s">
        <v>3538</v>
      </c>
      <c r="D415" s="36" t="s">
        <v>3539</v>
      </c>
      <c r="E415" s="74" t="str">
        <f t="array" ref="E415">IF(
                C415 = "",
                "",
                       IF(
                           C415 ="FOTOGRAFIA",
                           "LINK",
                           "https://www.appsheet.com/template/gettablefileurl?appName=APP022ParticMagnMTV2-924373673-26-05-14&amp;tableName=4.reg_fotografico&amp;fileName="&amp;C415                        )
                          )</f>
        <v>https://www.appsheet.com/template/gettablefileurl?appName=APP022ParticMagnMTV2-924373673-26-05-14&amp;tableName=4.reg_fotografico&amp;fileName=4.reg_fotografico_Images/f023e0c7.imagen.005938.jpg</v>
      </c>
      <c r="F415" s="54" t="str">
        <f t="shared" si="3"/>
        <v/>
      </c>
    </row>
    <row r="416" ht="22.5" customHeight="1">
      <c r="A416" s="36" t="s">
        <v>3540</v>
      </c>
      <c r="B416" s="36" t="s">
        <v>2068</v>
      </c>
      <c r="C416" s="36" t="s">
        <v>3541</v>
      </c>
      <c r="D416" s="36" t="s">
        <v>3542</v>
      </c>
      <c r="E416" s="74" t="str">
        <f t="array" ref="E416">IF(
                C416 = "",
                "",
                       IF(
                           C416 ="FOTOGRAFIA",
                           "LINK",
                           "https://www.appsheet.com/template/gettablefileurl?appName=APP022ParticMagnMTV2-924373673-26-05-14&amp;tableName=4.reg_fotografico&amp;fileName="&amp;C416                        )
                          )</f>
        <v>https://www.appsheet.com/template/gettablefileurl?appName=APP022ParticMagnMTV2-924373673-26-05-14&amp;tableName=4.reg_fotografico&amp;fileName=4.reg_fotografico_Images/a810b13e.imagen.005942.jpg</v>
      </c>
      <c r="F416" s="54" t="str">
        <f t="shared" si="3"/>
        <v/>
      </c>
    </row>
    <row r="417" ht="22.5" customHeight="1">
      <c r="A417" s="36" t="s">
        <v>3543</v>
      </c>
      <c r="B417" s="36" t="s">
        <v>2099</v>
      </c>
      <c r="C417" s="36" t="s">
        <v>3544</v>
      </c>
      <c r="D417" s="36" t="s">
        <v>3545</v>
      </c>
      <c r="E417" s="74" t="str">
        <f t="array" ref="E417">IF(
                C417 = "",
                "",
                       IF(
                           C417 ="FOTOGRAFIA",
                           "LINK",
                           "https://www.appsheet.com/template/gettablefileurl?appName=APP022ParticMagnMTV2-924373673-26-05-14&amp;tableName=4.reg_fotografico&amp;fileName="&amp;C417                        )
                          )</f>
        <v>https://www.appsheet.com/template/gettablefileurl?appName=APP022ParticMagnMTV2-924373673-26-05-14&amp;tableName=4.reg_fotografico&amp;fileName=4.reg_fotografico_Images/7417ba9b.imagen.005945.jpg</v>
      </c>
      <c r="F417" s="54" t="str">
        <f t="shared" si="3"/>
        <v/>
      </c>
    </row>
    <row r="418" ht="22.5" customHeight="1">
      <c r="A418" s="39" t="s">
        <v>3546</v>
      </c>
      <c r="B418" s="36" t="s">
        <v>2087</v>
      </c>
      <c r="C418" s="36" t="s">
        <v>3547</v>
      </c>
      <c r="D418" s="36" t="s">
        <v>3548</v>
      </c>
      <c r="E418" s="74" t="str">
        <f t="array" ref="E418">IF(
                C418 = "",
                "",
                       IF(
                           C418 ="FOTOGRAFIA",
                           "LINK",
                           "https://www.appsheet.com/template/gettablefileurl?appName=APP022ParticMagnMTV2-924373673-26-05-14&amp;tableName=4.reg_fotografico&amp;fileName="&amp;C418                        )
                          )</f>
        <v>https://www.appsheet.com/template/gettablefileurl?appName=APP022ParticMagnMTV2-924373673-26-05-14&amp;tableName=4.reg_fotografico&amp;fileName=4.reg_fotografico_Images/68755291.imagen.005948.jpg</v>
      </c>
      <c r="F418" s="54" t="str">
        <f t="shared" si="3"/>
        <v/>
      </c>
    </row>
    <row r="419" ht="22.5" customHeight="1">
      <c r="A419" s="36" t="s">
        <v>3549</v>
      </c>
      <c r="B419" s="36" t="s">
        <v>2091</v>
      </c>
      <c r="C419" s="36" t="s">
        <v>3550</v>
      </c>
      <c r="D419" s="36" t="s">
        <v>3551</v>
      </c>
      <c r="E419" s="74" t="str">
        <f t="array" ref="E419">IF(
                C419 = "",
                "",
                       IF(
                           C419 ="FOTOGRAFIA",
                           "LINK",
                           "https://www.appsheet.com/template/gettablefileurl?appName=APP022ParticMagnMTV2-924373673-26-05-14&amp;tableName=4.reg_fotografico&amp;fileName="&amp;C419                        )
                          )</f>
        <v>https://www.appsheet.com/template/gettablefileurl?appName=APP022ParticMagnMTV2-924373673-26-05-14&amp;tableName=4.reg_fotografico&amp;fileName=4.reg_fotografico_Images/d92ac454.imagen.005951.jpg</v>
      </c>
      <c r="F419" s="54" t="str">
        <f t="shared" si="3"/>
        <v/>
      </c>
    </row>
    <row r="420" ht="22.5" customHeight="1">
      <c r="A420" s="36" t="s">
        <v>3552</v>
      </c>
      <c r="B420" s="36" t="s">
        <v>2095</v>
      </c>
      <c r="C420" s="36" t="s">
        <v>3553</v>
      </c>
      <c r="D420" s="36" t="s">
        <v>3554</v>
      </c>
      <c r="E420" s="74" t="str">
        <f t="array" ref="E420">IF(
                C420 = "",
                "",
                       IF(
                           C420 ="FOTOGRAFIA",
                           "LINK",
                           "https://www.appsheet.com/template/gettablefileurl?appName=APP022ParticMagnMTV2-924373673-26-05-14&amp;tableName=4.reg_fotografico&amp;fileName="&amp;C420                        )
                          )</f>
        <v>https://www.appsheet.com/template/gettablefileurl?appName=APP022ParticMagnMTV2-924373673-26-05-14&amp;tableName=4.reg_fotografico&amp;fileName=4.reg_fotografico_Images/1b0f2139.imagen.005954.jpg</v>
      </c>
      <c r="F420" s="54" t="str">
        <f t="shared" si="3"/>
        <v/>
      </c>
    </row>
    <row r="421" ht="22.5" customHeight="1">
      <c r="A421" s="36" t="s">
        <v>3555</v>
      </c>
      <c r="B421" s="36" t="s">
        <v>2077</v>
      </c>
      <c r="C421" s="36" t="s">
        <v>3556</v>
      </c>
      <c r="D421" s="36" t="s">
        <v>3557</v>
      </c>
      <c r="E421" s="74" t="str">
        <f t="array" ref="E421">IF(
                C421 = "",
                "",
                       IF(
                           C421 ="FOTOGRAFIA",
                           "LINK",
                           "https://www.appsheet.com/template/gettablefileurl?appName=APP022ParticMagnMTV2-924373673-26-05-14&amp;tableName=4.reg_fotografico&amp;fileName="&amp;C421                        )
                          )</f>
        <v>https://www.appsheet.com/template/gettablefileurl?appName=APP022ParticMagnMTV2-924373673-26-05-14&amp;tableName=4.reg_fotografico&amp;fileName=4.reg_fotografico_Images/3b943224.imagen.005958.jpg</v>
      </c>
      <c r="F421" s="54" t="str">
        <f t="shared" si="3"/>
        <v/>
      </c>
    </row>
    <row r="422" ht="22.5" customHeight="1">
      <c r="A422" s="36" t="s">
        <v>3558</v>
      </c>
      <c r="B422" s="36" t="s">
        <v>2072</v>
      </c>
      <c r="C422" s="36" t="s">
        <v>3559</v>
      </c>
      <c r="D422" s="36" t="s">
        <v>3560</v>
      </c>
      <c r="E422" s="74" t="str">
        <f t="array" ref="E422">IF(
                C422 = "",
                "",
                       IF(
                           C422 ="FOTOGRAFIA",
                           "LINK",
                           "https://www.appsheet.com/template/gettablefileurl?appName=APP022ParticMagnMTV2-924373673-26-05-14&amp;tableName=4.reg_fotografico&amp;fileName="&amp;C422                        )
                          )</f>
        <v>https://www.appsheet.com/template/gettablefileurl?appName=APP022ParticMagnMTV2-924373673-26-05-14&amp;tableName=4.reg_fotografico&amp;fileName=4.reg_fotografico_Images/1dc7af2c.imagen.010003.jpg</v>
      </c>
      <c r="F422" s="54" t="str">
        <f t="shared" si="3"/>
        <v/>
      </c>
    </row>
    <row r="423" ht="22.5" customHeight="1">
      <c r="A423" s="36" t="s">
        <v>3561</v>
      </c>
      <c r="B423" s="36" t="s">
        <v>2267</v>
      </c>
      <c r="C423" s="36" t="s">
        <v>3562</v>
      </c>
      <c r="D423" s="36" t="s">
        <v>3563</v>
      </c>
      <c r="E423" s="74" t="str">
        <f t="array" ref="E423">IF(
                C423 = "",
                "",
                       IF(
                           C423 ="FOTOGRAFIA",
                           "LINK",
                           "https://www.appsheet.com/template/gettablefileurl?appName=APP022ParticMagnMTV2-924373673-26-05-14&amp;tableName=4.reg_fotografico&amp;fileName="&amp;C423                        )
                          )</f>
        <v>https://www.appsheet.com/template/gettablefileurl?appName=APP022ParticMagnMTV2-924373673-26-05-14&amp;tableName=4.reg_fotografico&amp;fileName=4.reg_fotografico_Images/7a48ef9b.imagen.032036.jpg</v>
      </c>
      <c r="F423" s="54" t="str">
        <f t="shared" ref="F423:F424" si="4">map(E423, lambda(url, image(url,1)))</f>
        <v/>
      </c>
    </row>
    <row r="424" ht="22.5" customHeight="1">
      <c r="A424" s="36" t="s">
        <v>3564</v>
      </c>
      <c r="B424" s="36" t="s">
        <v>2274</v>
      </c>
      <c r="C424" s="36" t="s">
        <v>3565</v>
      </c>
      <c r="D424" s="36" t="s">
        <v>3566</v>
      </c>
      <c r="E424" s="74" t="str">
        <f t="array" ref="E424">IF(
                C424 = "",
                "",
                       IF(
                           C424 ="FOTOGRAFIA",
                           "LINK",
                           "https://www.appsheet.com/template/gettablefileurl?appName=APP022ParticMagnMTV2-924373673-26-05-14&amp;tableName=4.reg_fotografico&amp;fileName="&amp;C424                        )
                          )</f>
        <v>https://www.appsheet.com/template/gettablefileurl?appName=APP022ParticMagnMTV2-924373673-26-05-14&amp;tableName=4.reg_fotografico&amp;fileName=4.reg_fotografico_Images/9af9fa4d.imagen.032048.jpg</v>
      </c>
      <c r="F424" s="54" t="str">
        <f t="shared" si="4"/>
        <v/>
      </c>
    </row>
    <row r="425" ht="22.5" customHeight="1">
      <c r="A425" s="36" t="s">
        <v>3567</v>
      </c>
      <c r="B425" s="36" t="s">
        <v>2104</v>
      </c>
      <c r="C425" s="36" t="s">
        <v>3568</v>
      </c>
      <c r="D425" s="36" t="s">
        <v>3569</v>
      </c>
      <c r="E425" s="74" t="str">
        <f t="array" ref="E425">IF(
                C425 = "",
                "",
                       IF(
                           C425 ="FOTOGRAFIA",
                           "LINK",
                           "https://www.appsheet.com/template/gettablefileurl?appName=APP022ParticMagnMTV2-924373673-26-05-14&amp;tableName=4.reg_fotografico&amp;fileName="&amp;C425                        )
                          )</f>
        <v>https://www.appsheet.com/template/gettablefileurl?appName=APP022ParticMagnMTV2-924373673-26-05-14&amp;tableName=4.reg_fotografico&amp;fileName=4.reg_fotografico_Images/902d9d71.imagen.032053.jpg</v>
      </c>
      <c r="F425" s="54" t="str">
        <f t="shared" ref="F425:F1000" si="5">map(E425, lambda(url, image(url,1)))</f>
        <v/>
      </c>
    </row>
    <row r="426" ht="22.5" customHeight="1">
      <c r="A426" s="36" t="s">
        <v>3570</v>
      </c>
      <c r="B426" s="36" t="s">
        <v>2109</v>
      </c>
      <c r="C426" s="36" t="s">
        <v>3571</v>
      </c>
      <c r="D426" s="36" t="s">
        <v>3572</v>
      </c>
      <c r="E426" s="74" t="str">
        <f t="array" ref="E426">IF(
                C426 = "",
                "",
                       IF(
                           C426 ="FOTOGRAFIA",
                           "LINK",
                           "https://www.appsheet.com/template/gettablefileurl?appName=APP022ParticMagnMTV2-924373673-26-05-14&amp;tableName=4.reg_fotografico&amp;fileName="&amp;C426                        )
                          )</f>
        <v>https://www.appsheet.com/template/gettablefileurl?appName=APP022ParticMagnMTV2-924373673-26-05-14&amp;tableName=4.reg_fotografico&amp;fileName=4.reg_fotografico_Images/d395fdf7.imagen.032058.jpg</v>
      </c>
      <c r="F426" s="54" t="str">
        <f t="shared" si="5"/>
        <v/>
      </c>
    </row>
    <row r="427" ht="22.5" customHeight="1">
      <c r="A427" s="36" t="s">
        <v>3573</v>
      </c>
      <c r="B427" s="36" t="s">
        <v>2113</v>
      </c>
      <c r="C427" s="36" t="s">
        <v>3574</v>
      </c>
      <c r="D427" s="36" t="s">
        <v>3575</v>
      </c>
      <c r="E427" s="74" t="str">
        <f t="array" ref="E427">IF(
                C427 = "",
                "",
                       IF(
                           C427 ="FOTOGRAFIA",
                           "LINK",
                           "https://www.appsheet.com/template/gettablefileurl?appName=APP022ParticMagnMTV2-924373673-26-05-14&amp;tableName=4.reg_fotografico&amp;fileName="&amp;C427                        )
                          )</f>
        <v>https://www.appsheet.com/template/gettablefileurl?appName=APP022ParticMagnMTV2-924373673-26-05-14&amp;tableName=4.reg_fotografico&amp;fileName=4.reg_fotografico_Images/d254e393.imagen.032104.jpg</v>
      </c>
      <c r="F427" s="54" t="str">
        <f t="shared" si="5"/>
        <v/>
      </c>
    </row>
    <row r="428" ht="22.5" customHeight="1">
      <c r="A428" s="36" t="s">
        <v>3576</v>
      </c>
      <c r="B428" s="36" t="s">
        <v>2117</v>
      </c>
      <c r="C428" s="36" t="s">
        <v>3577</v>
      </c>
      <c r="D428" s="36" t="s">
        <v>3578</v>
      </c>
      <c r="E428" s="74" t="str">
        <f t="array" ref="E428">IF(
                C428 = "",
                "",
                       IF(
                           C428 ="FOTOGRAFIA",
                           "LINK",
                           "https://www.appsheet.com/template/gettablefileurl?appName=APP022ParticMagnMTV2-924373673-26-05-14&amp;tableName=4.reg_fotografico&amp;fileName="&amp;C428                        )
                          )</f>
        <v>https://www.appsheet.com/template/gettablefileurl?appName=APP022ParticMagnMTV2-924373673-26-05-14&amp;tableName=4.reg_fotografico&amp;fileName=4.reg_fotografico_Images/86e458fc.imagen.032344.jpg</v>
      </c>
      <c r="F428" s="54" t="str">
        <f t="shared" si="5"/>
        <v/>
      </c>
    </row>
    <row r="429" ht="22.5" customHeight="1">
      <c r="A429" s="36" t="s">
        <v>3579</v>
      </c>
      <c r="B429" s="36" t="s">
        <v>2121</v>
      </c>
      <c r="C429" s="36" t="s">
        <v>3580</v>
      </c>
      <c r="D429" s="36" t="s">
        <v>3581</v>
      </c>
      <c r="E429" s="74" t="str">
        <f t="array" ref="E429">IF(
                C429 = "",
                "",
                       IF(
                           C429 ="FOTOGRAFIA",
                           "LINK",
                           "https://www.appsheet.com/template/gettablefileurl?appName=APP022ParticMagnMTV2-924373673-26-05-14&amp;tableName=4.reg_fotografico&amp;fileName="&amp;C429                        )
                          )</f>
        <v>https://www.appsheet.com/template/gettablefileurl?appName=APP022ParticMagnMTV2-924373673-26-05-14&amp;tableName=4.reg_fotografico&amp;fileName=4.reg_fotografico_Images/55b871f1.imagen.032644.jpg</v>
      </c>
      <c r="F429" s="54" t="str">
        <f t="shared" si="5"/>
        <v/>
      </c>
    </row>
    <row r="430" ht="22.5" customHeight="1">
      <c r="A430" s="36" t="s">
        <v>3582</v>
      </c>
      <c r="B430" s="36" t="s">
        <v>2125</v>
      </c>
      <c r="C430" s="36" t="s">
        <v>3583</v>
      </c>
      <c r="D430" s="36" t="s">
        <v>3584</v>
      </c>
      <c r="E430" s="74" t="str">
        <f t="array" ref="E430">IF(
                C430 = "",
                "",
                       IF(
                           C430 ="FOTOGRAFIA",
                           "LINK",
                           "https://www.appsheet.com/template/gettablefileurl?appName=APP022ParticMagnMTV2-924373673-26-05-14&amp;tableName=4.reg_fotografico&amp;fileName="&amp;C430                        )
                          )</f>
        <v>https://www.appsheet.com/template/gettablefileurl?appName=APP022ParticMagnMTV2-924373673-26-05-14&amp;tableName=4.reg_fotografico&amp;fileName=4.reg_fotografico_Images/dd003ffb.imagen.032944.jpg</v>
      </c>
      <c r="F430" s="54" t="str">
        <f t="shared" si="5"/>
        <v/>
      </c>
    </row>
    <row r="431" ht="22.5" customHeight="1">
      <c r="A431" s="36" t="s">
        <v>3585</v>
      </c>
      <c r="B431" s="36" t="s">
        <v>2129</v>
      </c>
      <c r="C431" s="36" t="s">
        <v>3586</v>
      </c>
      <c r="D431" s="36" t="s">
        <v>3587</v>
      </c>
      <c r="E431" s="74" t="str">
        <f t="array" ref="E431">IF(
                C431 = "",
                "",
                       IF(
                           C431 ="FOTOGRAFIA",
                           "LINK",
                           "https://www.appsheet.com/template/gettablefileurl?appName=APP022ParticMagnMTV2-924373673-26-05-14&amp;tableName=4.reg_fotografico&amp;fileName="&amp;C431                        )
                          )</f>
        <v>https://www.appsheet.com/template/gettablefileurl?appName=APP022ParticMagnMTV2-924373673-26-05-14&amp;tableName=4.reg_fotografico&amp;fileName=4.reg_fotografico_Images/08a76a67.imagen.033039.jpg</v>
      </c>
      <c r="F431" s="54" t="str">
        <f t="shared" si="5"/>
        <v/>
      </c>
    </row>
    <row r="432" ht="22.5" customHeight="1">
      <c r="A432" s="36" t="s">
        <v>3588</v>
      </c>
      <c r="B432" s="36" t="s">
        <v>2134</v>
      </c>
      <c r="C432" s="36" t="s">
        <v>3589</v>
      </c>
      <c r="D432" s="36" t="s">
        <v>3590</v>
      </c>
      <c r="E432" s="74" t="str">
        <f t="array" ref="E432">IF(
                C432 = "",
                "",
                       IF(
                           C432 ="FOTOGRAFIA",
                           "LINK",
                           "https://www.appsheet.com/template/gettablefileurl?appName=APP022ParticMagnMTV2-924373673-26-05-14&amp;tableName=4.reg_fotografico&amp;fileName="&amp;C432                        )
                          )</f>
        <v>https://www.appsheet.com/template/gettablefileurl?appName=APP022ParticMagnMTV2-924373673-26-05-14&amp;tableName=4.reg_fotografico&amp;fileName=4.reg_fotografico_Images/5b3d62b4.imagen.033042.jpg</v>
      </c>
      <c r="F432" s="54" t="str">
        <f t="shared" si="5"/>
        <v/>
      </c>
    </row>
    <row r="433" ht="22.5" customHeight="1">
      <c r="A433" s="36" t="s">
        <v>3591</v>
      </c>
      <c r="B433" s="36" t="s">
        <v>2139</v>
      </c>
      <c r="C433" s="36" t="s">
        <v>3592</v>
      </c>
      <c r="D433" s="36" t="s">
        <v>3593</v>
      </c>
      <c r="E433" s="74" t="str">
        <f t="array" ref="E433">IF(
                C433 = "",
                "",
                       IF(
                           C433 ="FOTOGRAFIA",
                           "LINK",
                           "https://www.appsheet.com/template/gettablefileurl?appName=APP022ParticMagnMTV2-924373673-26-05-14&amp;tableName=4.reg_fotografico&amp;fileName="&amp;C433                        )
                          )</f>
        <v>https://www.appsheet.com/template/gettablefileurl?appName=APP022ParticMagnMTV2-924373673-26-05-14&amp;tableName=4.reg_fotografico&amp;fileName=4.reg_fotografico_Images/4128aac5.imagen.033045.jpg</v>
      </c>
      <c r="F433" s="54" t="str">
        <f t="shared" si="5"/>
        <v/>
      </c>
    </row>
    <row r="434" ht="22.5" customHeight="1">
      <c r="A434" s="36" t="s">
        <v>3594</v>
      </c>
      <c r="B434" s="36" t="s">
        <v>2144</v>
      </c>
      <c r="C434" s="36" t="s">
        <v>3595</v>
      </c>
      <c r="D434" s="36" t="s">
        <v>3596</v>
      </c>
      <c r="E434" s="74" t="str">
        <f t="array" ref="E434">IF(
                C434 = "",
                "",
                       IF(
                           C434 ="FOTOGRAFIA",
                           "LINK",
                           "https://www.appsheet.com/template/gettablefileurl?appName=APP022ParticMagnMTV2-924373673-26-05-14&amp;tableName=4.reg_fotografico&amp;fileName="&amp;C434                        )
                          )</f>
        <v>https://www.appsheet.com/template/gettablefileurl?appName=APP022ParticMagnMTV2-924373673-26-05-14&amp;tableName=4.reg_fotografico&amp;fileName=4.reg_fotografico_Images/6c586bf6.imagen.033048.jpg</v>
      </c>
      <c r="F434" s="54" t="str">
        <f t="shared" si="5"/>
        <v/>
      </c>
    </row>
    <row r="435" ht="22.5" customHeight="1">
      <c r="A435" s="36" t="s">
        <v>3597</v>
      </c>
      <c r="B435" s="36" t="s">
        <v>2149</v>
      </c>
      <c r="C435" s="36" t="s">
        <v>3598</v>
      </c>
      <c r="D435" s="36" t="s">
        <v>3599</v>
      </c>
      <c r="E435" s="74" t="str">
        <f t="array" ref="E435">IF(
                C435 = "",
                "",
                       IF(
                           C435 ="FOTOGRAFIA",
                           "LINK",
                           "https://www.appsheet.com/template/gettablefileurl?appName=APP022ParticMagnMTV2-924373673-26-05-14&amp;tableName=4.reg_fotografico&amp;fileName="&amp;C435                        )
                          )</f>
        <v>https://www.appsheet.com/template/gettablefileurl?appName=APP022ParticMagnMTV2-924373673-26-05-14&amp;tableName=4.reg_fotografico&amp;fileName=4.reg_fotografico_Images/6b7171be.imagen.033051.jpg</v>
      </c>
      <c r="F435" s="54" t="str">
        <f t="shared" si="5"/>
        <v/>
      </c>
    </row>
    <row r="436" ht="22.5" customHeight="1">
      <c r="A436" s="36" t="s">
        <v>3600</v>
      </c>
      <c r="B436" s="36" t="s">
        <v>2154</v>
      </c>
      <c r="C436" s="36" t="s">
        <v>3601</v>
      </c>
      <c r="D436" s="36" t="s">
        <v>3602</v>
      </c>
      <c r="E436" s="74" t="str">
        <f t="array" ref="E436">IF(
                C436 = "",
                "",
                       IF(
                           C436 ="FOTOGRAFIA",
                           "LINK",
                           "https://www.appsheet.com/template/gettablefileurl?appName=APP022ParticMagnMTV2-924373673-26-05-14&amp;tableName=4.reg_fotografico&amp;fileName="&amp;C436                        )
                          )</f>
        <v>https://www.appsheet.com/template/gettablefileurl?appName=APP022ParticMagnMTV2-924373673-26-05-14&amp;tableName=4.reg_fotografico&amp;fileName=4.reg_fotografico_Images/2337614f.imagen.033055.jpg</v>
      </c>
      <c r="F436" s="54" t="str">
        <f t="shared" si="5"/>
        <v/>
      </c>
    </row>
    <row r="437" ht="22.5" customHeight="1">
      <c r="E437" s="54" t="str">
        <f t="array" ref="E437">IF(
                C437 = "",
                "",
                       IF(
                           C437 ="FOTOGRAFIA",
                           "LINK",
                           "https://www.appsheet.com/template/gettablefileurl?appName=particulas_magneticas-924373673&amp;tableName=4.reg_fotografico&amp;fileName="&amp;C437                         )
                          )</f>
        <v/>
      </c>
      <c r="F437" s="54" t="str">
        <f t="shared" si="5"/>
        <v/>
      </c>
    </row>
    <row r="438" ht="22.5" customHeight="1">
      <c r="E438" s="54" t="str">
        <f t="array" ref="E438">IF(
                C438 = "",
                "",
                       IF(
                           C438 ="FOTOGRAFIA",
                           "LINK",
                           "https://www.appsheet.com/template/gettablefileurl?appName=particulas_magneticas-924373673&amp;tableName=4.reg_fotografico&amp;fileName="&amp;C438                         )
                          )</f>
        <v/>
      </c>
      <c r="F438" s="54" t="str">
        <f t="shared" si="5"/>
        <v/>
      </c>
    </row>
    <row r="439" ht="22.5" customHeight="1">
      <c r="E439" s="54" t="str">
        <f t="array" ref="E439">IF(
                C439 = "",
                "",
                       IF(
                           C439 ="FOTOGRAFIA",
                           "LINK",
                           "https://www.appsheet.com/template/gettablefileurl?appName=particulas_magneticas-924373673&amp;tableName=4.reg_fotografico&amp;fileName="&amp;C439                         )
                          )</f>
        <v/>
      </c>
      <c r="F439" s="54" t="str">
        <f t="shared" si="5"/>
        <v/>
      </c>
    </row>
    <row r="440" ht="22.5" customHeight="1">
      <c r="E440" s="54" t="str">
        <f t="array" ref="E440">IF(
                C440 = "",
                "",
                       IF(
                           C440 ="FOTOGRAFIA",
                           "LINK",
                           "https://www.appsheet.com/template/gettablefileurl?appName=particulas_magneticas-924373673&amp;tableName=4.reg_fotografico&amp;fileName="&amp;C440                         )
                          )</f>
        <v/>
      </c>
      <c r="F440" s="54" t="str">
        <f t="shared" si="5"/>
        <v/>
      </c>
    </row>
    <row r="441" ht="22.5" customHeight="1">
      <c r="E441" s="54" t="str">
        <f t="array" ref="E441">IF(
                C441 = "",
                "",
                       IF(
                           C441 ="FOTOGRAFIA",
                           "LINK",
                           "https://www.appsheet.com/template/gettablefileurl?appName=particulas_magneticas-924373673&amp;tableName=4.reg_fotografico&amp;fileName="&amp;C441                         )
                          )</f>
        <v/>
      </c>
      <c r="F441" s="54" t="str">
        <f t="shared" si="5"/>
        <v/>
      </c>
    </row>
    <row r="442" ht="22.5" customHeight="1">
      <c r="E442" s="54" t="str">
        <f t="array" ref="E442">IF(
                C442 = "",
                "",
                       IF(
                           C442 ="FOTOGRAFIA",
                           "LINK",
                           "https://www.appsheet.com/template/gettablefileurl?appName=particulas_magneticas-924373673&amp;tableName=4.reg_fotografico&amp;fileName="&amp;C442                         )
                          )</f>
        <v/>
      </c>
      <c r="F442" s="54" t="str">
        <f t="shared" si="5"/>
        <v/>
      </c>
    </row>
    <row r="443" ht="22.5" customHeight="1">
      <c r="E443" s="54" t="str">
        <f t="array" ref="E443">IF(
                C443 = "",
                "",
                       IF(
                           C443 ="FOTOGRAFIA",
                           "LINK",
                           "https://www.appsheet.com/template/gettablefileurl?appName=particulas_magneticas-924373673&amp;tableName=4.reg_fotografico&amp;fileName="&amp;C443                         )
                          )</f>
        <v/>
      </c>
      <c r="F443" s="54" t="str">
        <f t="shared" si="5"/>
        <v/>
      </c>
    </row>
    <row r="444" ht="22.5" customHeight="1">
      <c r="E444" s="54" t="str">
        <f t="array" ref="E444">IF(
                C444 = "",
                "",
                       IF(
                           C444 ="FOTOGRAFIA",
                           "LINK",
                           "https://www.appsheet.com/template/gettablefileurl?appName=particulas_magneticas-924373673&amp;tableName=4.reg_fotografico&amp;fileName="&amp;C444                         )
                          )</f>
        <v/>
      </c>
      <c r="F444" s="54" t="str">
        <f t="shared" si="5"/>
        <v/>
      </c>
    </row>
    <row r="445" ht="22.5" customHeight="1">
      <c r="E445" s="54" t="str">
        <f t="array" ref="E445">IF(
                C445 = "",
                "",
                       IF(
                           C445 ="FOTOGRAFIA",
                           "LINK",
                           "https://www.appsheet.com/template/gettablefileurl?appName=particulas_magneticas-924373673&amp;tableName=4.reg_fotografico&amp;fileName="&amp;C445                         )
                          )</f>
        <v/>
      </c>
      <c r="F445" s="54" t="str">
        <f t="shared" si="5"/>
        <v/>
      </c>
    </row>
    <row r="446" ht="22.5" customHeight="1">
      <c r="E446" s="54" t="str">
        <f t="array" ref="E446">IF(
                C446 = "",
                "",
                       IF(
                           C446 ="FOTOGRAFIA",
                           "LINK",
                           "https://www.appsheet.com/template/gettablefileurl?appName=particulas_magneticas-924373673&amp;tableName=4.reg_fotografico&amp;fileName="&amp;C446                         )
                          )</f>
        <v/>
      </c>
      <c r="F446" s="54" t="str">
        <f t="shared" si="5"/>
        <v/>
      </c>
    </row>
    <row r="447" ht="22.5" customHeight="1">
      <c r="E447" s="54" t="str">
        <f t="array" ref="E447">IF(
                C447 = "",
                "",
                       IF(
                           C447 ="FOTOGRAFIA",
                           "LINK",
                           "https://www.appsheet.com/template/gettablefileurl?appName=particulas_magneticas-924373673&amp;tableName=4.reg_fotografico&amp;fileName="&amp;C447                         )
                          )</f>
        <v/>
      </c>
      <c r="F447" s="54" t="str">
        <f t="shared" si="5"/>
        <v/>
      </c>
    </row>
    <row r="448" ht="22.5" customHeight="1">
      <c r="E448" s="54" t="str">
        <f t="array" ref="E448">IF(
                C448 = "",
                "",
                       IF(
                           C448 ="FOTOGRAFIA",
                           "LINK",
                           "https://www.appsheet.com/template/gettablefileurl?appName=particulas_magneticas-924373673&amp;tableName=4.reg_fotografico&amp;fileName="&amp;C448                         )
                          )</f>
        <v/>
      </c>
      <c r="F448" s="54" t="str">
        <f t="shared" si="5"/>
        <v/>
      </c>
    </row>
    <row r="449" ht="22.5" customHeight="1">
      <c r="E449" s="54" t="str">
        <f t="array" ref="E449">IF(
                C449 = "",
                "",
                       IF(
                           C449 ="FOTOGRAFIA",
                           "LINK",
                           "https://www.appsheet.com/template/gettablefileurl?appName=particulas_magneticas-924373673&amp;tableName=4.reg_fotografico&amp;fileName="&amp;C449                         )
                          )</f>
        <v/>
      </c>
      <c r="F449" s="54" t="str">
        <f t="shared" si="5"/>
        <v/>
      </c>
    </row>
    <row r="450" ht="22.5" customHeight="1">
      <c r="E450" s="54" t="str">
        <f t="array" ref="E450">IF(
                C450 = "",
                "",
                       IF(
                           C450 ="FOTOGRAFIA",
                           "LINK",
                           "https://www.appsheet.com/template/gettablefileurl?appName=particulas_magneticas-924373673&amp;tableName=4.reg_fotografico&amp;fileName="&amp;C450                         )
                          )</f>
        <v/>
      </c>
      <c r="F450" s="54" t="str">
        <f t="shared" si="5"/>
        <v/>
      </c>
    </row>
    <row r="451" ht="22.5" customHeight="1">
      <c r="E451" s="54" t="str">
        <f t="array" ref="E451">IF(
                C451 = "",
                "",
                       IF(
                           C451 ="FOTOGRAFIA",
                           "LINK",
                           "https://www.appsheet.com/template/gettablefileurl?appName=particulas_magneticas-924373673&amp;tableName=4.reg_fotografico&amp;fileName="&amp;C451                         )
                          )</f>
        <v/>
      </c>
      <c r="F451" s="54" t="str">
        <f t="shared" si="5"/>
        <v/>
      </c>
    </row>
    <row r="452" ht="22.5" customHeight="1">
      <c r="E452" s="54" t="str">
        <f t="array" ref="E452">IF(
                C452 = "",
                "",
                       IF(
                           C452 ="FOTOGRAFIA",
                           "LINK",
                           "https://www.appsheet.com/template/gettablefileurl?appName=particulas_magneticas-924373673&amp;tableName=4.reg_fotografico&amp;fileName="&amp;C452                         )
                          )</f>
        <v/>
      </c>
      <c r="F452" s="54" t="str">
        <f t="shared" si="5"/>
        <v/>
      </c>
    </row>
    <row r="453" ht="22.5" customHeight="1">
      <c r="E453" s="54" t="str">
        <f t="array" ref="E453">IF(
                C453 = "",
                "",
                       IF(
                           C453 ="FOTOGRAFIA",
                           "LINK",
                           "https://www.appsheet.com/template/gettablefileurl?appName=particulas_magneticas-924373673&amp;tableName=4.reg_fotografico&amp;fileName="&amp;C453                         )
                          )</f>
        <v/>
      </c>
      <c r="F453" s="54" t="str">
        <f t="shared" si="5"/>
        <v/>
      </c>
    </row>
    <row r="454" ht="22.5" customHeight="1">
      <c r="E454" s="54" t="str">
        <f t="array" ref="E454">IF(
                C454 = "",
                "",
                       IF(
                           C454 ="FOTOGRAFIA",
                           "LINK",
                           "https://www.appsheet.com/template/gettablefileurl?appName=particulas_magneticas-924373673&amp;tableName=4.reg_fotografico&amp;fileName="&amp;C454                         )
                          )</f>
        <v/>
      </c>
      <c r="F454" s="54" t="str">
        <f t="shared" si="5"/>
        <v/>
      </c>
    </row>
    <row r="455" ht="22.5" customHeight="1">
      <c r="E455" s="54" t="str">
        <f t="array" ref="E455">IF(
                C455 = "",
                "",
                       IF(
                           C455 ="FOTOGRAFIA",
                           "LINK",
                           "https://www.appsheet.com/template/gettablefileurl?appName=particulas_magneticas-924373673&amp;tableName=4.reg_fotografico&amp;fileName="&amp;C455                         )
                          )</f>
        <v/>
      </c>
      <c r="F455" s="54" t="str">
        <f t="shared" si="5"/>
        <v/>
      </c>
    </row>
    <row r="456" ht="22.5" customHeight="1">
      <c r="E456" s="54" t="str">
        <f t="array" ref="E456">IF(
                C456 = "",
                "",
                       IF(
                           C456 ="FOTOGRAFIA",
                           "LINK",
                           "https://www.appsheet.com/template/gettablefileurl?appName=particulas_magneticas-924373673&amp;tableName=4.reg_fotografico&amp;fileName="&amp;C456                         )
                          )</f>
        <v/>
      </c>
      <c r="F456" s="54" t="str">
        <f t="shared" si="5"/>
        <v/>
      </c>
    </row>
    <row r="457" ht="22.5" customHeight="1">
      <c r="E457" s="54" t="str">
        <f t="array" ref="E457">IF(
                C457 = "",
                "",
                       IF(
                           C457 ="FOTOGRAFIA",
                           "LINK",
                           "https://www.appsheet.com/template/gettablefileurl?appName=particulas_magneticas-924373673&amp;tableName=4.reg_fotografico&amp;fileName="&amp;C457                         )
                          )</f>
        <v/>
      </c>
      <c r="F457" s="54" t="str">
        <f t="shared" si="5"/>
        <v/>
      </c>
    </row>
    <row r="458" ht="22.5" customHeight="1">
      <c r="E458" s="54" t="str">
        <f t="array" ref="E458">IF(
                C458 = "",
                "",
                       IF(
                           C458 ="FOTOGRAFIA",
                           "LINK",
                           "https://www.appsheet.com/template/gettablefileurl?appName=particulas_magneticas-924373673&amp;tableName=4.reg_fotografico&amp;fileName="&amp;C458                         )
                          )</f>
        <v/>
      </c>
      <c r="F458" s="54" t="str">
        <f t="shared" si="5"/>
        <v/>
      </c>
    </row>
    <row r="459" ht="22.5" customHeight="1">
      <c r="E459" s="54" t="str">
        <f t="array" ref="E459">IF(
                C459 = "",
                "",
                       IF(
                           C459 ="FOTOGRAFIA",
                           "LINK",
                           "https://www.appsheet.com/template/gettablefileurl?appName=particulas_magneticas-924373673&amp;tableName=4.reg_fotografico&amp;fileName="&amp;C459                         )
                          )</f>
        <v/>
      </c>
      <c r="F459" s="54" t="str">
        <f t="shared" si="5"/>
        <v/>
      </c>
    </row>
    <row r="460" ht="22.5" customHeight="1">
      <c r="E460" s="54" t="str">
        <f t="array" ref="E460">IF(
                C460 = "",
                "",
                       IF(
                           C460 ="FOTOGRAFIA",
                           "LINK",
                           "https://www.appsheet.com/template/gettablefileurl?appName=particulas_magneticas-924373673&amp;tableName=4.reg_fotografico&amp;fileName="&amp;C460                         )
                          )</f>
        <v/>
      </c>
      <c r="F460" s="54" t="str">
        <f t="shared" si="5"/>
        <v/>
      </c>
    </row>
    <row r="461" ht="22.5" customHeight="1">
      <c r="E461" s="54" t="str">
        <f t="array" ref="E461">IF(
                C461 = "",
                "",
                       IF(
                           C461 ="FOTOGRAFIA",
                           "LINK",
                           "https://www.appsheet.com/template/gettablefileurl?appName=particulas_magneticas-924373673&amp;tableName=4.reg_fotografico&amp;fileName="&amp;C461                         )
                          )</f>
        <v/>
      </c>
      <c r="F461" s="54" t="str">
        <f t="shared" si="5"/>
        <v/>
      </c>
    </row>
    <row r="462" ht="22.5" customHeight="1">
      <c r="E462" s="54" t="str">
        <f t="array" ref="E462">IF(
                C462 = "",
                "",
                       IF(
                           C462 ="FOTOGRAFIA",
                           "LINK",
                           "https://www.appsheet.com/template/gettablefileurl?appName=particulas_magneticas-924373673&amp;tableName=4.reg_fotografico&amp;fileName="&amp;C462                         )
                          )</f>
        <v/>
      </c>
      <c r="F462" s="54" t="str">
        <f t="shared" si="5"/>
        <v/>
      </c>
    </row>
    <row r="463" ht="22.5" customHeight="1">
      <c r="E463" s="54" t="str">
        <f t="array" ref="E463">IF(
                C463 = "",
                "",
                       IF(
                           C463 ="FOTOGRAFIA",
                           "LINK",
                           "https://www.appsheet.com/template/gettablefileurl?appName=particulas_magneticas-924373673&amp;tableName=4.reg_fotografico&amp;fileName="&amp;C463                         )
                          )</f>
        <v/>
      </c>
      <c r="F463" s="54" t="str">
        <f t="shared" si="5"/>
        <v/>
      </c>
    </row>
    <row r="464" ht="22.5" customHeight="1">
      <c r="E464" s="54" t="str">
        <f t="array" ref="E464">IF(
                C464 = "",
                "",
                       IF(
                           C464 ="FOTOGRAFIA",
                           "LINK",
                           "https://www.appsheet.com/template/gettablefileurl?appName=particulas_magneticas-924373673&amp;tableName=4.reg_fotografico&amp;fileName="&amp;C464                         )
                          )</f>
        <v/>
      </c>
      <c r="F464" s="54" t="str">
        <f t="shared" si="5"/>
        <v/>
      </c>
    </row>
    <row r="465" ht="22.5" customHeight="1">
      <c r="E465" s="54" t="str">
        <f t="array" ref="E465">IF(
                C465 = "",
                "",
                       IF(
                           C465 ="FOTOGRAFIA",
                           "LINK",
                           "https://www.appsheet.com/template/gettablefileurl?appName=particulas_magneticas-924373673&amp;tableName=4.reg_fotografico&amp;fileName="&amp;C465                         )
                          )</f>
        <v/>
      </c>
      <c r="F465" s="54" t="str">
        <f t="shared" si="5"/>
        <v/>
      </c>
    </row>
    <row r="466" ht="22.5" customHeight="1">
      <c r="E466" s="54" t="str">
        <f t="array" ref="E466">IF(
                C466 = "",
                "",
                       IF(
                           C466 ="FOTOGRAFIA",
                           "LINK",
                           "https://www.appsheet.com/template/gettablefileurl?appName=particulas_magneticas-924373673&amp;tableName=4.reg_fotografico&amp;fileName="&amp;C466                         )
                          )</f>
        <v/>
      </c>
      <c r="F466" s="54" t="str">
        <f t="shared" si="5"/>
        <v/>
      </c>
    </row>
    <row r="467" ht="22.5" customHeight="1">
      <c r="E467" s="54" t="str">
        <f t="array" ref="E467">IF(
                C467 = "",
                "",
                       IF(
                           C467 ="FOTOGRAFIA",
                           "LINK",
                           "https://www.appsheet.com/template/gettablefileurl?appName=particulas_magneticas-924373673&amp;tableName=4.reg_fotografico&amp;fileName="&amp;C467                         )
                          )</f>
        <v/>
      </c>
      <c r="F467" s="54" t="str">
        <f t="shared" si="5"/>
        <v/>
      </c>
    </row>
    <row r="468" ht="22.5" customHeight="1">
      <c r="E468" s="54" t="str">
        <f t="array" ref="E468">IF(
                C468 = "",
                "",
                       IF(
                           C468 ="FOTOGRAFIA",
                           "LINK",
                           "https://www.appsheet.com/template/gettablefileurl?appName=particulas_magneticas-924373673&amp;tableName=4.reg_fotografico&amp;fileName="&amp;C468                         )
                          )</f>
        <v/>
      </c>
      <c r="F468" s="54" t="str">
        <f t="shared" si="5"/>
        <v/>
      </c>
    </row>
    <row r="469" ht="22.5" customHeight="1">
      <c r="E469" s="54" t="str">
        <f t="array" ref="E469">IF(
                C469 = "",
                "",
                       IF(
                           C469 ="FOTOGRAFIA",
                           "LINK",
                           "https://www.appsheet.com/template/gettablefileurl?appName=particulas_magneticas-924373673&amp;tableName=4.reg_fotografico&amp;fileName="&amp;C469                         )
                          )</f>
        <v/>
      </c>
      <c r="F469" s="54" t="str">
        <f t="shared" si="5"/>
        <v/>
      </c>
    </row>
    <row r="470" ht="22.5" customHeight="1">
      <c r="E470" s="54" t="str">
        <f t="array" ref="E470">IF(
                C470 = "",
                "",
                       IF(
                           C470 ="FOTOGRAFIA",
                           "LINK",
                           "https://www.appsheet.com/template/gettablefileurl?appName=particulas_magneticas-924373673&amp;tableName=4.reg_fotografico&amp;fileName="&amp;C470                         )
                          )</f>
        <v/>
      </c>
      <c r="F470" s="54" t="str">
        <f t="shared" si="5"/>
        <v/>
      </c>
    </row>
    <row r="471" ht="22.5" customHeight="1">
      <c r="E471" s="54" t="str">
        <f t="array" ref="E471">IF(
                C471 = "",
                "",
                       IF(
                           C471 ="FOTOGRAFIA",
                           "LINK",
                           "https://www.appsheet.com/template/gettablefileurl?appName=particulas_magneticas-924373673&amp;tableName=4.reg_fotografico&amp;fileName="&amp;C471                         )
                          )</f>
        <v/>
      </c>
      <c r="F471" s="54" t="str">
        <f t="shared" si="5"/>
        <v/>
      </c>
    </row>
    <row r="472" ht="22.5" customHeight="1">
      <c r="E472" s="54" t="str">
        <f t="array" ref="E472">IF(
                C472 = "",
                "",
                       IF(
                           C472 ="FOTOGRAFIA",
                           "LINK",
                           "https://www.appsheet.com/template/gettablefileurl?appName=particulas_magneticas-924373673&amp;tableName=4.reg_fotografico&amp;fileName="&amp;C472                         )
                          )</f>
        <v/>
      </c>
      <c r="F472" s="54" t="str">
        <f t="shared" si="5"/>
        <v/>
      </c>
    </row>
    <row r="473" ht="22.5" customHeight="1">
      <c r="E473" s="54" t="str">
        <f t="array" ref="E473">IF(
                C473 = "",
                "",
                       IF(
                           C473 ="FOTOGRAFIA",
                           "LINK",
                           "https://www.appsheet.com/template/gettablefileurl?appName=particulas_magneticas-924373673&amp;tableName=4.reg_fotografico&amp;fileName="&amp;C473                         )
                          )</f>
        <v/>
      </c>
      <c r="F473" s="54" t="str">
        <f t="shared" si="5"/>
        <v/>
      </c>
    </row>
    <row r="474" ht="22.5" customHeight="1">
      <c r="E474" s="54" t="str">
        <f t="array" ref="E474">IF(
                C474 = "",
                "",
                       IF(
                           C474 ="FOTOGRAFIA",
                           "LINK",
                           "https://www.appsheet.com/template/gettablefileurl?appName=particulas_magneticas-924373673&amp;tableName=4.reg_fotografico&amp;fileName="&amp;C474                         )
                          )</f>
        <v/>
      </c>
      <c r="F474" s="54" t="str">
        <f t="shared" si="5"/>
        <v/>
      </c>
    </row>
    <row r="475" ht="22.5" customHeight="1">
      <c r="E475" s="54" t="str">
        <f t="array" ref="E475">IF(
                C475 = "",
                "",
                       IF(
                           C475 ="FOTOGRAFIA",
                           "LINK",
                           "https://www.appsheet.com/template/gettablefileurl?appName=particulas_magneticas-924373673&amp;tableName=4.reg_fotografico&amp;fileName="&amp;C475                         )
                          )</f>
        <v/>
      </c>
      <c r="F475" s="54" t="str">
        <f t="shared" si="5"/>
        <v/>
      </c>
    </row>
    <row r="476" ht="22.5" customHeight="1">
      <c r="E476" s="54" t="str">
        <f t="array" ref="E476">IF(
                C476 = "",
                "",
                       IF(
                           C476 ="FOTOGRAFIA",
                           "LINK",
                           "https://www.appsheet.com/template/gettablefileurl?appName=particulas_magneticas-924373673&amp;tableName=4.reg_fotografico&amp;fileName="&amp;C476                         )
                          )</f>
        <v/>
      </c>
      <c r="F476" s="54" t="str">
        <f t="shared" si="5"/>
        <v/>
      </c>
    </row>
    <row r="477" ht="22.5" customHeight="1">
      <c r="E477" s="54" t="str">
        <f t="array" ref="E477">IF(
                C477 = "",
                "",
                       IF(
                           C477 ="FOTOGRAFIA",
                           "LINK",
                           "https://www.appsheet.com/template/gettablefileurl?appName=particulas_magneticas-924373673&amp;tableName=4.reg_fotografico&amp;fileName="&amp;C477                         )
                          )</f>
        <v/>
      </c>
      <c r="F477" s="54" t="str">
        <f t="shared" si="5"/>
        <v/>
      </c>
    </row>
    <row r="478" ht="22.5" customHeight="1">
      <c r="E478" s="54" t="str">
        <f t="array" ref="E478">IF(
                C478 = "",
                "",
                       IF(
                           C478 ="FOTOGRAFIA",
                           "LINK",
                           "https://www.appsheet.com/template/gettablefileurl?appName=particulas_magneticas-924373673&amp;tableName=4.reg_fotografico&amp;fileName="&amp;C478                         )
                          )</f>
        <v/>
      </c>
      <c r="F478" s="54" t="str">
        <f t="shared" si="5"/>
        <v/>
      </c>
    </row>
    <row r="479" ht="22.5" customHeight="1">
      <c r="E479" s="54" t="str">
        <f t="array" ref="E479">IF(
                C479 = "",
                "",
                       IF(
                           C479 ="FOTOGRAFIA",
                           "LINK",
                           "https://www.appsheet.com/template/gettablefileurl?appName=particulas_magneticas-924373673&amp;tableName=4.reg_fotografico&amp;fileName="&amp;C479                         )
                          )</f>
        <v/>
      </c>
      <c r="F479" s="54" t="str">
        <f t="shared" si="5"/>
        <v/>
      </c>
    </row>
    <row r="480" ht="22.5" customHeight="1">
      <c r="E480" s="54" t="str">
        <f t="array" ref="E480">IF(
                C480 = "",
                "",
                       IF(
                           C480 ="FOTOGRAFIA",
                           "LINK",
                           "https://www.appsheet.com/template/gettablefileurl?appName=particulas_magneticas-924373673&amp;tableName=4.reg_fotografico&amp;fileName="&amp;C480                         )
                          )</f>
        <v/>
      </c>
      <c r="F480" s="54" t="str">
        <f t="shared" si="5"/>
        <v/>
      </c>
    </row>
    <row r="481" ht="22.5" customHeight="1">
      <c r="E481" s="54" t="str">
        <f t="array" ref="E481">IF(
                C481 = "",
                "",
                       IF(
                           C481 ="FOTOGRAFIA",
                           "LINK",
                           "https://www.appsheet.com/template/gettablefileurl?appName=particulas_magneticas-924373673&amp;tableName=4.reg_fotografico&amp;fileName="&amp;C481                         )
                          )</f>
        <v/>
      </c>
      <c r="F481" s="54" t="str">
        <f t="shared" si="5"/>
        <v/>
      </c>
    </row>
    <row r="482" ht="22.5" customHeight="1">
      <c r="E482" s="54" t="str">
        <f t="array" ref="E482">IF(
                C482 = "",
                "",
                       IF(
                           C482 ="FOTOGRAFIA",
                           "LINK",
                           "https://www.appsheet.com/template/gettablefileurl?appName=particulas_magneticas-924373673&amp;tableName=4.reg_fotografico&amp;fileName="&amp;C482                         )
                          )</f>
        <v/>
      </c>
      <c r="F482" s="54" t="str">
        <f t="shared" si="5"/>
        <v/>
      </c>
    </row>
    <row r="483" ht="22.5" customHeight="1">
      <c r="E483" s="54" t="str">
        <f t="array" ref="E483">IF(
                C483 = "",
                "",
                       IF(
                           C483 ="FOTOGRAFIA",
                           "LINK",
                           "https://www.appsheet.com/template/gettablefileurl?appName=particulas_magneticas-924373673&amp;tableName=4.reg_fotografico&amp;fileName="&amp;C483                         )
                          )</f>
        <v/>
      </c>
      <c r="F483" s="54" t="str">
        <f t="shared" si="5"/>
        <v/>
      </c>
    </row>
    <row r="484" ht="22.5" customHeight="1">
      <c r="E484" s="54" t="str">
        <f t="array" ref="E484">IF(
                C484 = "",
                "",
                       IF(
                           C484 ="FOTOGRAFIA",
                           "LINK",
                           "https://www.appsheet.com/template/gettablefileurl?appName=particulas_magneticas-924373673&amp;tableName=4.reg_fotografico&amp;fileName="&amp;C484                         )
                          )</f>
        <v/>
      </c>
      <c r="F484" s="54" t="str">
        <f t="shared" si="5"/>
        <v/>
      </c>
    </row>
    <row r="485" ht="22.5" customHeight="1">
      <c r="E485" s="54" t="str">
        <f t="array" ref="E485">IF(
                C485 = "",
                "",
                       IF(
                           C485 ="FOTOGRAFIA",
                           "LINK",
                           "https://www.appsheet.com/template/gettablefileurl?appName=particulas_magneticas-924373673&amp;tableName=4.reg_fotografico&amp;fileName="&amp;C485                         )
                          )</f>
        <v/>
      </c>
      <c r="F485" s="54" t="str">
        <f t="shared" si="5"/>
        <v/>
      </c>
    </row>
    <row r="486" ht="22.5" customHeight="1">
      <c r="E486" s="54" t="str">
        <f t="array" ref="E486">IF(
                C486 = "",
                "",
                       IF(
                           C486 ="FOTOGRAFIA",
                           "LINK",
                           "https://www.appsheet.com/template/gettablefileurl?appName=particulas_magneticas-924373673&amp;tableName=4.reg_fotografico&amp;fileName="&amp;C486                         )
                          )</f>
        <v/>
      </c>
      <c r="F486" s="54" t="str">
        <f t="shared" si="5"/>
        <v/>
      </c>
    </row>
    <row r="487" ht="22.5" customHeight="1">
      <c r="E487" s="54" t="str">
        <f t="array" ref="E487">IF(
                C487 = "",
                "",
                       IF(
                           C487 ="FOTOGRAFIA",
                           "LINK",
                           "https://www.appsheet.com/template/gettablefileurl?appName=particulas_magneticas-924373673&amp;tableName=4.reg_fotografico&amp;fileName="&amp;C487                         )
                          )</f>
        <v/>
      </c>
      <c r="F487" s="54" t="str">
        <f t="shared" si="5"/>
        <v/>
      </c>
    </row>
    <row r="488" ht="22.5" customHeight="1">
      <c r="E488" s="54" t="str">
        <f t="array" ref="E488">IF(
                C488 = "",
                "",
                       IF(
                           C488 ="FOTOGRAFIA",
                           "LINK",
                           "https://www.appsheet.com/template/gettablefileurl?appName=particulas_magneticas-924373673&amp;tableName=4.reg_fotografico&amp;fileName="&amp;C488                         )
                          )</f>
        <v/>
      </c>
      <c r="F488" s="54" t="str">
        <f t="shared" si="5"/>
        <v/>
      </c>
    </row>
    <row r="489" ht="22.5" customHeight="1">
      <c r="E489" s="54" t="str">
        <f t="array" ref="E489">IF(
                C489 = "",
                "",
                       IF(
                           C489 ="FOTOGRAFIA",
                           "LINK",
                           "https://www.appsheet.com/template/gettablefileurl?appName=particulas_magneticas-924373673&amp;tableName=4.reg_fotografico&amp;fileName="&amp;C489                         )
                          )</f>
        <v/>
      </c>
      <c r="F489" s="54" t="str">
        <f t="shared" si="5"/>
        <v/>
      </c>
    </row>
    <row r="490" ht="22.5" customHeight="1">
      <c r="E490" s="54" t="str">
        <f t="array" ref="E490">IF(
                C490 = "",
                "",
                       IF(
                           C490 ="FOTOGRAFIA",
                           "LINK",
                           "https://www.appsheet.com/template/gettablefileurl?appName=particulas_magneticas-924373673&amp;tableName=4.reg_fotografico&amp;fileName="&amp;C490                         )
                          )</f>
        <v/>
      </c>
      <c r="F490" s="54" t="str">
        <f t="shared" si="5"/>
        <v/>
      </c>
    </row>
    <row r="491" ht="22.5" customHeight="1">
      <c r="E491" s="54" t="str">
        <f t="array" ref="E491">IF(
                C491 = "",
                "",
                       IF(
                           C491 ="FOTOGRAFIA",
                           "LINK",
                           "https://www.appsheet.com/template/gettablefileurl?appName=particulas_magneticas-924373673&amp;tableName=4.reg_fotografico&amp;fileName="&amp;C491                         )
                          )</f>
        <v/>
      </c>
      <c r="F491" s="54" t="str">
        <f t="shared" si="5"/>
        <v/>
      </c>
    </row>
    <row r="492" ht="22.5" customHeight="1">
      <c r="E492" s="54" t="str">
        <f t="array" ref="E492">IF(
                C492 = "",
                "",
                       IF(
                           C492 ="FOTOGRAFIA",
                           "LINK",
                           "https://www.appsheet.com/template/gettablefileurl?appName=particulas_magneticas-924373673&amp;tableName=4.reg_fotografico&amp;fileName="&amp;C492                         )
                          )</f>
        <v/>
      </c>
      <c r="F492" s="54" t="str">
        <f t="shared" si="5"/>
        <v/>
      </c>
    </row>
    <row r="493" ht="22.5" customHeight="1">
      <c r="E493" s="54" t="str">
        <f t="array" ref="E493">IF(
                C493 = "",
                "",
                       IF(
                           C493 ="FOTOGRAFIA",
                           "LINK",
                           "https://www.appsheet.com/template/gettablefileurl?appName=particulas_magneticas-924373673&amp;tableName=4.reg_fotografico&amp;fileName="&amp;C493                         )
                          )</f>
        <v/>
      </c>
      <c r="F493" s="54" t="str">
        <f t="shared" si="5"/>
        <v/>
      </c>
    </row>
    <row r="494" ht="22.5" customHeight="1">
      <c r="E494" s="54" t="str">
        <f t="array" ref="E494">IF(
                C494 = "",
                "",
                       IF(
                           C494 ="FOTOGRAFIA",
                           "LINK",
                           "https://www.appsheet.com/template/gettablefileurl?appName=particulas_magneticas-924373673&amp;tableName=4.reg_fotografico&amp;fileName="&amp;C494                         )
                          )</f>
        <v/>
      </c>
      <c r="F494" s="54" t="str">
        <f t="shared" si="5"/>
        <v/>
      </c>
    </row>
    <row r="495" ht="22.5" customHeight="1">
      <c r="E495" s="54" t="str">
        <f t="array" ref="E495">IF(
                C495 = "",
                "",
                       IF(
                           C495 ="FOTOGRAFIA",
                           "LINK",
                           "https://www.appsheet.com/template/gettablefileurl?appName=particulas_magneticas-924373673&amp;tableName=4.reg_fotografico&amp;fileName="&amp;C495                         )
                          )</f>
        <v/>
      </c>
      <c r="F495" s="54" t="str">
        <f t="shared" si="5"/>
        <v/>
      </c>
    </row>
    <row r="496" ht="22.5" customHeight="1">
      <c r="E496" s="54" t="str">
        <f t="array" ref="E496">IF(
                C496 = "",
                "",
                       IF(
                           C496 ="FOTOGRAFIA",
                           "LINK",
                           "https://www.appsheet.com/template/gettablefileurl?appName=particulas_magneticas-924373673&amp;tableName=4.reg_fotografico&amp;fileName="&amp;C496                         )
                          )</f>
        <v/>
      </c>
      <c r="F496" s="54" t="str">
        <f t="shared" si="5"/>
        <v/>
      </c>
    </row>
    <row r="497" ht="22.5" customHeight="1">
      <c r="E497" s="54" t="str">
        <f t="array" ref="E497">IF(
                C497 = "",
                "",
                       IF(
                           C497 ="FOTOGRAFIA",
                           "LINK",
                           "https://www.appsheet.com/template/gettablefileurl?appName=particulas_magneticas-924373673&amp;tableName=4.reg_fotografico&amp;fileName="&amp;C497                         )
                          )</f>
        <v/>
      </c>
      <c r="F497" s="54" t="str">
        <f t="shared" si="5"/>
        <v/>
      </c>
    </row>
    <row r="498" ht="22.5" customHeight="1">
      <c r="E498" s="54" t="str">
        <f t="array" ref="E498">IF(
                C498 = "",
                "",
                       IF(
                           C498 ="FOTOGRAFIA",
                           "LINK",
                           "https://www.appsheet.com/template/gettablefileurl?appName=particulas_magneticas-924373673&amp;tableName=4.reg_fotografico&amp;fileName="&amp;C498                         )
                          )</f>
        <v/>
      </c>
      <c r="F498" s="54" t="str">
        <f t="shared" si="5"/>
        <v/>
      </c>
    </row>
    <row r="499" ht="22.5" customHeight="1">
      <c r="E499" s="54" t="str">
        <f t="array" ref="E499">IF(
                C499 = "",
                "",
                       IF(
                           C499 ="FOTOGRAFIA",
                           "LINK",
                           "https://www.appsheet.com/template/gettablefileurl?appName=particulas_magneticas-924373673&amp;tableName=4.reg_fotografico&amp;fileName="&amp;C499                         )
                          )</f>
        <v/>
      </c>
      <c r="F499" s="54" t="str">
        <f t="shared" si="5"/>
        <v/>
      </c>
    </row>
    <row r="500" ht="22.5" customHeight="1">
      <c r="E500" s="54" t="str">
        <f t="array" ref="E500">IF(
                C500 = "",
                "",
                       IF(
                           C500 ="FOTOGRAFIA",
                           "LINK",
                           "https://www.appsheet.com/template/gettablefileurl?appName=particulas_magneticas-924373673&amp;tableName=4.reg_fotografico&amp;fileName="&amp;C500                         )
                          )</f>
        <v/>
      </c>
      <c r="F500" s="54" t="str">
        <f t="shared" si="5"/>
        <v/>
      </c>
    </row>
    <row r="501" ht="22.5" customHeight="1">
      <c r="E501" s="54" t="str">
        <f t="array" ref="E501">IF(
                C501 = "",
                "",
                       IF(
                           C501 ="FOTOGRAFIA",
                           "LINK",
                           "https://www.appsheet.com/template/gettablefileurl?appName=particulas_magneticas-924373673&amp;tableName=4.reg_fotografico&amp;fileName="&amp;C501                         )
                          )</f>
        <v/>
      </c>
      <c r="F501" s="54" t="str">
        <f t="shared" si="5"/>
        <v/>
      </c>
    </row>
    <row r="502" ht="22.5" customHeight="1">
      <c r="E502" s="54" t="str">
        <f t="array" ref="E502">IF(
                C502 = "",
                "",
                       IF(
                           C502 ="FOTOGRAFIA",
                           "LINK",
                           "https://www.appsheet.com/template/gettablefileurl?appName=particulas_magneticas-924373673&amp;tableName=4.reg_fotografico&amp;fileName="&amp;C502                         )
                          )</f>
        <v/>
      </c>
      <c r="F502" s="54" t="str">
        <f t="shared" si="5"/>
        <v/>
      </c>
    </row>
    <row r="503" ht="22.5" customHeight="1">
      <c r="E503" s="54" t="str">
        <f t="array" ref="E503">IF(
                C503 = "",
                "",
                       IF(
                           C503 ="FOTOGRAFIA",
                           "LINK",
                           "https://www.appsheet.com/template/gettablefileurl?appName=particulas_magneticas-924373673&amp;tableName=4.reg_fotografico&amp;fileName="&amp;C503                         )
                          )</f>
        <v/>
      </c>
      <c r="F503" s="54" t="str">
        <f t="shared" si="5"/>
        <v/>
      </c>
    </row>
    <row r="504" ht="22.5" customHeight="1">
      <c r="E504" s="54" t="str">
        <f t="array" ref="E504">IF(
                C504 = "",
                "",
                       IF(
                           C504 ="FOTOGRAFIA",
                           "LINK",
                           "https://www.appsheet.com/template/gettablefileurl?appName=particulas_magneticas-924373673&amp;tableName=4.reg_fotografico&amp;fileName="&amp;C504                         )
                          )</f>
        <v/>
      </c>
      <c r="F504" s="54" t="str">
        <f t="shared" si="5"/>
        <v/>
      </c>
    </row>
    <row r="505" ht="22.5" customHeight="1">
      <c r="E505" s="54" t="str">
        <f t="array" ref="E505">IF(
                C505 = "",
                "",
                       IF(
                           C505 ="FOTOGRAFIA",
                           "LINK",
                           "https://www.appsheet.com/template/gettablefileurl?appName=particulas_magneticas-924373673&amp;tableName=4.reg_fotografico&amp;fileName="&amp;C505                         )
                          )</f>
        <v/>
      </c>
      <c r="F505" s="54" t="str">
        <f t="shared" si="5"/>
        <v/>
      </c>
    </row>
    <row r="506" ht="22.5" customHeight="1">
      <c r="E506" s="54" t="str">
        <f t="array" ref="E506">IF(
                C506 = "",
                "",
                       IF(
                           C506 ="FOTOGRAFIA",
                           "LINK",
                           "https://www.appsheet.com/template/gettablefileurl?appName=particulas_magneticas-924373673&amp;tableName=4.reg_fotografico&amp;fileName="&amp;C506                         )
                          )</f>
        <v/>
      </c>
      <c r="F506" s="54" t="str">
        <f t="shared" si="5"/>
        <v/>
      </c>
    </row>
    <row r="507" ht="22.5" customHeight="1">
      <c r="E507" s="54" t="str">
        <f t="array" ref="E507">IF(
                C507 = "",
                "",
                       IF(
                           C507 ="FOTOGRAFIA",
                           "LINK",
                           "https://www.appsheet.com/template/gettablefileurl?appName=particulas_magneticas-924373673&amp;tableName=4.reg_fotografico&amp;fileName="&amp;C507                         )
                          )</f>
        <v/>
      </c>
      <c r="F507" s="54" t="str">
        <f t="shared" si="5"/>
        <v/>
      </c>
    </row>
    <row r="508" ht="22.5" customHeight="1">
      <c r="E508" s="54" t="str">
        <f t="array" ref="E508">IF(
                C508 = "",
                "",
                       IF(
                           C508 ="FOTOGRAFIA",
                           "LINK",
                           "https://www.appsheet.com/template/gettablefileurl?appName=particulas_magneticas-924373673&amp;tableName=4.reg_fotografico&amp;fileName="&amp;C508                         )
                          )</f>
        <v/>
      </c>
      <c r="F508" s="54" t="str">
        <f t="shared" si="5"/>
        <v/>
      </c>
    </row>
    <row r="509" ht="22.5" customHeight="1">
      <c r="E509" s="54" t="str">
        <f t="array" ref="E509">IF(
                C509 = "",
                "",
                       IF(
                           C509 ="FOTOGRAFIA",
                           "LINK",
                           "https://www.appsheet.com/template/gettablefileurl?appName=particulas_magneticas-924373673&amp;tableName=4.reg_fotografico&amp;fileName="&amp;C509                         )
                          )</f>
        <v/>
      </c>
      <c r="F509" s="54" t="str">
        <f t="shared" si="5"/>
        <v/>
      </c>
    </row>
    <row r="510" ht="22.5" customHeight="1">
      <c r="E510" s="54" t="str">
        <f t="array" ref="E510">IF(
                C510 = "",
                "",
                       IF(
                           C510 ="FOTOGRAFIA",
                           "LINK",
                           "https://www.appsheet.com/template/gettablefileurl?appName=particulas_magneticas-924373673&amp;tableName=4.reg_fotografico&amp;fileName="&amp;C510                         )
                          )</f>
        <v/>
      </c>
      <c r="F510" s="54" t="str">
        <f t="shared" si="5"/>
        <v/>
      </c>
    </row>
    <row r="511" ht="22.5" customHeight="1">
      <c r="E511" s="54" t="str">
        <f t="array" ref="E511">IF(
                C511 = "",
                "",
                       IF(
                           C511 ="FOTOGRAFIA",
                           "LINK",
                           "https://www.appsheet.com/template/gettablefileurl?appName=particulas_magneticas-924373673&amp;tableName=4.reg_fotografico&amp;fileName="&amp;C511                         )
                          )</f>
        <v/>
      </c>
      <c r="F511" s="54" t="str">
        <f t="shared" si="5"/>
        <v/>
      </c>
    </row>
    <row r="512" ht="22.5" customHeight="1">
      <c r="E512" s="54" t="str">
        <f t="array" ref="E512">IF(
                C512 = "",
                "",
                       IF(
                           C512 ="FOTOGRAFIA",
                           "LINK",
                           "https://www.appsheet.com/template/gettablefileurl?appName=particulas_magneticas-924373673&amp;tableName=4.reg_fotografico&amp;fileName="&amp;C512                         )
                          )</f>
        <v/>
      </c>
      <c r="F512" s="54" t="str">
        <f t="shared" si="5"/>
        <v/>
      </c>
    </row>
    <row r="513" ht="22.5" customHeight="1">
      <c r="E513" s="54" t="str">
        <f t="array" ref="E513">IF(
                C513 = "",
                "",
                       IF(
                           C513 ="FOTOGRAFIA",
                           "LINK",
                           "https://www.appsheet.com/template/gettablefileurl?appName=particulas_magneticas-924373673&amp;tableName=4.reg_fotografico&amp;fileName="&amp;C513                         )
                          )</f>
        <v/>
      </c>
      <c r="F513" s="54" t="str">
        <f t="shared" si="5"/>
        <v/>
      </c>
    </row>
    <row r="514" ht="22.5" customHeight="1">
      <c r="E514" s="54" t="str">
        <f t="array" ref="E514">IF(
                C514 = "",
                "",
                       IF(
                           C514 ="FOTOGRAFIA",
                           "LINK",
                           "https://www.appsheet.com/template/gettablefileurl?appName=particulas_magneticas-924373673&amp;tableName=4.reg_fotografico&amp;fileName="&amp;C514                         )
                          )</f>
        <v/>
      </c>
      <c r="F514" s="54" t="str">
        <f t="shared" si="5"/>
        <v/>
      </c>
    </row>
    <row r="515" ht="22.5" customHeight="1">
      <c r="E515" s="54" t="str">
        <f t="array" ref="E515">IF(
                C515 = "",
                "",
                       IF(
                           C515 ="FOTOGRAFIA",
                           "LINK",
                           "https://www.appsheet.com/template/gettablefileurl?appName=particulas_magneticas-924373673&amp;tableName=4.reg_fotografico&amp;fileName="&amp;C515                         )
                          )</f>
        <v/>
      </c>
      <c r="F515" s="54" t="str">
        <f t="shared" si="5"/>
        <v/>
      </c>
    </row>
    <row r="516" ht="22.5" customHeight="1">
      <c r="E516" s="54" t="str">
        <f t="array" ref="E516">IF(
                C516 = "",
                "",
                       IF(
                           C516 ="FOTOGRAFIA",
                           "LINK",
                           "https://www.appsheet.com/template/gettablefileurl?appName=particulas_magneticas-924373673&amp;tableName=4.reg_fotografico&amp;fileName="&amp;C516                         )
                          )</f>
        <v/>
      </c>
      <c r="F516" s="54" t="str">
        <f t="shared" si="5"/>
        <v/>
      </c>
    </row>
    <row r="517" ht="22.5" customHeight="1">
      <c r="E517" s="54" t="str">
        <f t="array" ref="E517">IF(
                C517 = "",
                "",
                       IF(
                           C517 ="FOTOGRAFIA",
                           "LINK",
                           "https://www.appsheet.com/template/gettablefileurl?appName=particulas_magneticas-924373673&amp;tableName=4.reg_fotografico&amp;fileName="&amp;C517                         )
                          )</f>
        <v/>
      </c>
      <c r="F517" s="54" t="str">
        <f t="shared" si="5"/>
        <v/>
      </c>
    </row>
    <row r="518" ht="22.5" customHeight="1">
      <c r="E518" s="54" t="str">
        <f t="array" ref="E518">IF(
                C518 = "",
                "",
                       IF(
                           C518 ="FOTOGRAFIA",
                           "LINK",
                           "https://www.appsheet.com/template/gettablefileurl?appName=particulas_magneticas-924373673&amp;tableName=4.reg_fotografico&amp;fileName="&amp;C518                         )
                          )</f>
        <v/>
      </c>
      <c r="F518" s="54" t="str">
        <f t="shared" si="5"/>
        <v/>
      </c>
    </row>
    <row r="519" ht="22.5" customHeight="1">
      <c r="E519" s="54" t="str">
        <f t="array" ref="E519">IF(
                C519 = "",
                "",
                       IF(
                           C519 ="FOTOGRAFIA",
                           "LINK",
                           "https://www.appsheet.com/template/gettablefileurl?appName=particulas_magneticas-924373673&amp;tableName=4.reg_fotografico&amp;fileName="&amp;C519                         )
                          )</f>
        <v/>
      </c>
      <c r="F519" s="54" t="str">
        <f t="shared" si="5"/>
        <v/>
      </c>
    </row>
    <row r="520" ht="22.5" customHeight="1">
      <c r="E520" s="54" t="str">
        <f t="array" ref="E520">IF(
                C520 = "",
                "",
                       IF(
                           C520 ="FOTOGRAFIA",
                           "LINK",
                           "https://www.appsheet.com/template/gettablefileurl?appName=particulas_magneticas-924373673&amp;tableName=4.reg_fotografico&amp;fileName="&amp;C520                         )
                          )</f>
        <v/>
      </c>
      <c r="F520" s="54" t="str">
        <f t="shared" si="5"/>
        <v/>
      </c>
    </row>
    <row r="521" ht="22.5" customHeight="1">
      <c r="E521" s="54" t="str">
        <f t="array" ref="E521">IF(
                C521 = "",
                "",
                       IF(
                           C521 ="FOTOGRAFIA",
                           "LINK",
                           "https://www.appsheet.com/template/gettablefileurl?appName=particulas_magneticas-924373673&amp;tableName=4.reg_fotografico&amp;fileName="&amp;C521                         )
                          )</f>
        <v/>
      </c>
      <c r="F521" s="54" t="str">
        <f t="shared" si="5"/>
        <v/>
      </c>
    </row>
    <row r="522" ht="22.5" customHeight="1">
      <c r="E522" s="54" t="str">
        <f t="array" ref="E522">IF(
                C522 = "",
                "",
                       IF(
                           C522 ="FOTOGRAFIA",
                           "LINK",
                           "https://www.appsheet.com/template/gettablefileurl?appName=particulas_magneticas-924373673&amp;tableName=4.reg_fotografico&amp;fileName="&amp;C522                         )
                          )</f>
        <v/>
      </c>
      <c r="F522" s="54" t="str">
        <f t="shared" si="5"/>
        <v/>
      </c>
    </row>
    <row r="523" ht="22.5" customHeight="1">
      <c r="E523" s="54" t="str">
        <f t="array" ref="E523">IF(
                C523 = "",
                "",
                       IF(
                           C523 ="FOTOGRAFIA",
                           "LINK",
                           "https://www.appsheet.com/template/gettablefileurl?appName=particulas_magneticas-924373673&amp;tableName=4.reg_fotografico&amp;fileName="&amp;C523                         )
                          )</f>
        <v/>
      </c>
      <c r="F523" s="54" t="str">
        <f t="shared" si="5"/>
        <v/>
      </c>
    </row>
    <row r="524" ht="22.5" customHeight="1">
      <c r="E524" s="54" t="str">
        <f t="array" ref="E524">IF(
                C524 = "",
                "",
                       IF(
                           C524 ="FOTOGRAFIA",
                           "LINK",
                           "https://www.appsheet.com/template/gettablefileurl?appName=particulas_magneticas-924373673&amp;tableName=4.reg_fotografico&amp;fileName="&amp;C524                         )
                          )</f>
        <v/>
      </c>
      <c r="F524" s="54" t="str">
        <f t="shared" si="5"/>
        <v/>
      </c>
    </row>
    <row r="525" ht="22.5" customHeight="1">
      <c r="E525" s="54" t="str">
        <f t="array" ref="E525">IF(
                C525 = "",
                "",
                       IF(
                           C525 ="FOTOGRAFIA",
                           "LINK",
                           "https://www.appsheet.com/template/gettablefileurl?appName=particulas_magneticas-924373673&amp;tableName=4.reg_fotografico&amp;fileName="&amp;C525                         )
                          )</f>
        <v/>
      </c>
      <c r="F525" s="54" t="str">
        <f t="shared" si="5"/>
        <v/>
      </c>
    </row>
    <row r="526" ht="22.5" customHeight="1">
      <c r="E526" s="54" t="str">
        <f t="array" ref="E526">IF(
                C526 = "",
                "",
                       IF(
                           C526 ="FOTOGRAFIA",
                           "LINK",
                           "https://www.appsheet.com/template/gettablefileurl?appName=particulas_magneticas-924373673&amp;tableName=4.reg_fotografico&amp;fileName="&amp;C526                         )
                          )</f>
        <v/>
      </c>
      <c r="F526" s="54" t="str">
        <f t="shared" si="5"/>
        <v/>
      </c>
    </row>
    <row r="527" ht="22.5" customHeight="1">
      <c r="E527" s="54" t="str">
        <f t="array" ref="E527">IF(
                C527 = "",
                "",
                       IF(
                           C527 ="FOTOGRAFIA",
                           "LINK",
                           "https://www.appsheet.com/template/gettablefileurl?appName=particulas_magneticas-924373673&amp;tableName=4.reg_fotografico&amp;fileName="&amp;C527                         )
                          )</f>
        <v/>
      </c>
      <c r="F527" s="54" t="str">
        <f t="shared" si="5"/>
        <v/>
      </c>
    </row>
    <row r="528" ht="22.5" customHeight="1">
      <c r="E528" s="54" t="str">
        <f t="array" ref="E528">IF(
                C528 = "",
                "",
                       IF(
                           C528 ="FOTOGRAFIA",
                           "LINK",
                           "https://www.appsheet.com/template/gettablefileurl?appName=particulas_magneticas-924373673&amp;tableName=4.reg_fotografico&amp;fileName="&amp;C528                         )
                          )</f>
        <v/>
      </c>
      <c r="F528" s="54" t="str">
        <f t="shared" si="5"/>
        <v/>
      </c>
    </row>
    <row r="529" ht="22.5" customHeight="1">
      <c r="E529" s="54" t="str">
        <f t="array" ref="E529">IF(
                C529 = "",
                "",
                       IF(
                           C529 ="FOTOGRAFIA",
                           "LINK",
                           "https://www.appsheet.com/template/gettablefileurl?appName=particulas_magneticas-924373673&amp;tableName=4.reg_fotografico&amp;fileName="&amp;C529                         )
                          )</f>
        <v/>
      </c>
      <c r="F529" s="54" t="str">
        <f t="shared" si="5"/>
        <v/>
      </c>
    </row>
    <row r="530" ht="22.5" customHeight="1">
      <c r="E530" s="54" t="str">
        <f t="array" ref="E530">IF(
                C530 = "",
                "",
                       IF(
                           C530 ="FOTOGRAFIA",
                           "LINK",
                           "https://www.appsheet.com/template/gettablefileurl?appName=particulas_magneticas-924373673&amp;tableName=4.reg_fotografico&amp;fileName="&amp;C530                         )
                          )</f>
        <v/>
      </c>
      <c r="F530" s="54" t="str">
        <f t="shared" si="5"/>
        <v/>
      </c>
    </row>
    <row r="531" ht="22.5" customHeight="1">
      <c r="E531" s="54" t="str">
        <f t="array" ref="E531">IF(
                C531 = "",
                "",
                       IF(
                           C531 ="FOTOGRAFIA",
                           "LINK",
                           "https://www.appsheet.com/template/gettablefileurl?appName=particulas_magneticas-924373673&amp;tableName=4.reg_fotografico&amp;fileName="&amp;C531                         )
                          )</f>
        <v/>
      </c>
      <c r="F531" s="54" t="str">
        <f t="shared" si="5"/>
        <v/>
      </c>
    </row>
    <row r="532" ht="22.5" customHeight="1">
      <c r="E532" s="54" t="str">
        <f t="array" ref="E532">IF(
                C532 = "",
                "",
                       IF(
                           C532 ="FOTOGRAFIA",
                           "LINK",
                           "https://www.appsheet.com/template/gettablefileurl?appName=particulas_magneticas-924373673&amp;tableName=4.reg_fotografico&amp;fileName="&amp;C532                         )
                          )</f>
        <v/>
      </c>
      <c r="F532" s="54" t="str">
        <f t="shared" si="5"/>
        <v/>
      </c>
    </row>
    <row r="533" ht="22.5" customHeight="1">
      <c r="E533" s="54" t="str">
        <f t="array" ref="E533">IF(
                C533 = "",
                "",
                       IF(
                           C533 ="FOTOGRAFIA",
                           "LINK",
                           "https://www.appsheet.com/template/gettablefileurl?appName=particulas_magneticas-924373673&amp;tableName=4.reg_fotografico&amp;fileName="&amp;C533                         )
                          )</f>
        <v/>
      </c>
      <c r="F533" s="54" t="str">
        <f t="shared" si="5"/>
        <v/>
      </c>
    </row>
    <row r="534" ht="22.5" customHeight="1">
      <c r="E534" s="54" t="str">
        <f t="array" ref="E534">IF(
                C534 = "",
                "",
                       IF(
                           C534 ="FOTOGRAFIA",
                           "LINK",
                           "https://www.appsheet.com/template/gettablefileurl?appName=particulas_magneticas-924373673&amp;tableName=4.reg_fotografico&amp;fileName="&amp;C534                         )
                          )</f>
        <v/>
      </c>
      <c r="F534" s="54" t="str">
        <f t="shared" si="5"/>
        <v/>
      </c>
    </row>
    <row r="535" ht="22.5" customHeight="1">
      <c r="E535" s="54" t="str">
        <f t="array" ref="E535">IF(
                C535 = "",
                "",
                       IF(
                           C535 ="FOTOGRAFIA",
                           "LINK",
                           "https://www.appsheet.com/template/gettablefileurl?appName=particulas_magneticas-924373673&amp;tableName=4.reg_fotografico&amp;fileName="&amp;C535                         )
                          )</f>
        <v/>
      </c>
      <c r="F535" s="54" t="str">
        <f t="shared" si="5"/>
        <v/>
      </c>
    </row>
    <row r="536" ht="22.5" customHeight="1">
      <c r="E536" s="54" t="str">
        <f t="array" ref="E536">IF(
                C536 = "",
                "",
                       IF(
                           C536 ="FOTOGRAFIA",
                           "LINK",
                           "https://www.appsheet.com/template/gettablefileurl?appName=particulas_magneticas-924373673&amp;tableName=4.reg_fotografico&amp;fileName="&amp;C536                         )
                          )</f>
        <v/>
      </c>
      <c r="F536" s="54" t="str">
        <f t="shared" si="5"/>
        <v/>
      </c>
    </row>
    <row r="537" ht="22.5" customHeight="1">
      <c r="E537" s="54" t="str">
        <f t="array" ref="E537">IF(
                C537 = "",
                "",
                       IF(
                           C537 ="FOTOGRAFIA",
                           "LINK",
                           "https://www.appsheet.com/template/gettablefileurl?appName=particulas_magneticas-924373673&amp;tableName=4.reg_fotografico&amp;fileName="&amp;C537                         )
                          )</f>
        <v/>
      </c>
      <c r="F537" s="54" t="str">
        <f t="shared" si="5"/>
        <v/>
      </c>
    </row>
    <row r="538" ht="22.5" customHeight="1">
      <c r="E538" s="54" t="str">
        <f t="array" ref="E538">IF(
                C538 = "",
                "",
                       IF(
                           C538 ="FOTOGRAFIA",
                           "LINK",
                           "https://www.appsheet.com/template/gettablefileurl?appName=particulas_magneticas-924373673&amp;tableName=4.reg_fotografico&amp;fileName="&amp;C538                         )
                          )</f>
        <v/>
      </c>
      <c r="F538" s="54" t="str">
        <f t="shared" si="5"/>
        <v/>
      </c>
    </row>
    <row r="539" ht="22.5" customHeight="1">
      <c r="E539" s="54" t="str">
        <f t="array" ref="E539">IF(
                C539 = "",
                "",
                       IF(
                           C539 ="FOTOGRAFIA",
                           "LINK",
                           "https://www.appsheet.com/template/gettablefileurl?appName=particulas_magneticas-924373673&amp;tableName=4.reg_fotografico&amp;fileName="&amp;C539                         )
                          )</f>
        <v/>
      </c>
      <c r="F539" s="54" t="str">
        <f t="shared" si="5"/>
        <v/>
      </c>
    </row>
    <row r="540" ht="22.5" customHeight="1">
      <c r="E540" s="54" t="str">
        <f t="array" ref="E540">IF(
                C540 = "",
                "",
                       IF(
                           C540 ="FOTOGRAFIA",
                           "LINK",
                           "https://www.appsheet.com/template/gettablefileurl?appName=particulas_magneticas-924373673&amp;tableName=4.reg_fotografico&amp;fileName="&amp;C540                         )
                          )</f>
        <v/>
      </c>
      <c r="F540" s="54" t="str">
        <f t="shared" si="5"/>
        <v/>
      </c>
    </row>
    <row r="541" ht="22.5" customHeight="1">
      <c r="E541" s="54" t="str">
        <f t="array" ref="E541">IF(
                C541 = "",
                "",
                       IF(
                           C541 ="FOTOGRAFIA",
                           "LINK",
                           "https://www.appsheet.com/template/gettablefileurl?appName=particulas_magneticas-924373673&amp;tableName=4.reg_fotografico&amp;fileName="&amp;C541                         )
                          )</f>
        <v/>
      </c>
      <c r="F541" s="54" t="str">
        <f t="shared" si="5"/>
        <v/>
      </c>
    </row>
    <row r="542" ht="22.5" customHeight="1">
      <c r="E542" s="54" t="str">
        <f t="array" ref="E542">IF(
                C542 = "",
                "",
                       IF(
                           C542 ="FOTOGRAFIA",
                           "LINK",
                           "https://www.appsheet.com/template/gettablefileurl?appName=particulas_magneticas-924373673&amp;tableName=4.reg_fotografico&amp;fileName="&amp;C542                         )
                          )</f>
        <v/>
      </c>
      <c r="F542" s="54" t="str">
        <f t="shared" si="5"/>
        <v/>
      </c>
    </row>
    <row r="543" ht="22.5" customHeight="1">
      <c r="E543" s="54" t="str">
        <f t="array" ref="E543">IF(
                C543 = "",
                "",
                       IF(
                           C543 ="FOTOGRAFIA",
                           "LINK",
                           "https://www.appsheet.com/template/gettablefileurl?appName=particulas_magneticas-924373673&amp;tableName=4.reg_fotografico&amp;fileName="&amp;C543                         )
                          )</f>
        <v/>
      </c>
      <c r="F543" s="54" t="str">
        <f t="shared" si="5"/>
        <v/>
      </c>
    </row>
    <row r="544" ht="22.5" customHeight="1">
      <c r="E544" s="54" t="str">
        <f t="array" ref="E544">IF(
                C544 = "",
                "",
                       IF(
                           C544 ="FOTOGRAFIA",
                           "LINK",
                           "https://www.appsheet.com/template/gettablefileurl?appName=particulas_magneticas-924373673&amp;tableName=4.reg_fotografico&amp;fileName="&amp;C544                         )
                          )</f>
        <v/>
      </c>
      <c r="F544" s="54" t="str">
        <f t="shared" si="5"/>
        <v/>
      </c>
    </row>
    <row r="545" ht="22.5" customHeight="1">
      <c r="E545" s="54" t="str">
        <f t="array" ref="E545">IF(
                C545 = "",
                "",
                       IF(
                           C545 ="FOTOGRAFIA",
                           "LINK",
                           "https://www.appsheet.com/template/gettablefileurl?appName=particulas_magneticas-924373673&amp;tableName=4.reg_fotografico&amp;fileName="&amp;C545                         )
                          )</f>
        <v/>
      </c>
      <c r="F545" s="54" t="str">
        <f t="shared" si="5"/>
        <v/>
      </c>
    </row>
    <row r="546" ht="22.5" customHeight="1">
      <c r="E546" s="54" t="str">
        <f t="array" ref="E546">IF(
                C546 = "",
                "",
                       IF(
                           C546 ="FOTOGRAFIA",
                           "LINK",
                           "https://www.appsheet.com/template/gettablefileurl?appName=particulas_magneticas-924373673&amp;tableName=4.reg_fotografico&amp;fileName="&amp;C546                         )
                          )</f>
        <v/>
      </c>
      <c r="F546" s="54" t="str">
        <f t="shared" si="5"/>
        <v/>
      </c>
    </row>
    <row r="547" ht="22.5" customHeight="1">
      <c r="E547" s="54" t="str">
        <f t="array" ref="E547">IF(
                C547 = "",
                "",
                       IF(
                           C547 ="FOTOGRAFIA",
                           "LINK",
                           "https://www.appsheet.com/template/gettablefileurl?appName=particulas_magneticas-924373673&amp;tableName=4.reg_fotografico&amp;fileName="&amp;C547                         )
                          )</f>
        <v/>
      </c>
      <c r="F547" s="54" t="str">
        <f t="shared" si="5"/>
        <v/>
      </c>
    </row>
    <row r="548" ht="22.5" customHeight="1">
      <c r="E548" s="54" t="str">
        <f t="array" ref="E548">IF(
                C548 = "",
                "",
                       IF(
                           C548 ="FOTOGRAFIA",
                           "LINK",
                           "https://www.appsheet.com/template/gettablefileurl?appName=particulas_magneticas-924373673&amp;tableName=4.reg_fotografico&amp;fileName="&amp;C548                         )
                          )</f>
        <v/>
      </c>
      <c r="F548" s="54" t="str">
        <f t="shared" si="5"/>
        <v/>
      </c>
    </row>
    <row r="549" ht="22.5" customHeight="1">
      <c r="E549" s="54" t="str">
        <f t="array" ref="E549">IF(
                C549 = "",
                "",
                       IF(
                           C549 ="FOTOGRAFIA",
                           "LINK",
                           "https://www.appsheet.com/template/gettablefileurl?appName=particulas_magneticas-924373673&amp;tableName=4.reg_fotografico&amp;fileName="&amp;C549                         )
                          )</f>
        <v/>
      </c>
      <c r="F549" s="54" t="str">
        <f t="shared" si="5"/>
        <v/>
      </c>
    </row>
    <row r="550" ht="22.5" customHeight="1">
      <c r="E550" s="54" t="str">
        <f t="array" ref="E550">IF(
                C550 = "",
                "",
                       IF(
                           C550 ="FOTOGRAFIA",
                           "LINK",
                           "https://www.appsheet.com/template/gettablefileurl?appName=particulas_magneticas-924373673&amp;tableName=4.reg_fotografico&amp;fileName="&amp;C550                         )
                          )</f>
        <v/>
      </c>
      <c r="F550" s="54" t="str">
        <f t="shared" si="5"/>
        <v/>
      </c>
    </row>
    <row r="551" ht="22.5" customHeight="1">
      <c r="E551" s="54" t="str">
        <f t="array" ref="E551">IF(
                C551 = "",
                "",
                       IF(
                           C551 ="FOTOGRAFIA",
                           "LINK",
                           "https://www.appsheet.com/template/gettablefileurl?appName=particulas_magneticas-924373673&amp;tableName=4.reg_fotografico&amp;fileName="&amp;C551                         )
                          )</f>
        <v/>
      </c>
      <c r="F551" s="54" t="str">
        <f t="shared" si="5"/>
        <v/>
      </c>
    </row>
    <row r="552" ht="22.5" customHeight="1">
      <c r="E552" s="54" t="str">
        <f t="array" ref="E552">IF(
                C552 = "",
                "",
                       IF(
                           C552 ="FOTOGRAFIA",
                           "LINK",
                           "https://www.appsheet.com/template/gettablefileurl?appName=particulas_magneticas-924373673&amp;tableName=4.reg_fotografico&amp;fileName="&amp;C552                         )
                          )</f>
        <v/>
      </c>
      <c r="F552" s="54" t="str">
        <f t="shared" si="5"/>
        <v/>
      </c>
    </row>
    <row r="553" ht="22.5" customHeight="1">
      <c r="E553" s="54" t="str">
        <f t="array" ref="E553">IF(
                C553 = "",
                "",
                       IF(
                           C553 ="FOTOGRAFIA",
                           "LINK",
                           "https://www.appsheet.com/template/gettablefileurl?appName=particulas_magneticas-924373673&amp;tableName=4.reg_fotografico&amp;fileName="&amp;C553                         )
                          )</f>
        <v/>
      </c>
      <c r="F553" s="54" t="str">
        <f t="shared" si="5"/>
        <v/>
      </c>
    </row>
    <row r="554" ht="22.5" customHeight="1">
      <c r="E554" s="54" t="str">
        <f t="array" ref="E554">IF(
                C554 = "",
                "",
                       IF(
                           C554 ="FOTOGRAFIA",
                           "LINK",
                           "https://www.appsheet.com/template/gettablefileurl?appName=particulas_magneticas-924373673&amp;tableName=4.reg_fotografico&amp;fileName="&amp;C554                         )
                          )</f>
        <v/>
      </c>
      <c r="F554" s="54" t="str">
        <f t="shared" si="5"/>
        <v/>
      </c>
    </row>
    <row r="555" ht="22.5" customHeight="1">
      <c r="E555" s="54" t="str">
        <f t="array" ref="E555">IF(
                C555 = "",
                "",
                       IF(
                           C555 ="FOTOGRAFIA",
                           "LINK",
                           "https://www.appsheet.com/template/gettablefileurl?appName=particulas_magneticas-924373673&amp;tableName=4.reg_fotografico&amp;fileName="&amp;C555                         )
                          )</f>
        <v/>
      </c>
      <c r="F555" s="54" t="str">
        <f t="shared" si="5"/>
        <v/>
      </c>
    </row>
    <row r="556" ht="22.5" customHeight="1">
      <c r="E556" s="54" t="str">
        <f t="array" ref="E556">IF(
                C556 = "",
                "",
                       IF(
                           C556 ="FOTOGRAFIA",
                           "LINK",
                           "https://www.appsheet.com/template/gettablefileurl?appName=particulas_magneticas-924373673&amp;tableName=4.reg_fotografico&amp;fileName="&amp;C556                         )
                          )</f>
        <v/>
      </c>
      <c r="F556" s="54" t="str">
        <f t="shared" si="5"/>
        <v/>
      </c>
    </row>
    <row r="557" ht="22.5" customHeight="1">
      <c r="E557" s="54" t="str">
        <f t="array" ref="E557">IF(
                C557 = "",
                "",
                       IF(
                           C557 ="FOTOGRAFIA",
                           "LINK",
                           "https://www.appsheet.com/template/gettablefileurl?appName=particulas_magneticas-924373673&amp;tableName=4.reg_fotografico&amp;fileName="&amp;C557                         )
                          )</f>
        <v/>
      </c>
      <c r="F557" s="54" t="str">
        <f t="shared" si="5"/>
        <v/>
      </c>
    </row>
    <row r="558" ht="22.5" customHeight="1">
      <c r="E558" s="54" t="str">
        <f t="array" ref="E558">IF(
                C558 = "",
                "",
                       IF(
                           C558 ="FOTOGRAFIA",
                           "LINK",
                           "https://www.appsheet.com/template/gettablefileurl?appName=particulas_magneticas-924373673&amp;tableName=4.reg_fotografico&amp;fileName="&amp;C558                         )
                          )</f>
        <v/>
      </c>
      <c r="F558" s="54" t="str">
        <f t="shared" si="5"/>
        <v/>
      </c>
    </row>
    <row r="559" ht="22.5" customHeight="1">
      <c r="E559" s="54" t="str">
        <f t="array" ref="E559">IF(
                C559 = "",
                "",
                       IF(
                           C559 ="FOTOGRAFIA",
                           "LINK",
                           "https://www.appsheet.com/template/gettablefileurl?appName=particulas_magneticas-924373673&amp;tableName=4.reg_fotografico&amp;fileName="&amp;C559                         )
                          )</f>
        <v/>
      </c>
      <c r="F559" s="54" t="str">
        <f t="shared" si="5"/>
        <v/>
      </c>
    </row>
    <row r="560" ht="22.5" customHeight="1">
      <c r="E560" s="54" t="str">
        <f t="array" ref="E560">IF(
                C560 = "",
                "",
                       IF(
                           C560 ="FOTOGRAFIA",
                           "LINK",
                           "https://www.appsheet.com/template/gettablefileurl?appName=particulas_magneticas-924373673&amp;tableName=4.reg_fotografico&amp;fileName="&amp;C560                         )
                          )</f>
        <v/>
      </c>
      <c r="F560" s="54" t="str">
        <f t="shared" si="5"/>
        <v/>
      </c>
    </row>
    <row r="561" ht="22.5" customHeight="1">
      <c r="E561" s="54" t="str">
        <f t="array" ref="E561">IF(
                C561 = "",
                "",
                       IF(
                           C561 ="FOTOGRAFIA",
                           "LINK",
                           "https://www.appsheet.com/template/gettablefileurl?appName=particulas_magneticas-924373673&amp;tableName=4.reg_fotografico&amp;fileName="&amp;C561                         )
                          )</f>
        <v/>
      </c>
      <c r="F561" s="54" t="str">
        <f t="shared" si="5"/>
        <v/>
      </c>
    </row>
    <row r="562" ht="22.5" customHeight="1">
      <c r="E562" s="54" t="str">
        <f t="array" ref="E562">IF(
                C562 = "",
                "",
                       IF(
                           C562 ="FOTOGRAFIA",
                           "LINK",
                           "https://www.appsheet.com/template/gettablefileurl?appName=particulas_magneticas-924373673&amp;tableName=4.reg_fotografico&amp;fileName="&amp;C562                         )
                          )</f>
        <v/>
      </c>
      <c r="F562" s="54" t="str">
        <f t="shared" si="5"/>
        <v/>
      </c>
    </row>
    <row r="563" ht="22.5" customHeight="1">
      <c r="E563" s="54" t="str">
        <f t="array" ref="E563">IF(
                C563 = "",
                "",
                       IF(
                           C563 ="FOTOGRAFIA",
                           "LINK",
                           "https://www.appsheet.com/template/gettablefileurl?appName=particulas_magneticas-924373673&amp;tableName=4.reg_fotografico&amp;fileName="&amp;C563                         )
                          )</f>
        <v/>
      </c>
      <c r="F563" s="54" t="str">
        <f t="shared" si="5"/>
        <v/>
      </c>
    </row>
    <row r="564" ht="22.5" customHeight="1">
      <c r="E564" s="54" t="str">
        <f t="array" ref="E564">IF(
                C564 = "",
                "",
                       IF(
                           C564 ="FOTOGRAFIA",
                           "LINK",
                           "https://www.appsheet.com/template/gettablefileurl?appName=particulas_magneticas-924373673&amp;tableName=4.reg_fotografico&amp;fileName="&amp;C564                         )
                          )</f>
        <v/>
      </c>
      <c r="F564" s="54" t="str">
        <f t="shared" si="5"/>
        <v/>
      </c>
    </row>
    <row r="565" ht="22.5" customHeight="1">
      <c r="E565" s="54" t="str">
        <f t="array" ref="E565">IF(
                C565 = "",
                "",
                       IF(
                           C565 ="FOTOGRAFIA",
                           "LINK",
                           "https://www.appsheet.com/template/gettablefileurl?appName=particulas_magneticas-924373673&amp;tableName=4.reg_fotografico&amp;fileName="&amp;C565                         )
                          )</f>
        <v/>
      </c>
      <c r="F565" s="54" t="str">
        <f t="shared" si="5"/>
        <v/>
      </c>
    </row>
    <row r="566" ht="22.5" customHeight="1">
      <c r="E566" s="54" t="str">
        <f t="array" ref="E566">IF(
                C566 = "",
                "",
                       IF(
                           C566 ="FOTOGRAFIA",
                           "LINK",
                           "https://www.appsheet.com/template/gettablefileurl?appName=particulas_magneticas-924373673&amp;tableName=4.reg_fotografico&amp;fileName="&amp;C566                         )
                          )</f>
        <v/>
      </c>
      <c r="F566" s="54" t="str">
        <f t="shared" si="5"/>
        <v/>
      </c>
    </row>
    <row r="567" ht="22.5" customHeight="1">
      <c r="E567" s="54" t="str">
        <f t="array" ref="E567">IF(
                C567 = "",
                "",
                       IF(
                           C567 ="FOTOGRAFIA",
                           "LINK",
                           "https://www.appsheet.com/template/gettablefileurl?appName=particulas_magneticas-924373673&amp;tableName=4.reg_fotografico&amp;fileName="&amp;C567                         )
                          )</f>
        <v/>
      </c>
      <c r="F567" s="54" t="str">
        <f t="shared" si="5"/>
        <v/>
      </c>
    </row>
    <row r="568" ht="22.5" customHeight="1">
      <c r="E568" s="54" t="str">
        <f t="array" ref="E568">IF(
                C568 = "",
                "",
                       IF(
                           C568 ="FOTOGRAFIA",
                           "LINK",
                           "https://www.appsheet.com/template/gettablefileurl?appName=particulas_magneticas-924373673&amp;tableName=4.reg_fotografico&amp;fileName="&amp;C568                         )
                          )</f>
        <v/>
      </c>
      <c r="F568" s="54" t="str">
        <f t="shared" si="5"/>
        <v/>
      </c>
    </row>
    <row r="569" ht="22.5" customHeight="1">
      <c r="E569" s="54" t="str">
        <f t="array" ref="E569">IF(
                C569 = "",
                "",
                       IF(
                           C569 ="FOTOGRAFIA",
                           "LINK",
                           "https://www.appsheet.com/template/gettablefileurl?appName=particulas_magneticas-924373673&amp;tableName=4.reg_fotografico&amp;fileName="&amp;C569                         )
                          )</f>
        <v/>
      </c>
      <c r="F569" s="54" t="str">
        <f t="shared" si="5"/>
        <v/>
      </c>
    </row>
    <row r="570" ht="22.5" customHeight="1">
      <c r="E570" s="54" t="str">
        <f t="array" ref="E570">IF(
                C570 = "",
                "",
                       IF(
                           C570 ="FOTOGRAFIA",
                           "LINK",
                           "https://www.appsheet.com/template/gettablefileurl?appName=particulas_magneticas-924373673&amp;tableName=4.reg_fotografico&amp;fileName="&amp;C570                         )
                          )</f>
        <v/>
      </c>
      <c r="F570" s="54" t="str">
        <f t="shared" si="5"/>
        <v/>
      </c>
    </row>
    <row r="571" ht="22.5" customHeight="1">
      <c r="E571" s="54" t="str">
        <f t="array" ref="E571">IF(
                C571 = "",
                "",
                       IF(
                           C571 ="FOTOGRAFIA",
                           "LINK",
                           "https://www.appsheet.com/template/gettablefileurl?appName=particulas_magneticas-924373673&amp;tableName=4.reg_fotografico&amp;fileName="&amp;C571                         )
                          )</f>
        <v/>
      </c>
      <c r="F571" s="54" t="str">
        <f t="shared" si="5"/>
        <v/>
      </c>
    </row>
    <row r="572" ht="22.5" customHeight="1">
      <c r="E572" s="54" t="str">
        <f t="array" ref="E572">IF(
                C572 = "",
                "",
                       IF(
                           C572 ="FOTOGRAFIA",
                           "LINK",
                           "https://www.appsheet.com/template/gettablefileurl?appName=particulas_magneticas-924373673&amp;tableName=4.reg_fotografico&amp;fileName="&amp;C572                         )
                          )</f>
        <v/>
      </c>
      <c r="F572" s="54" t="str">
        <f t="shared" si="5"/>
        <v/>
      </c>
    </row>
    <row r="573" ht="22.5" customHeight="1">
      <c r="E573" s="54" t="str">
        <f t="array" ref="E573">IF(
                C573 = "",
                "",
                       IF(
                           C573 ="FOTOGRAFIA",
                           "LINK",
                           "https://www.appsheet.com/template/gettablefileurl?appName=particulas_magneticas-924373673&amp;tableName=4.reg_fotografico&amp;fileName="&amp;C573                         )
                          )</f>
        <v/>
      </c>
      <c r="F573" s="54" t="str">
        <f t="shared" si="5"/>
        <v/>
      </c>
    </row>
    <row r="574" ht="22.5" customHeight="1">
      <c r="E574" s="54" t="str">
        <f t="array" ref="E574">IF(
                C574 = "",
                "",
                       IF(
                           C574 ="FOTOGRAFIA",
                           "LINK",
                           "https://www.appsheet.com/template/gettablefileurl?appName=particulas_magneticas-924373673&amp;tableName=4.reg_fotografico&amp;fileName="&amp;C574                         )
                          )</f>
        <v/>
      </c>
      <c r="F574" s="54" t="str">
        <f t="shared" si="5"/>
        <v/>
      </c>
    </row>
    <row r="575" ht="22.5" customHeight="1">
      <c r="E575" s="54" t="str">
        <f t="array" ref="E575">IF(
                C575 = "",
                "",
                       IF(
                           C575 ="FOTOGRAFIA",
                           "LINK",
                           "https://www.appsheet.com/template/gettablefileurl?appName=particulas_magneticas-924373673&amp;tableName=4.reg_fotografico&amp;fileName="&amp;C575                         )
                          )</f>
        <v/>
      </c>
      <c r="F575" s="54" t="str">
        <f t="shared" si="5"/>
        <v/>
      </c>
    </row>
    <row r="576" ht="22.5" customHeight="1">
      <c r="E576" s="54" t="str">
        <f t="array" ref="E576">IF(
                C576 = "",
                "",
                       IF(
                           C576 ="FOTOGRAFIA",
                           "LINK",
                           "https://www.appsheet.com/template/gettablefileurl?appName=particulas_magneticas-924373673&amp;tableName=4.reg_fotografico&amp;fileName="&amp;C576                         )
                          )</f>
        <v/>
      </c>
      <c r="F576" s="54" t="str">
        <f t="shared" si="5"/>
        <v/>
      </c>
    </row>
    <row r="577" ht="22.5" customHeight="1">
      <c r="E577" s="54" t="str">
        <f t="array" ref="E577">IF(
                C577 = "",
                "",
                       IF(
                           C577 ="FOTOGRAFIA",
                           "LINK",
                           "https://www.appsheet.com/template/gettablefileurl?appName=particulas_magneticas-924373673&amp;tableName=4.reg_fotografico&amp;fileName="&amp;C577                         )
                          )</f>
        <v/>
      </c>
      <c r="F577" s="54" t="str">
        <f t="shared" si="5"/>
        <v/>
      </c>
    </row>
    <row r="578" ht="22.5" customHeight="1">
      <c r="E578" s="54" t="str">
        <f t="array" ref="E578">IF(
                C578 = "",
                "",
                       IF(
                           C578 ="FOTOGRAFIA",
                           "LINK",
                           "https://www.appsheet.com/template/gettablefileurl?appName=particulas_magneticas-924373673&amp;tableName=4.reg_fotografico&amp;fileName="&amp;C578                         )
                          )</f>
        <v/>
      </c>
      <c r="F578" s="54" t="str">
        <f t="shared" si="5"/>
        <v/>
      </c>
    </row>
    <row r="579" ht="22.5" customHeight="1">
      <c r="E579" s="54" t="str">
        <f t="array" ref="E579">IF(
                C579 = "",
                "",
                       IF(
                           C579 ="FOTOGRAFIA",
                           "LINK",
                           "https://www.appsheet.com/template/gettablefileurl?appName=particulas_magneticas-924373673&amp;tableName=4.reg_fotografico&amp;fileName="&amp;C579                         )
                          )</f>
        <v/>
      </c>
      <c r="F579" s="54" t="str">
        <f t="shared" si="5"/>
        <v/>
      </c>
    </row>
    <row r="580" ht="22.5" customHeight="1">
      <c r="E580" s="54" t="str">
        <f t="array" ref="E580">IF(
                C580 = "",
                "",
                       IF(
                           C580 ="FOTOGRAFIA",
                           "LINK",
                           "https://www.appsheet.com/template/gettablefileurl?appName=particulas_magneticas-924373673&amp;tableName=4.reg_fotografico&amp;fileName="&amp;C580                         )
                          )</f>
        <v/>
      </c>
      <c r="F580" s="54" t="str">
        <f t="shared" si="5"/>
        <v/>
      </c>
    </row>
    <row r="581" ht="22.5" customHeight="1">
      <c r="E581" s="54" t="str">
        <f t="array" ref="E581">IF(
                C581 = "",
                "",
                       IF(
                           C581 ="FOTOGRAFIA",
                           "LINK",
                           "https://www.appsheet.com/template/gettablefileurl?appName=particulas_magneticas-924373673&amp;tableName=4.reg_fotografico&amp;fileName="&amp;C581                         )
                          )</f>
        <v/>
      </c>
      <c r="F581" s="54" t="str">
        <f t="shared" si="5"/>
        <v/>
      </c>
    </row>
    <row r="582" ht="22.5" customHeight="1">
      <c r="E582" s="54" t="str">
        <f t="array" ref="E582">IF(
                C582 = "",
                "",
                       IF(
                           C582 ="FOTOGRAFIA",
                           "LINK",
                           "https://www.appsheet.com/template/gettablefileurl?appName=particulas_magneticas-924373673&amp;tableName=4.reg_fotografico&amp;fileName="&amp;C582                         )
                          )</f>
        <v/>
      </c>
      <c r="F582" s="54" t="str">
        <f t="shared" si="5"/>
        <v/>
      </c>
    </row>
    <row r="583" ht="22.5" customHeight="1">
      <c r="E583" s="54" t="str">
        <f t="array" ref="E583">IF(
                C583 = "",
                "",
                       IF(
                           C583 ="FOTOGRAFIA",
                           "LINK",
                           "https://www.appsheet.com/template/gettablefileurl?appName=particulas_magneticas-924373673&amp;tableName=4.reg_fotografico&amp;fileName="&amp;C583                         )
                          )</f>
        <v/>
      </c>
      <c r="F583" s="54" t="str">
        <f t="shared" si="5"/>
        <v/>
      </c>
    </row>
    <row r="584" ht="22.5" customHeight="1">
      <c r="E584" s="54" t="str">
        <f t="array" ref="E584">IF(
                C584 = "",
                "",
                       IF(
                           C584 ="FOTOGRAFIA",
                           "LINK",
                           "https://www.appsheet.com/template/gettablefileurl?appName=particulas_magneticas-924373673&amp;tableName=4.reg_fotografico&amp;fileName="&amp;C584                         )
                          )</f>
        <v/>
      </c>
      <c r="F584" s="54" t="str">
        <f t="shared" si="5"/>
        <v/>
      </c>
    </row>
    <row r="585" ht="22.5" customHeight="1">
      <c r="E585" s="54" t="str">
        <f t="array" ref="E585">IF(
                C585 = "",
                "",
                       IF(
                           C585 ="FOTOGRAFIA",
                           "LINK",
                           "https://www.appsheet.com/template/gettablefileurl?appName=particulas_magneticas-924373673&amp;tableName=4.reg_fotografico&amp;fileName="&amp;C585                         )
                          )</f>
        <v/>
      </c>
      <c r="F585" s="54" t="str">
        <f t="shared" si="5"/>
        <v/>
      </c>
    </row>
    <row r="586" ht="22.5" customHeight="1">
      <c r="E586" s="54" t="str">
        <f t="array" ref="E586">IF(
                C586 = "",
                "",
                       IF(
                           C586 ="FOTOGRAFIA",
                           "LINK",
                           "https://www.appsheet.com/template/gettablefileurl?appName=particulas_magneticas-924373673&amp;tableName=4.reg_fotografico&amp;fileName="&amp;C586                         )
                          )</f>
        <v/>
      </c>
      <c r="F586" s="54" t="str">
        <f t="shared" si="5"/>
        <v/>
      </c>
    </row>
    <row r="587" ht="22.5" customHeight="1">
      <c r="E587" s="54" t="str">
        <f t="array" ref="E587">IF(
                C587 = "",
                "",
                       IF(
                           C587 ="FOTOGRAFIA",
                           "LINK",
                           "https://www.appsheet.com/template/gettablefileurl?appName=particulas_magneticas-924373673&amp;tableName=4.reg_fotografico&amp;fileName="&amp;C587                         )
                          )</f>
        <v/>
      </c>
      <c r="F587" s="54" t="str">
        <f t="shared" si="5"/>
        <v/>
      </c>
    </row>
    <row r="588" ht="22.5" customHeight="1">
      <c r="E588" s="54" t="str">
        <f t="array" ref="E588">IF(
                C588 = "",
                "",
                       IF(
                           C588 ="FOTOGRAFIA",
                           "LINK",
                           "https://www.appsheet.com/template/gettablefileurl?appName=particulas_magneticas-924373673&amp;tableName=4.reg_fotografico&amp;fileName="&amp;C588                         )
                          )</f>
        <v/>
      </c>
      <c r="F588" s="54" t="str">
        <f t="shared" si="5"/>
        <v/>
      </c>
    </row>
    <row r="589" ht="22.5" customHeight="1">
      <c r="E589" s="54" t="str">
        <f t="array" ref="E589">IF(
                C589 = "",
                "",
                       IF(
                           C589 ="FOTOGRAFIA",
                           "LINK",
                           "https://www.appsheet.com/template/gettablefileurl?appName=particulas_magneticas-924373673&amp;tableName=4.reg_fotografico&amp;fileName="&amp;C589                         )
                          )</f>
        <v/>
      </c>
      <c r="F589" s="54" t="str">
        <f t="shared" si="5"/>
        <v/>
      </c>
    </row>
    <row r="590" ht="22.5" customHeight="1">
      <c r="E590" s="54" t="str">
        <f t="array" ref="E590">IF(
                C590 = "",
                "",
                       IF(
                           C590 ="FOTOGRAFIA",
                           "LINK",
                           "https://www.appsheet.com/template/gettablefileurl?appName=particulas_magneticas-924373673&amp;tableName=4.reg_fotografico&amp;fileName="&amp;C590                         )
                          )</f>
        <v/>
      </c>
      <c r="F590" s="54" t="str">
        <f t="shared" si="5"/>
        <v/>
      </c>
    </row>
    <row r="591" ht="22.5" customHeight="1">
      <c r="E591" s="54" t="str">
        <f t="array" ref="E591">IF(
                C591 = "",
                "",
                       IF(
                           C591 ="FOTOGRAFIA",
                           "LINK",
                           "https://www.appsheet.com/template/gettablefileurl?appName=particulas_magneticas-924373673&amp;tableName=4.reg_fotografico&amp;fileName="&amp;C591                         )
                          )</f>
        <v/>
      </c>
      <c r="F591" s="54" t="str">
        <f t="shared" si="5"/>
        <v/>
      </c>
    </row>
    <row r="592" ht="22.5" customHeight="1">
      <c r="E592" s="54" t="str">
        <f t="array" ref="E592">IF(
                C592 = "",
                "",
                       IF(
                           C592 ="FOTOGRAFIA",
                           "LINK",
                           "https://www.appsheet.com/template/gettablefileurl?appName=particulas_magneticas-924373673&amp;tableName=4.reg_fotografico&amp;fileName="&amp;C592                         )
                          )</f>
        <v/>
      </c>
      <c r="F592" s="54" t="str">
        <f t="shared" si="5"/>
        <v/>
      </c>
    </row>
    <row r="593" ht="22.5" customHeight="1">
      <c r="E593" s="54" t="str">
        <f t="array" ref="E593">IF(
                C593 = "",
                "",
                       IF(
                           C593 ="FOTOGRAFIA",
                           "LINK",
                           "https://www.appsheet.com/template/gettablefileurl?appName=particulas_magneticas-924373673&amp;tableName=4.reg_fotografico&amp;fileName="&amp;C593                         )
                          )</f>
        <v/>
      </c>
      <c r="F593" s="54" t="str">
        <f t="shared" si="5"/>
        <v/>
      </c>
    </row>
    <row r="594" ht="22.5" customHeight="1">
      <c r="E594" s="54" t="str">
        <f t="array" ref="E594">IF(
                C594 = "",
                "",
                       IF(
                           C594 ="FOTOGRAFIA",
                           "LINK",
                           "https://www.appsheet.com/template/gettablefileurl?appName=particulas_magneticas-924373673&amp;tableName=4.reg_fotografico&amp;fileName="&amp;C594                         )
                          )</f>
        <v/>
      </c>
      <c r="F594" s="54" t="str">
        <f t="shared" si="5"/>
        <v/>
      </c>
    </row>
    <row r="595" ht="22.5" customHeight="1">
      <c r="E595" s="54" t="str">
        <f t="array" ref="E595">IF(
                C595 = "",
                "",
                       IF(
                           C595 ="FOTOGRAFIA",
                           "LINK",
                           "https://www.appsheet.com/template/gettablefileurl?appName=particulas_magneticas-924373673&amp;tableName=4.reg_fotografico&amp;fileName="&amp;C595                         )
                          )</f>
        <v/>
      </c>
      <c r="F595" s="54" t="str">
        <f t="shared" si="5"/>
        <v/>
      </c>
    </row>
    <row r="596" ht="22.5" customHeight="1">
      <c r="E596" s="54" t="str">
        <f t="array" ref="E596">IF(
                C596 = "",
                "",
                       IF(
                           C596 ="FOTOGRAFIA",
                           "LINK",
                           "https://www.appsheet.com/template/gettablefileurl?appName=particulas_magneticas-924373673&amp;tableName=4.reg_fotografico&amp;fileName="&amp;C596                         )
                          )</f>
        <v/>
      </c>
      <c r="F596" s="54" t="str">
        <f t="shared" si="5"/>
        <v/>
      </c>
    </row>
    <row r="597" ht="22.5" customHeight="1">
      <c r="E597" s="54" t="str">
        <f t="array" ref="E597">IF(
                C597 = "",
                "",
                       IF(
                           C597 ="FOTOGRAFIA",
                           "LINK",
                           "https://www.appsheet.com/template/gettablefileurl?appName=particulas_magneticas-924373673&amp;tableName=4.reg_fotografico&amp;fileName="&amp;C597                         )
                          )</f>
        <v/>
      </c>
      <c r="F597" s="54" t="str">
        <f t="shared" si="5"/>
        <v/>
      </c>
    </row>
    <row r="598" ht="22.5" customHeight="1">
      <c r="E598" s="54" t="str">
        <f t="array" ref="E598">IF(
                C598 = "",
                "",
                       IF(
                           C598 ="FOTOGRAFIA",
                           "LINK",
                           "https://www.appsheet.com/template/gettablefileurl?appName=particulas_magneticas-924373673&amp;tableName=4.reg_fotografico&amp;fileName="&amp;C598                         )
                          )</f>
        <v/>
      </c>
      <c r="F598" s="54" t="str">
        <f t="shared" si="5"/>
        <v/>
      </c>
    </row>
    <row r="599" ht="22.5" customHeight="1">
      <c r="E599" s="54" t="str">
        <f t="array" ref="E599">IF(
                C599 = "",
                "",
                       IF(
                           C599 ="FOTOGRAFIA",
                           "LINK",
                           "https://www.appsheet.com/template/gettablefileurl?appName=particulas_magneticas-924373673&amp;tableName=4.reg_fotografico&amp;fileName="&amp;C599                         )
                          )</f>
        <v/>
      </c>
      <c r="F599" s="54" t="str">
        <f t="shared" si="5"/>
        <v/>
      </c>
    </row>
    <row r="600" ht="22.5" customHeight="1">
      <c r="E600" s="54" t="str">
        <f t="array" ref="E600">IF(
                C600 = "",
                "",
                       IF(
                           C600 ="FOTOGRAFIA",
                           "LINK",
                           "https://www.appsheet.com/template/gettablefileurl?appName=particulas_magneticas-924373673&amp;tableName=4.reg_fotografico&amp;fileName="&amp;C600                         )
                          )</f>
        <v/>
      </c>
      <c r="F600" s="54" t="str">
        <f t="shared" si="5"/>
        <v/>
      </c>
    </row>
    <row r="601" ht="22.5" customHeight="1">
      <c r="E601" s="54" t="str">
        <f t="array" ref="E601">IF(
                C601 = "",
                "",
                       IF(
                           C601 ="FOTOGRAFIA",
                           "LINK",
                           "https://www.appsheet.com/template/gettablefileurl?appName=particulas_magneticas-924373673&amp;tableName=4.reg_fotografico&amp;fileName="&amp;C601                         )
                          )</f>
        <v/>
      </c>
      <c r="F601" s="54" t="str">
        <f t="shared" si="5"/>
        <v/>
      </c>
    </row>
    <row r="602" ht="22.5" customHeight="1">
      <c r="E602" s="54" t="str">
        <f t="array" ref="E602">IF(
                C602 = "",
                "",
                       IF(
                           C602 ="FOTOGRAFIA",
                           "LINK",
                           "https://www.appsheet.com/template/gettablefileurl?appName=particulas_magneticas-924373673&amp;tableName=4.reg_fotografico&amp;fileName="&amp;C602                         )
                          )</f>
        <v/>
      </c>
      <c r="F602" s="54" t="str">
        <f t="shared" si="5"/>
        <v/>
      </c>
    </row>
    <row r="603" ht="22.5" customHeight="1">
      <c r="E603" s="54" t="str">
        <f t="array" ref="E603">IF(
                C603 = "",
                "",
                       IF(
                           C603 ="FOTOGRAFIA",
                           "LINK",
                           "https://www.appsheet.com/template/gettablefileurl?appName=particulas_magneticas-924373673&amp;tableName=4.reg_fotografico&amp;fileName="&amp;C603                         )
                          )</f>
        <v/>
      </c>
      <c r="F603" s="54" t="str">
        <f t="shared" si="5"/>
        <v/>
      </c>
    </row>
    <row r="604" ht="22.5" customHeight="1">
      <c r="E604" s="54" t="str">
        <f t="array" ref="E604">IF(
                C604 = "",
                "",
                       IF(
                           C604 ="FOTOGRAFIA",
                           "LINK",
                           "https://www.appsheet.com/template/gettablefileurl?appName=particulas_magneticas-924373673&amp;tableName=4.reg_fotografico&amp;fileName="&amp;C604                         )
                          )</f>
        <v/>
      </c>
      <c r="F604" s="54" t="str">
        <f t="shared" si="5"/>
        <v/>
      </c>
    </row>
    <row r="605" ht="22.5" customHeight="1">
      <c r="E605" s="54" t="str">
        <f t="array" ref="E605">IF(
                C605 = "",
                "",
                       IF(
                           C605 ="FOTOGRAFIA",
                           "LINK",
                           "https://www.appsheet.com/template/gettablefileurl?appName=particulas_magneticas-924373673&amp;tableName=4.reg_fotografico&amp;fileName="&amp;C605                         )
                          )</f>
        <v/>
      </c>
      <c r="F605" s="54" t="str">
        <f t="shared" si="5"/>
        <v/>
      </c>
    </row>
    <row r="606" ht="22.5" customHeight="1">
      <c r="E606" s="54" t="str">
        <f t="array" ref="E606">IF(
                C606 = "",
                "",
                       IF(
                           C606 ="FOTOGRAFIA",
                           "LINK",
                           "https://www.appsheet.com/template/gettablefileurl?appName=particulas_magneticas-924373673&amp;tableName=4.reg_fotografico&amp;fileName="&amp;C606                         )
                          )</f>
        <v/>
      </c>
      <c r="F606" s="54" t="str">
        <f t="shared" si="5"/>
        <v/>
      </c>
    </row>
    <row r="607" ht="22.5" customHeight="1">
      <c r="E607" s="54" t="str">
        <f t="array" ref="E607">IF(
                C607 = "",
                "",
                       IF(
                           C607 ="FOTOGRAFIA",
                           "LINK",
                           "https://www.appsheet.com/template/gettablefileurl?appName=particulas_magneticas-924373673&amp;tableName=4.reg_fotografico&amp;fileName="&amp;C607                         )
                          )</f>
        <v/>
      </c>
      <c r="F607" s="54" t="str">
        <f t="shared" si="5"/>
        <v/>
      </c>
    </row>
    <row r="608" ht="22.5" customHeight="1">
      <c r="E608" s="54" t="str">
        <f t="array" ref="E608">IF(
                C608 = "",
                "",
                       IF(
                           C608 ="FOTOGRAFIA",
                           "LINK",
                           "https://www.appsheet.com/template/gettablefileurl?appName=particulas_magneticas-924373673&amp;tableName=4.reg_fotografico&amp;fileName="&amp;C608                         )
                          )</f>
        <v/>
      </c>
      <c r="F608" s="54" t="str">
        <f t="shared" si="5"/>
        <v/>
      </c>
    </row>
    <row r="609" ht="22.5" customHeight="1">
      <c r="E609" s="54" t="str">
        <f t="array" ref="E609">IF(
                C609 = "",
                "",
                       IF(
                           C609 ="FOTOGRAFIA",
                           "LINK",
                           "https://www.appsheet.com/template/gettablefileurl?appName=particulas_magneticas-924373673&amp;tableName=4.reg_fotografico&amp;fileName="&amp;C609                         )
                          )</f>
        <v/>
      </c>
      <c r="F609" s="54" t="str">
        <f t="shared" si="5"/>
        <v/>
      </c>
    </row>
    <row r="610" ht="22.5" customHeight="1">
      <c r="E610" s="54" t="str">
        <f t="array" ref="E610">IF(
                C610 = "",
                "",
                       IF(
                           C610 ="FOTOGRAFIA",
                           "LINK",
                           "https://www.appsheet.com/template/gettablefileurl?appName=particulas_magneticas-924373673&amp;tableName=4.reg_fotografico&amp;fileName="&amp;C610                         )
                          )</f>
        <v/>
      </c>
      <c r="F610" s="54" t="str">
        <f t="shared" si="5"/>
        <v/>
      </c>
    </row>
    <row r="611" ht="22.5" customHeight="1">
      <c r="E611" s="54" t="str">
        <f t="array" ref="E611">IF(
                C611 = "",
                "",
                       IF(
                           C611 ="FOTOGRAFIA",
                           "LINK",
                           "https://www.appsheet.com/template/gettablefileurl?appName=particulas_magneticas-924373673&amp;tableName=4.reg_fotografico&amp;fileName="&amp;C611                         )
                          )</f>
        <v/>
      </c>
      <c r="F611" s="54" t="str">
        <f t="shared" si="5"/>
        <v/>
      </c>
    </row>
    <row r="612" ht="22.5" customHeight="1">
      <c r="E612" s="54" t="str">
        <f t="array" ref="E612">IF(
                C612 = "",
                "",
                       IF(
                           C612 ="FOTOGRAFIA",
                           "LINK",
                           "https://www.appsheet.com/template/gettablefileurl?appName=particulas_magneticas-924373673&amp;tableName=4.reg_fotografico&amp;fileName="&amp;C612                         )
                          )</f>
        <v/>
      </c>
      <c r="F612" s="54" t="str">
        <f t="shared" si="5"/>
        <v/>
      </c>
    </row>
    <row r="613" ht="22.5" customHeight="1">
      <c r="E613" s="54" t="str">
        <f t="array" ref="E613">IF(
                C613 = "",
                "",
                       IF(
                           C613 ="FOTOGRAFIA",
                           "LINK",
                           "https://www.appsheet.com/template/gettablefileurl?appName=particulas_magneticas-924373673&amp;tableName=4.reg_fotografico&amp;fileName="&amp;C613                         )
                          )</f>
        <v/>
      </c>
      <c r="F613" s="54" t="str">
        <f t="shared" si="5"/>
        <v/>
      </c>
    </row>
    <row r="614" ht="22.5" customHeight="1">
      <c r="E614" s="54" t="str">
        <f t="array" ref="E614">IF(
                C614 = "",
                "",
                       IF(
                           C614 ="FOTOGRAFIA",
                           "LINK",
                           "https://www.appsheet.com/template/gettablefileurl?appName=particulas_magneticas-924373673&amp;tableName=4.reg_fotografico&amp;fileName="&amp;C614                         )
                          )</f>
        <v/>
      </c>
      <c r="F614" s="54" t="str">
        <f t="shared" si="5"/>
        <v/>
      </c>
    </row>
    <row r="615" ht="22.5" customHeight="1">
      <c r="E615" s="54" t="str">
        <f t="array" ref="E615">IF(
                C615 = "",
                "",
                       IF(
                           C615 ="FOTOGRAFIA",
                           "LINK",
                           "https://www.appsheet.com/template/gettablefileurl?appName=particulas_magneticas-924373673&amp;tableName=4.reg_fotografico&amp;fileName="&amp;C615                         )
                          )</f>
        <v/>
      </c>
      <c r="F615" s="54" t="str">
        <f t="shared" si="5"/>
        <v/>
      </c>
    </row>
    <row r="616" ht="22.5" customHeight="1">
      <c r="E616" s="54" t="str">
        <f t="array" ref="E616">IF(
                C616 = "",
                "",
                       IF(
                           C616 ="FOTOGRAFIA",
                           "LINK",
                           "https://www.appsheet.com/template/gettablefileurl?appName=particulas_magneticas-924373673&amp;tableName=4.reg_fotografico&amp;fileName="&amp;C616                         )
                          )</f>
        <v/>
      </c>
      <c r="F616" s="54" t="str">
        <f t="shared" si="5"/>
        <v/>
      </c>
    </row>
    <row r="617" ht="22.5" customHeight="1">
      <c r="E617" s="54" t="str">
        <f t="array" ref="E617">IF(
                C617 = "",
                "",
                       IF(
                           C617 ="FOTOGRAFIA",
                           "LINK",
                           "https://www.appsheet.com/template/gettablefileurl?appName=particulas_magneticas-924373673&amp;tableName=4.reg_fotografico&amp;fileName="&amp;C617                         )
                          )</f>
        <v/>
      </c>
      <c r="F617" s="54" t="str">
        <f t="shared" si="5"/>
        <v/>
      </c>
    </row>
    <row r="618" ht="22.5" customHeight="1">
      <c r="E618" s="54" t="str">
        <f t="array" ref="E618">IF(
                C618 = "",
                "",
                       IF(
                           C618 ="FOTOGRAFIA",
                           "LINK",
                           "https://www.appsheet.com/template/gettablefileurl?appName=particulas_magneticas-924373673&amp;tableName=4.reg_fotografico&amp;fileName="&amp;C618                         )
                          )</f>
        <v/>
      </c>
      <c r="F618" s="54" t="str">
        <f t="shared" si="5"/>
        <v/>
      </c>
    </row>
    <row r="619" ht="22.5" customHeight="1">
      <c r="E619" s="54" t="str">
        <f t="array" ref="E619">IF(
                C619 = "",
                "",
                       IF(
                           C619 ="FOTOGRAFIA",
                           "LINK",
                           "https://www.appsheet.com/template/gettablefileurl?appName=particulas_magneticas-924373673&amp;tableName=4.reg_fotografico&amp;fileName="&amp;C619                         )
                          )</f>
        <v/>
      </c>
      <c r="F619" s="54" t="str">
        <f t="shared" si="5"/>
        <v/>
      </c>
    </row>
    <row r="620" ht="22.5" customHeight="1">
      <c r="E620" s="54" t="str">
        <f t="array" ref="E620">IF(
                C620 = "",
                "",
                       IF(
                           C620 ="FOTOGRAFIA",
                           "LINK",
                           "https://www.appsheet.com/template/gettablefileurl?appName=particulas_magneticas-924373673&amp;tableName=4.reg_fotografico&amp;fileName="&amp;C620                         )
                          )</f>
        <v/>
      </c>
      <c r="F620" s="54" t="str">
        <f t="shared" si="5"/>
        <v/>
      </c>
    </row>
    <row r="621" ht="22.5" customHeight="1">
      <c r="E621" s="54" t="str">
        <f t="array" ref="E621">IF(
                C621 = "",
                "",
                       IF(
                           C621 ="FOTOGRAFIA",
                           "LINK",
                           "https://www.appsheet.com/template/gettablefileurl?appName=particulas_magneticas-924373673&amp;tableName=4.reg_fotografico&amp;fileName="&amp;C621                         )
                          )</f>
        <v/>
      </c>
      <c r="F621" s="54" t="str">
        <f t="shared" si="5"/>
        <v/>
      </c>
    </row>
    <row r="622" ht="22.5" customHeight="1">
      <c r="E622" s="54" t="str">
        <f t="array" ref="E622">IF(
                C622 = "",
                "",
                       IF(
                           C622 ="FOTOGRAFIA",
                           "LINK",
                           "https://www.appsheet.com/template/gettablefileurl?appName=particulas_magneticas-924373673&amp;tableName=4.reg_fotografico&amp;fileName="&amp;C622                         )
                          )</f>
        <v/>
      </c>
      <c r="F622" s="54" t="str">
        <f t="shared" si="5"/>
        <v/>
      </c>
    </row>
    <row r="623" ht="22.5" customHeight="1">
      <c r="E623" s="54" t="str">
        <f t="array" ref="E623">IF(
                C623 = "",
                "",
                       IF(
                           C623 ="FOTOGRAFIA",
                           "LINK",
                           "https://www.appsheet.com/template/gettablefileurl?appName=particulas_magneticas-924373673&amp;tableName=4.reg_fotografico&amp;fileName="&amp;C623                         )
                          )</f>
        <v/>
      </c>
      <c r="F623" s="54" t="str">
        <f t="shared" si="5"/>
        <v/>
      </c>
    </row>
    <row r="624" ht="22.5" customHeight="1">
      <c r="E624" s="54" t="str">
        <f t="array" ref="E624">IF(
                C624 = "",
                "",
                       IF(
                           C624 ="FOTOGRAFIA",
                           "LINK",
                           "https://www.appsheet.com/template/gettablefileurl?appName=particulas_magneticas-924373673&amp;tableName=4.reg_fotografico&amp;fileName="&amp;C624                         )
                          )</f>
        <v/>
      </c>
      <c r="F624" s="54" t="str">
        <f t="shared" si="5"/>
        <v/>
      </c>
    </row>
    <row r="625" ht="22.5" customHeight="1">
      <c r="E625" s="54" t="str">
        <f t="array" ref="E625">IF(
                C625 = "",
                "",
                       IF(
                           C625 ="FOTOGRAFIA",
                           "LINK",
                           "https://www.appsheet.com/template/gettablefileurl?appName=particulas_magneticas-924373673&amp;tableName=4.reg_fotografico&amp;fileName="&amp;C625                         )
                          )</f>
        <v/>
      </c>
      <c r="F625" s="54" t="str">
        <f t="shared" si="5"/>
        <v/>
      </c>
    </row>
    <row r="626" ht="22.5" customHeight="1">
      <c r="E626" s="54" t="str">
        <f t="array" ref="E626">IF(
                C626 = "",
                "",
                       IF(
                           C626 ="FOTOGRAFIA",
                           "LINK",
                           "https://www.appsheet.com/template/gettablefileurl?appName=particulas_magneticas-924373673&amp;tableName=4.reg_fotografico&amp;fileName="&amp;C626                         )
                          )</f>
        <v/>
      </c>
      <c r="F626" s="54" t="str">
        <f t="shared" si="5"/>
        <v/>
      </c>
    </row>
    <row r="627" ht="22.5" customHeight="1">
      <c r="E627" s="54" t="str">
        <f t="array" ref="E627">IF(
                C627 = "",
                "",
                       IF(
                           C627 ="FOTOGRAFIA",
                           "LINK",
                           "https://www.appsheet.com/template/gettablefileurl?appName=particulas_magneticas-924373673&amp;tableName=4.reg_fotografico&amp;fileName="&amp;C627                         )
                          )</f>
        <v/>
      </c>
      <c r="F627" s="54" t="str">
        <f t="shared" si="5"/>
        <v/>
      </c>
    </row>
    <row r="628" ht="22.5" customHeight="1">
      <c r="E628" s="54" t="str">
        <f t="array" ref="E628">IF(
                C628 = "",
                "",
                       IF(
                           C628 ="FOTOGRAFIA",
                           "LINK",
                           "https://www.appsheet.com/template/gettablefileurl?appName=particulas_magneticas-924373673&amp;tableName=4.reg_fotografico&amp;fileName="&amp;C628                         )
                          )</f>
        <v/>
      </c>
      <c r="F628" s="54" t="str">
        <f t="shared" si="5"/>
        <v/>
      </c>
    </row>
    <row r="629" ht="22.5" customHeight="1">
      <c r="E629" s="54" t="str">
        <f t="array" ref="E629">IF(
                C629 = "",
                "",
                       IF(
                           C629 ="FOTOGRAFIA",
                           "LINK",
                           "https://www.appsheet.com/template/gettablefileurl?appName=particulas_magneticas-924373673&amp;tableName=4.reg_fotografico&amp;fileName="&amp;C629                         )
                          )</f>
        <v/>
      </c>
      <c r="F629" s="54" t="str">
        <f t="shared" si="5"/>
        <v/>
      </c>
    </row>
    <row r="630" ht="22.5" customHeight="1">
      <c r="E630" s="54" t="str">
        <f t="array" ref="E630">IF(
                C630 = "",
                "",
                       IF(
                           C630 ="FOTOGRAFIA",
                           "LINK",
                           "https://www.appsheet.com/template/gettablefileurl?appName=particulas_magneticas-924373673&amp;tableName=4.reg_fotografico&amp;fileName="&amp;C630                         )
                          )</f>
        <v/>
      </c>
      <c r="F630" s="54" t="str">
        <f t="shared" si="5"/>
        <v/>
      </c>
    </row>
    <row r="631" ht="22.5" customHeight="1">
      <c r="E631" s="54" t="str">
        <f t="array" ref="E631">IF(
                C631 = "",
                "",
                       IF(
                           C631 ="FOTOGRAFIA",
                           "LINK",
                           "https://www.appsheet.com/template/gettablefileurl?appName=particulas_magneticas-924373673&amp;tableName=4.reg_fotografico&amp;fileName="&amp;C631                         )
                          )</f>
        <v/>
      </c>
      <c r="F631" s="54" t="str">
        <f t="shared" si="5"/>
        <v/>
      </c>
    </row>
    <row r="632" ht="22.5" customHeight="1">
      <c r="E632" s="54" t="str">
        <f t="array" ref="E632">IF(
                C632 = "",
                "",
                       IF(
                           C632 ="FOTOGRAFIA",
                           "LINK",
                           "https://www.appsheet.com/template/gettablefileurl?appName=particulas_magneticas-924373673&amp;tableName=4.reg_fotografico&amp;fileName="&amp;C632                         )
                          )</f>
        <v/>
      </c>
      <c r="F632" s="54" t="str">
        <f t="shared" si="5"/>
        <v/>
      </c>
    </row>
    <row r="633" ht="22.5" customHeight="1">
      <c r="E633" s="54" t="str">
        <f t="array" ref="E633">IF(
                C633 = "",
                "",
                       IF(
                           C633 ="FOTOGRAFIA",
                           "LINK",
                           "https://www.appsheet.com/template/gettablefileurl?appName=particulas_magneticas-924373673&amp;tableName=4.reg_fotografico&amp;fileName="&amp;C633                         )
                          )</f>
        <v/>
      </c>
      <c r="F633" s="54" t="str">
        <f t="shared" si="5"/>
        <v/>
      </c>
    </row>
    <row r="634" ht="22.5" customHeight="1">
      <c r="E634" s="54" t="str">
        <f t="array" ref="E634">IF(
                C634 = "",
                "",
                       IF(
                           C634 ="FOTOGRAFIA",
                           "LINK",
                           "https://www.appsheet.com/template/gettablefileurl?appName=particulas_magneticas-924373673&amp;tableName=4.reg_fotografico&amp;fileName="&amp;C634                         )
                          )</f>
        <v/>
      </c>
      <c r="F634" s="54" t="str">
        <f t="shared" si="5"/>
        <v/>
      </c>
    </row>
    <row r="635" ht="22.5" customHeight="1">
      <c r="E635" s="54" t="str">
        <f t="array" ref="E635">IF(
                C635 = "",
                "",
                       IF(
                           C635 ="FOTOGRAFIA",
                           "LINK",
                           "https://www.appsheet.com/template/gettablefileurl?appName=particulas_magneticas-924373673&amp;tableName=4.reg_fotografico&amp;fileName="&amp;C635                         )
                          )</f>
        <v/>
      </c>
      <c r="F635" s="54" t="str">
        <f t="shared" si="5"/>
        <v/>
      </c>
    </row>
    <row r="636" ht="22.5" customHeight="1">
      <c r="E636" s="54" t="str">
        <f t="array" ref="E636">IF(
                C636 = "",
                "",
                       IF(
                           C636 ="FOTOGRAFIA",
                           "LINK",
                           "https://www.appsheet.com/template/gettablefileurl?appName=particulas_magneticas-924373673&amp;tableName=4.reg_fotografico&amp;fileName="&amp;C636                         )
                          )</f>
        <v/>
      </c>
      <c r="F636" s="54" t="str">
        <f t="shared" si="5"/>
        <v/>
      </c>
    </row>
    <row r="637" ht="22.5" customHeight="1">
      <c r="E637" s="54" t="str">
        <f t="array" ref="E637">IF(
                C637 = "",
                "",
                       IF(
                           C637 ="FOTOGRAFIA",
                           "LINK",
                           "https://www.appsheet.com/template/gettablefileurl?appName=particulas_magneticas-924373673&amp;tableName=4.reg_fotografico&amp;fileName="&amp;C637                         )
                          )</f>
        <v/>
      </c>
      <c r="F637" s="54" t="str">
        <f t="shared" si="5"/>
        <v/>
      </c>
    </row>
    <row r="638" ht="22.5" customHeight="1">
      <c r="E638" s="54" t="str">
        <f t="array" ref="E638">IF(
                C638 = "",
                "",
                       IF(
                           C638 ="FOTOGRAFIA",
                           "LINK",
                           "https://www.appsheet.com/template/gettablefileurl?appName=particulas_magneticas-924373673&amp;tableName=4.reg_fotografico&amp;fileName="&amp;C638                         )
                          )</f>
        <v/>
      </c>
      <c r="F638" s="54" t="str">
        <f t="shared" si="5"/>
        <v/>
      </c>
    </row>
    <row r="639" ht="22.5" customHeight="1">
      <c r="E639" s="54" t="str">
        <f t="array" ref="E639">IF(
                C639 = "",
                "",
                       IF(
                           C639 ="FOTOGRAFIA",
                           "LINK",
                           "https://www.appsheet.com/template/gettablefileurl?appName=particulas_magneticas-924373673&amp;tableName=4.reg_fotografico&amp;fileName="&amp;C639                         )
                          )</f>
        <v/>
      </c>
      <c r="F639" s="54" t="str">
        <f t="shared" si="5"/>
        <v/>
      </c>
    </row>
    <row r="640" ht="22.5" customHeight="1">
      <c r="E640" s="54" t="str">
        <f t="array" ref="E640">IF(
                C640 = "",
                "",
                       IF(
                           C640 ="FOTOGRAFIA",
                           "LINK",
                           "https://www.appsheet.com/template/gettablefileurl?appName=particulas_magneticas-924373673&amp;tableName=4.reg_fotografico&amp;fileName="&amp;C640                         )
                          )</f>
        <v/>
      </c>
      <c r="F640" s="54" t="str">
        <f t="shared" si="5"/>
        <v/>
      </c>
    </row>
    <row r="641" ht="22.5" customHeight="1">
      <c r="E641" s="54" t="str">
        <f t="array" ref="E641">IF(
                C641 = "",
                "",
                       IF(
                           C641 ="FOTOGRAFIA",
                           "LINK",
                           "https://www.appsheet.com/template/gettablefileurl?appName=particulas_magneticas-924373673&amp;tableName=4.reg_fotografico&amp;fileName="&amp;C641                         )
                          )</f>
        <v/>
      </c>
      <c r="F641" s="54" t="str">
        <f t="shared" si="5"/>
        <v/>
      </c>
    </row>
    <row r="642" ht="22.5" customHeight="1">
      <c r="E642" s="54" t="str">
        <f t="array" ref="E642">IF(
                C642 = "",
                "",
                       IF(
                           C642 ="FOTOGRAFIA",
                           "LINK",
                           "https://www.appsheet.com/template/gettablefileurl?appName=particulas_magneticas-924373673&amp;tableName=4.reg_fotografico&amp;fileName="&amp;C642                         )
                          )</f>
        <v/>
      </c>
      <c r="F642" s="54" t="str">
        <f t="shared" si="5"/>
        <v/>
      </c>
    </row>
    <row r="643" ht="22.5" customHeight="1">
      <c r="E643" s="54" t="str">
        <f t="array" ref="E643">IF(
                C643 = "",
                "",
                       IF(
                           C643 ="FOTOGRAFIA",
                           "LINK",
                           "https://www.appsheet.com/template/gettablefileurl?appName=particulas_magneticas-924373673&amp;tableName=4.reg_fotografico&amp;fileName="&amp;C643                         )
                          )</f>
        <v/>
      </c>
      <c r="F643" s="54" t="str">
        <f t="shared" si="5"/>
        <v/>
      </c>
    </row>
    <row r="644" ht="22.5" customHeight="1">
      <c r="E644" s="54" t="str">
        <f t="array" ref="E644">IF(
                C644 = "",
                "",
                       IF(
                           C644 ="FOTOGRAFIA",
                           "LINK",
                           "https://www.appsheet.com/template/gettablefileurl?appName=particulas_magneticas-924373673&amp;tableName=4.reg_fotografico&amp;fileName="&amp;C644                         )
                          )</f>
        <v/>
      </c>
      <c r="F644" s="54" t="str">
        <f t="shared" si="5"/>
        <v/>
      </c>
    </row>
    <row r="645" ht="22.5" customHeight="1">
      <c r="E645" s="54" t="str">
        <f t="array" ref="E645">IF(
                C645 = "",
                "",
                       IF(
                           C645 ="FOTOGRAFIA",
                           "LINK",
                           "https://www.appsheet.com/template/gettablefileurl?appName=particulas_magneticas-924373673&amp;tableName=4.reg_fotografico&amp;fileName="&amp;C645                         )
                          )</f>
        <v/>
      </c>
      <c r="F645" s="54" t="str">
        <f t="shared" si="5"/>
        <v/>
      </c>
    </row>
    <row r="646" ht="22.5" customHeight="1">
      <c r="E646" s="54" t="str">
        <f t="array" ref="E646">IF(
                C646 = "",
                "",
                       IF(
                           C646 ="FOTOGRAFIA",
                           "LINK",
                           "https://www.appsheet.com/template/gettablefileurl?appName=particulas_magneticas-924373673&amp;tableName=4.reg_fotografico&amp;fileName="&amp;C646                         )
                          )</f>
        <v/>
      </c>
      <c r="F646" s="54" t="str">
        <f t="shared" si="5"/>
        <v/>
      </c>
    </row>
    <row r="647" ht="22.5" customHeight="1">
      <c r="E647" s="54" t="str">
        <f t="array" ref="E647">IF(
                C647 = "",
                "",
                       IF(
                           C647 ="FOTOGRAFIA",
                           "LINK",
                           "https://www.appsheet.com/template/gettablefileurl?appName=particulas_magneticas-924373673&amp;tableName=4.reg_fotografico&amp;fileName="&amp;C647                         )
                          )</f>
        <v/>
      </c>
      <c r="F647" s="54" t="str">
        <f t="shared" si="5"/>
        <v/>
      </c>
    </row>
    <row r="648" ht="22.5" customHeight="1">
      <c r="E648" s="54" t="str">
        <f t="array" ref="E648">IF(
                C648 = "",
                "",
                       IF(
                           C648 ="FOTOGRAFIA",
                           "LINK",
                           "https://www.appsheet.com/template/gettablefileurl?appName=particulas_magneticas-924373673&amp;tableName=4.reg_fotografico&amp;fileName="&amp;C648                         )
                          )</f>
        <v/>
      </c>
      <c r="F648" s="54" t="str">
        <f t="shared" si="5"/>
        <v/>
      </c>
    </row>
    <row r="649" ht="22.5" customHeight="1">
      <c r="E649" s="54" t="str">
        <f t="array" ref="E649">IF(
                C649 = "",
                "",
                       IF(
                           C649 ="FOTOGRAFIA",
                           "LINK",
                           "https://www.appsheet.com/template/gettablefileurl?appName=particulas_magneticas-924373673&amp;tableName=4.reg_fotografico&amp;fileName="&amp;C649                         )
                          )</f>
        <v/>
      </c>
      <c r="F649" s="54" t="str">
        <f t="shared" si="5"/>
        <v/>
      </c>
    </row>
    <row r="650" ht="22.5" customHeight="1">
      <c r="E650" s="54" t="str">
        <f t="array" ref="E650">IF(
                C650 = "",
                "",
                       IF(
                           C650 ="FOTOGRAFIA",
                           "LINK",
                           "https://www.appsheet.com/template/gettablefileurl?appName=particulas_magneticas-924373673&amp;tableName=4.reg_fotografico&amp;fileName="&amp;C650                         )
                          )</f>
        <v/>
      </c>
      <c r="F650" s="54" t="str">
        <f t="shared" si="5"/>
        <v/>
      </c>
    </row>
    <row r="651" ht="22.5" customHeight="1">
      <c r="E651" s="54" t="str">
        <f t="array" ref="E651">IF(
                C651 = "",
                "",
                       IF(
                           C651 ="FOTOGRAFIA",
                           "LINK",
                           "https://www.appsheet.com/template/gettablefileurl?appName=particulas_magneticas-924373673&amp;tableName=4.reg_fotografico&amp;fileName="&amp;C651                         )
                          )</f>
        <v/>
      </c>
      <c r="F651" s="54" t="str">
        <f t="shared" si="5"/>
        <v/>
      </c>
    </row>
    <row r="652" ht="22.5" customHeight="1">
      <c r="E652" s="54" t="str">
        <f t="array" ref="E652">IF(
                C652 = "",
                "",
                       IF(
                           C652 ="FOTOGRAFIA",
                           "LINK",
                           "https://www.appsheet.com/template/gettablefileurl?appName=particulas_magneticas-924373673&amp;tableName=4.reg_fotografico&amp;fileName="&amp;C652                         )
                          )</f>
        <v/>
      </c>
      <c r="F652" s="54" t="str">
        <f t="shared" si="5"/>
        <v/>
      </c>
    </row>
    <row r="653" ht="22.5" customHeight="1">
      <c r="E653" s="54" t="str">
        <f t="array" ref="E653">IF(
                C653 = "",
                "",
                       IF(
                           C653 ="FOTOGRAFIA",
                           "LINK",
                           "https://www.appsheet.com/template/gettablefileurl?appName=particulas_magneticas-924373673&amp;tableName=4.reg_fotografico&amp;fileName="&amp;C653                         )
                          )</f>
        <v/>
      </c>
      <c r="F653" s="54" t="str">
        <f t="shared" si="5"/>
        <v/>
      </c>
    </row>
    <row r="654" ht="22.5" customHeight="1">
      <c r="E654" s="54" t="str">
        <f t="array" ref="E654">IF(
                C654 = "",
                "",
                       IF(
                           C654 ="FOTOGRAFIA",
                           "LINK",
                           "https://www.appsheet.com/template/gettablefileurl?appName=particulas_magneticas-924373673&amp;tableName=4.reg_fotografico&amp;fileName="&amp;C654                         )
                          )</f>
        <v/>
      </c>
      <c r="F654" s="54" t="str">
        <f t="shared" si="5"/>
        <v/>
      </c>
    </row>
    <row r="655" ht="22.5" customHeight="1">
      <c r="E655" s="54" t="str">
        <f t="array" ref="E655">IF(
                C655 = "",
                "",
                       IF(
                           C655 ="FOTOGRAFIA",
                           "LINK",
                           "https://www.appsheet.com/template/gettablefileurl?appName=particulas_magneticas-924373673&amp;tableName=4.reg_fotografico&amp;fileName="&amp;C655                         )
                          )</f>
        <v/>
      </c>
      <c r="F655" s="54" t="str">
        <f t="shared" si="5"/>
        <v/>
      </c>
    </row>
    <row r="656" ht="22.5" customHeight="1">
      <c r="E656" s="54" t="str">
        <f t="array" ref="E656">IF(
                C656 = "",
                "",
                       IF(
                           C656 ="FOTOGRAFIA",
                           "LINK",
                           "https://www.appsheet.com/template/gettablefileurl?appName=particulas_magneticas-924373673&amp;tableName=4.reg_fotografico&amp;fileName="&amp;C656                         )
                          )</f>
        <v/>
      </c>
      <c r="F656" s="54" t="str">
        <f t="shared" si="5"/>
        <v/>
      </c>
    </row>
    <row r="657" ht="22.5" customHeight="1">
      <c r="E657" s="54" t="str">
        <f t="array" ref="E657">IF(
                C657 = "",
                "",
                       IF(
                           C657 ="FOTOGRAFIA",
                           "LINK",
                           "https://www.appsheet.com/template/gettablefileurl?appName=particulas_magneticas-924373673&amp;tableName=4.reg_fotografico&amp;fileName="&amp;C657                         )
                          )</f>
        <v/>
      </c>
      <c r="F657" s="54" t="str">
        <f t="shared" si="5"/>
        <v/>
      </c>
    </row>
    <row r="658" ht="22.5" customHeight="1">
      <c r="E658" s="54" t="str">
        <f t="array" ref="E658">IF(
                C658 = "",
                "",
                       IF(
                           C658 ="FOTOGRAFIA",
                           "LINK",
                           "https://www.appsheet.com/template/gettablefileurl?appName=particulas_magneticas-924373673&amp;tableName=4.reg_fotografico&amp;fileName="&amp;C658                         )
                          )</f>
        <v/>
      </c>
      <c r="F658" s="54" t="str">
        <f t="shared" si="5"/>
        <v/>
      </c>
    </row>
    <row r="659" ht="22.5" customHeight="1">
      <c r="E659" s="54" t="str">
        <f t="array" ref="E659">IF(
                C659 = "",
                "",
                       IF(
                           C659 ="FOTOGRAFIA",
                           "LINK",
                           "https://www.appsheet.com/template/gettablefileurl?appName=particulas_magneticas-924373673&amp;tableName=4.reg_fotografico&amp;fileName="&amp;C659                         )
                          )</f>
        <v/>
      </c>
      <c r="F659" s="54" t="str">
        <f t="shared" si="5"/>
        <v/>
      </c>
    </row>
    <row r="660" ht="22.5" customHeight="1">
      <c r="E660" s="54" t="str">
        <f t="array" ref="E660">IF(
                C660 = "",
                "",
                       IF(
                           C660 ="FOTOGRAFIA",
                           "LINK",
                           "https://www.appsheet.com/template/gettablefileurl?appName=particulas_magneticas-924373673&amp;tableName=4.reg_fotografico&amp;fileName="&amp;C660                         )
                          )</f>
        <v/>
      </c>
      <c r="F660" s="54" t="str">
        <f t="shared" si="5"/>
        <v/>
      </c>
    </row>
    <row r="661" ht="22.5" customHeight="1">
      <c r="E661" s="54" t="str">
        <f t="array" ref="E661">IF(
                C661 = "",
                "",
                       IF(
                           C661 ="FOTOGRAFIA",
                           "LINK",
                           "https://www.appsheet.com/template/gettablefileurl?appName=particulas_magneticas-924373673&amp;tableName=4.reg_fotografico&amp;fileName="&amp;C661                         )
                          )</f>
        <v/>
      </c>
      <c r="F661" s="54" t="str">
        <f t="shared" si="5"/>
        <v/>
      </c>
    </row>
    <row r="662" ht="22.5" customHeight="1">
      <c r="E662" s="54" t="str">
        <f t="array" ref="E662">IF(
                C662 = "",
                "",
                       IF(
                           C662 ="FOTOGRAFIA",
                           "LINK",
                           "https://www.appsheet.com/template/gettablefileurl?appName=particulas_magneticas-924373673&amp;tableName=4.reg_fotografico&amp;fileName="&amp;C662                         )
                          )</f>
        <v/>
      </c>
      <c r="F662" s="54" t="str">
        <f t="shared" si="5"/>
        <v/>
      </c>
    </row>
    <row r="663" ht="22.5" customHeight="1">
      <c r="E663" s="54" t="str">
        <f t="array" ref="E663">IF(
                C663 = "",
                "",
                       IF(
                           C663 ="FOTOGRAFIA",
                           "LINK",
                           "https://www.appsheet.com/template/gettablefileurl?appName=particulas_magneticas-924373673&amp;tableName=4.reg_fotografico&amp;fileName="&amp;C663                         )
                          )</f>
        <v/>
      </c>
      <c r="F663" s="54" t="str">
        <f t="shared" si="5"/>
        <v/>
      </c>
    </row>
    <row r="664" ht="22.5" customHeight="1">
      <c r="E664" s="54" t="str">
        <f t="array" ref="E664">IF(
                C664 = "",
                "",
                       IF(
                           C664 ="FOTOGRAFIA",
                           "LINK",
                           "https://www.appsheet.com/template/gettablefileurl?appName=particulas_magneticas-924373673&amp;tableName=4.reg_fotografico&amp;fileName="&amp;C664                         )
                          )</f>
        <v/>
      </c>
      <c r="F664" s="54" t="str">
        <f t="shared" si="5"/>
        <v/>
      </c>
    </row>
    <row r="665" ht="22.5" customHeight="1">
      <c r="E665" s="54" t="str">
        <f t="array" ref="E665">IF(
                C665 = "",
                "",
                       IF(
                           C665 ="FOTOGRAFIA",
                           "LINK",
                           "https://www.appsheet.com/template/gettablefileurl?appName=particulas_magneticas-924373673&amp;tableName=4.reg_fotografico&amp;fileName="&amp;C665                         )
                          )</f>
        <v/>
      </c>
      <c r="F665" s="54" t="str">
        <f t="shared" si="5"/>
        <v/>
      </c>
    </row>
    <row r="666" ht="22.5" customHeight="1">
      <c r="E666" s="54" t="str">
        <f t="array" ref="E666">IF(
                C666 = "",
                "",
                       IF(
                           C666 ="FOTOGRAFIA",
                           "LINK",
                           "https://www.appsheet.com/template/gettablefileurl?appName=particulas_magneticas-924373673&amp;tableName=4.reg_fotografico&amp;fileName="&amp;C666                         )
                          )</f>
        <v/>
      </c>
      <c r="F666" s="54" t="str">
        <f t="shared" si="5"/>
        <v/>
      </c>
    </row>
    <row r="667" ht="22.5" customHeight="1">
      <c r="E667" s="54" t="str">
        <f t="array" ref="E667">IF(
                C667 = "",
                "",
                       IF(
                           C667 ="FOTOGRAFIA",
                           "LINK",
                           "https://www.appsheet.com/template/gettablefileurl?appName=particulas_magneticas-924373673&amp;tableName=4.reg_fotografico&amp;fileName="&amp;C667                         )
                          )</f>
        <v/>
      </c>
      <c r="F667" s="54" t="str">
        <f t="shared" si="5"/>
        <v/>
      </c>
    </row>
    <row r="668" ht="22.5" customHeight="1">
      <c r="E668" s="54" t="str">
        <f t="array" ref="E668">IF(
                C668 = "",
                "",
                       IF(
                           C668 ="FOTOGRAFIA",
                           "LINK",
                           "https://www.appsheet.com/template/gettablefileurl?appName=particulas_magneticas-924373673&amp;tableName=4.reg_fotografico&amp;fileName="&amp;C668                         )
                          )</f>
        <v/>
      </c>
      <c r="F668" s="54" t="str">
        <f t="shared" si="5"/>
        <v/>
      </c>
    </row>
    <row r="669" ht="22.5" customHeight="1">
      <c r="E669" s="54" t="str">
        <f t="array" ref="E669">IF(
                C669 = "",
                "",
                       IF(
                           C669 ="FOTOGRAFIA",
                           "LINK",
                           "https://www.appsheet.com/template/gettablefileurl?appName=particulas_magneticas-924373673&amp;tableName=4.reg_fotografico&amp;fileName="&amp;C669                         )
                          )</f>
        <v/>
      </c>
      <c r="F669" s="54" t="str">
        <f t="shared" si="5"/>
        <v/>
      </c>
    </row>
    <row r="670" ht="22.5" customHeight="1">
      <c r="E670" s="54" t="str">
        <f t="array" ref="E670">IF(
                C670 = "",
                "",
                       IF(
                           C670 ="FOTOGRAFIA",
                           "LINK",
                           "https://www.appsheet.com/template/gettablefileurl?appName=particulas_magneticas-924373673&amp;tableName=4.reg_fotografico&amp;fileName="&amp;C670                         )
                          )</f>
        <v/>
      </c>
      <c r="F670" s="54" t="str">
        <f t="shared" si="5"/>
        <v/>
      </c>
    </row>
    <row r="671" ht="22.5" customHeight="1">
      <c r="E671" s="54" t="str">
        <f t="array" ref="E671">IF(
                C671 = "",
                "",
                       IF(
                           C671 ="FOTOGRAFIA",
                           "LINK",
                           "https://www.appsheet.com/template/gettablefileurl?appName=particulas_magneticas-924373673&amp;tableName=4.reg_fotografico&amp;fileName="&amp;C671                         )
                          )</f>
        <v/>
      </c>
      <c r="F671" s="54" t="str">
        <f t="shared" si="5"/>
        <v/>
      </c>
    </row>
    <row r="672" ht="22.5" customHeight="1">
      <c r="E672" s="54" t="str">
        <f t="array" ref="E672">IF(
                C672 = "",
                "",
                       IF(
                           C672 ="FOTOGRAFIA",
                           "LINK",
                           "https://www.appsheet.com/template/gettablefileurl?appName=particulas_magneticas-924373673&amp;tableName=4.reg_fotografico&amp;fileName="&amp;C672                         )
                          )</f>
        <v/>
      </c>
      <c r="F672" s="54" t="str">
        <f t="shared" si="5"/>
        <v/>
      </c>
    </row>
    <row r="673" ht="22.5" customHeight="1">
      <c r="E673" s="54" t="str">
        <f t="array" ref="E673">IF(
                C673 = "",
                "",
                       IF(
                           C673 ="FOTOGRAFIA",
                           "LINK",
                           "https://www.appsheet.com/template/gettablefileurl?appName=particulas_magneticas-924373673&amp;tableName=4.reg_fotografico&amp;fileName="&amp;C673                         )
                          )</f>
        <v/>
      </c>
      <c r="F673" s="54" t="str">
        <f t="shared" si="5"/>
        <v/>
      </c>
    </row>
    <row r="674" ht="22.5" customHeight="1">
      <c r="E674" s="54" t="str">
        <f t="array" ref="E674">IF(
                C674 = "",
                "",
                       IF(
                           C674 ="FOTOGRAFIA",
                           "LINK",
                           "https://www.appsheet.com/template/gettablefileurl?appName=particulas_magneticas-924373673&amp;tableName=4.reg_fotografico&amp;fileName="&amp;C674                         )
                          )</f>
        <v/>
      </c>
      <c r="F674" s="54" t="str">
        <f t="shared" si="5"/>
        <v/>
      </c>
    </row>
    <row r="675" ht="22.5" customHeight="1">
      <c r="E675" s="54" t="str">
        <f t="array" ref="E675">IF(
                C675 = "",
                "",
                       IF(
                           C675 ="FOTOGRAFIA",
                           "LINK",
                           "https://www.appsheet.com/template/gettablefileurl?appName=particulas_magneticas-924373673&amp;tableName=4.reg_fotografico&amp;fileName="&amp;C675                         )
                          )</f>
        <v/>
      </c>
      <c r="F675" s="54" t="str">
        <f t="shared" si="5"/>
        <v/>
      </c>
    </row>
    <row r="676" ht="22.5" customHeight="1">
      <c r="E676" s="54" t="str">
        <f t="array" ref="E676">IF(
                C676 = "",
                "",
                       IF(
                           C676 ="FOTOGRAFIA",
                           "LINK",
                           "https://www.appsheet.com/template/gettablefileurl?appName=particulas_magneticas-924373673&amp;tableName=4.reg_fotografico&amp;fileName="&amp;C676                         )
                          )</f>
        <v/>
      </c>
      <c r="F676" s="54" t="str">
        <f t="shared" si="5"/>
        <v/>
      </c>
    </row>
    <row r="677" ht="22.5" customHeight="1">
      <c r="E677" s="54" t="str">
        <f t="array" ref="E677">IF(
                C677 = "",
                "",
                       IF(
                           C677 ="FOTOGRAFIA",
                           "LINK",
                           "https://www.appsheet.com/template/gettablefileurl?appName=particulas_magneticas-924373673&amp;tableName=4.reg_fotografico&amp;fileName="&amp;C677                         )
                          )</f>
        <v/>
      </c>
      <c r="F677" s="54" t="str">
        <f t="shared" si="5"/>
        <v/>
      </c>
    </row>
    <row r="678" ht="22.5" customHeight="1">
      <c r="E678" s="54" t="str">
        <f t="array" ref="E678">IF(
                C678 = "",
                "",
                       IF(
                           C678 ="FOTOGRAFIA",
                           "LINK",
                           "https://www.appsheet.com/template/gettablefileurl?appName=particulas_magneticas-924373673&amp;tableName=4.reg_fotografico&amp;fileName="&amp;C678                         )
                          )</f>
        <v/>
      </c>
      <c r="F678" s="54" t="str">
        <f t="shared" si="5"/>
        <v/>
      </c>
    </row>
    <row r="679" ht="22.5" customHeight="1">
      <c r="E679" s="54" t="str">
        <f t="array" ref="E679">IF(
                C679 = "",
                "",
                       IF(
                           C679 ="FOTOGRAFIA",
                           "LINK",
                           "https://www.appsheet.com/template/gettablefileurl?appName=particulas_magneticas-924373673&amp;tableName=4.reg_fotografico&amp;fileName="&amp;C679                         )
                          )</f>
        <v/>
      </c>
      <c r="F679" s="54" t="str">
        <f t="shared" si="5"/>
        <v/>
      </c>
    </row>
    <row r="680" ht="22.5" customHeight="1">
      <c r="E680" s="54" t="str">
        <f t="array" ref="E680">IF(
                C680 = "",
                "",
                       IF(
                           C680 ="FOTOGRAFIA",
                           "LINK",
                           "https://www.appsheet.com/template/gettablefileurl?appName=particulas_magneticas-924373673&amp;tableName=4.reg_fotografico&amp;fileName="&amp;C680                         )
                          )</f>
        <v/>
      </c>
      <c r="F680" s="54" t="str">
        <f t="shared" si="5"/>
        <v/>
      </c>
    </row>
    <row r="681" ht="22.5" customHeight="1">
      <c r="E681" s="54" t="str">
        <f t="array" ref="E681">IF(
                C681 = "",
                "",
                       IF(
                           C681 ="FOTOGRAFIA",
                           "LINK",
                           "https://www.appsheet.com/template/gettablefileurl?appName=particulas_magneticas-924373673&amp;tableName=4.reg_fotografico&amp;fileName="&amp;C681                         )
                          )</f>
        <v/>
      </c>
      <c r="F681" s="54" t="str">
        <f t="shared" si="5"/>
        <v/>
      </c>
    </row>
    <row r="682" ht="22.5" customHeight="1">
      <c r="E682" s="54" t="str">
        <f t="array" ref="E682">IF(
                C682 = "",
                "",
                       IF(
                           C682 ="FOTOGRAFIA",
                           "LINK",
                           "https://www.appsheet.com/template/gettablefileurl?appName=particulas_magneticas-924373673&amp;tableName=4.reg_fotografico&amp;fileName="&amp;C682                         )
                          )</f>
        <v/>
      </c>
      <c r="F682" s="54" t="str">
        <f t="shared" si="5"/>
        <v/>
      </c>
    </row>
    <row r="683" ht="22.5" customHeight="1">
      <c r="E683" s="54" t="str">
        <f t="array" ref="E683">IF(
                C683 = "",
                "",
                       IF(
                           C683 ="FOTOGRAFIA",
                           "LINK",
                           "https://www.appsheet.com/template/gettablefileurl?appName=particulas_magneticas-924373673&amp;tableName=4.reg_fotografico&amp;fileName="&amp;C683                         )
                          )</f>
        <v/>
      </c>
      <c r="F683" s="54" t="str">
        <f t="shared" si="5"/>
        <v/>
      </c>
    </row>
    <row r="684" ht="22.5" customHeight="1">
      <c r="E684" s="54" t="str">
        <f t="array" ref="E684">IF(
                C684 = "",
                "",
                       IF(
                           C684 ="FOTOGRAFIA",
                           "LINK",
                           "https://www.appsheet.com/template/gettablefileurl?appName=particulas_magneticas-924373673&amp;tableName=4.reg_fotografico&amp;fileName="&amp;C684                         )
                          )</f>
        <v/>
      </c>
      <c r="F684" s="54" t="str">
        <f t="shared" si="5"/>
        <v/>
      </c>
    </row>
    <row r="685" ht="22.5" customHeight="1">
      <c r="E685" s="54" t="str">
        <f t="array" ref="E685">IF(
                C685 = "",
                "",
                       IF(
                           C685 ="FOTOGRAFIA",
                           "LINK",
                           "https://www.appsheet.com/template/gettablefileurl?appName=particulas_magneticas-924373673&amp;tableName=4.reg_fotografico&amp;fileName="&amp;C685                         )
                          )</f>
        <v/>
      </c>
      <c r="F685" s="54" t="str">
        <f t="shared" si="5"/>
        <v/>
      </c>
    </row>
    <row r="686" ht="22.5" customHeight="1">
      <c r="E686" s="54" t="str">
        <f t="array" ref="E686">IF(
                C686 = "",
                "",
                       IF(
                           C686 ="FOTOGRAFIA",
                           "LINK",
                           "https://www.appsheet.com/template/gettablefileurl?appName=particulas_magneticas-924373673&amp;tableName=4.reg_fotografico&amp;fileName="&amp;C686                         )
                          )</f>
        <v/>
      </c>
      <c r="F686" s="54" t="str">
        <f t="shared" si="5"/>
        <v/>
      </c>
    </row>
    <row r="687" ht="22.5" customHeight="1">
      <c r="E687" s="54" t="str">
        <f t="array" ref="E687">IF(
                C687 = "",
                "",
                       IF(
                           C687 ="FOTOGRAFIA",
                           "LINK",
                           "https://www.appsheet.com/template/gettablefileurl?appName=particulas_magneticas-924373673&amp;tableName=4.reg_fotografico&amp;fileName="&amp;C687                         )
                          )</f>
        <v/>
      </c>
      <c r="F687" s="54" t="str">
        <f t="shared" si="5"/>
        <v/>
      </c>
    </row>
    <row r="688" ht="22.5" customHeight="1">
      <c r="E688" s="54" t="str">
        <f t="array" ref="E688">IF(
                C688 = "",
                "",
                       IF(
                           C688 ="FOTOGRAFIA",
                           "LINK",
                           "https://www.appsheet.com/template/gettablefileurl?appName=particulas_magneticas-924373673&amp;tableName=4.reg_fotografico&amp;fileName="&amp;C688                         )
                          )</f>
        <v/>
      </c>
      <c r="F688" s="54" t="str">
        <f t="shared" si="5"/>
        <v/>
      </c>
    </row>
    <row r="689" ht="22.5" customHeight="1">
      <c r="E689" s="54" t="str">
        <f t="array" ref="E689">IF(
                C689 = "",
                "",
                       IF(
                           C689 ="FOTOGRAFIA",
                           "LINK",
                           "https://www.appsheet.com/template/gettablefileurl?appName=particulas_magneticas-924373673&amp;tableName=4.reg_fotografico&amp;fileName="&amp;C689                         )
                          )</f>
        <v/>
      </c>
      <c r="F689" s="54" t="str">
        <f t="shared" si="5"/>
        <v/>
      </c>
    </row>
    <row r="690" ht="22.5" customHeight="1">
      <c r="E690" s="54" t="str">
        <f t="array" ref="E690">IF(
                C690 = "",
                "",
                       IF(
                           C690 ="FOTOGRAFIA",
                           "LINK",
                           "https://www.appsheet.com/template/gettablefileurl?appName=particulas_magneticas-924373673&amp;tableName=4.reg_fotografico&amp;fileName="&amp;C690                         )
                          )</f>
        <v/>
      </c>
      <c r="F690" s="54" t="str">
        <f t="shared" si="5"/>
        <v/>
      </c>
    </row>
    <row r="691" ht="22.5" customHeight="1">
      <c r="E691" s="54" t="str">
        <f t="array" ref="E691">IF(
                C691 = "",
                "",
                       IF(
                           C691 ="FOTOGRAFIA",
                           "LINK",
                           "https://www.appsheet.com/template/gettablefileurl?appName=particulas_magneticas-924373673&amp;tableName=4.reg_fotografico&amp;fileName="&amp;C691                         )
                          )</f>
        <v/>
      </c>
      <c r="F691" s="54" t="str">
        <f t="shared" si="5"/>
        <v/>
      </c>
    </row>
    <row r="692" ht="22.5" customHeight="1">
      <c r="E692" s="54" t="str">
        <f t="array" ref="E692">IF(
                C692 = "",
                "",
                       IF(
                           C692 ="FOTOGRAFIA",
                           "LINK",
                           "https://www.appsheet.com/template/gettablefileurl?appName=particulas_magneticas-924373673&amp;tableName=4.reg_fotografico&amp;fileName="&amp;C692                         )
                          )</f>
        <v/>
      </c>
      <c r="F692" s="54" t="str">
        <f t="shared" si="5"/>
        <v/>
      </c>
    </row>
    <row r="693" ht="22.5" customHeight="1">
      <c r="E693" s="54" t="str">
        <f t="array" ref="E693">IF(
                C693 = "",
                "",
                       IF(
                           C693 ="FOTOGRAFIA",
                           "LINK",
                           "https://www.appsheet.com/template/gettablefileurl?appName=particulas_magneticas-924373673&amp;tableName=4.reg_fotografico&amp;fileName="&amp;C693                         )
                          )</f>
        <v/>
      </c>
      <c r="F693" s="54" t="str">
        <f t="shared" si="5"/>
        <v/>
      </c>
    </row>
    <row r="694" ht="22.5" customHeight="1">
      <c r="E694" s="54" t="str">
        <f t="array" ref="E694">IF(
                C694 = "",
                "",
                       IF(
                           C694 ="FOTOGRAFIA",
                           "LINK",
                           "https://www.appsheet.com/template/gettablefileurl?appName=particulas_magneticas-924373673&amp;tableName=4.reg_fotografico&amp;fileName="&amp;C694                         )
                          )</f>
        <v/>
      </c>
      <c r="F694" s="54" t="str">
        <f t="shared" si="5"/>
        <v/>
      </c>
    </row>
    <row r="695" ht="22.5" customHeight="1">
      <c r="E695" s="54" t="str">
        <f t="array" ref="E695">IF(
                C695 = "",
                "",
                       IF(
                           C695 ="FOTOGRAFIA",
                           "LINK",
                           "https://www.appsheet.com/template/gettablefileurl?appName=particulas_magneticas-924373673&amp;tableName=4.reg_fotografico&amp;fileName="&amp;C695                         )
                          )</f>
        <v/>
      </c>
      <c r="F695" s="54" t="str">
        <f t="shared" si="5"/>
        <v/>
      </c>
    </row>
    <row r="696" ht="22.5" customHeight="1">
      <c r="E696" s="54" t="str">
        <f t="array" ref="E696">IF(
                C696 = "",
                "",
                       IF(
                           C696 ="FOTOGRAFIA",
                           "LINK",
                           "https://www.appsheet.com/template/gettablefileurl?appName=particulas_magneticas-924373673&amp;tableName=4.reg_fotografico&amp;fileName="&amp;C696                         )
                          )</f>
        <v/>
      </c>
      <c r="F696" s="54" t="str">
        <f t="shared" si="5"/>
        <v/>
      </c>
    </row>
    <row r="697" ht="22.5" customHeight="1">
      <c r="E697" s="54" t="str">
        <f t="array" ref="E697">IF(
                C697 = "",
                "",
                       IF(
                           C697 ="FOTOGRAFIA",
                           "LINK",
                           "https://www.appsheet.com/template/gettablefileurl?appName=particulas_magneticas-924373673&amp;tableName=4.reg_fotografico&amp;fileName="&amp;C697                         )
                          )</f>
        <v/>
      </c>
      <c r="F697" s="54" t="str">
        <f t="shared" si="5"/>
        <v/>
      </c>
    </row>
    <row r="698" ht="22.5" customHeight="1">
      <c r="E698" s="54" t="str">
        <f t="array" ref="E698">IF(
                C698 = "",
                "",
                       IF(
                           C698 ="FOTOGRAFIA",
                           "LINK",
                           "https://www.appsheet.com/template/gettablefileurl?appName=particulas_magneticas-924373673&amp;tableName=4.reg_fotografico&amp;fileName="&amp;C698                         )
                          )</f>
        <v/>
      </c>
      <c r="F698" s="54" t="str">
        <f t="shared" si="5"/>
        <v/>
      </c>
    </row>
    <row r="699" ht="22.5" customHeight="1">
      <c r="E699" s="54" t="str">
        <f t="array" ref="E699">IF(
                C699 = "",
                "",
                       IF(
                           C699 ="FOTOGRAFIA",
                           "LINK",
                           "https://www.appsheet.com/template/gettablefileurl?appName=particulas_magneticas-924373673&amp;tableName=4.reg_fotografico&amp;fileName="&amp;C699                         )
                          )</f>
        <v/>
      </c>
      <c r="F699" s="54" t="str">
        <f t="shared" si="5"/>
        <v/>
      </c>
    </row>
    <row r="700" ht="22.5" customHeight="1">
      <c r="E700" s="54" t="str">
        <f t="array" ref="E700">IF(
                C700 = "",
                "",
                       IF(
                           C700 ="FOTOGRAFIA",
                           "LINK",
                           "https://www.appsheet.com/template/gettablefileurl?appName=particulas_magneticas-924373673&amp;tableName=4.reg_fotografico&amp;fileName="&amp;C700                         )
                          )</f>
        <v/>
      </c>
      <c r="F700" s="54" t="str">
        <f t="shared" si="5"/>
        <v/>
      </c>
    </row>
    <row r="701" ht="22.5" customHeight="1">
      <c r="E701" s="54" t="str">
        <f t="array" ref="E701">IF(
                C701 = "",
                "",
                       IF(
                           C701 ="FOTOGRAFIA",
                           "LINK",
                           "https://www.appsheet.com/template/gettablefileurl?appName=particulas_magneticas-924373673&amp;tableName=4.reg_fotografico&amp;fileName="&amp;C701                         )
                          )</f>
        <v/>
      </c>
      <c r="F701" s="54" t="str">
        <f t="shared" si="5"/>
        <v/>
      </c>
    </row>
    <row r="702" ht="22.5" customHeight="1">
      <c r="E702" s="54" t="str">
        <f t="array" ref="E702">IF(
                C702 = "",
                "",
                       IF(
                           C702 ="FOTOGRAFIA",
                           "LINK",
                           "https://www.appsheet.com/template/gettablefileurl?appName=particulas_magneticas-924373673&amp;tableName=4.reg_fotografico&amp;fileName="&amp;C702                         )
                          )</f>
        <v/>
      </c>
      <c r="F702" s="54" t="str">
        <f t="shared" si="5"/>
        <v/>
      </c>
    </row>
    <row r="703" ht="22.5" customHeight="1">
      <c r="E703" s="54" t="str">
        <f t="array" ref="E703">IF(
                C703 = "",
                "",
                       IF(
                           C703 ="FOTOGRAFIA",
                           "LINK",
                           "https://www.appsheet.com/template/gettablefileurl?appName=particulas_magneticas-924373673&amp;tableName=4.reg_fotografico&amp;fileName="&amp;C703                         )
                          )</f>
        <v/>
      </c>
      <c r="F703" s="54" t="str">
        <f t="shared" si="5"/>
        <v/>
      </c>
    </row>
    <row r="704" ht="22.5" customHeight="1">
      <c r="E704" s="54" t="str">
        <f t="array" ref="E704">IF(
                C704 = "",
                "",
                       IF(
                           C704 ="FOTOGRAFIA",
                           "LINK",
                           "https://www.appsheet.com/template/gettablefileurl?appName=particulas_magneticas-924373673&amp;tableName=4.reg_fotografico&amp;fileName="&amp;C704                         )
                          )</f>
        <v/>
      </c>
      <c r="F704" s="54" t="str">
        <f t="shared" si="5"/>
        <v/>
      </c>
    </row>
    <row r="705" ht="22.5" customHeight="1">
      <c r="E705" s="54" t="str">
        <f t="array" ref="E705">IF(
                C705 = "",
                "",
                       IF(
                           C705 ="FOTOGRAFIA",
                           "LINK",
                           "https://www.appsheet.com/template/gettablefileurl?appName=particulas_magneticas-924373673&amp;tableName=4.reg_fotografico&amp;fileName="&amp;C705                         )
                          )</f>
        <v/>
      </c>
      <c r="F705" s="54" t="str">
        <f t="shared" si="5"/>
        <v/>
      </c>
    </row>
    <row r="706" ht="22.5" customHeight="1">
      <c r="E706" s="54" t="str">
        <f t="array" ref="E706">IF(
                C706 = "",
                "",
                       IF(
                           C706 ="FOTOGRAFIA",
                           "LINK",
                           "https://www.appsheet.com/template/gettablefileurl?appName=particulas_magneticas-924373673&amp;tableName=4.reg_fotografico&amp;fileName="&amp;C706                         )
                          )</f>
        <v/>
      </c>
      <c r="F706" s="54" t="str">
        <f t="shared" si="5"/>
        <v/>
      </c>
    </row>
    <row r="707" ht="22.5" customHeight="1">
      <c r="E707" s="54" t="str">
        <f t="array" ref="E707">IF(
                C707 = "",
                "",
                       IF(
                           C707 ="FOTOGRAFIA",
                           "LINK",
                           "https://www.appsheet.com/template/gettablefileurl?appName=particulas_magneticas-924373673&amp;tableName=4.reg_fotografico&amp;fileName="&amp;C707                         )
                          )</f>
        <v/>
      </c>
      <c r="F707" s="54" t="str">
        <f t="shared" si="5"/>
        <v/>
      </c>
    </row>
    <row r="708" ht="22.5" customHeight="1">
      <c r="E708" s="54" t="str">
        <f t="array" ref="E708">IF(
                C708 = "",
                "",
                       IF(
                           C708 ="FOTOGRAFIA",
                           "LINK",
                           "https://www.appsheet.com/template/gettablefileurl?appName=particulas_magneticas-924373673&amp;tableName=4.reg_fotografico&amp;fileName="&amp;C708                         )
                          )</f>
        <v/>
      </c>
      <c r="F708" s="54" t="str">
        <f t="shared" si="5"/>
        <v/>
      </c>
    </row>
    <row r="709" ht="22.5" customHeight="1">
      <c r="E709" s="54" t="str">
        <f t="array" ref="E709">IF(
                C709 = "",
                "",
                       IF(
                           C709 ="FOTOGRAFIA",
                           "LINK",
                           "https://www.appsheet.com/template/gettablefileurl?appName=particulas_magneticas-924373673&amp;tableName=4.reg_fotografico&amp;fileName="&amp;C709                         )
                          )</f>
        <v/>
      </c>
      <c r="F709" s="54" t="str">
        <f t="shared" si="5"/>
        <v/>
      </c>
    </row>
    <row r="710" ht="22.5" customHeight="1">
      <c r="E710" s="54" t="str">
        <f t="array" ref="E710">IF(
                C710 = "",
                "",
                       IF(
                           C710 ="FOTOGRAFIA",
                           "LINK",
                           "https://www.appsheet.com/template/gettablefileurl?appName=particulas_magneticas-924373673&amp;tableName=4.reg_fotografico&amp;fileName="&amp;C710                         )
                          )</f>
        <v/>
      </c>
      <c r="F710" s="54" t="str">
        <f t="shared" si="5"/>
        <v/>
      </c>
    </row>
    <row r="711" ht="22.5" customHeight="1">
      <c r="E711" s="54" t="str">
        <f t="array" ref="E711">IF(
                C711 = "",
                "",
                       IF(
                           C711 ="FOTOGRAFIA",
                           "LINK",
                           "https://www.appsheet.com/template/gettablefileurl?appName=particulas_magneticas-924373673&amp;tableName=4.reg_fotografico&amp;fileName="&amp;C711                         )
                          )</f>
        <v/>
      </c>
      <c r="F711" s="54" t="str">
        <f t="shared" si="5"/>
        <v/>
      </c>
    </row>
    <row r="712" ht="22.5" customHeight="1">
      <c r="E712" s="54" t="str">
        <f t="array" ref="E712">IF(
                C712 = "",
                "",
                       IF(
                           C712 ="FOTOGRAFIA",
                           "LINK",
                           "https://www.appsheet.com/template/gettablefileurl?appName=particulas_magneticas-924373673&amp;tableName=4.reg_fotografico&amp;fileName="&amp;C712                         )
                          )</f>
        <v/>
      </c>
      <c r="F712" s="54" t="str">
        <f t="shared" si="5"/>
        <v/>
      </c>
    </row>
    <row r="713" ht="22.5" customHeight="1">
      <c r="E713" s="54" t="str">
        <f t="array" ref="E713">IF(
                C713 = "",
                "",
                       IF(
                           C713 ="FOTOGRAFIA",
                           "LINK",
                           "https://www.appsheet.com/template/gettablefileurl?appName=particulas_magneticas-924373673&amp;tableName=4.reg_fotografico&amp;fileName="&amp;C713                         )
                          )</f>
        <v/>
      </c>
      <c r="F713" s="54" t="str">
        <f t="shared" si="5"/>
        <v/>
      </c>
    </row>
    <row r="714" ht="22.5" customHeight="1">
      <c r="E714" s="54" t="str">
        <f t="array" ref="E714">IF(
                C714 = "",
                "",
                       IF(
                           C714 ="FOTOGRAFIA",
                           "LINK",
                           "https://www.appsheet.com/template/gettablefileurl?appName=particulas_magneticas-924373673&amp;tableName=4.reg_fotografico&amp;fileName="&amp;C714                         )
                          )</f>
        <v/>
      </c>
      <c r="F714" s="54" t="str">
        <f t="shared" si="5"/>
        <v/>
      </c>
    </row>
    <row r="715" ht="22.5" customHeight="1">
      <c r="E715" s="54" t="str">
        <f t="array" ref="E715">IF(
                C715 = "",
                "",
                       IF(
                           C715 ="FOTOGRAFIA",
                           "LINK",
                           "https://www.appsheet.com/template/gettablefileurl?appName=particulas_magneticas-924373673&amp;tableName=4.reg_fotografico&amp;fileName="&amp;C715                         )
                          )</f>
        <v/>
      </c>
      <c r="F715" s="54" t="str">
        <f t="shared" si="5"/>
        <v/>
      </c>
    </row>
    <row r="716" ht="22.5" customHeight="1">
      <c r="E716" s="54" t="str">
        <f t="array" ref="E716">IF(
                C716 = "",
                "",
                       IF(
                           C716 ="FOTOGRAFIA",
                           "LINK",
                           "https://www.appsheet.com/template/gettablefileurl?appName=particulas_magneticas-924373673&amp;tableName=4.reg_fotografico&amp;fileName="&amp;C716                         )
                          )</f>
        <v/>
      </c>
      <c r="F716" s="54" t="str">
        <f t="shared" si="5"/>
        <v/>
      </c>
    </row>
    <row r="717" ht="22.5" customHeight="1">
      <c r="E717" s="54" t="str">
        <f t="array" ref="E717">IF(
                C717 = "",
                "",
                       IF(
                           C717 ="FOTOGRAFIA",
                           "LINK",
                           "https://www.appsheet.com/template/gettablefileurl?appName=particulas_magneticas-924373673&amp;tableName=4.reg_fotografico&amp;fileName="&amp;C717                         )
                          )</f>
        <v/>
      </c>
      <c r="F717" s="54" t="str">
        <f t="shared" si="5"/>
        <v/>
      </c>
    </row>
    <row r="718" ht="22.5" customHeight="1">
      <c r="E718" s="54" t="str">
        <f t="array" ref="E718">IF(
                C718 = "",
                "",
                       IF(
                           C718 ="FOTOGRAFIA",
                           "LINK",
                           "https://www.appsheet.com/template/gettablefileurl?appName=particulas_magneticas-924373673&amp;tableName=4.reg_fotografico&amp;fileName="&amp;C718                         )
                          )</f>
        <v/>
      </c>
      <c r="F718" s="54" t="str">
        <f t="shared" si="5"/>
        <v/>
      </c>
    </row>
    <row r="719" ht="22.5" customHeight="1">
      <c r="E719" s="54" t="str">
        <f t="array" ref="E719">IF(
                C719 = "",
                "",
                       IF(
                           C719 ="FOTOGRAFIA",
                           "LINK",
                           "https://www.appsheet.com/template/gettablefileurl?appName=particulas_magneticas-924373673&amp;tableName=4.reg_fotografico&amp;fileName="&amp;C719                         )
                          )</f>
        <v/>
      </c>
      <c r="F719" s="54" t="str">
        <f t="shared" si="5"/>
        <v/>
      </c>
    </row>
    <row r="720" ht="22.5" customHeight="1">
      <c r="E720" s="54" t="str">
        <f t="array" ref="E720">IF(
                C720 = "",
                "",
                       IF(
                           C720 ="FOTOGRAFIA",
                           "LINK",
                           "https://www.appsheet.com/template/gettablefileurl?appName=particulas_magneticas-924373673&amp;tableName=4.reg_fotografico&amp;fileName="&amp;C720                         )
                          )</f>
        <v/>
      </c>
      <c r="F720" s="54" t="str">
        <f t="shared" si="5"/>
        <v/>
      </c>
    </row>
    <row r="721" ht="22.5" customHeight="1">
      <c r="E721" s="54" t="str">
        <f t="array" ref="E721">IF(
                C721 = "",
                "",
                       IF(
                           C721 ="FOTOGRAFIA",
                           "LINK",
                           "https://www.appsheet.com/template/gettablefileurl?appName=particulas_magneticas-924373673&amp;tableName=4.reg_fotografico&amp;fileName="&amp;C721                         )
                          )</f>
        <v/>
      </c>
      <c r="F721" s="54" t="str">
        <f t="shared" si="5"/>
        <v/>
      </c>
    </row>
    <row r="722" ht="22.5" customHeight="1">
      <c r="E722" s="54" t="str">
        <f t="array" ref="E722">IF(
                C722 = "",
                "",
                       IF(
                           C722 ="FOTOGRAFIA",
                           "LINK",
                           "https://www.appsheet.com/template/gettablefileurl?appName=particulas_magneticas-924373673&amp;tableName=4.reg_fotografico&amp;fileName="&amp;C722                         )
                          )</f>
        <v/>
      </c>
      <c r="F722" s="54" t="str">
        <f t="shared" si="5"/>
        <v/>
      </c>
    </row>
    <row r="723" ht="22.5" customHeight="1">
      <c r="E723" s="54" t="str">
        <f t="array" ref="E723">IF(
                C723 = "",
                "",
                       IF(
                           C723 ="FOTOGRAFIA",
                           "LINK",
                           "https://www.appsheet.com/template/gettablefileurl?appName=particulas_magneticas-924373673&amp;tableName=4.reg_fotografico&amp;fileName="&amp;C723                         )
                          )</f>
        <v/>
      </c>
      <c r="F723" s="54" t="str">
        <f t="shared" si="5"/>
        <v/>
      </c>
    </row>
    <row r="724" ht="22.5" customHeight="1">
      <c r="E724" s="54" t="str">
        <f t="array" ref="E724">IF(
                C724 = "",
                "",
                       IF(
                           C724 ="FOTOGRAFIA",
                           "LINK",
                           "https://www.appsheet.com/template/gettablefileurl?appName=particulas_magneticas-924373673&amp;tableName=4.reg_fotografico&amp;fileName="&amp;C724                         )
                          )</f>
        <v/>
      </c>
      <c r="F724" s="54" t="str">
        <f t="shared" si="5"/>
        <v/>
      </c>
    </row>
    <row r="725" ht="22.5" customHeight="1">
      <c r="E725" s="54" t="str">
        <f t="array" ref="E725">IF(
                C725 = "",
                "",
                       IF(
                           C725 ="FOTOGRAFIA",
                           "LINK",
                           "https://www.appsheet.com/template/gettablefileurl?appName=particulas_magneticas-924373673&amp;tableName=4.reg_fotografico&amp;fileName="&amp;C725                         )
                          )</f>
        <v/>
      </c>
      <c r="F725" s="54" t="str">
        <f t="shared" si="5"/>
        <v/>
      </c>
    </row>
    <row r="726" ht="22.5" customHeight="1">
      <c r="E726" s="54" t="str">
        <f t="array" ref="E726">IF(
                C726 = "",
                "",
                       IF(
                           C726 ="FOTOGRAFIA",
                           "LINK",
                           "https://www.appsheet.com/template/gettablefileurl?appName=particulas_magneticas-924373673&amp;tableName=4.reg_fotografico&amp;fileName="&amp;C726                         )
                          )</f>
        <v/>
      </c>
      <c r="F726" s="54" t="str">
        <f t="shared" si="5"/>
        <v/>
      </c>
    </row>
    <row r="727" ht="22.5" customHeight="1">
      <c r="E727" s="54" t="str">
        <f t="array" ref="E727">IF(
                C727 = "",
                "",
                       IF(
                           C727 ="FOTOGRAFIA",
                           "LINK",
                           "https://www.appsheet.com/template/gettablefileurl?appName=particulas_magneticas-924373673&amp;tableName=4.reg_fotografico&amp;fileName="&amp;C727                         )
                          )</f>
        <v/>
      </c>
      <c r="F727" s="54" t="str">
        <f t="shared" si="5"/>
        <v/>
      </c>
    </row>
    <row r="728" ht="22.5" customHeight="1">
      <c r="E728" s="54" t="str">
        <f t="array" ref="E728">IF(
                C728 = "",
                "",
                       IF(
                           C728 ="FOTOGRAFIA",
                           "LINK",
                           "https://www.appsheet.com/template/gettablefileurl?appName=particulas_magneticas-924373673&amp;tableName=4.reg_fotografico&amp;fileName="&amp;C728                         )
                          )</f>
        <v/>
      </c>
      <c r="F728" s="54" t="str">
        <f t="shared" si="5"/>
        <v/>
      </c>
    </row>
    <row r="729" ht="22.5" customHeight="1">
      <c r="E729" s="54" t="str">
        <f t="array" ref="E729">IF(
                C729 = "",
                "",
                       IF(
                           C729 ="FOTOGRAFIA",
                           "LINK",
                           "https://www.appsheet.com/template/gettablefileurl?appName=particulas_magneticas-924373673&amp;tableName=4.reg_fotografico&amp;fileName="&amp;C729                         )
                          )</f>
        <v/>
      </c>
      <c r="F729" s="54" t="str">
        <f t="shared" si="5"/>
        <v/>
      </c>
    </row>
    <row r="730" ht="22.5" customHeight="1">
      <c r="E730" s="54" t="str">
        <f t="array" ref="E730">IF(
                C730 = "",
                "",
                       IF(
                           C730 ="FOTOGRAFIA",
                           "LINK",
                           "https://www.appsheet.com/template/gettablefileurl?appName=particulas_magneticas-924373673&amp;tableName=4.reg_fotografico&amp;fileName="&amp;C730                         )
                          )</f>
        <v/>
      </c>
      <c r="F730" s="54" t="str">
        <f t="shared" si="5"/>
        <v/>
      </c>
    </row>
    <row r="731" ht="22.5" customHeight="1">
      <c r="E731" s="54" t="str">
        <f t="array" ref="E731">IF(
                C731 = "",
                "",
                       IF(
                           C731 ="FOTOGRAFIA",
                           "LINK",
                           "https://www.appsheet.com/template/gettablefileurl?appName=particulas_magneticas-924373673&amp;tableName=4.reg_fotografico&amp;fileName="&amp;C731                         )
                          )</f>
        <v/>
      </c>
      <c r="F731" s="54" t="str">
        <f t="shared" si="5"/>
        <v/>
      </c>
    </row>
    <row r="732" ht="22.5" customHeight="1">
      <c r="E732" s="54" t="str">
        <f t="array" ref="E732">IF(
                C732 = "",
                "",
                       IF(
                           C732 ="FOTOGRAFIA",
                           "LINK",
                           "https://www.appsheet.com/template/gettablefileurl?appName=particulas_magneticas-924373673&amp;tableName=4.reg_fotografico&amp;fileName="&amp;C732                         )
                          )</f>
        <v/>
      </c>
      <c r="F732" s="54" t="str">
        <f t="shared" si="5"/>
        <v/>
      </c>
    </row>
    <row r="733" ht="22.5" customHeight="1">
      <c r="E733" s="54" t="str">
        <f t="array" ref="E733">IF(
                C733 = "",
                "",
                       IF(
                           C733 ="FOTOGRAFIA",
                           "LINK",
                           "https://www.appsheet.com/template/gettablefileurl?appName=particulas_magneticas-924373673&amp;tableName=4.reg_fotografico&amp;fileName="&amp;C733                         )
                          )</f>
        <v/>
      </c>
      <c r="F733" s="54" t="str">
        <f t="shared" si="5"/>
        <v/>
      </c>
    </row>
    <row r="734" ht="22.5" customHeight="1">
      <c r="E734" s="54" t="str">
        <f t="array" ref="E734">IF(
                C734 = "",
                "",
                       IF(
                           C734 ="FOTOGRAFIA",
                           "LINK",
                           "https://www.appsheet.com/template/gettablefileurl?appName=particulas_magneticas-924373673&amp;tableName=4.reg_fotografico&amp;fileName="&amp;C734                         )
                          )</f>
        <v/>
      </c>
      <c r="F734" s="54" t="str">
        <f t="shared" si="5"/>
        <v/>
      </c>
    </row>
    <row r="735" ht="22.5" customHeight="1">
      <c r="E735" s="54" t="str">
        <f t="array" ref="E735">IF(
                C735 = "",
                "",
                       IF(
                           C735 ="FOTOGRAFIA",
                           "LINK",
                           "https://www.appsheet.com/template/gettablefileurl?appName=particulas_magneticas-924373673&amp;tableName=4.reg_fotografico&amp;fileName="&amp;C735                         )
                          )</f>
        <v/>
      </c>
      <c r="F735" s="54" t="str">
        <f t="shared" si="5"/>
        <v/>
      </c>
    </row>
    <row r="736" ht="22.5" customHeight="1">
      <c r="E736" s="54" t="str">
        <f t="array" ref="E736">IF(
                C736 = "",
                "",
                       IF(
                           C736 ="FOTOGRAFIA",
                           "LINK",
                           "https://www.appsheet.com/template/gettablefileurl?appName=particulas_magneticas-924373673&amp;tableName=4.reg_fotografico&amp;fileName="&amp;C736                         )
                          )</f>
        <v/>
      </c>
      <c r="F736" s="54" t="str">
        <f t="shared" si="5"/>
        <v/>
      </c>
    </row>
    <row r="737" ht="22.5" customHeight="1">
      <c r="E737" s="54" t="str">
        <f t="array" ref="E737">IF(
                C737 = "",
                "",
                       IF(
                           C737 ="FOTOGRAFIA",
                           "LINK",
                           "https://www.appsheet.com/template/gettablefileurl?appName=particulas_magneticas-924373673&amp;tableName=4.reg_fotografico&amp;fileName="&amp;C737                         )
                          )</f>
        <v/>
      </c>
      <c r="F737" s="54" t="str">
        <f t="shared" si="5"/>
        <v/>
      </c>
    </row>
    <row r="738" ht="22.5" customHeight="1">
      <c r="E738" s="54" t="str">
        <f t="array" ref="E738">IF(
                C738 = "",
                "",
                       IF(
                           C738 ="FOTOGRAFIA",
                           "LINK",
                           "https://www.appsheet.com/template/gettablefileurl?appName=particulas_magneticas-924373673&amp;tableName=4.reg_fotografico&amp;fileName="&amp;C738                         )
                          )</f>
        <v/>
      </c>
      <c r="F738" s="54" t="str">
        <f t="shared" si="5"/>
        <v/>
      </c>
    </row>
    <row r="739" ht="22.5" customHeight="1">
      <c r="E739" s="54" t="str">
        <f t="array" ref="E739">IF(
                C739 = "",
                "",
                       IF(
                           C739 ="FOTOGRAFIA",
                           "LINK",
                           "https://www.appsheet.com/template/gettablefileurl?appName=particulas_magneticas-924373673&amp;tableName=4.reg_fotografico&amp;fileName="&amp;C739                         )
                          )</f>
        <v/>
      </c>
      <c r="F739" s="54" t="str">
        <f t="shared" si="5"/>
        <v/>
      </c>
    </row>
    <row r="740" ht="22.5" customHeight="1">
      <c r="E740" s="54" t="str">
        <f t="array" ref="E740">IF(
                C740 = "",
                "",
                       IF(
                           C740 ="FOTOGRAFIA",
                           "LINK",
                           "https://www.appsheet.com/template/gettablefileurl?appName=particulas_magneticas-924373673&amp;tableName=4.reg_fotografico&amp;fileName="&amp;C740                         )
                          )</f>
        <v/>
      </c>
      <c r="F740" s="54" t="str">
        <f t="shared" si="5"/>
        <v/>
      </c>
    </row>
    <row r="741" ht="22.5" customHeight="1">
      <c r="E741" s="54" t="str">
        <f t="array" ref="E741">IF(
                C741 = "",
                "",
                       IF(
                           C741 ="FOTOGRAFIA",
                           "LINK",
                           "https://www.appsheet.com/template/gettablefileurl?appName=particulas_magneticas-924373673&amp;tableName=4.reg_fotografico&amp;fileName="&amp;C741                         )
                          )</f>
        <v/>
      </c>
      <c r="F741" s="54" t="str">
        <f t="shared" si="5"/>
        <v/>
      </c>
    </row>
    <row r="742" ht="22.5" customHeight="1">
      <c r="E742" s="54" t="str">
        <f t="array" ref="E742">IF(
                C742 = "",
                "",
                       IF(
                           C742 ="FOTOGRAFIA",
                           "LINK",
                           "https://www.appsheet.com/template/gettablefileurl?appName=particulas_magneticas-924373673&amp;tableName=4.reg_fotografico&amp;fileName="&amp;C742                         )
                          )</f>
        <v/>
      </c>
      <c r="F742" s="54" t="str">
        <f t="shared" si="5"/>
        <v/>
      </c>
    </row>
    <row r="743" ht="22.5" customHeight="1">
      <c r="E743" s="54" t="str">
        <f t="array" ref="E743">IF(
                C743 = "",
                "",
                       IF(
                           C743 ="FOTOGRAFIA",
                           "LINK",
                           "https://www.appsheet.com/template/gettablefileurl?appName=particulas_magneticas-924373673&amp;tableName=4.reg_fotografico&amp;fileName="&amp;C743                         )
                          )</f>
        <v/>
      </c>
      <c r="F743" s="54" t="str">
        <f t="shared" si="5"/>
        <v/>
      </c>
    </row>
    <row r="744" ht="22.5" customHeight="1">
      <c r="E744" s="54" t="str">
        <f t="array" ref="E744">IF(
                C744 = "",
                "",
                       IF(
                           C744 ="FOTOGRAFIA",
                           "LINK",
                           "https://www.appsheet.com/template/gettablefileurl?appName=particulas_magneticas-924373673&amp;tableName=4.reg_fotografico&amp;fileName="&amp;C744                         )
                          )</f>
        <v/>
      </c>
      <c r="F744" s="54" t="str">
        <f t="shared" si="5"/>
        <v/>
      </c>
    </row>
    <row r="745" ht="22.5" customHeight="1">
      <c r="E745" s="54" t="str">
        <f t="array" ref="E745">IF(
                C745 = "",
                "",
                       IF(
                           C745 ="FOTOGRAFIA",
                           "LINK",
                           "https://www.appsheet.com/template/gettablefileurl?appName=particulas_magneticas-924373673&amp;tableName=4.reg_fotografico&amp;fileName="&amp;C745                         )
                          )</f>
        <v/>
      </c>
      <c r="F745" s="54" t="str">
        <f t="shared" si="5"/>
        <v/>
      </c>
    </row>
    <row r="746" ht="22.5" customHeight="1">
      <c r="E746" s="54" t="str">
        <f t="array" ref="E746">IF(
                C746 = "",
                "",
                       IF(
                           C746 ="FOTOGRAFIA",
                           "LINK",
                           "https://www.appsheet.com/template/gettablefileurl?appName=particulas_magneticas-924373673&amp;tableName=4.reg_fotografico&amp;fileName="&amp;C746                         )
                          )</f>
        <v/>
      </c>
      <c r="F746" s="54" t="str">
        <f t="shared" si="5"/>
        <v/>
      </c>
    </row>
    <row r="747" ht="22.5" customHeight="1">
      <c r="E747" s="54" t="str">
        <f t="array" ref="E747">IF(
                C747 = "",
                "",
                       IF(
                           C747 ="FOTOGRAFIA",
                           "LINK",
                           "https://www.appsheet.com/template/gettablefileurl?appName=particulas_magneticas-924373673&amp;tableName=4.reg_fotografico&amp;fileName="&amp;C747                         )
                          )</f>
        <v/>
      </c>
      <c r="F747" s="54" t="str">
        <f t="shared" si="5"/>
        <v/>
      </c>
    </row>
    <row r="748" ht="22.5" customHeight="1">
      <c r="E748" s="54" t="str">
        <f t="array" ref="E748">IF(
                C748 = "",
                "",
                       IF(
                           C748 ="FOTOGRAFIA",
                           "LINK",
                           "https://www.appsheet.com/template/gettablefileurl?appName=particulas_magneticas-924373673&amp;tableName=4.reg_fotografico&amp;fileName="&amp;C748                         )
                          )</f>
        <v/>
      </c>
      <c r="F748" s="54" t="str">
        <f t="shared" si="5"/>
        <v/>
      </c>
    </row>
    <row r="749" ht="22.5" customHeight="1">
      <c r="E749" s="54" t="str">
        <f t="array" ref="E749">IF(
                C749 = "",
                "",
                       IF(
                           C749 ="FOTOGRAFIA",
                           "LINK",
                           "https://www.appsheet.com/template/gettablefileurl?appName=particulas_magneticas-924373673&amp;tableName=4.reg_fotografico&amp;fileName="&amp;C749                         )
                          )</f>
        <v/>
      </c>
      <c r="F749" s="54" t="str">
        <f t="shared" si="5"/>
        <v/>
      </c>
    </row>
    <row r="750" ht="22.5" customHeight="1">
      <c r="E750" s="54" t="str">
        <f t="array" ref="E750">IF(
                C750 = "",
                "",
                       IF(
                           C750 ="FOTOGRAFIA",
                           "LINK",
                           "https://www.appsheet.com/template/gettablefileurl?appName=particulas_magneticas-924373673&amp;tableName=4.reg_fotografico&amp;fileName="&amp;C750                         )
                          )</f>
        <v/>
      </c>
      <c r="F750" s="54" t="str">
        <f t="shared" si="5"/>
        <v/>
      </c>
    </row>
    <row r="751" ht="22.5" customHeight="1">
      <c r="E751" s="54" t="str">
        <f t="array" ref="E751">IF(
                C751 = "",
                "",
                       IF(
                           C751 ="FOTOGRAFIA",
                           "LINK",
                           "https://www.appsheet.com/template/gettablefileurl?appName=particulas_magneticas-924373673&amp;tableName=4.reg_fotografico&amp;fileName="&amp;C751                         )
                          )</f>
        <v/>
      </c>
      <c r="F751" s="54" t="str">
        <f t="shared" si="5"/>
        <v/>
      </c>
    </row>
    <row r="752" ht="22.5" customHeight="1">
      <c r="E752" s="54" t="str">
        <f t="array" ref="E752">IF(
                C752 = "",
                "",
                       IF(
                           C752 ="FOTOGRAFIA",
                           "LINK",
                           "https://www.appsheet.com/template/gettablefileurl?appName=particulas_magneticas-924373673&amp;tableName=4.reg_fotografico&amp;fileName="&amp;C752                         )
                          )</f>
        <v/>
      </c>
      <c r="F752" s="54" t="str">
        <f t="shared" si="5"/>
        <v/>
      </c>
    </row>
    <row r="753" ht="22.5" customHeight="1">
      <c r="E753" s="54" t="str">
        <f t="array" ref="E753">IF(
                C753 = "",
                "",
                       IF(
                           C753 ="FOTOGRAFIA",
                           "LINK",
                           "https://www.appsheet.com/template/gettablefileurl?appName=particulas_magneticas-924373673&amp;tableName=4.reg_fotografico&amp;fileName="&amp;C753                         )
                          )</f>
        <v/>
      </c>
      <c r="F753" s="54" t="str">
        <f t="shared" si="5"/>
        <v/>
      </c>
    </row>
    <row r="754" ht="22.5" customHeight="1">
      <c r="E754" s="54" t="str">
        <f t="array" ref="E754">IF(
                C754 = "",
                "",
                       IF(
                           C754 ="FOTOGRAFIA",
                           "LINK",
                           "https://www.appsheet.com/template/gettablefileurl?appName=particulas_magneticas-924373673&amp;tableName=4.reg_fotografico&amp;fileName="&amp;C754                         )
                          )</f>
        <v/>
      </c>
      <c r="F754" s="54" t="str">
        <f t="shared" si="5"/>
        <v/>
      </c>
    </row>
    <row r="755" ht="22.5" customHeight="1">
      <c r="E755" s="54" t="str">
        <f t="array" ref="E755">IF(
                C755 = "",
                "",
                       IF(
                           C755 ="FOTOGRAFIA",
                           "LINK",
                           "https://www.appsheet.com/template/gettablefileurl?appName=particulas_magneticas-924373673&amp;tableName=4.reg_fotografico&amp;fileName="&amp;C755                         )
                          )</f>
        <v/>
      </c>
      <c r="F755" s="54" t="str">
        <f t="shared" si="5"/>
        <v/>
      </c>
    </row>
    <row r="756" ht="22.5" customHeight="1">
      <c r="E756" s="54" t="str">
        <f t="array" ref="E756">IF(
                C756 = "",
                "",
                       IF(
                           C756 ="FOTOGRAFIA",
                           "LINK",
                           "https://www.appsheet.com/template/gettablefileurl?appName=particulas_magneticas-924373673&amp;tableName=4.reg_fotografico&amp;fileName="&amp;C756                         )
                          )</f>
        <v/>
      </c>
      <c r="F756" s="54" t="str">
        <f t="shared" si="5"/>
        <v/>
      </c>
    </row>
    <row r="757" ht="22.5" customHeight="1">
      <c r="E757" s="54" t="str">
        <f t="array" ref="E757">IF(
                C757 = "",
                "",
                       IF(
                           C757 ="FOTOGRAFIA",
                           "LINK",
                           "https://www.appsheet.com/template/gettablefileurl?appName=particulas_magneticas-924373673&amp;tableName=4.reg_fotografico&amp;fileName="&amp;C757                         )
                          )</f>
        <v/>
      </c>
      <c r="F757" s="54" t="str">
        <f t="shared" si="5"/>
        <v/>
      </c>
    </row>
    <row r="758" ht="22.5" customHeight="1">
      <c r="E758" s="54" t="str">
        <f t="array" ref="E758">IF(
                C758 = "",
                "",
                       IF(
                           C758 ="FOTOGRAFIA",
                           "LINK",
                           "https://www.appsheet.com/template/gettablefileurl?appName=particulas_magneticas-924373673&amp;tableName=4.reg_fotografico&amp;fileName="&amp;C758                         )
                          )</f>
        <v/>
      </c>
      <c r="F758" s="54" t="str">
        <f t="shared" si="5"/>
        <v/>
      </c>
    </row>
    <row r="759" ht="22.5" customHeight="1">
      <c r="E759" s="54" t="str">
        <f t="array" ref="E759">IF(
                C759 = "",
                "",
                       IF(
                           C759 ="FOTOGRAFIA",
                           "LINK",
                           "https://www.appsheet.com/template/gettablefileurl?appName=particulas_magneticas-924373673&amp;tableName=4.reg_fotografico&amp;fileName="&amp;C759                         )
                          )</f>
        <v/>
      </c>
      <c r="F759" s="54" t="str">
        <f t="shared" si="5"/>
        <v/>
      </c>
    </row>
    <row r="760" ht="22.5" customHeight="1">
      <c r="E760" s="54" t="str">
        <f t="array" ref="E760">IF(
                C760 = "",
                "",
                       IF(
                           C760 ="FOTOGRAFIA",
                           "LINK",
                           "https://www.appsheet.com/template/gettablefileurl?appName=particulas_magneticas-924373673&amp;tableName=4.reg_fotografico&amp;fileName="&amp;C760                         )
                          )</f>
        <v/>
      </c>
      <c r="F760" s="54" t="str">
        <f t="shared" si="5"/>
        <v/>
      </c>
    </row>
    <row r="761" ht="22.5" customHeight="1">
      <c r="E761" s="54" t="str">
        <f t="array" ref="E761">IF(
                C761 = "",
                "",
                       IF(
                           C761 ="FOTOGRAFIA",
                           "LINK",
                           "https://www.appsheet.com/template/gettablefileurl?appName=particulas_magneticas-924373673&amp;tableName=4.reg_fotografico&amp;fileName="&amp;C761                         )
                          )</f>
        <v/>
      </c>
      <c r="F761" s="54" t="str">
        <f t="shared" si="5"/>
        <v/>
      </c>
    </row>
    <row r="762" ht="22.5" customHeight="1">
      <c r="E762" s="54" t="str">
        <f t="array" ref="E762">IF(
                C762 = "",
                "",
                       IF(
                           C762 ="FOTOGRAFIA",
                           "LINK",
                           "https://www.appsheet.com/template/gettablefileurl?appName=particulas_magneticas-924373673&amp;tableName=4.reg_fotografico&amp;fileName="&amp;C762                         )
                          )</f>
        <v/>
      </c>
      <c r="F762" s="54" t="str">
        <f t="shared" si="5"/>
        <v/>
      </c>
    </row>
    <row r="763" ht="22.5" customHeight="1">
      <c r="E763" s="54" t="str">
        <f t="array" ref="E763">IF(
                C763 = "",
                "",
                       IF(
                           C763 ="FOTOGRAFIA",
                           "LINK",
                           "https://www.appsheet.com/template/gettablefileurl?appName=particulas_magneticas-924373673&amp;tableName=4.reg_fotografico&amp;fileName="&amp;C763                         )
                          )</f>
        <v/>
      </c>
      <c r="F763" s="54" t="str">
        <f t="shared" si="5"/>
        <v/>
      </c>
    </row>
    <row r="764" ht="22.5" customHeight="1">
      <c r="E764" s="54" t="str">
        <f t="array" ref="E764">IF(
                C764 = "",
                "",
                       IF(
                           C764 ="FOTOGRAFIA",
                           "LINK",
                           "https://www.appsheet.com/template/gettablefileurl?appName=particulas_magneticas-924373673&amp;tableName=4.reg_fotografico&amp;fileName="&amp;C764                         )
                          )</f>
        <v/>
      </c>
      <c r="F764" s="54" t="str">
        <f t="shared" si="5"/>
        <v/>
      </c>
    </row>
    <row r="765" ht="22.5" customHeight="1">
      <c r="E765" s="54" t="str">
        <f t="array" ref="E765">IF(
                C765 = "",
                "",
                       IF(
                           C765 ="FOTOGRAFIA",
                           "LINK",
                           "https://www.appsheet.com/template/gettablefileurl?appName=particulas_magneticas-924373673&amp;tableName=4.reg_fotografico&amp;fileName="&amp;C765                         )
                          )</f>
        <v/>
      </c>
      <c r="F765" s="54" t="str">
        <f t="shared" si="5"/>
        <v/>
      </c>
    </row>
    <row r="766" ht="22.5" customHeight="1">
      <c r="E766" s="54" t="str">
        <f t="array" ref="E766">IF(
                C766 = "",
                "",
                       IF(
                           C766 ="FOTOGRAFIA",
                           "LINK",
                           "https://www.appsheet.com/template/gettablefileurl?appName=particulas_magneticas-924373673&amp;tableName=4.reg_fotografico&amp;fileName="&amp;C766                         )
                          )</f>
        <v/>
      </c>
      <c r="F766" s="54" t="str">
        <f t="shared" si="5"/>
        <v/>
      </c>
    </row>
    <row r="767" ht="22.5" customHeight="1">
      <c r="E767" s="54" t="str">
        <f t="array" ref="E767">IF(
                C767 = "",
                "",
                       IF(
                           C767 ="FOTOGRAFIA",
                           "LINK",
                           "https://www.appsheet.com/template/gettablefileurl?appName=particulas_magneticas-924373673&amp;tableName=4.reg_fotografico&amp;fileName="&amp;C767                         )
                          )</f>
        <v/>
      </c>
      <c r="F767" s="54" t="str">
        <f t="shared" si="5"/>
        <v/>
      </c>
    </row>
    <row r="768" ht="22.5" customHeight="1">
      <c r="E768" s="54" t="str">
        <f t="array" ref="E768">IF(
                C768 = "",
                "",
                       IF(
                           C768 ="FOTOGRAFIA",
                           "LINK",
                           "https://www.appsheet.com/template/gettablefileurl?appName=particulas_magneticas-924373673&amp;tableName=4.reg_fotografico&amp;fileName="&amp;C768                         )
                          )</f>
        <v/>
      </c>
      <c r="F768" s="54" t="str">
        <f t="shared" si="5"/>
        <v/>
      </c>
    </row>
    <row r="769" ht="22.5" customHeight="1">
      <c r="E769" s="54" t="str">
        <f t="array" ref="E769">IF(
                C769 = "",
                "",
                       IF(
                           C769 ="FOTOGRAFIA",
                           "LINK",
                           "https://www.appsheet.com/template/gettablefileurl?appName=particulas_magneticas-924373673&amp;tableName=4.reg_fotografico&amp;fileName="&amp;C769                         )
                          )</f>
        <v/>
      </c>
      <c r="F769" s="54" t="str">
        <f t="shared" si="5"/>
        <v/>
      </c>
    </row>
    <row r="770" ht="22.5" customHeight="1">
      <c r="E770" s="54" t="str">
        <f t="array" ref="E770">IF(
                C770 = "",
                "",
                       IF(
                           C770 ="FOTOGRAFIA",
                           "LINK",
                           "https://www.appsheet.com/template/gettablefileurl?appName=particulas_magneticas-924373673&amp;tableName=4.reg_fotografico&amp;fileName="&amp;C770                         )
                          )</f>
        <v/>
      </c>
      <c r="F770" s="54" t="str">
        <f t="shared" si="5"/>
        <v/>
      </c>
    </row>
    <row r="771" ht="22.5" customHeight="1">
      <c r="E771" s="54" t="str">
        <f t="array" ref="E771">IF(
                C771 = "",
                "",
                       IF(
                           C771 ="FOTOGRAFIA",
                           "LINK",
                           "https://www.appsheet.com/template/gettablefileurl?appName=particulas_magneticas-924373673&amp;tableName=4.reg_fotografico&amp;fileName="&amp;C771                         )
                          )</f>
        <v/>
      </c>
      <c r="F771" s="54" t="str">
        <f t="shared" si="5"/>
        <v/>
      </c>
    </row>
    <row r="772" ht="22.5" customHeight="1">
      <c r="E772" s="54" t="str">
        <f t="array" ref="E772">IF(
                C772 = "",
                "",
                       IF(
                           C772 ="FOTOGRAFIA",
                           "LINK",
                           "https://www.appsheet.com/template/gettablefileurl?appName=particulas_magneticas-924373673&amp;tableName=4.reg_fotografico&amp;fileName="&amp;C772                         )
                          )</f>
        <v/>
      </c>
      <c r="F772" s="54" t="str">
        <f t="shared" si="5"/>
        <v/>
      </c>
    </row>
    <row r="773" ht="22.5" customHeight="1">
      <c r="E773" s="54" t="str">
        <f t="array" ref="E773">IF(
                C773 = "",
                "",
                       IF(
                           C773 ="FOTOGRAFIA",
                           "LINK",
                           "https://www.appsheet.com/template/gettablefileurl?appName=particulas_magneticas-924373673&amp;tableName=4.reg_fotografico&amp;fileName="&amp;C773                         )
                          )</f>
        <v/>
      </c>
      <c r="F773" s="54" t="str">
        <f t="shared" si="5"/>
        <v/>
      </c>
    </row>
    <row r="774" ht="22.5" customHeight="1">
      <c r="E774" s="54" t="str">
        <f t="array" ref="E774">IF(
                C774 = "",
                "",
                       IF(
                           C774 ="FOTOGRAFIA",
                           "LINK",
                           "https://www.appsheet.com/template/gettablefileurl?appName=particulas_magneticas-924373673&amp;tableName=4.reg_fotografico&amp;fileName="&amp;C774                         )
                          )</f>
        <v/>
      </c>
      <c r="F774" s="54" t="str">
        <f t="shared" si="5"/>
        <v/>
      </c>
    </row>
    <row r="775" ht="22.5" customHeight="1">
      <c r="E775" s="54" t="str">
        <f t="array" ref="E775">IF(
                C775 = "",
                "",
                       IF(
                           C775 ="FOTOGRAFIA",
                           "LINK",
                           "https://www.appsheet.com/template/gettablefileurl?appName=particulas_magneticas-924373673&amp;tableName=4.reg_fotografico&amp;fileName="&amp;C775                         )
                          )</f>
        <v/>
      </c>
      <c r="F775" s="54" t="str">
        <f t="shared" si="5"/>
        <v/>
      </c>
    </row>
    <row r="776" ht="22.5" customHeight="1">
      <c r="E776" s="54" t="str">
        <f t="array" ref="E776">IF(
                C776 = "",
                "",
                       IF(
                           C776 ="FOTOGRAFIA",
                           "LINK",
                           "https://www.appsheet.com/template/gettablefileurl?appName=particulas_magneticas-924373673&amp;tableName=4.reg_fotografico&amp;fileName="&amp;C776                         )
                          )</f>
        <v/>
      </c>
      <c r="F776" s="54" t="str">
        <f t="shared" si="5"/>
        <v/>
      </c>
    </row>
    <row r="777" ht="22.5" customHeight="1">
      <c r="E777" s="54" t="str">
        <f t="array" ref="E777">IF(
                C777 = "",
                "",
                       IF(
                           C777 ="FOTOGRAFIA",
                           "LINK",
                           "https://www.appsheet.com/template/gettablefileurl?appName=particulas_magneticas-924373673&amp;tableName=4.reg_fotografico&amp;fileName="&amp;C777                         )
                          )</f>
        <v/>
      </c>
      <c r="F777" s="54" t="str">
        <f t="shared" si="5"/>
        <v/>
      </c>
    </row>
    <row r="778" ht="22.5" customHeight="1">
      <c r="E778" s="54" t="str">
        <f t="array" ref="E778">IF(
                C778 = "",
                "",
                       IF(
                           C778 ="FOTOGRAFIA",
                           "LINK",
                           "https://www.appsheet.com/template/gettablefileurl?appName=particulas_magneticas-924373673&amp;tableName=4.reg_fotografico&amp;fileName="&amp;C778                         )
                          )</f>
        <v/>
      </c>
      <c r="F778" s="54" t="str">
        <f t="shared" si="5"/>
        <v/>
      </c>
    </row>
    <row r="779" ht="22.5" customHeight="1">
      <c r="E779" s="54" t="str">
        <f t="array" ref="E779">IF(
                C779 = "",
                "",
                       IF(
                           C779 ="FOTOGRAFIA",
                           "LINK",
                           "https://www.appsheet.com/template/gettablefileurl?appName=particulas_magneticas-924373673&amp;tableName=4.reg_fotografico&amp;fileName="&amp;C779                         )
                          )</f>
        <v/>
      </c>
      <c r="F779" s="54" t="str">
        <f t="shared" si="5"/>
        <v/>
      </c>
    </row>
    <row r="780" ht="22.5" customHeight="1">
      <c r="E780" s="54" t="str">
        <f t="array" ref="E780">IF(
                C780 = "",
                "",
                       IF(
                           C780 ="FOTOGRAFIA",
                           "LINK",
                           "https://www.appsheet.com/template/gettablefileurl?appName=particulas_magneticas-924373673&amp;tableName=4.reg_fotografico&amp;fileName="&amp;C780                         )
                          )</f>
        <v/>
      </c>
      <c r="F780" s="54" t="str">
        <f t="shared" si="5"/>
        <v/>
      </c>
    </row>
    <row r="781" ht="22.5" customHeight="1">
      <c r="E781" s="54" t="str">
        <f t="array" ref="E781">IF(
                C781 = "",
                "",
                       IF(
                           C781 ="FOTOGRAFIA",
                           "LINK",
                           "https://www.appsheet.com/template/gettablefileurl?appName=particulas_magneticas-924373673&amp;tableName=4.reg_fotografico&amp;fileName="&amp;C781                         )
                          )</f>
        <v/>
      </c>
      <c r="F781" s="54" t="str">
        <f t="shared" si="5"/>
        <v/>
      </c>
    </row>
    <row r="782" ht="22.5" customHeight="1">
      <c r="E782" s="54" t="str">
        <f t="array" ref="E782">IF(
                C782 = "",
                "",
                       IF(
                           C782 ="FOTOGRAFIA",
                           "LINK",
                           "https://www.appsheet.com/template/gettablefileurl?appName=particulas_magneticas-924373673&amp;tableName=4.reg_fotografico&amp;fileName="&amp;C782                         )
                          )</f>
        <v/>
      </c>
      <c r="F782" s="54" t="str">
        <f t="shared" si="5"/>
        <v/>
      </c>
    </row>
    <row r="783" ht="22.5" customHeight="1">
      <c r="E783" s="54" t="str">
        <f t="array" ref="E783">IF(
                C783 = "",
                "",
                       IF(
                           C783 ="FOTOGRAFIA",
                           "LINK",
                           "https://www.appsheet.com/template/gettablefileurl?appName=particulas_magneticas-924373673&amp;tableName=4.reg_fotografico&amp;fileName="&amp;C783                         )
                          )</f>
        <v/>
      </c>
      <c r="F783" s="54" t="str">
        <f t="shared" si="5"/>
        <v/>
      </c>
    </row>
    <row r="784" ht="22.5" customHeight="1">
      <c r="E784" s="54" t="str">
        <f t="array" ref="E784">IF(
                C784 = "",
                "",
                       IF(
                           C784 ="FOTOGRAFIA",
                           "LINK",
                           "https://www.appsheet.com/template/gettablefileurl?appName=particulas_magneticas-924373673&amp;tableName=4.reg_fotografico&amp;fileName="&amp;C784                         )
                          )</f>
        <v/>
      </c>
      <c r="F784" s="54" t="str">
        <f t="shared" si="5"/>
        <v/>
      </c>
    </row>
    <row r="785" ht="22.5" customHeight="1">
      <c r="E785" s="54" t="str">
        <f t="array" ref="E785">IF(
                C785 = "",
                "",
                       IF(
                           C785 ="FOTOGRAFIA",
                           "LINK",
                           "https://www.appsheet.com/template/gettablefileurl?appName=particulas_magneticas-924373673&amp;tableName=4.reg_fotografico&amp;fileName="&amp;C785                         )
                          )</f>
        <v/>
      </c>
      <c r="F785" s="54" t="str">
        <f t="shared" si="5"/>
        <v/>
      </c>
    </row>
    <row r="786" ht="22.5" customHeight="1">
      <c r="E786" s="54" t="str">
        <f t="array" ref="E786">IF(
                C786 = "",
                "",
                       IF(
                           C786 ="FOTOGRAFIA",
                           "LINK",
                           "https://www.appsheet.com/template/gettablefileurl?appName=particulas_magneticas-924373673&amp;tableName=4.reg_fotografico&amp;fileName="&amp;C786                         )
                          )</f>
        <v/>
      </c>
      <c r="F786" s="54" t="str">
        <f t="shared" si="5"/>
        <v/>
      </c>
    </row>
    <row r="787" ht="22.5" customHeight="1">
      <c r="E787" s="54" t="str">
        <f t="array" ref="E787">IF(
                C787 = "",
                "",
                       IF(
                           C787 ="FOTOGRAFIA",
                           "LINK",
                           "https://www.appsheet.com/template/gettablefileurl?appName=particulas_magneticas-924373673&amp;tableName=4.reg_fotografico&amp;fileName="&amp;C787                         )
                          )</f>
        <v/>
      </c>
      <c r="F787" s="54" t="str">
        <f t="shared" si="5"/>
        <v/>
      </c>
    </row>
    <row r="788" ht="22.5" customHeight="1">
      <c r="E788" s="54" t="str">
        <f t="array" ref="E788">IF(
                C788 = "",
                "",
                       IF(
                           C788 ="FOTOGRAFIA",
                           "LINK",
                           "https://www.appsheet.com/template/gettablefileurl?appName=particulas_magneticas-924373673&amp;tableName=4.reg_fotografico&amp;fileName="&amp;C788                         )
                          )</f>
        <v/>
      </c>
      <c r="F788" s="54" t="str">
        <f t="shared" si="5"/>
        <v/>
      </c>
    </row>
    <row r="789" ht="22.5" customHeight="1">
      <c r="E789" s="54" t="str">
        <f t="array" ref="E789">IF(
                C789 = "",
                "",
                       IF(
                           C789 ="FOTOGRAFIA",
                           "LINK",
                           "https://www.appsheet.com/template/gettablefileurl?appName=particulas_magneticas-924373673&amp;tableName=4.reg_fotografico&amp;fileName="&amp;C789                         )
                          )</f>
        <v/>
      </c>
      <c r="F789" s="54" t="str">
        <f t="shared" si="5"/>
        <v/>
      </c>
    </row>
    <row r="790" ht="22.5" customHeight="1">
      <c r="E790" s="54" t="str">
        <f t="array" ref="E790">IF(
                C790 = "",
                "",
                       IF(
                           C790 ="FOTOGRAFIA",
                           "LINK",
                           "https://www.appsheet.com/template/gettablefileurl?appName=particulas_magneticas-924373673&amp;tableName=4.reg_fotografico&amp;fileName="&amp;C790                         )
                          )</f>
        <v/>
      </c>
      <c r="F790" s="54" t="str">
        <f t="shared" si="5"/>
        <v/>
      </c>
    </row>
    <row r="791" ht="22.5" customHeight="1">
      <c r="E791" s="54" t="str">
        <f t="array" ref="E791">IF(
                C791 = "",
                "",
                       IF(
                           C791 ="FOTOGRAFIA",
                           "LINK",
                           "https://www.appsheet.com/template/gettablefileurl?appName=particulas_magneticas-924373673&amp;tableName=4.reg_fotografico&amp;fileName="&amp;C791                         )
                          )</f>
        <v/>
      </c>
      <c r="F791" s="54" t="str">
        <f t="shared" si="5"/>
        <v/>
      </c>
    </row>
    <row r="792" ht="22.5" customHeight="1">
      <c r="E792" s="54" t="str">
        <f t="array" ref="E792">IF(
                C792 = "",
                "",
                       IF(
                           C792 ="FOTOGRAFIA",
                           "LINK",
                           "https://www.appsheet.com/template/gettablefileurl?appName=particulas_magneticas-924373673&amp;tableName=4.reg_fotografico&amp;fileName="&amp;C792                         )
                          )</f>
        <v/>
      </c>
      <c r="F792" s="54" t="str">
        <f t="shared" si="5"/>
        <v/>
      </c>
    </row>
    <row r="793" ht="22.5" customHeight="1">
      <c r="E793" s="54" t="str">
        <f t="array" ref="E793">IF(
                C793 = "",
                "",
                       IF(
                           C793 ="FOTOGRAFIA",
                           "LINK",
                           "https://www.appsheet.com/template/gettablefileurl?appName=particulas_magneticas-924373673&amp;tableName=4.reg_fotografico&amp;fileName="&amp;C793                         )
                          )</f>
        <v/>
      </c>
      <c r="F793" s="54" t="str">
        <f t="shared" si="5"/>
        <v/>
      </c>
    </row>
    <row r="794" ht="22.5" customHeight="1">
      <c r="E794" s="54" t="str">
        <f t="array" ref="E794">IF(
                C794 = "",
                "",
                       IF(
                           C794 ="FOTOGRAFIA",
                           "LINK",
                           "https://www.appsheet.com/template/gettablefileurl?appName=particulas_magneticas-924373673&amp;tableName=4.reg_fotografico&amp;fileName="&amp;C794                         )
                          )</f>
        <v/>
      </c>
      <c r="F794" s="54" t="str">
        <f t="shared" si="5"/>
        <v/>
      </c>
    </row>
    <row r="795" ht="22.5" customHeight="1">
      <c r="E795" s="54" t="str">
        <f t="array" ref="E795">IF(
                C795 = "",
                "",
                       IF(
                           C795 ="FOTOGRAFIA",
                           "LINK",
                           "https://www.appsheet.com/template/gettablefileurl?appName=particulas_magneticas-924373673&amp;tableName=4.reg_fotografico&amp;fileName="&amp;C795                         )
                          )</f>
        <v/>
      </c>
      <c r="F795" s="54" t="str">
        <f t="shared" si="5"/>
        <v/>
      </c>
    </row>
    <row r="796" ht="22.5" customHeight="1">
      <c r="E796" s="54" t="str">
        <f t="array" ref="E796">IF(
                C796 = "",
                "",
                       IF(
                           C796 ="FOTOGRAFIA",
                           "LINK",
                           "https://www.appsheet.com/template/gettablefileurl?appName=particulas_magneticas-924373673&amp;tableName=4.reg_fotografico&amp;fileName="&amp;C796                         )
                          )</f>
        <v/>
      </c>
      <c r="F796" s="54" t="str">
        <f t="shared" si="5"/>
        <v/>
      </c>
    </row>
    <row r="797" ht="22.5" customHeight="1">
      <c r="E797" s="54" t="str">
        <f t="array" ref="E797">IF(
                C797 = "",
                "",
                       IF(
                           C797 ="FOTOGRAFIA",
                           "LINK",
                           "https://www.appsheet.com/template/gettablefileurl?appName=particulas_magneticas-924373673&amp;tableName=4.reg_fotografico&amp;fileName="&amp;C797                         )
                          )</f>
        <v/>
      </c>
      <c r="F797" s="54" t="str">
        <f t="shared" si="5"/>
        <v/>
      </c>
    </row>
    <row r="798" ht="22.5" customHeight="1">
      <c r="E798" s="54" t="str">
        <f t="array" ref="E798">IF(
                C798 = "",
                "",
                       IF(
                           C798 ="FOTOGRAFIA",
                           "LINK",
                           "https://www.appsheet.com/template/gettablefileurl?appName=particulas_magneticas-924373673&amp;tableName=4.reg_fotografico&amp;fileName="&amp;C798                         )
                          )</f>
        <v/>
      </c>
      <c r="F798" s="54" t="str">
        <f t="shared" si="5"/>
        <v/>
      </c>
    </row>
    <row r="799" ht="22.5" customHeight="1">
      <c r="E799" s="54" t="str">
        <f t="array" ref="E799">IF(
                C799 = "",
                "",
                       IF(
                           C799 ="FOTOGRAFIA",
                           "LINK",
                           "https://www.appsheet.com/template/gettablefileurl?appName=particulas_magneticas-924373673&amp;tableName=4.reg_fotografico&amp;fileName="&amp;C799                         )
                          )</f>
        <v/>
      </c>
      <c r="F799" s="54" t="str">
        <f t="shared" si="5"/>
        <v/>
      </c>
    </row>
    <row r="800" ht="22.5" customHeight="1">
      <c r="E800" s="54" t="str">
        <f t="array" ref="E800">IF(
                C800 = "",
                "",
                       IF(
                           C800 ="FOTOGRAFIA",
                           "LINK",
                           "https://www.appsheet.com/template/gettablefileurl?appName=particulas_magneticas-924373673&amp;tableName=4.reg_fotografico&amp;fileName="&amp;C800                         )
                          )</f>
        <v/>
      </c>
      <c r="F800" s="54" t="str">
        <f t="shared" si="5"/>
        <v/>
      </c>
    </row>
    <row r="801" ht="22.5" customHeight="1">
      <c r="E801" s="54" t="str">
        <f t="array" ref="E801">IF(
                C801 = "",
                "",
                       IF(
                           C801 ="FOTOGRAFIA",
                           "LINK",
                           "https://www.appsheet.com/template/gettablefileurl?appName=particulas_magneticas-924373673&amp;tableName=4.reg_fotografico&amp;fileName="&amp;C801                         )
                          )</f>
        <v/>
      </c>
      <c r="F801" s="54" t="str">
        <f t="shared" si="5"/>
        <v/>
      </c>
    </row>
    <row r="802" ht="22.5" customHeight="1">
      <c r="E802" s="54" t="str">
        <f t="array" ref="E802">IF(
                C802 = "",
                "",
                       IF(
                           C802 ="FOTOGRAFIA",
                           "LINK",
                           "https://www.appsheet.com/template/gettablefileurl?appName=particulas_magneticas-924373673&amp;tableName=4.reg_fotografico&amp;fileName="&amp;C802                         )
                          )</f>
        <v/>
      </c>
      <c r="F802" s="54" t="str">
        <f t="shared" si="5"/>
        <v/>
      </c>
    </row>
    <row r="803" ht="22.5" customHeight="1">
      <c r="E803" s="54" t="str">
        <f t="array" ref="E803">IF(
                C803 = "",
                "",
                       IF(
                           C803 ="FOTOGRAFIA",
                           "LINK",
                           "https://www.appsheet.com/template/gettablefileurl?appName=particulas_magneticas-924373673&amp;tableName=4.reg_fotografico&amp;fileName="&amp;C803                         )
                          )</f>
        <v/>
      </c>
      <c r="F803" s="54" t="str">
        <f t="shared" si="5"/>
        <v/>
      </c>
    </row>
    <row r="804" ht="22.5" customHeight="1">
      <c r="E804" s="54" t="str">
        <f t="array" ref="E804">IF(
                C804 = "",
                "",
                       IF(
                           C804 ="FOTOGRAFIA",
                           "LINK",
                           "https://www.appsheet.com/template/gettablefileurl?appName=particulas_magneticas-924373673&amp;tableName=4.reg_fotografico&amp;fileName="&amp;C804                         )
                          )</f>
        <v/>
      </c>
      <c r="F804" s="54" t="str">
        <f t="shared" si="5"/>
        <v/>
      </c>
    </row>
    <row r="805" ht="22.5" customHeight="1">
      <c r="E805" s="54" t="str">
        <f t="array" ref="E805">IF(
                C805 = "",
                "",
                       IF(
                           C805 ="FOTOGRAFIA",
                           "LINK",
                           "https://www.appsheet.com/template/gettablefileurl?appName=particulas_magneticas-924373673&amp;tableName=4.reg_fotografico&amp;fileName="&amp;C805                         )
                          )</f>
        <v/>
      </c>
      <c r="F805" s="54" t="str">
        <f t="shared" si="5"/>
        <v/>
      </c>
    </row>
    <row r="806" ht="22.5" customHeight="1">
      <c r="E806" s="54" t="str">
        <f t="array" ref="E806">IF(
                C806 = "",
                "",
                       IF(
                           C806 ="FOTOGRAFIA",
                           "LINK",
                           "https://www.appsheet.com/template/gettablefileurl?appName=particulas_magneticas-924373673&amp;tableName=4.reg_fotografico&amp;fileName="&amp;C806                         )
                          )</f>
        <v/>
      </c>
      <c r="F806" s="54" t="str">
        <f t="shared" si="5"/>
        <v/>
      </c>
    </row>
    <row r="807" ht="22.5" customHeight="1">
      <c r="E807" s="54" t="str">
        <f t="array" ref="E807">IF(
                C807 = "",
                "",
                       IF(
                           C807 ="FOTOGRAFIA",
                           "LINK",
                           "https://www.appsheet.com/template/gettablefileurl?appName=particulas_magneticas-924373673&amp;tableName=4.reg_fotografico&amp;fileName="&amp;C807                         )
                          )</f>
        <v/>
      </c>
      <c r="F807" s="54" t="str">
        <f t="shared" si="5"/>
        <v/>
      </c>
    </row>
    <row r="808" ht="22.5" customHeight="1">
      <c r="E808" s="54" t="str">
        <f t="array" ref="E808">IF(
                C808 = "",
                "",
                       IF(
                           C808 ="FOTOGRAFIA",
                           "LINK",
                           "https://www.appsheet.com/template/gettablefileurl?appName=particulas_magneticas-924373673&amp;tableName=4.reg_fotografico&amp;fileName="&amp;C808                         )
                          )</f>
        <v/>
      </c>
      <c r="F808" s="54" t="str">
        <f t="shared" si="5"/>
        <v/>
      </c>
    </row>
    <row r="809" ht="22.5" customHeight="1">
      <c r="E809" s="54" t="str">
        <f t="array" ref="E809">IF(
                C809 = "",
                "",
                       IF(
                           C809 ="FOTOGRAFIA",
                           "LINK",
                           "https://www.appsheet.com/template/gettablefileurl?appName=particulas_magneticas-924373673&amp;tableName=4.reg_fotografico&amp;fileName="&amp;C809                         )
                          )</f>
        <v/>
      </c>
      <c r="F809" s="54" t="str">
        <f t="shared" si="5"/>
        <v/>
      </c>
    </row>
    <row r="810" ht="22.5" customHeight="1">
      <c r="E810" s="54" t="str">
        <f t="array" ref="E810">IF(
                C810 = "",
                "",
                       IF(
                           C810 ="FOTOGRAFIA",
                           "LINK",
                           "https://www.appsheet.com/template/gettablefileurl?appName=particulas_magneticas-924373673&amp;tableName=4.reg_fotografico&amp;fileName="&amp;C810                         )
                          )</f>
        <v/>
      </c>
      <c r="F810" s="54" t="str">
        <f t="shared" si="5"/>
        <v/>
      </c>
    </row>
    <row r="811" ht="22.5" customHeight="1">
      <c r="E811" s="54" t="str">
        <f t="array" ref="E811">IF(
                C811 = "",
                "",
                       IF(
                           C811 ="FOTOGRAFIA",
                           "LINK",
                           "https://www.appsheet.com/template/gettablefileurl?appName=particulas_magneticas-924373673&amp;tableName=4.reg_fotografico&amp;fileName="&amp;C811                         )
                          )</f>
        <v/>
      </c>
      <c r="F811" s="54" t="str">
        <f t="shared" si="5"/>
        <v/>
      </c>
    </row>
    <row r="812" ht="22.5" customHeight="1">
      <c r="E812" s="54" t="str">
        <f t="array" ref="E812">IF(
                C812 = "",
                "",
                       IF(
                           C812 ="FOTOGRAFIA",
                           "LINK",
                           "https://www.appsheet.com/template/gettablefileurl?appName=particulas_magneticas-924373673&amp;tableName=4.reg_fotografico&amp;fileName="&amp;C812                         )
                          )</f>
        <v/>
      </c>
      <c r="F812" s="54" t="str">
        <f t="shared" si="5"/>
        <v/>
      </c>
    </row>
    <row r="813" ht="22.5" customHeight="1">
      <c r="E813" s="54" t="str">
        <f t="array" ref="E813">IF(
                C813 = "",
                "",
                       IF(
                           C813 ="FOTOGRAFIA",
                           "LINK",
                           "https://www.appsheet.com/template/gettablefileurl?appName=particulas_magneticas-924373673&amp;tableName=4.reg_fotografico&amp;fileName="&amp;C813                         )
                          )</f>
        <v/>
      </c>
      <c r="F813" s="54" t="str">
        <f t="shared" si="5"/>
        <v/>
      </c>
    </row>
    <row r="814" ht="22.5" customHeight="1">
      <c r="E814" s="54" t="str">
        <f t="array" ref="E814">IF(
                C814 = "",
                "",
                       IF(
                           C814 ="FOTOGRAFIA",
                           "LINK",
                           "https://www.appsheet.com/template/gettablefileurl?appName=particulas_magneticas-924373673&amp;tableName=4.reg_fotografico&amp;fileName="&amp;C814                         )
                          )</f>
        <v/>
      </c>
      <c r="F814" s="54" t="str">
        <f t="shared" si="5"/>
        <v/>
      </c>
    </row>
    <row r="815" ht="22.5" customHeight="1">
      <c r="E815" s="54" t="str">
        <f t="array" ref="E815">IF(
                C815 = "",
                "",
                       IF(
                           C815 ="FOTOGRAFIA",
                           "LINK",
                           "https://www.appsheet.com/template/gettablefileurl?appName=particulas_magneticas-924373673&amp;tableName=4.reg_fotografico&amp;fileName="&amp;C815                         )
                          )</f>
        <v/>
      </c>
      <c r="F815" s="54" t="str">
        <f t="shared" si="5"/>
        <v/>
      </c>
    </row>
    <row r="816" ht="22.5" customHeight="1">
      <c r="E816" s="54" t="str">
        <f t="array" ref="E816">IF(
                C816 = "",
                "",
                       IF(
                           C816 ="FOTOGRAFIA",
                           "LINK",
                           "https://www.appsheet.com/template/gettablefileurl?appName=particulas_magneticas-924373673&amp;tableName=4.reg_fotografico&amp;fileName="&amp;C816                         )
                          )</f>
        <v/>
      </c>
      <c r="F816" s="54" t="str">
        <f t="shared" si="5"/>
        <v/>
      </c>
    </row>
    <row r="817" ht="22.5" customHeight="1">
      <c r="E817" s="54" t="str">
        <f t="array" ref="E817">IF(
                C817 = "",
                "",
                       IF(
                           C817 ="FOTOGRAFIA",
                           "LINK",
                           "https://www.appsheet.com/template/gettablefileurl?appName=particulas_magneticas-924373673&amp;tableName=4.reg_fotografico&amp;fileName="&amp;C817                         )
                          )</f>
        <v/>
      </c>
      <c r="F817" s="54" t="str">
        <f t="shared" si="5"/>
        <v/>
      </c>
    </row>
    <row r="818" ht="22.5" customHeight="1">
      <c r="E818" s="54" t="str">
        <f t="array" ref="E818">IF(
                C818 = "",
                "",
                       IF(
                           C818 ="FOTOGRAFIA",
                           "LINK",
                           "https://www.appsheet.com/template/gettablefileurl?appName=particulas_magneticas-924373673&amp;tableName=4.reg_fotografico&amp;fileName="&amp;C818                         )
                          )</f>
        <v/>
      </c>
      <c r="F818" s="54" t="str">
        <f t="shared" si="5"/>
        <v/>
      </c>
    </row>
    <row r="819" ht="22.5" customHeight="1">
      <c r="E819" s="54" t="str">
        <f t="array" ref="E819">IF(
                C819 = "",
                "",
                       IF(
                           C819 ="FOTOGRAFIA",
                           "LINK",
                           "https://www.appsheet.com/template/gettablefileurl?appName=particulas_magneticas-924373673&amp;tableName=4.reg_fotografico&amp;fileName="&amp;C819                         )
                          )</f>
        <v/>
      </c>
      <c r="F819" s="54" t="str">
        <f t="shared" si="5"/>
        <v/>
      </c>
    </row>
    <row r="820" ht="22.5" customHeight="1">
      <c r="E820" s="54" t="str">
        <f t="array" ref="E820">IF(
                C820 = "",
                "",
                       IF(
                           C820 ="FOTOGRAFIA",
                           "LINK",
                           "https://www.appsheet.com/template/gettablefileurl?appName=particulas_magneticas-924373673&amp;tableName=4.reg_fotografico&amp;fileName="&amp;C820                         )
                          )</f>
        <v/>
      </c>
      <c r="F820" s="54" t="str">
        <f t="shared" si="5"/>
        <v/>
      </c>
    </row>
    <row r="821" ht="22.5" customHeight="1">
      <c r="E821" s="54" t="str">
        <f t="array" ref="E821">IF(
                C821 = "",
                "",
                       IF(
                           C821 ="FOTOGRAFIA",
                           "LINK",
                           "https://www.appsheet.com/template/gettablefileurl?appName=particulas_magneticas-924373673&amp;tableName=4.reg_fotografico&amp;fileName="&amp;C821                         )
                          )</f>
        <v/>
      </c>
      <c r="F821" s="54" t="str">
        <f t="shared" si="5"/>
        <v/>
      </c>
    </row>
    <row r="822" ht="22.5" customHeight="1">
      <c r="E822" s="54" t="str">
        <f t="array" ref="E822">IF(
                C822 = "",
                "",
                       IF(
                           C822 ="FOTOGRAFIA",
                           "LINK",
                           "https://www.appsheet.com/template/gettablefileurl?appName=particulas_magneticas-924373673&amp;tableName=4.reg_fotografico&amp;fileName="&amp;C822                         )
                          )</f>
        <v/>
      </c>
      <c r="F822" s="54" t="str">
        <f t="shared" si="5"/>
        <v/>
      </c>
    </row>
    <row r="823" ht="22.5" customHeight="1">
      <c r="E823" s="54" t="str">
        <f t="array" ref="E823">IF(
                C823 = "",
                "",
                       IF(
                           C823 ="FOTOGRAFIA",
                           "LINK",
                           "https://www.appsheet.com/template/gettablefileurl?appName=particulas_magneticas-924373673&amp;tableName=4.reg_fotografico&amp;fileName="&amp;C823                         )
                          )</f>
        <v/>
      </c>
      <c r="F823" s="54" t="str">
        <f t="shared" si="5"/>
        <v/>
      </c>
    </row>
    <row r="824" ht="22.5" customHeight="1">
      <c r="E824" s="54" t="str">
        <f t="array" ref="E824">IF(
                C824 = "",
                "",
                       IF(
                           C824 ="FOTOGRAFIA",
                           "LINK",
                           "https://www.appsheet.com/template/gettablefileurl?appName=particulas_magneticas-924373673&amp;tableName=4.reg_fotografico&amp;fileName="&amp;C824                         )
                          )</f>
        <v/>
      </c>
      <c r="F824" s="54" t="str">
        <f t="shared" si="5"/>
        <v/>
      </c>
    </row>
    <row r="825" ht="22.5" customHeight="1">
      <c r="E825" s="54" t="str">
        <f t="array" ref="E825">IF(
                C825 = "",
                "",
                       IF(
                           C825 ="FOTOGRAFIA",
                           "LINK",
                           "https://www.appsheet.com/template/gettablefileurl?appName=particulas_magneticas-924373673&amp;tableName=4.reg_fotografico&amp;fileName="&amp;C825                         )
                          )</f>
        <v/>
      </c>
      <c r="F825" s="54" t="str">
        <f t="shared" si="5"/>
        <v/>
      </c>
    </row>
    <row r="826" ht="22.5" customHeight="1">
      <c r="E826" s="54" t="str">
        <f t="array" ref="E826">IF(
                C826 = "",
                "",
                       IF(
                           C826 ="FOTOGRAFIA",
                           "LINK",
                           "https://www.appsheet.com/template/gettablefileurl?appName=particulas_magneticas-924373673&amp;tableName=4.reg_fotografico&amp;fileName="&amp;C826                         )
                          )</f>
        <v/>
      </c>
      <c r="F826" s="54" t="str">
        <f t="shared" si="5"/>
        <v/>
      </c>
    </row>
    <row r="827" ht="22.5" customHeight="1">
      <c r="E827" s="54" t="str">
        <f t="array" ref="E827">IF(
                C827 = "",
                "",
                       IF(
                           C827 ="FOTOGRAFIA",
                           "LINK",
                           "https://www.appsheet.com/template/gettablefileurl?appName=particulas_magneticas-924373673&amp;tableName=4.reg_fotografico&amp;fileName="&amp;C827                         )
                          )</f>
        <v/>
      </c>
      <c r="F827" s="54" t="str">
        <f t="shared" si="5"/>
        <v/>
      </c>
    </row>
    <row r="828" ht="22.5" customHeight="1">
      <c r="E828" s="54" t="str">
        <f t="array" ref="E828">IF(
                C828 = "",
                "",
                       IF(
                           C828 ="FOTOGRAFIA",
                           "LINK",
                           "https://www.appsheet.com/template/gettablefileurl?appName=particulas_magneticas-924373673&amp;tableName=4.reg_fotografico&amp;fileName="&amp;C828                         )
                          )</f>
        <v/>
      </c>
      <c r="F828" s="54" t="str">
        <f t="shared" si="5"/>
        <v/>
      </c>
    </row>
    <row r="829" ht="22.5" customHeight="1">
      <c r="E829" s="54" t="str">
        <f t="array" ref="E829">IF(
                C829 = "",
                "",
                       IF(
                           C829 ="FOTOGRAFIA",
                           "LINK",
                           "https://www.appsheet.com/template/gettablefileurl?appName=particulas_magneticas-924373673&amp;tableName=4.reg_fotografico&amp;fileName="&amp;C829                         )
                          )</f>
        <v/>
      </c>
      <c r="F829" s="54" t="str">
        <f t="shared" si="5"/>
        <v/>
      </c>
    </row>
    <row r="830" ht="22.5" customHeight="1">
      <c r="E830" s="54" t="str">
        <f t="array" ref="E830">IF(
                C830 = "",
                "",
                       IF(
                           C830 ="FOTOGRAFIA",
                           "LINK",
                           "https://www.appsheet.com/template/gettablefileurl?appName=particulas_magneticas-924373673&amp;tableName=4.reg_fotografico&amp;fileName="&amp;C830                         )
                          )</f>
        <v/>
      </c>
      <c r="F830" s="54" t="str">
        <f t="shared" si="5"/>
        <v/>
      </c>
    </row>
    <row r="831" ht="22.5" customHeight="1">
      <c r="E831" s="54" t="str">
        <f t="array" ref="E831">IF(
                C831 = "",
                "",
                       IF(
                           C831 ="FOTOGRAFIA",
                           "LINK",
                           "https://www.appsheet.com/template/gettablefileurl?appName=particulas_magneticas-924373673&amp;tableName=4.reg_fotografico&amp;fileName="&amp;C831                         )
                          )</f>
        <v/>
      </c>
      <c r="F831" s="54" t="str">
        <f t="shared" si="5"/>
        <v/>
      </c>
    </row>
    <row r="832" ht="22.5" customHeight="1">
      <c r="E832" s="54" t="str">
        <f t="array" ref="E832">IF(
                C832 = "",
                "",
                       IF(
                           C832 ="FOTOGRAFIA",
                           "LINK",
                           "https://www.appsheet.com/template/gettablefileurl?appName=particulas_magneticas-924373673&amp;tableName=4.reg_fotografico&amp;fileName="&amp;C832                         )
                          )</f>
        <v/>
      </c>
      <c r="F832" s="54" t="str">
        <f t="shared" si="5"/>
        <v/>
      </c>
    </row>
    <row r="833" ht="22.5" customHeight="1">
      <c r="E833" s="54" t="str">
        <f t="array" ref="E833">IF(
                C833 = "",
                "",
                       IF(
                           C833 ="FOTOGRAFIA",
                           "LINK",
                           "https://www.appsheet.com/template/gettablefileurl?appName=particulas_magneticas-924373673&amp;tableName=4.reg_fotografico&amp;fileName="&amp;C833                         )
                          )</f>
        <v/>
      </c>
      <c r="F833" s="54" t="str">
        <f t="shared" si="5"/>
        <v/>
      </c>
    </row>
    <row r="834" ht="22.5" customHeight="1">
      <c r="E834" s="54" t="str">
        <f t="array" ref="E834">IF(
                C834 = "",
                "",
                       IF(
                           C834 ="FOTOGRAFIA",
                           "LINK",
                           "https://www.appsheet.com/template/gettablefileurl?appName=particulas_magneticas-924373673&amp;tableName=4.reg_fotografico&amp;fileName="&amp;C834                         )
                          )</f>
        <v/>
      </c>
      <c r="F834" s="54" t="str">
        <f t="shared" si="5"/>
        <v/>
      </c>
    </row>
    <row r="835" ht="22.5" customHeight="1">
      <c r="E835" s="54" t="str">
        <f t="array" ref="E835">IF(
                C835 = "",
                "",
                       IF(
                           C835 ="FOTOGRAFIA",
                           "LINK",
                           "https://www.appsheet.com/template/gettablefileurl?appName=particulas_magneticas-924373673&amp;tableName=4.reg_fotografico&amp;fileName="&amp;C835                         )
                          )</f>
        <v/>
      </c>
      <c r="F835" s="54" t="str">
        <f t="shared" si="5"/>
        <v/>
      </c>
    </row>
    <row r="836" ht="22.5" customHeight="1">
      <c r="E836" s="54" t="str">
        <f t="array" ref="E836">IF(
                C836 = "",
                "",
                       IF(
                           C836 ="FOTOGRAFIA",
                           "LINK",
                           "https://www.appsheet.com/template/gettablefileurl?appName=particulas_magneticas-924373673&amp;tableName=4.reg_fotografico&amp;fileName="&amp;C836                         )
                          )</f>
        <v/>
      </c>
      <c r="F836" s="54" t="str">
        <f t="shared" si="5"/>
        <v/>
      </c>
    </row>
    <row r="837" ht="22.5" customHeight="1">
      <c r="E837" s="54" t="str">
        <f t="array" ref="E837">IF(
                C837 = "",
                "",
                       IF(
                           C837 ="FOTOGRAFIA",
                           "LINK",
                           "https://www.appsheet.com/template/gettablefileurl?appName=particulas_magneticas-924373673&amp;tableName=4.reg_fotografico&amp;fileName="&amp;C837                         )
                          )</f>
        <v/>
      </c>
      <c r="F837" s="54" t="str">
        <f t="shared" si="5"/>
        <v/>
      </c>
    </row>
    <row r="838" ht="22.5" customHeight="1">
      <c r="E838" s="54" t="str">
        <f t="array" ref="E838">IF(
                C838 = "",
                "",
                       IF(
                           C838 ="FOTOGRAFIA",
                           "LINK",
                           "https://www.appsheet.com/template/gettablefileurl?appName=particulas_magneticas-924373673&amp;tableName=4.reg_fotografico&amp;fileName="&amp;C838                         )
                          )</f>
        <v/>
      </c>
      <c r="F838" s="54" t="str">
        <f t="shared" si="5"/>
        <v/>
      </c>
    </row>
    <row r="839" ht="22.5" customHeight="1">
      <c r="E839" s="54" t="str">
        <f t="array" ref="E839">IF(
                C839 = "",
                "",
                       IF(
                           C839 ="FOTOGRAFIA",
                           "LINK",
                           "https://www.appsheet.com/template/gettablefileurl?appName=particulas_magneticas-924373673&amp;tableName=4.reg_fotografico&amp;fileName="&amp;C839                         )
                          )</f>
        <v/>
      </c>
      <c r="F839" s="54" t="str">
        <f t="shared" si="5"/>
        <v/>
      </c>
    </row>
    <row r="840" ht="22.5" customHeight="1">
      <c r="E840" s="54" t="str">
        <f t="array" ref="E840">IF(
                C840 = "",
                "",
                       IF(
                           C840 ="FOTOGRAFIA",
                           "LINK",
                           "https://www.appsheet.com/template/gettablefileurl?appName=particulas_magneticas-924373673&amp;tableName=4.reg_fotografico&amp;fileName="&amp;C840                         )
                          )</f>
        <v/>
      </c>
      <c r="F840" s="54" t="str">
        <f t="shared" si="5"/>
        <v/>
      </c>
    </row>
    <row r="841" ht="22.5" customHeight="1">
      <c r="E841" s="54" t="str">
        <f t="array" ref="E841">IF(
                C841 = "",
                "",
                       IF(
                           C841 ="FOTOGRAFIA",
                           "LINK",
                           "https://www.appsheet.com/template/gettablefileurl?appName=particulas_magneticas-924373673&amp;tableName=4.reg_fotografico&amp;fileName="&amp;C841                         )
                          )</f>
        <v/>
      </c>
      <c r="F841" s="54" t="str">
        <f t="shared" si="5"/>
        <v/>
      </c>
    </row>
    <row r="842" ht="22.5" customHeight="1">
      <c r="E842" s="54" t="str">
        <f t="array" ref="E842">IF(
                C842 = "",
                "",
                       IF(
                           C842 ="FOTOGRAFIA",
                           "LINK",
                           "https://www.appsheet.com/template/gettablefileurl?appName=particulas_magneticas-924373673&amp;tableName=4.reg_fotografico&amp;fileName="&amp;C842                         )
                          )</f>
        <v/>
      </c>
      <c r="F842" s="54" t="str">
        <f t="shared" si="5"/>
        <v/>
      </c>
    </row>
    <row r="843" ht="22.5" customHeight="1">
      <c r="E843" s="54" t="str">
        <f t="array" ref="E843">IF(
                C843 = "",
                "",
                       IF(
                           C843 ="FOTOGRAFIA",
                           "LINK",
                           "https://www.appsheet.com/template/gettablefileurl?appName=particulas_magneticas-924373673&amp;tableName=4.reg_fotografico&amp;fileName="&amp;C843                         )
                          )</f>
        <v/>
      </c>
      <c r="F843" s="54" t="str">
        <f t="shared" si="5"/>
        <v/>
      </c>
    </row>
    <row r="844" ht="22.5" customHeight="1">
      <c r="E844" s="54" t="str">
        <f t="array" ref="E844">IF(
                C844 = "",
                "",
                       IF(
                           C844 ="FOTOGRAFIA",
                           "LINK",
                           "https://www.appsheet.com/template/gettablefileurl?appName=particulas_magneticas-924373673&amp;tableName=4.reg_fotografico&amp;fileName="&amp;C844                         )
                          )</f>
        <v/>
      </c>
      <c r="F844" s="54" t="str">
        <f t="shared" si="5"/>
        <v/>
      </c>
    </row>
    <row r="845" ht="22.5" customHeight="1">
      <c r="E845" s="54" t="str">
        <f t="array" ref="E845">IF(
                C845 = "",
                "",
                       IF(
                           C845 ="FOTOGRAFIA",
                           "LINK",
                           "https://www.appsheet.com/template/gettablefileurl?appName=particulas_magneticas-924373673&amp;tableName=4.reg_fotografico&amp;fileName="&amp;C845                         )
                          )</f>
        <v/>
      </c>
      <c r="F845" s="54" t="str">
        <f t="shared" si="5"/>
        <v/>
      </c>
    </row>
    <row r="846" ht="22.5" customHeight="1">
      <c r="E846" s="54" t="str">
        <f t="array" ref="E846">IF(
                C846 = "",
                "",
                       IF(
                           C846 ="FOTOGRAFIA",
                           "LINK",
                           "https://www.appsheet.com/template/gettablefileurl?appName=particulas_magneticas-924373673&amp;tableName=4.reg_fotografico&amp;fileName="&amp;C846                         )
                          )</f>
        <v/>
      </c>
      <c r="F846" s="54" t="str">
        <f t="shared" si="5"/>
        <v/>
      </c>
    </row>
    <row r="847" ht="22.5" customHeight="1">
      <c r="E847" s="54" t="str">
        <f t="array" ref="E847">IF(
                C847 = "",
                "",
                       IF(
                           C847 ="FOTOGRAFIA",
                           "LINK",
                           "https://www.appsheet.com/template/gettablefileurl?appName=particulas_magneticas-924373673&amp;tableName=4.reg_fotografico&amp;fileName="&amp;C847                         )
                          )</f>
        <v/>
      </c>
      <c r="F847" s="54" t="str">
        <f t="shared" si="5"/>
        <v/>
      </c>
    </row>
    <row r="848" ht="22.5" customHeight="1">
      <c r="E848" s="54" t="str">
        <f t="array" ref="E848">IF(
                C848 = "",
                "",
                       IF(
                           C848 ="FOTOGRAFIA",
                           "LINK",
                           "https://www.appsheet.com/template/gettablefileurl?appName=particulas_magneticas-924373673&amp;tableName=4.reg_fotografico&amp;fileName="&amp;C848                         )
                          )</f>
        <v/>
      </c>
      <c r="F848" s="54" t="str">
        <f t="shared" si="5"/>
        <v/>
      </c>
    </row>
    <row r="849" ht="22.5" customHeight="1">
      <c r="E849" s="54" t="str">
        <f t="array" ref="E849">IF(
                C849 = "",
                "",
                       IF(
                           C849 ="FOTOGRAFIA",
                           "LINK",
                           "https://www.appsheet.com/template/gettablefileurl?appName=particulas_magneticas-924373673&amp;tableName=4.reg_fotografico&amp;fileName="&amp;C849                         )
                          )</f>
        <v/>
      </c>
      <c r="F849" s="54" t="str">
        <f t="shared" si="5"/>
        <v/>
      </c>
    </row>
    <row r="850" ht="22.5" customHeight="1">
      <c r="E850" s="54" t="str">
        <f t="array" ref="E850">IF(
                C850 = "",
                "",
                       IF(
                           C850 ="FOTOGRAFIA",
                           "LINK",
                           "https://www.appsheet.com/template/gettablefileurl?appName=particulas_magneticas-924373673&amp;tableName=4.reg_fotografico&amp;fileName="&amp;C850                         )
                          )</f>
        <v/>
      </c>
      <c r="F850" s="54" t="str">
        <f t="shared" si="5"/>
        <v/>
      </c>
    </row>
    <row r="851" ht="22.5" customHeight="1">
      <c r="E851" s="54" t="str">
        <f t="array" ref="E851">IF(
                C851 = "",
                "",
                       IF(
                           C851 ="FOTOGRAFIA",
                           "LINK",
                           "https://www.appsheet.com/template/gettablefileurl?appName=particulas_magneticas-924373673&amp;tableName=4.reg_fotografico&amp;fileName="&amp;C851                         )
                          )</f>
        <v/>
      </c>
      <c r="F851" s="54" t="str">
        <f t="shared" si="5"/>
        <v/>
      </c>
    </row>
    <row r="852" ht="22.5" customHeight="1">
      <c r="E852" s="54" t="str">
        <f t="array" ref="E852">IF(
                C852 = "",
                "",
                       IF(
                           C852 ="FOTOGRAFIA",
                           "LINK",
                           "https://www.appsheet.com/template/gettablefileurl?appName=particulas_magneticas-924373673&amp;tableName=4.reg_fotografico&amp;fileName="&amp;C852                         )
                          )</f>
        <v/>
      </c>
      <c r="F852" s="54" t="str">
        <f t="shared" si="5"/>
        <v/>
      </c>
    </row>
    <row r="853" ht="22.5" customHeight="1">
      <c r="E853" s="54" t="str">
        <f t="array" ref="E853">IF(
                C853 = "",
                "",
                       IF(
                           C853 ="FOTOGRAFIA",
                           "LINK",
                           "https://www.appsheet.com/template/gettablefileurl?appName=particulas_magneticas-924373673&amp;tableName=4.reg_fotografico&amp;fileName="&amp;C853                         )
                          )</f>
        <v/>
      </c>
      <c r="F853" s="54" t="str">
        <f t="shared" si="5"/>
        <v/>
      </c>
    </row>
    <row r="854" ht="22.5" customHeight="1">
      <c r="E854" s="54" t="str">
        <f t="array" ref="E854">IF(
                C854 = "",
                "",
                       IF(
                           C854 ="FOTOGRAFIA",
                           "LINK",
                           "https://www.appsheet.com/template/gettablefileurl?appName=particulas_magneticas-924373673&amp;tableName=4.reg_fotografico&amp;fileName="&amp;C854                         )
                          )</f>
        <v/>
      </c>
      <c r="F854" s="54" t="str">
        <f t="shared" si="5"/>
        <v/>
      </c>
    </row>
    <row r="855" ht="22.5" customHeight="1">
      <c r="E855" s="54" t="str">
        <f t="array" ref="E855">IF(
                C855 = "",
                "",
                       IF(
                           C855 ="FOTOGRAFIA",
                           "LINK",
                           "https://www.appsheet.com/template/gettablefileurl?appName=particulas_magneticas-924373673&amp;tableName=4.reg_fotografico&amp;fileName="&amp;C855                         )
                          )</f>
        <v/>
      </c>
      <c r="F855" s="54" t="str">
        <f t="shared" si="5"/>
        <v/>
      </c>
    </row>
    <row r="856" ht="22.5" customHeight="1">
      <c r="E856" s="54" t="str">
        <f t="array" ref="E856">IF(
                C856 = "",
                "",
                       IF(
                           C856 ="FOTOGRAFIA",
                           "LINK",
                           "https://www.appsheet.com/template/gettablefileurl?appName=particulas_magneticas-924373673&amp;tableName=4.reg_fotografico&amp;fileName="&amp;C856                         )
                          )</f>
        <v/>
      </c>
      <c r="F856" s="54" t="str">
        <f t="shared" si="5"/>
        <v/>
      </c>
    </row>
    <row r="857" ht="22.5" customHeight="1">
      <c r="E857" s="54" t="str">
        <f t="array" ref="E857">IF(
                C857 = "",
                "",
                       IF(
                           C857 ="FOTOGRAFIA",
                           "LINK",
                           "https://www.appsheet.com/template/gettablefileurl?appName=particulas_magneticas-924373673&amp;tableName=4.reg_fotografico&amp;fileName="&amp;C857                         )
                          )</f>
        <v/>
      </c>
      <c r="F857" s="54" t="str">
        <f t="shared" si="5"/>
        <v/>
      </c>
    </row>
    <row r="858" ht="22.5" customHeight="1">
      <c r="E858" s="54" t="str">
        <f t="array" ref="E858">IF(
                C858 = "",
                "",
                       IF(
                           C858 ="FOTOGRAFIA",
                           "LINK",
                           "https://www.appsheet.com/template/gettablefileurl?appName=particulas_magneticas-924373673&amp;tableName=4.reg_fotografico&amp;fileName="&amp;C858                         )
                          )</f>
        <v/>
      </c>
      <c r="F858" s="54" t="str">
        <f t="shared" si="5"/>
        <v/>
      </c>
    </row>
    <row r="859" ht="22.5" customHeight="1">
      <c r="E859" s="54" t="str">
        <f t="array" ref="E859">IF(
                C859 = "",
                "",
                       IF(
                           C859 ="FOTOGRAFIA",
                           "LINK",
                           "https://www.appsheet.com/template/gettablefileurl?appName=particulas_magneticas-924373673&amp;tableName=4.reg_fotografico&amp;fileName="&amp;C859                         )
                          )</f>
        <v/>
      </c>
      <c r="F859" s="54" t="str">
        <f t="shared" si="5"/>
        <v/>
      </c>
    </row>
    <row r="860" ht="22.5" customHeight="1">
      <c r="E860" s="54" t="str">
        <f t="array" ref="E860">IF(
                C860 = "",
                "",
                       IF(
                           C860 ="FOTOGRAFIA",
                           "LINK",
                           "https://www.appsheet.com/template/gettablefileurl?appName=particulas_magneticas-924373673&amp;tableName=4.reg_fotografico&amp;fileName="&amp;C860                         )
                          )</f>
        <v/>
      </c>
      <c r="F860" s="54" t="str">
        <f t="shared" si="5"/>
        <v/>
      </c>
    </row>
    <row r="861" ht="22.5" customHeight="1">
      <c r="E861" s="54" t="str">
        <f t="array" ref="E861">IF(
                C861 = "",
                "",
                       IF(
                           C861 ="FOTOGRAFIA",
                           "LINK",
                           "https://www.appsheet.com/template/gettablefileurl?appName=particulas_magneticas-924373673&amp;tableName=4.reg_fotografico&amp;fileName="&amp;C861                         )
                          )</f>
        <v/>
      </c>
      <c r="F861" s="54" t="str">
        <f t="shared" si="5"/>
        <v/>
      </c>
    </row>
    <row r="862" ht="22.5" customHeight="1">
      <c r="E862" s="54" t="str">
        <f t="array" ref="E862">IF(
                C862 = "",
                "",
                       IF(
                           C862 ="FOTOGRAFIA",
                           "LINK",
                           "https://www.appsheet.com/template/gettablefileurl?appName=particulas_magneticas-924373673&amp;tableName=4.reg_fotografico&amp;fileName="&amp;C862                         )
                          )</f>
        <v/>
      </c>
      <c r="F862" s="54" t="str">
        <f t="shared" si="5"/>
        <v/>
      </c>
    </row>
    <row r="863" ht="22.5" customHeight="1">
      <c r="E863" s="54" t="str">
        <f t="array" ref="E863">IF(
                C863 = "",
                "",
                       IF(
                           C863 ="FOTOGRAFIA",
                           "LINK",
                           "https://www.appsheet.com/template/gettablefileurl?appName=particulas_magneticas-924373673&amp;tableName=4.reg_fotografico&amp;fileName="&amp;C863                         )
                          )</f>
        <v/>
      </c>
      <c r="F863" s="54" t="str">
        <f t="shared" si="5"/>
        <v/>
      </c>
    </row>
    <row r="864" ht="22.5" customHeight="1">
      <c r="E864" s="54" t="str">
        <f t="array" ref="E864">IF(
                C864 = "",
                "",
                       IF(
                           C864 ="FOTOGRAFIA",
                           "LINK",
                           "https://www.appsheet.com/template/gettablefileurl?appName=particulas_magneticas-924373673&amp;tableName=4.reg_fotografico&amp;fileName="&amp;C864                         )
                          )</f>
        <v/>
      </c>
      <c r="F864" s="54" t="str">
        <f t="shared" si="5"/>
        <v/>
      </c>
    </row>
    <row r="865" ht="22.5" customHeight="1">
      <c r="E865" s="54" t="str">
        <f t="array" ref="E865">IF(
                C865 = "",
                "",
                       IF(
                           C865 ="FOTOGRAFIA",
                           "LINK",
                           "https://www.appsheet.com/template/gettablefileurl?appName=particulas_magneticas-924373673&amp;tableName=4.reg_fotografico&amp;fileName="&amp;C865                         )
                          )</f>
        <v/>
      </c>
      <c r="F865" s="54" t="str">
        <f t="shared" si="5"/>
        <v/>
      </c>
    </row>
    <row r="866" ht="22.5" customHeight="1">
      <c r="E866" s="54" t="str">
        <f t="array" ref="E866">IF(
                C866 = "",
                "",
                       IF(
                           C866 ="FOTOGRAFIA",
                           "LINK",
                           "https://www.appsheet.com/template/gettablefileurl?appName=particulas_magneticas-924373673&amp;tableName=4.reg_fotografico&amp;fileName="&amp;C866                         )
                          )</f>
        <v/>
      </c>
      <c r="F866" s="54" t="str">
        <f t="shared" si="5"/>
        <v/>
      </c>
    </row>
    <row r="867" ht="22.5" customHeight="1">
      <c r="E867" s="54" t="str">
        <f t="array" ref="E867">IF(
                C867 = "",
                "",
                       IF(
                           C867 ="FOTOGRAFIA",
                           "LINK",
                           "https://www.appsheet.com/template/gettablefileurl?appName=particulas_magneticas-924373673&amp;tableName=4.reg_fotografico&amp;fileName="&amp;C867                         )
                          )</f>
        <v/>
      </c>
      <c r="F867" s="54" t="str">
        <f t="shared" si="5"/>
        <v/>
      </c>
    </row>
    <row r="868" ht="22.5" customHeight="1">
      <c r="E868" s="54" t="str">
        <f t="array" ref="E868">IF(
                C868 = "",
                "",
                       IF(
                           C868 ="FOTOGRAFIA",
                           "LINK",
                           "https://www.appsheet.com/template/gettablefileurl?appName=particulas_magneticas-924373673&amp;tableName=4.reg_fotografico&amp;fileName="&amp;C868                         )
                          )</f>
        <v/>
      </c>
      <c r="F868" s="54" t="str">
        <f t="shared" si="5"/>
        <v/>
      </c>
    </row>
    <row r="869" ht="22.5" customHeight="1">
      <c r="E869" s="54" t="str">
        <f t="array" ref="E869">IF(
                C869 = "",
                "",
                       IF(
                           C869 ="FOTOGRAFIA",
                           "LINK",
                           "https://www.appsheet.com/template/gettablefileurl?appName=particulas_magneticas-924373673&amp;tableName=4.reg_fotografico&amp;fileName="&amp;C869                         )
                          )</f>
        <v/>
      </c>
      <c r="F869" s="54" t="str">
        <f t="shared" si="5"/>
        <v/>
      </c>
    </row>
    <row r="870" ht="22.5" customHeight="1">
      <c r="E870" s="54" t="str">
        <f t="array" ref="E870">IF(
                C870 = "",
                "",
                       IF(
                           C870 ="FOTOGRAFIA",
                           "LINK",
                           "https://www.appsheet.com/template/gettablefileurl?appName=particulas_magneticas-924373673&amp;tableName=4.reg_fotografico&amp;fileName="&amp;C870                         )
                          )</f>
        <v/>
      </c>
      <c r="F870" s="54" t="str">
        <f t="shared" si="5"/>
        <v/>
      </c>
    </row>
    <row r="871" ht="22.5" customHeight="1">
      <c r="E871" s="54" t="str">
        <f t="array" ref="E871">IF(
                C871 = "",
                "",
                       IF(
                           C871 ="FOTOGRAFIA",
                           "LINK",
                           "https://www.appsheet.com/template/gettablefileurl?appName=particulas_magneticas-924373673&amp;tableName=4.reg_fotografico&amp;fileName="&amp;C871                         )
                          )</f>
        <v/>
      </c>
      <c r="F871" s="54" t="str">
        <f t="shared" si="5"/>
        <v/>
      </c>
    </row>
    <row r="872" ht="22.5" customHeight="1">
      <c r="E872" s="54" t="str">
        <f t="array" ref="E872">IF(
                C872 = "",
                "",
                       IF(
                           C872 ="FOTOGRAFIA",
                           "LINK",
                           "https://www.appsheet.com/template/gettablefileurl?appName=particulas_magneticas-924373673&amp;tableName=4.reg_fotografico&amp;fileName="&amp;C872                         )
                          )</f>
        <v/>
      </c>
      <c r="F872" s="54" t="str">
        <f t="shared" si="5"/>
        <v/>
      </c>
    </row>
    <row r="873" ht="22.5" customHeight="1">
      <c r="E873" s="54" t="str">
        <f t="array" ref="E873">IF(
                C873 = "",
                "",
                       IF(
                           C873 ="FOTOGRAFIA",
                           "LINK",
                           "https://www.appsheet.com/template/gettablefileurl?appName=particulas_magneticas-924373673&amp;tableName=4.reg_fotografico&amp;fileName="&amp;C873                         )
                          )</f>
        <v/>
      </c>
      <c r="F873" s="54" t="str">
        <f t="shared" si="5"/>
        <v/>
      </c>
    </row>
    <row r="874" ht="22.5" customHeight="1">
      <c r="E874" s="54" t="str">
        <f t="array" ref="E874">IF(
                C874 = "",
                "",
                       IF(
                           C874 ="FOTOGRAFIA",
                           "LINK",
                           "https://www.appsheet.com/template/gettablefileurl?appName=particulas_magneticas-924373673&amp;tableName=4.reg_fotografico&amp;fileName="&amp;C874                         )
                          )</f>
        <v/>
      </c>
      <c r="F874" s="54" t="str">
        <f t="shared" si="5"/>
        <v/>
      </c>
    </row>
    <row r="875" ht="22.5" customHeight="1">
      <c r="E875" s="54" t="str">
        <f t="array" ref="E875">IF(
                C875 = "",
                "",
                       IF(
                           C875 ="FOTOGRAFIA",
                           "LINK",
                           "https://www.appsheet.com/template/gettablefileurl?appName=particulas_magneticas-924373673&amp;tableName=4.reg_fotografico&amp;fileName="&amp;C875                         )
                          )</f>
        <v/>
      </c>
      <c r="F875" s="54" t="str">
        <f t="shared" si="5"/>
        <v/>
      </c>
    </row>
    <row r="876" ht="22.5" customHeight="1">
      <c r="E876" s="54" t="str">
        <f t="array" ref="E876">IF(
                C876 = "",
                "",
                       IF(
                           C876 ="FOTOGRAFIA",
                           "LINK",
                           "https://www.appsheet.com/template/gettablefileurl?appName=particulas_magneticas-924373673&amp;tableName=4.reg_fotografico&amp;fileName="&amp;C876                         )
                          )</f>
        <v/>
      </c>
      <c r="F876" s="54" t="str">
        <f t="shared" si="5"/>
        <v/>
      </c>
    </row>
    <row r="877" ht="22.5" customHeight="1">
      <c r="E877" s="54" t="str">
        <f t="array" ref="E877">IF(
                C877 = "",
                "",
                       IF(
                           C877 ="FOTOGRAFIA",
                           "LINK",
                           "https://www.appsheet.com/template/gettablefileurl?appName=particulas_magneticas-924373673&amp;tableName=4.reg_fotografico&amp;fileName="&amp;C877                         )
                          )</f>
        <v/>
      </c>
      <c r="F877" s="54" t="str">
        <f t="shared" si="5"/>
        <v/>
      </c>
    </row>
    <row r="878" ht="22.5" customHeight="1">
      <c r="E878" s="54" t="str">
        <f t="array" ref="E878">IF(
                C878 = "",
                "",
                       IF(
                           C878 ="FOTOGRAFIA",
                           "LINK",
                           "https://www.appsheet.com/template/gettablefileurl?appName=particulas_magneticas-924373673&amp;tableName=4.reg_fotografico&amp;fileName="&amp;C878                         )
                          )</f>
        <v/>
      </c>
      <c r="F878" s="54" t="str">
        <f t="shared" si="5"/>
        <v/>
      </c>
    </row>
    <row r="879" ht="22.5" customHeight="1">
      <c r="E879" s="54" t="str">
        <f t="array" ref="E879">IF(
                C879 = "",
                "",
                       IF(
                           C879 ="FOTOGRAFIA",
                           "LINK",
                           "https://www.appsheet.com/template/gettablefileurl?appName=particulas_magneticas-924373673&amp;tableName=4.reg_fotografico&amp;fileName="&amp;C879                         )
                          )</f>
        <v/>
      </c>
      <c r="F879" s="54" t="str">
        <f t="shared" si="5"/>
        <v/>
      </c>
    </row>
    <row r="880" ht="22.5" customHeight="1">
      <c r="E880" s="54" t="str">
        <f t="array" ref="E880">IF(
                C880 = "",
                "",
                       IF(
                           C880 ="FOTOGRAFIA",
                           "LINK",
                           "https://www.appsheet.com/template/gettablefileurl?appName=particulas_magneticas-924373673&amp;tableName=4.reg_fotografico&amp;fileName="&amp;C880                         )
                          )</f>
        <v/>
      </c>
      <c r="F880" s="54" t="str">
        <f t="shared" si="5"/>
        <v/>
      </c>
    </row>
    <row r="881" ht="22.5" customHeight="1">
      <c r="E881" s="54" t="str">
        <f t="array" ref="E881">IF(
                C881 = "",
                "",
                       IF(
                           C881 ="FOTOGRAFIA",
                           "LINK",
                           "https://www.appsheet.com/template/gettablefileurl?appName=particulas_magneticas-924373673&amp;tableName=4.reg_fotografico&amp;fileName="&amp;C881                         )
                          )</f>
        <v/>
      </c>
      <c r="F881" s="54" t="str">
        <f t="shared" si="5"/>
        <v/>
      </c>
    </row>
    <row r="882" ht="22.5" customHeight="1">
      <c r="E882" s="54" t="str">
        <f t="array" ref="E882">IF(
                C882 = "",
                "",
                       IF(
                           C882 ="FOTOGRAFIA",
                           "LINK",
                           "https://www.appsheet.com/template/gettablefileurl?appName=particulas_magneticas-924373673&amp;tableName=4.reg_fotografico&amp;fileName="&amp;C882                         )
                          )</f>
        <v/>
      </c>
      <c r="F882" s="54" t="str">
        <f t="shared" si="5"/>
        <v/>
      </c>
    </row>
    <row r="883" ht="22.5" customHeight="1">
      <c r="E883" s="54" t="str">
        <f t="array" ref="E883">IF(
                C883 = "",
                "",
                       IF(
                           C883 ="FOTOGRAFIA",
                           "LINK",
                           "https://www.appsheet.com/template/gettablefileurl?appName=particulas_magneticas-924373673&amp;tableName=4.reg_fotografico&amp;fileName="&amp;C883                         )
                          )</f>
        <v/>
      </c>
      <c r="F883" s="54" t="str">
        <f t="shared" si="5"/>
        <v/>
      </c>
    </row>
    <row r="884" ht="22.5" customHeight="1">
      <c r="E884" s="54" t="str">
        <f t="array" ref="E884">IF(
                C884 = "",
                "",
                       IF(
                           C884 ="FOTOGRAFIA",
                           "LINK",
                           "https://www.appsheet.com/template/gettablefileurl?appName=particulas_magneticas-924373673&amp;tableName=4.reg_fotografico&amp;fileName="&amp;C884                         )
                          )</f>
        <v/>
      </c>
      <c r="F884" s="54" t="str">
        <f t="shared" si="5"/>
        <v/>
      </c>
    </row>
    <row r="885" ht="22.5" customHeight="1">
      <c r="E885" s="54" t="str">
        <f t="array" ref="E885">IF(
                C885 = "",
                "",
                       IF(
                           C885 ="FOTOGRAFIA",
                           "LINK",
                           "https://www.appsheet.com/template/gettablefileurl?appName=particulas_magneticas-924373673&amp;tableName=4.reg_fotografico&amp;fileName="&amp;C885                         )
                          )</f>
        <v/>
      </c>
      <c r="F885" s="54" t="str">
        <f t="shared" si="5"/>
        <v/>
      </c>
    </row>
    <row r="886" ht="22.5" customHeight="1">
      <c r="E886" s="54" t="str">
        <f t="array" ref="E886">IF(
                C886 = "",
                "",
                       IF(
                           C886 ="FOTOGRAFIA",
                           "LINK",
                           "https://www.appsheet.com/template/gettablefileurl?appName=particulas_magneticas-924373673&amp;tableName=4.reg_fotografico&amp;fileName="&amp;C886                         )
                          )</f>
        <v/>
      </c>
      <c r="F886" s="54" t="str">
        <f t="shared" si="5"/>
        <v/>
      </c>
    </row>
    <row r="887" ht="22.5" customHeight="1">
      <c r="E887" s="54" t="str">
        <f t="array" ref="E887">IF(
                C887 = "",
                "",
                       IF(
                           C887 ="FOTOGRAFIA",
                           "LINK",
                           "https://www.appsheet.com/template/gettablefileurl?appName=particulas_magneticas-924373673&amp;tableName=4.reg_fotografico&amp;fileName="&amp;C887                         )
                          )</f>
        <v/>
      </c>
      <c r="F887" s="54" t="str">
        <f t="shared" si="5"/>
        <v/>
      </c>
    </row>
    <row r="888" ht="22.5" customHeight="1">
      <c r="E888" s="54" t="str">
        <f t="array" ref="E888">IF(
                C888 = "",
                "",
                       IF(
                           C888 ="FOTOGRAFIA",
                           "LINK",
                           "https://www.appsheet.com/template/gettablefileurl?appName=particulas_magneticas-924373673&amp;tableName=4.reg_fotografico&amp;fileName="&amp;C888                         )
                          )</f>
        <v/>
      </c>
      <c r="F888" s="54" t="str">
        <f t="shared" si="5"/>
        <v/>
      </c>
    </row>
    <row r="889" ht="22.5" customHeight="1">
      <c r="E889" s="54" t="str">
        <f t="array" ref="E889">IF(
                C889 = "",
                "",
                       IF(
                           C889 ="FOTOGRAFIA",
                           "LINK",
                           "https://www.appsheet.com/template/gettablefileurl?appName=particulas_magneticas-924373673&amp;tableName=4.reg_fotografico&amp;fileName="&amp;C889                         )
                          )</f>
        <v/>
      </c>
      <c r="F889" s="54" t="str">
        <f t="shared" si="5"/>
        <v/>
      </c>
    </row>
    <row r="890" ht="22.5" customHeight="1">
      <c r="E890" s="54" t="str">
        <f t="array" ref="E890">IF(
                C890 = "",
                "",
                       IF(
                           C890 ="FOTOGRAFIA",
                           "LINK",
                           "https://www.appsheet.com/template/gettablefileurl?appName=particulas_magneticas-924373673&amp;tableName=4.reg_fotografico&amp;fileName="&amp;C890                         )
                          )</f>
        <v/>
      </c>
      <c r="F890" s="54" t="str">
        <f t="shared" si="5"/>
        <v/>
      </c>
    </row>
    <row r="891" ht="22.5" customHeight="1">
      <c r="E891" s="54" t="str">
        <f t="array" ref="E891">IF(
                C891 = "",
                "",
                       IF(
                           C891 ="FOTOGRAFIA",
                           "LINK",
                           "https://www.appsheet.com/template/gettablefileurl?appName=particulas_magneticas-924373673&amp;tableName=4.reg_fotografico&amp;fileName="&amp;C891                         )
                          )</f>
        <v/>
      </c>
      <c r="F891" s="54" t="str">
        <f t="shared" si="5"/>
        <v/>
      </c>
    </row>
    <row r="892" ht="22.5" customHeight="1">
      <c r="E892" s="54" t="str">
        <f t="array" ref="E892">IF(
                C892 = "",
                "",
                       IF(
                           C892 ="FOTOGRAFIA",
                           "LINK",
                           "https://www.appsheet.com/template/gettablefileurl?appName=particulas_magneticas-924373673&amp;tableName=4.reg_fotografico&amp;fileName="&amp;C892                         )
                          )</f>
        <v/>
      </c>
      <c r="F892" s="54" t="str">
        <f t="shared" si="5"/>
        <v/>
      </c>
    </row>
    <row r="893" ht="22.5" customHeight="1">
      <c r="E893" s="54" t="str">
        <f t="array" ref="E893">IF(
                C893 = "",
                "",
                       IF(
                           C893 ="FOTOGRAFIA",
                           "LINK",
                           "https://www.appsheet.com/template/gettablefileurl?appName=particulas_magneticas-924373673&amp;tableName=4.reg_fotografico&amp;fileName="&amp;C893                         )
                          )</f>
        <v/>
      </c>
      <c r="F893" s="54" t="str">
        <f t="shared" si="5"/>
        <v/>
      </c>
    </row>
    <row r="894" ht="22.5" customHeight="1">
      <c r="E894" s="54" t="str">
        <f t="array" ref="E894">IF(
                C894 = "",
                "",
                       IF(
                           C894 ="FOTOGRAFIA",
                           "LINK",
                           "https://www.appsheet.com/template/gettablefileurl?appName=particulas_magneticas-924373673&amp;tableName=4.reg_fotografico&amp;fileName="&amp;C894                         )
                          )</f>
        <v/>
      </c>
      <c r="F894" s="54" t="str">
        <f t="shared" si="5"/>
        <v/>
      </c>
    </row>
    <row r="895" ht="22.5" customHeight="1">
      <c r="E895" s="54" t="str">
        <f t="array" ref="E895">IF(
                C895 = "",
                "",
                       IF(
                           C895 ="FOTOGRAFIA",
                           "LINK",
                           "https://www.appsheet.com/template/gettablefileurl?appName=particulas_magneticas-924373673&amp;tableName=4.reg_fotografico&amp;fileName="&amp;C895                         )
                          )</f>
        <v/>
      </c>
      <c r="F895" s="54" t="str">
        <f t="shared" si="5"/>
        <v/>
      </c>
    </row>
    <row r="896" ht="22.5" customHeight="1">
      <c r="E896" s="54" t="str">
        <f t="array" ref="E896">IF(
                C896 = "",
                "",
                       IF(
                           C896 ="FOTOGRAFIA",
                           "LINK",
                           "https://www.appsheet.com/template/gettablefileurl?appName=particulas_magneticas-924373673&amp;tableName=4.reg_fotografico&amp;fileName="&amp;C896                         )
                          )</f>
        <v/>
      </c>
      <c r="F896" s="54" t="str">
        <f t="shared" si="5"/>
        <v/>
      </c>
    </row>
    <row r="897" ht="22.5" customHeight="1">
      <c r="E897" s="54" t="str">
        <f t="array" ref="E897">IF(
                C897 = "",
                "",
                       IF(
                           C897 ="FOTOGRAFIA",
                           "LINK",
                           "https://www.appsheet.com/template/gettablefileurl?appName=particulas_magneticas-924373673&amp;tableName=4.reg_fotografico&amp;fileName="&amp;C897                         )
                          )</f>
        <v/>
      </c>
      <c r="F897" s="54" t="str">
        <f t="shared" si="5"/>
        <v/>
      </c>
    </row>
    <row r="898" ht="22.5" customHeight="1">
      <c r="E898" s="54" t="str">
        <f t="array" ref="E898">IF(
                C898 = "",
                "",
                       IF(
                           C898 ="FOTOGRAFIA",
                           "LINK",
                           "https://www.appsheet.com/template/gettablefileurl?appName=particulas_magneticas-924373673&amp;tableName=4.reg_fotografico&amp;fileName="&amp;C898                         )
                          )</f>
        <v/>
      </c>
      <c r="F898" s="54" t="str">
        <f t="shared" si="5"/>
        <v/>
      </c>
    </row>
    <row r="899" ht="22.5" customHeight="1">
      <c r="E899" s="54" t="str">
        <f t="array" ref="E899">IF(
                C899 = "",
                "",
                       IF(
                           C899 ="FOTOGRAFIA",
                           "LINK",
                           "https://www.appsheet.com/template/gettablefileurl?appName=particulas_magneticas-924373673&amp;tableName=4.reg_fotografico&amp;fileName="&amp;C899                         )
                          )</f>
        <v/>
      </c>
      <c r="F899" s="54" t="str">
        <f t="shared" si="5"/>
        <v/>
      </c>
    </row>
    <row r="900" ht="22.5" customHeight="1">
      <c r="E900" s="54" t="str">
        <f t="array" ref="E900">IF(
                C900 = "",
                "",
                       IF(
                           C900 ="FOTOGRAFIA",
                           "LINK",
                           "https://www.appsheet.com/template/gettablefileurl?appName=particulas_magneticas-924373673&amp;tableName=4.reg_fotografico&amp;fileName="&amp;C900                         )
                          )</f>
        <v/>
      </c>
      <c r="F900" s="54" t="str">
        <f t="shared" si="5"/>
        <v/>
      </c>
    </row>
    <row r="901" ht="22.5" customHeight="1">
      <c r="E901" s="54" t="str">
        <f t="array" ref="E901">IF(
                C901 = "",
                "",
                       IF(
                           C901 ="FOTOGRAFIA",
                           "LINK",
                           "https://www.appsheet.com/template/gettablefileurl?appName=particulas_magneticas-924373673&amp;tableName=4.reg_fotografico&amp;fileName="&amp;C901                         )
                          )</f>
        <v/>
      </c>
      <c r="F901" s="54" t="str">
        <f t="shared" si="5"/>
        <v/>
      </c>
    </row>
    <row r="902" ht="22.5" customHeight="1">
      <c r="E902" s="54" t="str">
        <f t="array" ref="E902">IF(
                C902 = "",
                "",
                       IF(
                           C902 ="FOTOGRAFIA",
                           "LINK",
                           "https://www.appsheet.com/template/gettablefileurl?appName=particulas_magneticas-924373673&amp;tableName=4.reg_fotografico&amp;fileName="&amp;C902                         )
                          )</f>
        <v/>
      </c>
      <c r="F902" s="54" t="str">
        <f t="shared" si="5"/>
        <v/>
      </c>
    </row>
    <row r="903" ht="22.5" customHeight="1">
      <c r="E903" s="54" t="str">
        <f t="array" ref="E903">IF(
                C903 = "",
                "",
                       IF(
                           C903 ="FOTOGRAFIA",
                           "LINK",
                           "https://www.appsheet.com/template/gettablefileurl?appName=particulas_magneticas-924373673&amp;tableName=4.reg_fotografico&amp;fileName="&amp;C903                         )
                          )</f>
        <v/>
      </c>
      <c r="F903" s="54" t="str">
        <f t="shared" si="5"/>
        <v/>
      </c>
    </row>
    <row r="904" ht="22.5" customHeight="1">
      <c r="E904" s="54" t="str">
        <f t="array" ref="E904">IF(
                C904 = "",
                "",
                       IF(
                           C904 ="FOTOGRAFIA",
                           "LINK",
                           "https://www.appsheet.com/template/gettablefileurl?appName=particulas_magneticas-924373673&amp;tableName=4.reg_fotografico&amp;fileName="&amp;C904                         )
                          )</f>
        <v/>
      </c>
      <c r="F904" s="54" t="str">
        <f t="shared" si="5"/>
        <v/>
      </c>
    </row>
    <row r="905" ht="22.5" customHeight="1">
      <c r="E905" s="54" t="str">
        <f t="array" ref="E905">IF(
                C905 = "",
                "",
                       IF(
                           C905 ="FOTOGRAFIA",
                           "LINK",
                           "https://www.appsheet.com/template/gettablefileurl?appName=particulas_magneticas-924373673&amp;tableName=4.reg_fotografico&amp;fileName="&amp;C905                         )
                          )</f>
        <v/>
      </c>
      <c r="F905" s="54" t="str">
        <f t="shared" si="5"/>
        <v/>
      </c>
    </row>
    <row r="906" ht="22.5" customHeight="1">
      <c r="E906" s="54" t="str">
        <f t="array" ref="E906">IF(
                C906 = "",
                "",
                       IF(
                           C906 ="FOTOGRAFIA",
                           "LINK",
                           "https://www.appsheet.com/template/gettablefileurl?appName=particulas_magneticas-924373673&amp;tableName=4.reg_fotografico&amp;fileName="&amp;C906                         )
                          )</f>
        <v/>
      </c>
      <c r="F906" s="54" t="str">
        <f t="shared" si="5"/>
        <v/>
      </c>
    </row>
    <row r="907" ht="22.5" customHeight="1">
      <c r="E907" s="54" t="str">
        <f t="array" ref="E907">IF(
                C907 = "",
                "",
                       IF(
                           C907 ="FOTOGRAFIA",
                           "LINK",
                           "https://www.appsheet.com/template/gettablefileurl?appName=particulas_magneticas-924373673&amp;tableName=4.reg_fotografico&amp;fileName="&amp;C907                         )
                          )</f>
        <v/>
      </c>
      <c r="F907" s="54" t="str">
        <f t="shared" si="5"/>
        <v/>
      </c>
    </row>
    <row r="908" ht="22.5" customHeight="1">
      <c r="E908" s="54" t="str">
        <f t="array" ref="E908">IF(
                C908 = "",
                "",
                       IF(
                           C908 ="FOTOGRAFIA",
                           "LINK",
                           "https://www.appsheet.com/template/gettablefileurl?appName=particulas_magneticas-924373673&amp;tableName=4.reg_fotografico&amp;fileName="&amp;C908                         )
                          )</f>
        <v/>
      </c>
      <c r="F908" s="54" t="str">
        <f t="shared" si="5"/>
        <v/>
      </c>
    </row>
    <row r="909" ht="22.5" customHeight="1">
      <c r="E909" s="54" t="str">
        <f t="array" ref="E909">IF(
                C909 = "",
                "",
                       IF(
                           C909 ="FOTOGRAFIA",
                           "LINK",
                           "https://www.appsheet.com/template/gettablefileurl?appName=particulas_magneticas-924373673&amp;tableName=4.reg_fotografico&amp;fileName="&amp;C909                         )
                          )</f>
        <v/>
      </c>
      <c r="F909" s="54" t="str">
        <f t="shared" si="5"/>
        <v/>
      </c>
    </row>
    <row r="910" ht="22.5" customHeight="1">
      <c r="E910" s="54" t="str">
        <f t="array" ref="E910">IF(
                C910 = "",
                "",
                       IF(
                           C910 ="FOTOGRAFIA",
                           "LINK",
                           "https://www.appsheet.com/template/gettablefileurl?appName=particulas_magneticas-924373673&amp;tableName=4.reg_fotografico&amp;fileName="&amp;C910                         )
                          )</f>
        <v/>
      </c>
      <c r="F910" s="54" t="str">
        <f t="shared" si="5"/>
        <v/>
      </c>
    </row>
    <row r="911" ht="22.5" customHeight="1">
      <c r="E911" s="54" t="str">
        <f t="array" ref="E911">IF(
                C911 = "",
                "",
                       IF(
                           C911 ="FOTOGRAFIA",
                           "LINK",
                           "https://www.appsheet.com/template/gettablefileurl?appName=particulas_magneticas-924373673&amp;tableName=4.reg_fotografico&amp;fileName="&amp;C911                         )
                          )</f>
        <v/>
      </c>
      <c r="F911" s="54" t="str">
        <f t="shared" si="5"/>
        <v/>
      </c>
    </row>
    <row r="912" ht="22.5" customHeight="1">
      <c r="E912" s="54" t="str">
        <f t="array" ref="E912">IF(
                C912 = "",
                "",
                       IF(
                           C912 ="FOTOGRAFIA",
                           "LINK",
                           "https://www.appsheet.com/template/gettablefileurl?appName=particulas_magneticas-924373673&amp;tableName=4.reg_fotografico&amp;fileName="&amp;C912                         )
                          )</f>
        <v/>
      </c>
      <c r="F912" s="54" t="str">
        <f t="shared" si="5"/>
        <v/>
      </c>
    </row>
    <row r="913" ht="22.5" customHeight="1">
      <c r="E913" s="54" t="str">
        <f t="array" ref="E913">IF(
                C913 = "",
                "",
                       IF(
                           C913 ="FOTOGRAFIA",
                           "LINK",
                           "https://www.appsheet.com/template/gettablefileurl?appName=particulas_magneticas-924373673&amp;tableName=4.reg_fotografico&amp;fileName="&amp;C913                         )
                          )</f>
        <v/>
      </c>
      <c r="F913" s="54" t="str">
        <f t="shared" si="5"/>
        <v/>
      </c>
    </row>
    <row r="914" ht="22.5" customHeight="1">
      <c r="E914" s="54" t="str">
        <f t="array" ref="E914">IF(
                C914 = "",
                "",
                       IF(
                           C914 ="FOTOGRAFIA",
                           "LINK",
                           "https://www.appsheet.com/template/gettablefileurl?appName=particulas_magneticas-924373673&amp;tableName=4.reg_fotografico&amp;fileName="&amp;C914                         )
                          )</f>
        <v/>
      </c>
      <c r="F914" s="54" t="str">
        <f t="shared" si="5"/>
        <v/>
      </c>
    </row>
    <row r="915" ht="22.5" customHeight="1">
      <c r="E915" s="54" t="str">
        <f t="array" ref="E915">IF(
                C915 = "",
                "",
                       IF(
                           C915 ="FOTOGRAFIA",
                           "LINK",
                           "https://www.appsheet.com/template/gettablefileurl?appName=particulas_magneticas-924373673&amp;tableName=4.reg_fotografico&amp;fileName="&amp;C915                         )
                          )</f>
        <v/>
      </c>
      <c r="F915" s="54" t="str">
        <f t="shared" si="5"/>
        <v/>
      </c>
    </row>
    <row r="916" ht="22.5" customHeight="1">
      <c r="E916" s="54" t="str">
        <f t="array" ref="E916">IF(
                C916 = "",
                "",
                       IF(
                           C916 ="FOTOGRAFIA",
                           "LINK",
                           "https://www.appsheet.com/template/gettablefileurl?appName=particulas_magneticas-924373673&amp;tableName=4.reg_fotografico&amp;fileName="&amp;C916                         )
                          )</f>
        <v/>
      </c>
      <c r="F916" s="54" t="str">
        <f t="shared" si="5"/>
        <v/>
      </c>
    </row>
    <row r="917" ht="22.5" customHeight="1">
      <c r="E917" s="54" t="str">
        <f t="array" ref="E917">IF(
                C917 = "",
                "",
                       IF(
                           C917 ="FOTOGRAFIA",
                           "LINK",
                           "https://www.appsheet.com/template/gettablefileurl?appName=particulas_magneticas-924373673&amp;tableName=4.reg_fotografico&amp;fileName="&amp;C917                         )
                          )</f>
        <v/>
      </c>
      <c r="F917" s="54" t="str">
        <f t="shared" si="5"/>
        <v/>
      </c>
    </row>
    <row r="918" ht="22.5" customHeight="1">
      <c r="E918" s="54" t="str">
        <f t="array" ref="E918">IF(
                C918 = "",
                "",
                       IF(
                           C918 ="FOTOGRAFIA",
                           "LINK",
                           "https://www.appsheet.com/template/gettablefileurl?appName=particulas_magneticas-924373673&amp;tableName=4.reg_fotografico&amp;fileName="&amp;C918                         )
                          )</f>
        <v/>
      </c>
      <c r="F918" s="54" t="str">
        <f t="shared" si="5"/>
        <v/>
      </c>
    </row>
    <row r="919" ht="22.5" customHeight="1">
      <c r="E919" s="54" t="str">
        <f t="array" ref="E919">IF(
                C919 = "",
                "",
                       IF(
                           C919 ="FOTOGRAFIA",
                           "LINK",
                           "https://www.appsheet.com/template/gettablefileurl?appName=particulas_magneticas-924373673&amp;tableName=4.reg_fotografico&amp;fileName="&amp;C919                         )
                          )</f>
        <v/>
      </c>
      <c r="F919" s="54" t="str">
        <f t="shared" si="5"/>
        <v/>
      </c>
    </row>
    <row r="920" ht="22.5" customHeight="1">
      <c r="E920" s="54" t="str">
        <f t="array" ref="E920">IF(
                C920 = "",
                "",
                       IF(
                           C920 ="FOTOGRAFIA",
                           "LINK",
                           "https://www.appsheet.com/template/gettablefileurl?appName=particulas_magneticas-924373673&amp;tableName=4.reg_fotografico&amp;fileName="&amp;C920                         )
                          )</f>
        <v/>
      </c>
      <c r="F920" s="54" t="str">
        <f t="shared" si="5"/>
        <v/>
      </c>
    </row>
    <row r="921" ht="22.5" customHeight="1">
      <c r="E921" s="54" t="str">
        <f t="array" ref="E921">IF(
                C921 = "",
                "",
                       IF(
                           C921 ="FOTOGRAFIA",
                           "LINK",
                           "https://www.appsheet.com/template/gettablefileurl?appName=particulas_magneticas-924373673&amp;tableName=4.reg_fotografico&amp;fileName="&amp;C921                         )
                          )</f>
        <v/>
      </c>
      <c r="F921" s="54" t="str">
        <f t="shared" si="5"/>
        <v/>
      </c>
    </row>
    <row r="922" ht="22.5" customHeight="1">
      <c r="E922" s="54" t="str">
        <f t="array" ref="E922">IF(
                C922 = "",
                "",
                       IF(
                           C922 ="FOTOGRAFIA",
                           "LINK",
                           "https://www.appsheet.com/template/gettablefileurl?appName=particulas_magneticas-924373673&amp;tableName=4.reg_fotografico&amp;fileName="&amp;C922                         )
                          )</f>
        <v/>
      </c>
      <c r="F922" s="54" t="str">
        <f t="shared" si="5"/>
        <v/>
      </c>
    </row>
    <row r="923" ht="22.5" customHeight="1">
      <c r="E923" s="54" t="str">
        <f t="array" ref="E923">IF(
                C923 = "",
                "",
                       IF(
                           C923 ="FOTOGRAFIA",
                           "LINK",
                           "https://www.appsheet.com/template/gettablefileurl?appName=particulas_magneticas-924373673&amp;tableName=4.reg_fotografico&amp;fileName="&amp;C923                         )
                          )</f>
        <v/>
      </c>
      <c r="F923" s="54" t="str">
        <f t="shared" si="5"/>
        <v/>
      </c>
    </row>
    <row r="924" ht="22.5" customHeight="1">
      <c r="E924" s="54" t="str">
        <f t="array" ref="E924">IF(
                C924 = "",
                "",
                       IF(
                           C924 ="FOTOGRAFIA",
                           "LINK",
                           "https://www.appsheet.com/template/gettablefileurl?appName=particulas_magneticas-924373673&amp;tableName=4.reg_fotografico&amp;fileName="&amp;C924                         )
                          )</f>
        <v/>
      </c>
      <c r="F924" s="54" t="str">
        <f t="shared" si="5"/>
        <v/>
      </c>
    </row>
    <row r="925" ht="22.5" customHeight="1">
      <c r="E925" s="54" t="str">
        <f t="array" ref="E925">IF(
                C925 = "",
                "",
                       IF(
                           C925 ="FOTOGRAFIA",
                           "LINK",
                           "https://www.appsheet.com/template/gettablefileurl?appName=particulas_magneticas-924373673&amp;tableName=4.reg_fotografico&amp;fileName="&amp;C925                         )
                          )</f>
        <v/>
      </c>
      <c r="F925" s="54" t="str">
        <f t="shared" si="5"/>
        <v/>
      </c>
    </row>
    <row r="926" ht="22.5" customHeight="1">
      <c r="E926" s="54" t="str">
        <f t="array" ref="E926">IF(
                C926 = "",
                "",
                       IF(
                           C926 ="FOTOGRAFIA",
                           "LINK",
                           "https://www.appsheet.com/template/gettablefileurl?appName=particulas_magneticas-924373673&amp;tableName=4.reg_fotografico&amp;fileName="&amp;C926                         )
                          )</f>
        <v/>
      </c>
      <c r="F926" s="54" t="str">
        <f t="shared" si="5"/>
        <v/>
      </c>
    </row>
    <row r="927" ht="22.5" customHeight="1">
      <c r="E927" s="54" t="str">
        <f t="array" ref="E927">IF(
                C927 = "",
                "",
                       IF(
                           C927 ="FOTOGRAFIA",
                           "LINK",
                           "https://www.appsheet.com/template/gettablefileurl?appName=particulas_magneticas-924373673&amp;tableName=4.reg_fotografico&amp;fileName="&amp;C927                         )
                          )</f>
        <v/>
      </c>
      <c r="F927" s="54" t="str">
        <f t="shared" si="5"/>
        <v/>
      </c>
    </row>
    <row r="928" ht="22.5" customHeight="1">
      <c r="E928" s="54" t="str">
        <f t="array" ref="E928">IF(
                C928 = "",
                "",
                       IF(
                           C928 ="FOTOGRAFIA",
                           "LINK",
                           "https://www.appsheet.com/template/gettablefileurl?appName=particulas_magneticas-924373673&amp;tableName=4.reg_fotografico&amp;fileName="&amp;C928                         )
                          )</f>
        <v/>
      </c>
      <c r="F928" s="54" t="str">
        <f t="shared" si="5"/>
        <v/>
      </c>
    </row>
    <row r="929" ht="22.5" customHeight="1">
      <c r="E929" s="54" t="str">
        <f t="array" ref="E929">IF(
                C929 = "",
                "",
                       IF(
                           C929 ="FOTOGRAFIA",
                           "LINK",
                           "https://www.appsheet.com/template/gettablefileurl?appName=particulas_magneticas-924373673&amp;tableName=4.reg_fotografico&amp;fileName="&amp;C929                         )
                          )</f>
        <v/>
      </c>
      <c r="F929" s="54" t="str">
        <f t="shared" si="5"/>
        <v/>
      </c>
    </row>
    <row r="930" ht="22.5" customHeight="1">
      <c r="E930" s="54" t="str">
        <f t="array" ref="E930">IF(
                C930 = "",
                "",
                       IF(
                           C930 ="FOTOGRAFIA",
                           "LINK",
                           "https://www.appsheet.com/template/gettablefileurl?appName=particulas_magneticas-924373673&amp;tableName=4.reg_fotografico&amp;fileName="&amp;C930                         )
                          )</f>
        <v/>
      </c>
      <c r="F930" s="54" t="str">
        <f t="shared" si="5"/>
        <v/>
      </c>
    </row>
    <row r="931" ht="22.5" customHeight="1">
      <c r="E931" s="54" t="str">
        <f t="array" ref="E931">IF(
                C931 = "",
                "",
                       IF(
                           C931 ="FOTOGRAFIA",
                           "LINK",
                           "https://www.appsheet.com/template/gettablefileurl?appName=particulas_magneticas-924373673&amp;tableName=4.reg_fotografico&amp;fileName="&amp;C931                         )
                          )</f>
        <v/>
      </c>
      <c r="F931" s="54" t="str">
        <f t="shared" si="5"/>
        <v/>
      </c>
    </row>
    <row r="932" ht="22.5" customHeight="1">
      <c r="E932" s="54" t="str">
        <f t="array" ref="E932">IF(
                C932 = "",
                "",
                       IF(
                           C932 ="FOTOGRAFIA",
                           "LINK",
                           "https://www.appsheet.com/template/gettablefileurl?appName=particulas_magneticas-924373673&amp;tableName=4.reg_fotografico&amp;fileName="&amp;C932                         )
                          )</f>
        <v/>
      </c>
      <c r="F932" s="54" t="str">
        <f t="shared" si="5"/>
        <v/>
      </c>
    </row>
    <row r="933" ht="22.5" customHeight="1">
      <c r="E933" s="54" t="str">
        <f t="array" ref="E933">IF(
                C933 = "",
                "",
                       IF(
                           C933 ="FOTOGRAFIA",
                           "LINK",
                           "https://www.appsheet.com/template/gettablefileurl?appName=particulas_magneticas-924373673&amp;tableName=4.reg_fotografico&amp;fileName="&amp;C933                         )
                          )</f>
        <v/>
      </c>
      <c r="F933" s="54" t="str">
        <f t="shared" si="5"/>
        <v/>
      </c>
    </row>
    <row r="934" ht="22.5" customHeight="1">
      <c r="E934" s="54" t="str">
        <f t="array" ref="E934">IF(
                C934 = "",
                "",
                       IF(
                           C934 ="FOTOGRAFIA",
                           "LINK",
                           "https://www.appsheet.com/template/gettablefileurl?appName=particulas_magneticas-924373673&amp;tableName=4.reg_fotografico&amp;fileName="&amp;C934                         )
                          )</f>
        <v/>
      </c>
      <c r="F934" s="54" t="str">
        <f t="shared" si="5"/>
        <v/>
      </c>
    </row>
    <row r="935" ht="22.5" customHeight="1">
      <c r="E935" s="54" t="str">
        <f t="array" ref="E935">IF(
                C935 = "",
                "",
                       IF(
                           C935 ="FOTOGRAFIA",
                           "LINK",
                           "https://www.appsheet.com/template/gettablefileurl?appName=particulas_magneticas-924373673&amp;tableName=4.reg_fotografico&amp;fileName="&amp;C935                         )
                          )</f>
        <v/>
      </c>
      <c r="F935" s="54" t="str">
        <f t="shared" si="5"/>
        <v/>
      </c>
    </row>
    <row r="936" ht="22.5" customHeight="1">
      <c r="E936" s="54" t="str">
        <f t="array" ref="E936">IF(
                C936 = "",
                "",
                       IF(
                           C936 ="FOTOGRAFIA",
                           "LINK",
                           "https://www.appsheet.com/template/gettablefileurl?appName=particulas_magneticas-924373673&amp;tableName=4.reg_fotografico&amp;fileName="&amp;C936                         )
                          )</f>
        <v/>
      </c>
      <c r="F936" s="54" t="str">
        <f t="shared" si="5"/>
        <v/>
      </c>
    </row>
    <row r="937" ht="22.5" customHeight="1">
      <c r="E937" s="54" t="str">
        <f t="array" ref="E937">IF(
                C937 = "",
                "",
                       IF(
                           C937 ="FOTOGRAFIA",
                           "LINK",
                           "https://www.appsheet.com/template/gettablefileurl?appName=particulas_magneticas-924373673&amp;tableName=4.reg_fotografico&amp;fileName="&amp;C937                         )
                          )</f>
        <v/>
      </c>
      <c r="F937" s="54" t="str">
        <f t="shared" si="5"/>
        <v/>
      </c>
    </row>
    <row r="938" ht="22.5" customHeight="1">
      <c r="E938" s="54" t="str">
        <f t="array" ref="E938">IF(
                C938 = "",
                "",
                       IF(
                           C938 ="FOTOGRAFIA",
                           "LINK",
                           "https://www.appsheet.com/template/gettablefileurl?appName=particulas_magneticas-924373673&amp;tableName=4.reg_fotografico&amp;fileName="&amp;C938                         )
                          )</f>
        <v/>
      </c>
      <c r="F938" s="54" t="str">
        <f t="shared" si="5"/>
        <v/>
      </c>
    </row>
    <row r="939" ht="22.5" customHeight="1">
      <c r="E939" s="54" t="str">
        <f t="array" ref="E939">IF(
                C939 = "",
                "",
                       IF(
                           C939 ="FOTOGRAFIA",
                           "LINK",
                           "https://www.appsheet.com/template/gettablefileurl?appName=particulas_magneticas-924373673&amp;tableName=4.reg_fotografico&amp;fileName="&amp;C939                         )
                          )</f>
        <v/>
      </c>
      <c r="F939" s="54" t="str">
        <f t="shared" si="5"/>
        <v/>
      </c>
    </row>
    <row r="940" ht="22.5" customHeight="1">
      <c r="E940" s="54" t="str">
        <f t="array" ref="E940">IF(
                C940 = "",
                "",
                       IF(
                           C940 ="FOTOGRAFIA",
                           "LINK",
                           "https://www.appsheet.com/template/gettablefileurl?appName=particulas_magneticas-924373673&amp;tableName=4.reg_fotografico&amp;fileName="&amp;C940                         )
                          )</f>
        <v/>
      </c>
      <c r="F940" s="54" t="str">
        <f t="shared" si="5"/>
        <v/>
      </c>
    </row>
    <row r="941" ht="22.5" customHeight="1">
      <c r="E941" s="54" t="str">
        <f t="array" ref="E941">IF(
                C941 = "",
                "",
                       IF(
                           C941 ="FOTOGRAFIA",
                           "LINK",
                           "https://www.appsheet.com/template/gettablefileurl?appName=particulas_magneticas-924373673&amp;tableName=4.reg_fotografico&amp;fileName="&amp;C941                         )
                          )</f>
        <v/>
      </c>
      <c r="F941" s="54" t="str">
        <f t="shared" si="5"/>
        <v/>
      </c>
    </row>
    <row r="942" ht="22.5" customHeight="1">
      <c r="E942" s="54" t="str">
        <f t="array" ref="E942">IF(
                C942 = "",
                "",
                       IF(
                           C942 ="FOTOGRAFIA",
                           "LINK",
                           "https://www.appsheet.com/template/gettablefileurl?appName=particulas_magneticas-924373673&amp;tableName=4.reg_fotografico&amp;fileName="&amp;C942                         )
                          )</f>
        <v/>
      </c>
      <c r="F942" s="54" t="str">
        <f t="shared" si="5"/>
        <v/>
      </c>
    </row>
    <row r="943" ht="22.5" customHeight="1">
      <c r="E943" s="54" t="str">
        <f t="array" ref="E943">IF(
                C943 = "",
                "",
                       IF(
                           C943 ="FOTOGRAFIA",
                           "LINK",
                           "https://www.appsheet.com/template/gettablefileurl?appName=particulas_magneticas-924373673&amp;tableName=4.reg_fotografico&amp;fileName="&amp;C943                         )
                          )</f>
        <v/>
      </c>
      <c r="F943" s="54" t="str">
        <f t="shared" si="5"/>
        <v/>
      </c>
    </row>
    <row r="944" ht="22.5" customHeight="1">
      <c r="E944" s="54" t="str">
        <f t="array" ref="E944">IF(
                C944 = "",
                "",
                       IF(
                           C944 ="FOTOGRAFIA",
                           "LINK",
                           "https://www.appsheet.com/template/gettablefileurl?appName=particulas_magneticas-924373673&amp;tableName=4.reg_fotografico&amp;fileName="&amp;C944                         )
                          )</f>
        <v/>
      </c>
      <c r="F944" s="54" t="str">
        <f t="shared" si="5"/>
        <v/>
      </c>
    </row>
    <row r="945" ht="22.5" customHeight="1">
      <c r="E945" s="54" t="str">
        <f t="array" ref="E945">IF(
                C945 = "",
                "",
                       IF(
                           C945 ="FOTOGRAFIA",
                           "LINK",
                           "https://www.appsheet.com/template/gettablefileurl?appName=particulas_magneticas-924373673&amp;tableName=4.reg_fotografico&amp;fileName="&amp;C945                         )
                          )</f>
        <v/>
      </c>
      <c r="F945" s="54" t="str">
        <f t="shared" si="5"/>
        <v/>
      </c>
    </row>
    <row r="946" ht="22.5" customHeight="1">
      <c r="E946" s="54" t="str">
        <f t="array" ref="E946">IF(
                C946 = "",
                "",
                       IF(
                           C946 ="FOTOGRAFIA",
                           "LINK",
                           "https://www.appsheet.com/template/gettablefileurl?appName=particulas_magneticas-924373673&amp;tableName=4.reg_fotografico&amp;fileName="&amp;C946                         )
                          )</f>
        <v/>
      </c>
      <c r="F946" s="54" t="str">
        <f t="shared" si="5"/>
        <v/>
      </c>
    </row>
    <row r="947" ht="22.5" customHeight="1">
      <c r="E947" s="54" t="str">
        <f t="array" ref="E947">IF(
                C947 = "",
                "",
                       IF(
                           C947 ="FOTOGRAFIA",
                           "LINK",
                           "https://www.appsheet.com/template/gettablefileurl?appName=particulas_magneticas-924373673&amp;tableName=4.reg_fotografico&amp;fileName="&amp;C947                         )
                          )</f>
        <v/>
      </c>
      <c r="F947" s="54" t="str">
        <f t="shared" si="5"/>
        <v/>
      </c>
    </row>
    <row r="948" ht="22.5" customHeight="1">
      <c r="E948" s="54" t="str">
        <f t="array" ref="E948">IF(
                C948 = "",
                "",
                       IF(
                           C948 ="FOTOGRAFIA",
                           "LINK",
                           "https://www.appsheet.com/template/gettablefileurl?appName=particulas_magneticas-924373673&amp;tableName=4.reg_fotografico&amp;fileName="&amp;C948                         )
                          )</f>
        <v/>
      </c>
      <c r="F948" s="54" t="str">
        <f t="shared" si="5"/>
        <v/>
      </c>
    </row>
    <row r="949" ht="22.5" customHeight="1">
      <c r="E949" s="54" t="str">
        <f t="array" ref="E949">IF(
                C949 = "",
                "",
                       IF(
                           C949 ="FOTOGRAFIA",
                           "LINK",
                           "https://www.appsheet.com/template/gettablefileurl?appName=particulas_magneticas-924373673&amp;tableName=4.reg_fotografico&amp;fileName="&amp;C949                         )
                          )</f>
        <v/>
      </c>
      <c r="F949" s="54" t="str">
        <f t="shared" si="5"/>
        <v/>
      </c>
    </row>
    <row r="950" ht="22.5" customHeight="1">
      <c r="E950" s="54" t="str">
        <f t="array" ref="E950">IF(
                C950 = "",
                "",
                       IF(
                           C950 ="FOTOGRAFIA",
                           "LINK",
                           "https://www.appsheet.com/template/gettablefileurl?appName=particulas_magneticas-924373673&amp;tableName=4.reg_fotografico&amp;fileName="&amp;C950                         )
                          )</f>
        <v/>
      </c>
      <c r="F950" s="54" t="str">
        <f t="shared" si="5"/>
        <v/>
      </c>
    </row>
    <row r="951" ht="22.5" customHeight="1">
      <c r="E951" s="54" t="str">
        <f t="array" ref="E951">IF(
                C951 = "",
                "",
                       IF(
                           C951 ="FOTOGRAFIA",
                           "LINK",
                           "https://www.appsheet.com/template/gettablefileurl?appName=particulas_magneticas-924373673&amp;tableName=4.reg_fotografico&amp;fileName="&amp;C951                         )
                          )</f>
        <v/>
      </c>
      <c r="F951" s="54" t="str">
        <f t="shared" si="5"/>
        <v/>
      </c>
    </row>
    <row r="952" ht="22.5" customHeight="1">
      <c r="E952" s="54" t="str">
        <f t="array" ref="E952">IF(
                C952 = "",
                "",
                       IF(
                           C952 ="FOTOGRAFIA",
                           "LINK",
                           "https://www.appsheet.com/template/gettablefileurl?appName=particulas_magneticas-924373673&amp;tableName=4.reg_fotografico&amp;fileName="&amp;C952                         )
                          )</f>
        <v/>
      </c>
      <c r="F952" s="54" t="str">
        <f t="shared" si="5"/>
        <v/>
      </c>
    </row>
    <row r="953" ht="22.5" customHeight="1">
      <c r="E953" s="54" t="str">
        <f t="array" ref="E953">IF(
                C953 = "",
                "",
                       IF(
                           C953 ="FOTOGRAFIA",
                           "LINK",
                           "https://www.appsheet.com/template/gettablefileurl?appName=particulas_magneticas-924373673&amp;tableName=4.reg_fotografico&amp;fileName="&amp;C953                         )
                          )</f>
        <v/>
      </c>
      <c r="F953" s="54" t="str">
        <f t="shared" si="5"/>
        <v/>
      </c>
    </row>
    <row r="954" ht="22.5" customHeight="1">
      <c r="E954" s="54" t="str">
        <f t="array" ref="E954">IF(
                C954 = "",
                "",
                       IF(
                           C954 ="FOTOGRAFIA",
                           "LINK",
                           "https://www.appsheet.com/template/gettablefileurl?appName=particulas_magneticas-924373673&amp;tableName=4.reg_fotografico&amp;fileName="&amp;C954                         )
                          )</f>
        <v/>
      </c>
      <c r="F954" s="54" t="str">
        <f t="shared" si="5"/>
        <v/>
      </c>
    </row>
    <row r="955" ht="22.5" customHeight="1">
      <c r="E955" s="54" t="str">
        <f t="array" ref="E955">IF(
                C955 = "",
                "",
                       IF(
                           C955 ="FOTOGRAFIA",
                           "LINK",
                           "https://www.appsheet.com/template/gettablefileurl?appName=particulas_magneticas-924373673&amp;tableName=4.reg_fotografico&amp;fileName="&amp;C955                         )
                          )</f>
        <v/>
      </c>
      <c r="F955" s="54" t="str">
        <f t="shared" si="5"/>
        <v/>
      </c>
    </row>
    <row r="956" ht="22.5" customHeight="1">
      <c r="E956" s="54" t="str">
        <f t="array" ref="E956">IF(
                C956 = "",
                "",
                       IF(
                           C956 ="FOTOGRAFIA",
                           "LINK",
                           "https://www.appsheet.com/template/gettablefileurl?appName=particulas_magneticas-924373673&amp;tableName=4.reg_fotografico&amp;fileName="&amp;C956                         )
                          )</f>
        <v/>
      </c>
      <c r="F956" s="54" t="str">
        <f t="shared" si="5"/>
        <v/>
      </c>
    </row>
    <row r="957" ht="22.5" customHeight="1">
      <c r="E957" s="54" t="str">
        <f t="array" ref="E957">IF(
                C957 = "",
                "",
                       IF(
                           C957 ="FOTOGRAFIA",
                           "LINK",
                           "https://www.appsheet.com/template/gettablefileurl?appName=particulas_magneticas-924373673&amp;tableName=4.reg_fotografico&amp;fileName="&amp;C957                         )
                          )</f>
        <v/>
      </c>
      <c r="F957" s="54" t="str">
        <f t="shared" si="5"/>
        <v/>
      </c>
    </row>
    <row r="958" ht="22.5" customHeight="1">
      <c r="E958" s="54" t="str">
        <f t="array" ref="E958">IF(
                C958 = "",
                "",
                       IF(
                           C958 ="FOTOGRAFIA",
                           "LINK",
                           "https://www.appsheet.com/template/gettablefileurl?appName=particulas_magneticas-924373673&amp;tableName=4.reg_fotografico&amp;fileName="&amp;C958                         )
                          )</f>
        <v/>
      </c>
      <c r="F958" s="54" t="str">
        <f t="shared" si="5"/>
        <v/>
      </c>
    </row>
    <row r="959" ht="22.5" customHeight="1">
      <c r="E959" s="54" t="str">
        <f t="array" ref="E959">IF(
                C959 = "",
                "",
                       IF(
                           C959 ="FOTOGRAFIA",
                           "LINK",
                           "https://www.appsheet.com/template/gettablefileurl?appName=particulas_magneticas-924373673&amp;tableName=4.reg_fotografico&amp;fileName="&amp;C959                         )
                          )</f>
        <v/>
      </c>
      <c r="F959" s="54" t="str">
        <f t="shared" si="5"/>
        <v/>
      </c>
    </row>
    <row r="960" ht="22.5" customHeight="1">
      <c r="E960" s="54" t="str">
        <f t="array" ref="E960">IF(
                C960 = "",
                "",
                       IF(
                           C960 ="FOTOGRAFIA",
                           "LINK",
                           "https://www.appsheet.com/template/gettablefileurl?appName=particulas_magneticas-924373673&amp;tableName=4.reg_fotografico&amp;fileName="&amp;C960                         )
                          )</f>
        <v/>
      </c>
      <c r="F960" s="54" t="str">
        <f t="shared" si="5"/>
        <v/>
      </c>
    </row>
    <row r="961" ht="22.5" customHeight="1">
      <c r="E961" s="54" t="str">
        <f t="array" ref="E961">IF(
                C961 = "",
                "",
                       IF(
                           C961 ="FOTOGRAFIA",
                           "LINK",
                           "https://www.appsheet.com/template/gettablefileurl?appName=particulas_magneticas-924373673&amp;tableName=4.reg_fotografico&amp;fileName="&amp;C961                         )
                          )</f>
        <v/>
      </c>
      <c r="F961" s="54" t="str">
        <f t="shared" si="5"/>
        <v/>
      </c>
    </row>
    <row r="962" ht="22.5" customHeight="1">
      <c r="E962" s="54" t="str">
        <f t="array" ref="E962">IF(
                C962 = "",
                "",
                       IF(
                           C962 ="FOTOGRAFIA",
                           "LINK",
                           "https://www.appsheet.com/template/gettablefileurl?appName=particulas_magneticas-924373673&amp;tableName=4.reg_fotografico&amp;fileName="&amp;C962                         )
                          )</f>
        <v/>
      </c>
      <c r="F962" s="54" t="str">
        <f t="shared" si="5"/>
        <v/>
      </c>
    </row>
    <row r="963" ht="22.5" customHeight="1">
      <c r="E963" s="54" t="str">
        <f t="array" ref="E963">IF(
                C963 = "",
                "",
                       IF(
                           C963 ="FOTOGRAFIA",
                           "LINK",
                           "https://www.appsheet.com/template/gettablefileurl?appName=particulas_magneticas-924373673&amp;tableName=4.reg_fotografico&amp;fileName="&amp;C963                         )
                          )</f>
        <v/>
      </c>
      <c r="F963" s="54" t="str">
        <f t="shared" si="5"/>
        <v/>
      </c>
    </row>
    <row r="964" ht="22.5" customHeight="1">
      <c r="E964" s="54" t="str">
        <f t="array" ref="E964">IF(
                C964 = "",
                "",
                       IF(
                           C964 ="FOTOGRAFIA",
                           "LINK",
                           "https://www.appsheet.com/template/gettablefileurl?appName=particulas_magneticas-924373673&amp;tableName=4.reg_fotografico&amp;fileName="&amp;C964                         )
                          )</f>
        <v/>
      </c>
      <c r="F964" s="54" t="str">
        <f t="shared" si="5"/>
        <v/>
      </c>
    </row>
    <row r="965" ht="22.5" customHeight="1">
      <c r="E965" s="54" t="str">
        <f t="array" ref="E965">IF(
                C965 = "",
                "",
                       IF(
                           C965 ="FOTOGRAFIA",
                           "LINK",
                           "https://www.appsheet.com/template/gettablefileurl?appName=particulas_magneticas-924373673&amp;tableName=4.reg_fotografico&amp;fileName="&amp;C965                         )
                          )</f>
        <v/>
      </c>
      <c r="F965" s="54" t="str">
        <f t="shared" si="5"/>
        <v/>
      </c>
    </row>
    <row r="966" ht="22.5" customHeight="1">
      <c r="E966" s="54" t="str">
        <f t="array" ref="E966">IF(
                C966 = "",
                "",
                       IF(
                           C966 ="FOTOGRAFIA",
                           "LINK",
                           "https://www.appsheet.com/template/gettablefileurl?appName=particulas_magneticas-924373673&amp;tableName=4.reg_fotografico&amp;fileName="&amp;C966                         )
                          )</f>
        <v/>
      </c>
      <c r="F966" s="54" t="str">
        <f t="shared" si="5"/>
        <v/>
      </c>
    </row>
    <row r="967" ht="22.5" customHeight="1">
      <c r="E967" s="54" t="str">
        <f t="array" ref="E967">IF(
                C967 = "",
                "",
                       IF(
                           C967 ="FOTOGRAFIA",
                           "LINK",
                           "https://www.appsheet.com/template/gettablefileurl?appName=particulas_magneticas-924373673&amp;tableName=4.reg_fotografico&amp;fileName="&amp;C967                         )
                          )</f>
        <v/>
      </c>
      <c r="F967" s="54" t="str">
        <f t="shared" si="5"/>
        <v/>
      </c>
    </row>
    <row r="968" ht="22.5" customHeight="1">
      <c r="E968" s="54" t="str">
        <f t="array" ref="E968">IF(
                C968 = "",
                "",
                       IF(
                           C968 ="FOTOGRAFIA",
                           "LINK",
                           "https://www.appsheet.com/template/gettablefileurl?appName=particulas_magneticas-924373673&amp;tableName=4.reg_fotografico&amp;fileName="&amp;C968                         )
                          )</f>
        <v/>
      </c>
      <c r="F968" s="54" t="str">
        <f t="shared" si="5"/>
        <v/>
      </c>
    </row>
    <row r="969" ht="22.5" customHeight="1">
      <c r="E969" s="54" t="str">
        <f t="array" ref="E969">IF(
                C969 = "",
                "",
                       IF(
                           C969 ="FOTOGRAFIA",
                           "LINK",
                           "https://www.appsheet.com/template/gettablefileurl?appName=particulas_magneticas-924373673&amp;tableName=4.reg_fotografico&amp;fileName="&amp;C969                         )
                          )</f>
        <v/>
      </c>
      <c r="F969" s="54" t="str">
        <f t="shared" si="5"/>
        <v/>
      </c>
    </row>
    <row r="970" ht="22.5" customHeight="1">
      <c r="E970" s="54" t="str">
        <f t="array" ref="E970">IF(
                C970 = "",
                "",
                       IF(
                           C970 ="FOTOGRAFIA",
                           "LINK",
                           "https://www.appsheet.com/template/gettablefileurl?appName=particulas_magneticas-924373673&amp;tableName=4.reg_fotografico&amp;fileName="&amp;C970                         )
                          )</f>
        <v/>
      </c>
      <c r="F970" s="54" t="str">
        <f t="shared" si="5"/>
        <v/>
      </c>
    </row>
    <row r="971" ht="22.5" customHeight="1">
      <c r="E971" s="54" t="str">
        <f t="array" ref="E971">IF(
                C971 = "",
                "",
                       IF(
                           C971 ="FOTOGRAFIA",
                           "LINK",
                           "https://www.appsheet.com/template/gettablefileurl?appName=particulas_magneticas-924373673&amp;tableName=4.reg_fotografico&amp;fileName="&amp;C971                         )
                          )</f>
        <v/>
      </c>
      <c r="F971" s="54" t="str">
        <f t="shared" si="5"/>
        <v/>
      </c>
    </row>
    <row r="972" ht="22.5" customHeight="1">
      <c r="E972" s="54" t="str">
        <f t="array" ref="E972">IF(
                C972 = "",
                "",
                       IF(
                           C972 ="FOTOGRAFIA",
                           "LINK",
                           "https://www.appsheet.com/template/gettablefileurl?appName=particulas_magneticas-924373673&amp;tableName=4.reg_fotografico&amp;fileName="&amp;C972                         )
                          )</f>
        <v/>
      </c>
      <c r="F972" s="54" t="str">
        <f t="shared" si="5"/>
        <v/>
      </c>
    </row>
    <row r="973" ht="22.5" customHeight="1">
      <c r="E973" s="54" t="str">
        <f t="array" ref="E973">IF(
                C973 = "",
                "",
                       IF(
                           C973 ="FOTOGRAFIA",
                           "LINK",
                           "https://www.appsheet.com/template/gettablefileurl?appName=particulas_magneticas-924373673&amp;tableName=4.reg_fotografico&amp;fileName="&amp;C973                         )
                          )</f>
        <v/>
      </c>
      <c r="F973" s="54" t="str">
        <f t="shared" si="5"/>
        <v/>
      </c>
    </row>
    <row r="974" ht="22.5" customHeight="1">
      <c r="E974" s="54" t="str">
        <f t="array" ref="E974">IF(
                C974 = "",
                "",
                       IF(
                           C974 ="FOTOGRAFIA",
                           "LINK",
                           "https://www.appsheet.com/template/gettablefileurl?appName=particulas_magneticas-924373673&amp;tableName=4.reg_fotografico&amp;fileName="&amp;C974                         )
                          )</f>
        <v/>
      </c>
      <c r="F974" s="54" t="str">
        <f t="shared" si="5"/>
        <v/>
      </c>
    </row>
    <row r="975" ht="22.5" customHeight="1">
      <c r="E975" s="54" t="str">
        <f t="array" ref="E975">IF(
                C975 = "",
                "",
                       IF(
                           C975 ="FOTOGRAFIA",
                           "LINK",
                           "https://www.appsheet.com/template/gettablefileurl?appName=particulas_magneticas-924373673&amp;tableName=4.reg_fotografico&amp;fileName="&amp;C975                         )
                          )</f>
        <v/>
      </c>
      <c r="F975" s="54" t="str">
        <f t="shared" si="5"/>
        <v/>
      </c>
    </row>
    <row r="976" ht="22.5" customHeight="1">
      <c r="E976" s="54" t="str">
        <f t="array" ref="E976">IF(
                C976 = "",
                "",
                       IF(
                           C976 ="FOTOGRAFIA",
                           "LINK",
                           "https://www.appsheet.com/template/gettablefileurl?appName=particulas_magneticas-924373673&amp;tableName=4.reg_fotografico&amp;fileName="&amp;C976                         )
                          )</f>
        <v/>
      </c>
      <c r="F976" s="54" t="str">
        <f t="shared" si="5"/>
        <v/>
      </c>
    </row>
    <row r="977" ht="22.5" customHeight="1">
      <c r="E977" s="54" t="str">
        <f t="array" ref="E977">IF(
                C977 = "",
                "",
                       IF(
                           C977 ="FOTOGRAFIA",
                           "LINK",
                           "https://www.appsheet.com/template/gettablefileurl?appName=particulas_magneticas-924373673&amp;tableName=4.reg_fotografico&amp;fileName="&amp;C977                         )
                          )</f>
        <v/>
      </c>
      <c r="F977" s="54" t="str">
        <f t="shared" si="5"/>
        <v/>
      </c>
    </row>
    <row r="978" ht="22.5" customHeight="1">
      <c r="E978" s="54" t="str">
        <f t="array" ref="E978">IF(
                C978 = "",
                "",
                       IF(
                           C978 ="FOTOGRAFIA",
                           "LINK",
                           "https://www.appsheet.com/template/gettablefileurl?appName=particulas_magneticas-924373673&amp;tableName=4.reg_fotografico&amp;fileName="&amp;C978                         )
                          )</f>
        <v/>
      </c>
      <c r="F978" s="54" t="str">
        <f t="shared" si="5"/>
        <v/>
      </c>
    </row>
    <row r="979" ht="22.5" customHeight="1">
      <c r="E979" s="54" t="str">
        <f t="array" ref="E979">IF(
                C979 = "",
                "",
                       IF(
                           C979 ="FOTOGRAFIA",
                           "LINK",
                           "https://www.appsheet.com/template/gettablefileurl?appName=particulas_magneticas-924373673&amp;tableName=4.reg_fotografico&amp;fileName="&amp;C979                         )
                          )</f>
        <v/>
      </c>
      <c r="F979" s="54" t="str">
        <f t="shared" si="5"/>
        <v/>
      </c>
    </row>
    <row r="980" ht="22.5" customHeight="1">
      <c r="E980" s="54" t="str">
        <f t="array" ref="E980">IF(
                C980 = "",
                "",
                       IF(
                           C980 ="FOTOGRAFIA",
                           "LINK",
                           "https://www.appsheet.com/template/gettablefileurl?appName=particulas_magneticas-924373673&amp;tableName=4.reg_fotografico&amp;fileName="&amp;C980                         )
                          )</f>
        <v/>
      </c>
      <c r="F980" s="54" t="str">
        <f t="shared" si="5"/>
        <v/>
      </c>
    </row>
    <row r="981" ht="22.5" customHeight="1">
      <c r="E981" s="54" t="str">
        <f t="array" ref="E981">IF(
                C981 = "",
                "",
                       IF(
                           C981 ="FOTOGRAFIA",
                           "LINK",
                           "https://www.appsheet.com/template/gettablefileurl?appName=particulas_magneticas-924373673&amp;tableName=4.reg_fotografico&amp;fileName="&amp;C981                         )
                          )</f>
        <v/>
      </c>
      <c r="F981" s="54" t="str">
        <f t="shared" si="5"/>
        <v/>
      </c>
    </row>
    <row r="982" ht="22.5" customHeight="1">
      <c r="E982" s="54" t="str">
        <f t="array" ref="E982">IF(
                C982 = "",
                "",
                       IF(
                           C982 ="FOTOGRAFIA",
                           "LINK",
                           "https://www.appsheet.com/template/gettablefileurl?appName=particulas_magneticas-924373673&amp;tableName=4.reg_fotografico&amp;fileName="&amp;C982                         )
                          )</f>
        <v/>
      </c>
      <c r="F982" s="54" t="str">
        <f t="shared" si="5"/>
        <v/>
      </c>
    </row>
    <row r="983" ht="22.5" customHeight="1">
      <c r="E983" s="54" t="str">
        <f t="array" ref="E983">IF(
                C983 = "",
                "",
                       IF(
                           C983 ="FOTOGRAFIA",
                           "LINK",
                           "https://www.appsheet.com/template/gettablefileurl?appName=particulas_magneticas-924373673&amp;tableName=4.reg_fotografico&amp;fileName="&amp;C983                         )
                          )</f>
        <v/>
      </c>
      <c r="F983" s="54" t="str">
        <f t="shared" si="5"/>
        <v/>
      </c>
    </row>
    <row r="984" ht="22.5" customHeight="1">
      <c r="E984" s="54" t="str">
        <f t="array" ref="E984">IF(
                C984 = "",
                "",
                       IF(
                           C984 ="FOTOGRAFIA",
                           "LINK",
                           "https://www.appsheet.com/template/gettablefileurl?appName=particulas_magneticas-924373673&amp;tableName=4.reg_fotografico&amp;fileName="&amp;C984                         )
                          )</f>
        <v/>
      </c>
      <c r="F984" s="54" t="str">
        <f t="shared" si="5"/>
        <v/>
      </c>
    </row>
    <row r="985" ht="22.5" customHeight="1">
      <c r="E985" s="54" t="str">
        <f t="array" ref="E985">IF(
                C985 = "",
                "",
                       IF(
                           C985 ="FOTOGRAFIA",
                           "LINK",
                           "https://www.appsheet.com/template/gettablefileurl?appName=particulas_magneticas-924373673&amp;tableName=4.reg_fotografico&amp;fileName="&amp;C985                         )
                          )</f>
        <v/>
      </c>
      <c r="F985" s="54" t="str">
        <f t="shared" si="5"/>
        <v/>
      </c>
    </row>
    <row r="986" ht="22.5" customHeight="1">
      <c r="E986" s="54" t="str">
        <f t="array" ref="E986">IF(
                C986 = "",
                "",
                       IF(
                           C986 ="FOTOGRAFIA",
                           "LINK",
                           "https://www.appsheet.com/template/gettablefileurl?appName=particulas_magneticas-924373673&amp;tableName=4.reg_fotografico&amp;fileName="&amp;C986                         )
                          )</f>
        <v/>
      </c>
      <c r="F986" s="54" t="str">
        <f t="shared" si="5"/>
        <v/>
      </c>
    </row>
    <row r="987" ht="22.5" customHeight="1">
      <c r="E987" s="54" t="str">
        <f t="array" ref="E987">IF(
                C987 = "",
                "",
                       IF(
                           C987 ="FOTOGRAFIA",
                           "LINK",
                           "https://www.appsheet.com/template/gettablefileurl?appName=particulas_magneticas-924373673&amp;tableName=4.reg_fotografico&amp;fileName="&amp;C987                         )
                          )</f>
        <v/>
      </c>
      <c r="F987" s="54" t="str">
        <f t="shared" si="5"/>
        <v/>
      </c>
    </row>
    <row r="988" ht="22.5" customHeight="1">
      <c r="E988" s="54" t="str">
        <f t="array" ref="E988">IF(
                C988 = "",
                "",
                       IF(
                           C988 ="FOTOGRAFIA",
                           "LINK",
                           "https://www.appsheet.com/template/gettablefileurl?appName=particulas_magneticas-924373673&amp;tableName=4.reg_fotografico&amp;fileName="&amp;C988                         )
                          )</f>
        <v/>
      </c>
      <c r="F988" s="54" t="str">
        <f t="shared" si="5"/>
        <v/>
      </c>
    </row>
    <row r="989" ht="22.5" customHeight="1">
      <c r="E989" s="54" t="str">
        <f t="array" ref="E989">IF(
                C989 = "",
                "",
                       IF(
                           C989 ="FOTOGRAFIA",
                           "LINK",
                           "https://www.appsheet.com/template/gettablefileurl?appName=particulas_magneticas-924373673&amp;tableName=4.reg_fotografico&amp;fileName="&amp;C989                         )
                          )</f>
        <v/>
      </c>
      <c r="F989" s="54" t="str">
        <f t="shared" si="5"/>
        <v/>
      </c>
    </row>
    <row r="990" ht="22.5" customHeight="1">
      <c r="E990" s="54" t="str">
        <f t="array" ref="E990">IF(
                C990 = "",
                "",
                       IF(
                           C990 ="FOTOGRAFIA",
                           "LINK",
                           "https://www.appsheet.com/template/gettablefileurl?appName=particulas_magneticas-924373673&amp;tableName=4.reg_fotografico&amp;fileName="&amp;C990                         )
                          )</f>
        <v/>
      </c>
      <c r="F990" s="54" t="str">
        <f t="shared" si="5"/>
        <v/>
      </c>
    </row>
    <row r="991" ht="22.5" customHeight="1">
      <c r="E991" s="54" t="str">
        <f t="array" ref="E991">IF(
                C991 = "",
                "",
                       IF(
                           C991 ="FOTOGRAFIA",
                           "LINK",
                           "https://www.appsheet.com/template/gettablefileurl?appName=particulas_magneticas-924373673&amp;tableName=4.reg_fotografico&amp;fileName="&amp;C991                         )
                          )</f>
        <v/>
      </c>
      <c r="F991" s="54" t="str">
        <f t="shared" si="5"/>
        <v/>
      </c>
    </row>
    <row r="992" ht="22.5" customHeight="1">
      <c r="E992" s="54" t="str">
        <f t="array" ref="E992">IF(
                C992 = "",
                "",
                       IF(
                           C992 ="FOTOGRAFIA",
                           "LINK",
                           "https://www.appsheet.com/template/gettablefileurl?appName=particulas_magneticas-924373673&amp;tableName=4.reg_fotografico&amp;fileName="&amp;C992                         )
                          )</f>
        <v/>
      </c>
      <c r="F992" s="54" t="str">
        <f t="shared" si="5"/>
        <v/>
      </c>
    </row>
    <row r="993" ht="22.5" customHeight="1">
      <c r="E993" s="54" t="str">
        <f t="array" ref="E993">IF(
                C993 = "",
                "",
                       IF(
                           C993 ="FOTOGRAFIA",
                           "LINK",
                           "https://www.appsheet.com/template/gettablefileurl?appName=particulas_magneticas-924373673&amp;tableName=4.reg_fotografico&amp;fileName="&amp;C993                         )
                          )</f>
        <v/>
      </c>
      <c r="F993" s="54" t="str">
        <f t="shared" si="5"/>
        <v/>
      </c>
    </row>
    <row r="994" ht="22.5" customHeight="1">
      <c r="E994" s="54" t="str">
        <f t="array" ref="E994">IF(
                C994 = "",
                "",
                       IF(
                           C994 ="FOTOGRAFIA",
                           "LINK",
                           "https://www.appsheet.com/template/gettablefileurl?appName=particulas_magneticas-924373673&amp;tableName=4.reg_fotografico&amp;fileName="&amp;C994                         )
                          )</f>
        <v/>
      </c>
      <c r="F994" s="54" t="str">
        <f t="shared" si="5"/>
        <v/>
      </c>
    </row>
    <row r="995" ht="22.5" customHeight="1">
      <c r="E995" s="54" t="str">
        <f t="array" ref="E995">IF(
                C995 = "",
                "",
                       IF(
                           C995 ="FOTOGRAFIA",
                           "LINK",
                           "https://www.appsheet.com/template/gettablefileurl?appName=particulas_magneticas-924373673&amp;tableName=4.reg_fotografico&amp;fileName="&amp;C995                         )
                          )</f>
        <v/>
      </c>
      <c r="F995" s="54" t="str">
        <f t="shared" si="5"/>
        <v/>
      </c>
    </row>
    <row r="996" ht="22.5" customHeight="1">
      <c r="E996" s="54" t="str">
        <f t="array" ref="E996">IF(
                C996 = "",
                "",
                       IF(
                           C996 ="FOTOGRAFIA",
                           "LINK",
                           "https://www.appsheet.com/template/gettablefileurl?appName=particulas_magneticas-924373673&amp;tableName=4.reg_fotografico&amp;fileName="&amp;C996                         )
                          )</f>
        <v/>
      </c>
      <c r="F996" s="54" t="str">
        <f t="shared" si="5"/>
        <v/>
      </c>
    </row>
    <row r="997" ht="22.5" customHeight="1">
      <c r="E997" s="54" t="str">
        <f t="array" ref="E997">IF(
                C997 = "",
                "",
                       IF(
                           C997 ="FOTOGRAFIA",
                           "LINK",
                           "https://www.appsheet.com/template/gettablefileurl?appName=particulas_magneticas-924373673&amp;tableName=4.reg_fotografico&amp;fileName="&amp;C997                         )
                          )</f>
        <v/>
      </c>
      <c r="F997" s="54" t="str">
        <f t="shared" si="5"/>
        <v/>
      </c>
    </row>
    <row r="998" ht="22.5" customHeight="1">
      <c r="E998" s="54" t="str">
        <f t="array" ref="E998">IF(
                C998 = "",
                "",
                       IF(
                           C998 ="FOTOGRAFIA",
                           "LINK",
                           "https://www.appsheet.com/template/gettablefileurl?appName=particulas_magneticas-924373673&amp;tableName=4.reg_fotografico&amp;fileName="&amp;C998                         )
                          )</f>
        <v/>
      </c>
      <c r="F998" s="54" t="str">
        <f t="shared" si="5"/>
        <v/>
      </c>
    </row>
    <row r="999" ht="22.5" customHeight="1">
      <c r="E999" s="54" t="str">
        <f t="array" ref="E999">IF(
                C999 = "",
                "",
                       IF(
                           C999 ="FOTOGRAFIA",
                           "LINK",
                           "https://www.appsheet.com/template/gettablefileurl?appName=particulas_magneticas-924373673&amp;tableName=4.reg_fotografico&amp;fileName="&amp;C999                         )
                          )</f>
        <v/>
      </c>
      <c r="F999" s="54" t="str">
        <f t="shared" si="5"/>
        <v/>
      </c>
    </row>
    <row r="1000" ht="22.5" customHeight="1">
      <c r="E1000" s="54" t="str">
        <f t="array" ref="E1000">IF(
                C1000 = "",
                "",
                       IF(
                           C1000 ="FOTOGRAFIA",
                           "LINK",
                           "https://www.appsheet.com/template/gettablefileurl?appName=particulas_magneticas-924373673&amp;tableName=4.reg_fotografico&amp;fileName="&amp;C1000                         )
                          )</f>
        <v/>
      </c>
      <c r="F1000" s="54" t="str">
        <f t="shared" si="5"/>
        <v/>
      </c>
    </row>
  </sheetData>
  <hyperlinks>
    <hyperlink r:id="rId1" ref="E51"/>
    <hyperlink r:id="rId2" ref="E52"/>
    <hyperlink r:id="rId3" ref="E53"/>
    <hyperlink r:id="rId4" ref="E54"/>
    <hyperlink r:id="rId5" ref="E55"/>
    <hyperlink r:id="rId6" ref="E56"/>
    <hyperlink r:id="rId7" ref="E57"/>
    <hyperlink r:id="rId8" ref="E58"/>
    <hyperlink r:id="rId9" ref="E59"/>
    <hyperlink r:id="rId10" ref="E60"/>
    <hyperlink r:id="rId11" ref="E61"/>
    <hyperlink r:id="rId12" ref="E62"/>
    <hyperlink r:id="rId13" ref="E144"/>
    <hyperlink r:id="rId14" ref="E145"/>
    <hyperlink r:id="rId15" ref="E146"/>
    <hyperlink r:id="rId16" ref="E147"/>
    <hyperlink r:id="rId17" ref="E148"/>
    <hyperlink r:id="rId18" ref="E149"/>
    <hyperlink r:id="rId19" ref="E150"/>
    <hyperlink r:id="rId20" ref="E151"/>
    <hyperlink r:id="rId21" ref="E152"/>
    <hyperlink r:id="rId22" ref="E153"/>
    <hyperlink r:id="rId23" ref="E154"/>
    <hyperlink r:id="rId24" ref="E155"/>
    <hyperlink r:id="rId25" ref="E156"/>
    <hyperlink r:id="rId26" ref="E157"/>
    <hyperlink r:id="rId27" ref="E158"/>
    <hyperlink r:id="rId28" ref="E159"/>
    <hyperlink r:id="rId29" ref="E160"/>
    <hyperlink r:id="rId30" ref="E161"/>
    <hyperlink r:id="rId31" ref="E162"/>
    <hyperlink r:id="rId32" ref="E163"/>
    <hyperlink r:id="rId33" ref="E164"/>
    <hyperlink r:id="rId34" ref="E165"/>
    <hyperlink r:id="rId35" ref="E166"/>
    <hyperlink r:id="rId36" ref="E167"/>
    <hyperlink r:id="rId37" ref="E168"/>
    <hyperlink r:id="rId38" ref="E169"/>
    <hyperlink r:id="rId39" ref="E170"/>
    <hyperlink r:id="rId40" ref="E171"/>
    <hyperlink r:id="rId41" ref="E172"/>
    <hyperlink r:id="rId42" ref="E173"/>
    <hyperlink r:id="rId43" ref="E174"/>
    <hyperlink r:id="rId44" ref="E175"/>
    <hyperlink r:id="rId45" ref="E176"/>
    <hyperlink r:id="rId46" ref="E177"/>
    <hyperlink r:id="rId47" ref="E178"/>
    <hyperlink r:id="rId48" ref="E179"/>
    <hyperlink r:id="rId49" ref="E180"/>
    <hyperlink r:id="rId50" ref="E181"/>
  </hyperlinks>
  <drawing r:id="rId51"/>
  <tableParts count="1">
    <tablePart r:id="rId5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4" max="4" width="40.0"/>
    <col customWidth="1" min="5" max="5" width="156.0"/>
  </cols>
  <sheetData>
    <row r="1" ht="22.5" customHeight="1">
      <c r="A1" s="1" t="s">
        <v>111</v>
      </c>
      <c r="B1" s="1" t="s">
        <v>269</v>
      </c>
      <c r="C1" s="1" t="s">
        <v>121</v>
      </c>
      <c r="D1" s="1" t="s">
        <v>126</v>
      </c>
      <c r="E1" s="1" t="s">
        <v>132</v>
      </c>
      <c r="F1" s="1" t="s">
        <v>138</v>
      </c>
    </row>
    <row r="2">
      <c r="A2" s="30" t="s">
        <v>3603</v>
      </c>
      <c r="B2" s="30" t="s">
        <v>367</v>
      </c>
      <c r="C2" s="30" t="s">
        <v>3604</v>
      </c>
      <c r="D2" s="30" t="s">
        <v>3605</v>
      </c>
      <c r="E2" s="76" t="str">
        <f t="array" ref="E2">IF(
                C2 = "",
                "",
                       IF(
                           C2 ="FOTOGRAFIA",
                           "LINK",
                           "https://www.appsheet.com/template/gettablefileurl?appName=APP022ParticMagnMTV2-924373673-26-05-14&amp;tableName=4.reg_fotografico&amp;fileName="&amp;C2                         )
                          )</f>
        <v>https://www.appsheet.com/template/gettablefileurl?appName=APP022ParticMagnMTV2-924373673-26-05-14&amp;tableName=4.reg_fotografico&amp;fileName=4.2.reg_calidad_Images/4e7fd679.imagen.171105.jpg</v>
      </c>
      <c r="F2" s="77" t="str">
        <f t="shared" ref="F2:F153" si="1">IMAGE(E2)</f>
        <v/>
      </c>
    </row>
    <row r="3">
      <c r="A3" s="30" t="s">
        <v>3606</v>
      </c>
      <c r="B3" s="30" t="s">
        <v>367</v>
      </c>
      <c r="C3" s="30" t="s">
        <v>3607</v>
      </c>
      <c r="D3" s="30" t="s">
        <v>3608</v>
      </c>
      <c r="E3" s="76" t="str">
        <f t="array" ref="E3">IF(
                C3 = "",
                "",
                       IF(
                           C3 ="FOTOGRAFIA",
                           "LINK",
                           "https://www.appsheet.com/template/gettablefileurl?appName=APP022ParticMagnMTV2-924373673-26-05-14&amp;tableName=4.reg_fotografico&amp;fileName="&amp;C3                         )
                          )</f>
        <v>https://www.appsheet.com/template/gettablefileurl?appName=APP022ParticMagnMTV2-924373673-26-05-14&amp;tableName=4.reg_fotografico&amp;fileName=4.2.reg_calidad_Images/2d3ac1b3.imagen.171110.jpg</v>
      </c>
      <c r="F3" s="77" t="str">
        <f t="shared" si="1"/>
        <v/>
      </c>
    </row>
    <row r="4">
      <c r="A4" s="30" t="s">
        <v>3609</v>
      </c>
      <c r="B4" s="30" t="s">
        <v>367</v>
      </c>
      <c r="C4" s="30" t="s">
        <v>3610</v>
      </c>
      <c r="D4" s="30" t="s">
        <v>3611</v>
      </c>
      <c r="E4" s="76" t="str">
        <f t="array" ref="E4">IF(
                C4 = "",
                "",
                       IF(
                           C4 ="FOTOGRAFIA",
                           "LINK",
                           "https://www.appsheet.com/template/gettablefileurl?appName=APP022ParticMagnMTV2-924373673-26-05-14&amp;tableName=4.reg_fotografico&amp;fileName="&amp;C4                         )
                          )</f>
        <v>https://www.appsheet.com/template/gettablefileurl?appName=APP022ParticMagnMTV2-924373673-26-05-14&amp;tableName=4.reg_fotografico&amp;fileName=4.2.reg_calidad_Images/0b152d5e.imagen.171119.jpg</v>
      </c>
      <c r="F4" s="77" t="str">
        <f t="shared" si="1"/>
        <v/>
      </c>
    </row>
    <row r="5">
      <c r="A5" s="30" t="s">
        <v>3612</v>
      </c>
      <c r="B5" s="30" t="s">
        <v>421</v>
      </c>
      <c r="C5" s="30" t="s">
        <v>3613</v>
      </c>
      <c r="D5" s="30" t="s">
        <v>3608</v>
      </c>
      <c r="E5" s="78" t="s">
        <v>3614</v>
      </c>
      <c r="F5" s="77" t="str">
        <f t="shared" si="1"/>
        <v/>
      </c>
    </row>
    <row r="6">
      <c r="A6" s="30" t="s">
        <v>3615</v>
      </c>
      <c r="B6" s="30" t="s">
        <v>421</v>
      </c>
      <c r="C6" s="30" t="s">
        <v>3616</v>
      </c>
      <c r="D6" s="30" t="s">
        <v>3605</v>
      </c>
      <c r="E6" s="79" t="s">
        <v>3617</v>
      </c>
      <c r="F6" s="77" t="str">
        <f t="shared" si="1"/>
        <v/>
      </c>
    </row>
    <row r="7">
      <c r="A7" s="30" t="s">
        <v>3618</v>
      </c>
      <c r="B7" s="30" t="s">
        <v>421</v>
      </c>
      <c r="C7" s="30" t="s">
        <v>3619</v>
      </c>
      <c r="D7" s="30" t="s">
        <v>3611</v>
      </c>
      <c r="E7" s="76" t="str">
        <f t="array" ref="E7">IF(
                C7 = "",
                "",
                       IF(
                           C7 ="FOTOGRAFIA",
                           "LINK",
                           "https://www.appsheet.com/template/gettablefileurl?appName=APP022ParticMagnMTV2-924373673-26-05-14&amp;tableName=4.reg_fotografico&amp;fileName="&amp;C7                         )
                          )</f>
        <v>https://www.appsheet.com/template/gettablefileurl?appName=APP022ParticMagnMTV2-924373673-26-05-14&amp;tableName=4.reg_fotografico&amp;fileName=4.2.reg_calidad_Images/4ab4336e.imagen.175330.jpg</v>
      </c>
      <c r="F7" s="77" t="str">
        <f t="shared" si="1"/>
        <v/>
      </c>
    </row>
    <row r="8">
      <c r="A8" s="30" t="s">
        <v>3620</v>
      </c>
      <c r="B8" s="30" t="s">
        <v>421</v>
      </c>
      <c r="C8" s="30" t="s">
        <v>3621</v>
      </c>
      <c r="D8" s="30" t="s">
        <v>3622</v>
      </c>
      <c r="E8" s="76" t="str">
        <f t="array" ref="E8">IF(
                C8 = "",
                "",
                       IF(
                           C8 ="FOTOGRAFIA",
                           "LINK",
                           "https://www.appsheet.com/template/gettablefileurl?appName=APP022ParticMagnMTV2-924373673-26-05-14&amp;tableName=4.reg_fotografico&amp;fileName="&amp;C8                         )
                          )</f>
        <v>https://www.appsheet.com/template/gettablefileurl?appName=APP022ParticMagnMTV2-924373673-26-05-14&amp;tableName=4.reg_fotografico&amp;fileName=4.2.reg_calidad_Images/d4101285.imagen.011137.jpg</v>
      </c>
      <c r="F8" s="77" t="str">
        <f t="shared" si="1"/>
        <v/>
      </c>
    </row>
    <row r="9">
      <c r="A9" s="30" t="s">
        <v>3623</v>
      </c>
      <c r="B9" s="30" t="s">
        <v>421</v>
      </c>
      <c r="C9" s="30" t="s">
        <v>3624</v>
      </c>
      <c r="D9" s="30" t="s">
        <v>3625</v>
      </c>
      <c r="E9" s="76" t="str">
        <f t="array" ref="E9">IF(
                C9 = "",
                "",
                       IF(
                           C9 ="FOTOGRAFIA",
                           "LINK",
                           "https://www.appsheet.com/template/gettablefileurl?appName=APP022ParticMagnMTV2-924373673-26-05-14&amp;tableName=4.reg_fotografico&amp;fileName="&amp;C9                         )
                          )</f>
        <v>https://www.appsheet.com/template/gettablefileurl?appName=APP022ParticMagnMTV2-924373673-26-05-14&amp;tableName=4.reg_fotografico&amp;fileName=4.2.reg_calidad_Images/ec238c7c.imagen.011144.jpg</v>
      </c>
      <c r="F9" s="77" t="str">
        <f t="shared" si="1"/>
        <v/>
      </c>
    </row>
    <row r="10">
      <c r="A10" s="30" t="s">
        <v>3626</v>
      </c>
      <c r="B10" s="30" t="s">
        <v>387</v>
      </c>
      <c r="C10" s="30" t="s">
        <v>3627</v>
      </c>
      <c r="D10" s="30" t="s">
        <v>3605</v>
      </c>
      <c r="E10" s="76" t="str">
        <f t="array" ref="E10">IF(
                C10 = "",
                "",
                       IF(
                           C10 ="FOTOGRAFIA",
                           "LINK",
                           "https://www.appsheet.com/template/gettablefileurl?appName=APP022ParticMagnMTV2-924373673-26-05-14&amp;tableName=4.reg_fotografico&amp;fileName="&amp;C10                         )
                          )</f>
        <v>https://www.appsheet.com/template/gettablefileurl?appName=APP022ParticMagnMTV2-924373673-26-05-14&amp;tableName=4.reg_fotografico&amp;fileName=4.2.reg_calidad_Images/235aff0b.imagen.220120.jpg</v>
      </c>
      <c r="F10" s="77" t="str">
        <f t="shared" si="1"/>
        <v/>
      </c>
    </row>
    <row r="11">
      <c r="A11" s="30" t="s">
        <v>3628</v>
      </c>
      <c r="B11" s="30" t="s">
        <v>387</v>
      </c>
      <c r="C11" s="30" t="s">
        <v>3629</v>
      </c>
      <c r="D11" s="30" t="s">
        <v>3608</v>
      </c>
      <c r="E11" s="76" t="str">
        <f t="array" ref="E11">IF(
                C11 = "",
                "",
                       IF(
                           C11 ="FOTOGRAFIA",
                           "LINK",
                           "https://www.appsheet.com/template/gettablefileurl?appName=APP022ParticMagnMTV2-924373673-26-05-14&amp;tableName=4.reg_fotografico&amp;fileName="&amp;C11                         )
                          )</f>
        <v>https://www.appsheet.com/template/gettablefileurl?appName=APP022ParticMagnMTV2-924373673-26-05-14&amp;tableName=4.reg_fotografico&amp;fileName=4.2.reg_calidad_Images/204ed4b0.imagen.220123.jpg</v>
      </c>
      <c r="F11" s="77" t="str">
        <f t="shared" si="1"/>
        <v/>
      </c>
    </row>
    <row r="12">
      <c r="A12" s="30" t="s">
        <v>3630</v>
      </c>
      <c r="B12" s="30" t="s">
        <v>387</v>
      </c>
      <c r="C12" s="30" t="s">
        <v>3631</v>
      </c>
      <c r="D12" s="30" t="s">
        <v>3622</v>
      </c>
      <c r="E12" s="76" t="str">
        <f t="array" ref="E12">IF(
                C12 = "",
                "",
                       IF(
                           C12 ="FOTOGRAFIA",
                           "LINK",
                           "https://www.appsheet.com/template/gettablefileurl?appName=APP022ParticMagnMTV2-924373673-26-05-14&amp;tableName=4.reg_fotografico&amp;fileName="&amp;C12                         )
                          )</f>
        <v>https://www.appsheet.com/template/gettablefileurl?appName=APP022ParticMagnMTV2-924373673-26-05-14&amp;tableName=4.reg_fotografico&amp;fileName=4.2.reg_calidad_Images/d0eb98c7.imagen.220125.jpg</v>
      </c>
      <c r="F12" s="77" t="str">
        <f t="shared" si="1"/>
        <v/>
      </c>
    </row>
    <row r="13">
      <c r="A13" s="30" t="s">
        <v>3632</v>
      </c>
      <c r="B13" s="30" t="s">
        <v>387</v>
      </c>
      <c r="C13" s="30" t="s">
        <v>3633</v>
      </c>
      <c r="D13" s="30" t="s">
        <v>3611</v>
      </c>
      <c r="E13" s="76" t="str">
        <f t="array" ref="E13">IF(
                C13 = "",
                "",
                       IF(
                           C13 ="FOTOGRAFIA",
                           "LINK",
                           "https://www.appsheet.com/template/gettablefileurl?appName=APP022ParticMagnMTV2-924373673-26-05-14&amp;tableName=4.reg_fotografico&amp;fileName="&amp;C13                         )
                          )</f>
        <v>https://www.appsheet.com/template/gettablefileurl?appName=APP022ParticMagnMTV2-924373673-26-05-14&amp;tableName=4.reg_fotografico&amp;fileName=4.2.reg_calidad_Images/470eba82.imagen.220130.jpg</v>
      </c>
      <c r="F13" s="77" t="str">
        <f t="shared" si="1"/>
        <v/>
      </c>
    </row>
    <row r="14">
      <c r="A14" s="30" t="s">
        <v>3634</v>
      </c>
      <c r="B14" s="30" t="s">
        <v>387</v>
      </c>
      <c r="C14" s="30" t="s">
        <v>3635</v>
      </c>
      <c r="D14" s="30" t="s">
        <v>3625</v>
      </c>
      <c r="E14" s="76" t="str">
        <f t="array" ref="E14">IF(
                C14 = "",
                "",
                       IF(
                           C14 ="FOTOGRAFIA",
                           "LINK",
                           "https://www.appsheet.com/template/gettablefileurl?appName=APP022ParticMagnMTV2-924373673-26-05-14&amp;tableName=4.reg_fotografico&amp;fileName="&amp;C14                         )
                          )</f>
        <v>https://www.appsheet.com/template/gettablefileurl?appName=APP022ParticMagnMTV2-924373673-26-05-14&amp;tableName=4.reg_fotografico&amp;fileName=4.2.reg_calidad_Images/2a8a7315.imagen.233431.jpg</v>
      </c>
      <c r="F14" s="77" t="str">
        <f t="shared" si="1"/>
        <v/>
      </c>
    </row>
    <row r="15">
      <c r="A15" s="30" t="s">
        <v>3636</v>
      </c>
      <c r="B15" s="30" t="s">
        <v>437</v>
      </c>
      <c r="C15" s="30" t="s">
        <v>3637</v>
      </c>
      <c r="D15" s="30" t="s">
        <v>3605</v>
      </c>
      <c r="E15" s="76" t="str">
        <f t="array" ref="E15">IF(
                C15 = "",
                "",
                       IF(
                           C15 ="FOTOGRAFIA",
                           "LINK",
                           "https://www.appsheet.com/template/gettablefileurl?appName=APP022ParticMagnMTV2-924373673-26-05-14&amp;tableName=4.reg_fotografico&amp;fileName="&amp;C15                         )
                          )</f>
        <v>https://www.appsheet.com/template/gettablefileurl?appName=APP022ParticMagnMTV2-924373673-26-05-14&amp;tableName=4.reg_fotografico&amp;fileName=4.2.reg_calidad_Images/d27dc781.imagen.033454.jpg</v>
      </c>
      <c r="F15" s="77" t="str">
        <f t="shared" si="1"/>
        <v/>
      </c>
    </row>
    <row r="16">
      <c r="A16" s="30" t="s">
        <v>3638</v>
      </c>
      <c r="B16" s="30" t="s">
        <v>437</v>
      </c>
      <c r="C16" s="30" t="s">
        <v>3639</v>
      </c>
      <c r="D16" s="30" t="s">
        <v>3611</v>
      </c>
      <c r="E16" s="76" t="str">
        <f t="array" ref="E16">IF(
                C16 = "",
                "",
                       IF(
                           C16 ="FOTOGRAFIA",
                           "LINK",
                           "https://www.appsheet.com/template/gettablefileurl?appName=APP022ParticMagnMTV2-924373673-26-05-14&amp;tableName=4.reg_fotografico&amp;fileName="&amp;C16                         )
                          )</f>
        <v>https://www.appsheet.com/template/gettablefileurl?appName=APP022ParticMagnMTV2-924373673-26-05-14&amp;tableName=4.reg_fotografico&amp;fileName=4.2.reg_calidad_Images/24c7338b.imagen.033457.jpg</v>
      </c>
      <c r="F16" s="77" t="str">
        <f t="shared" si="1"/>
        <v/>
      </c>
    </row>
    <row r="17">
      <c r="A17" s="30" t="s">
        <v>3640</v>
      </c>
      <c r="B17" s="30" t="s">
        <v>437</v>
      </c>
      <c r="C17" s="30" t="s">
        <v>3641</v>
      </c>
      <c r="D17" s="30" t="s">
        <v>3608</v>
      </c>
      <c r="E17" s="76" t="str">
        <f t="array" ref="E17">IF(
                C17 = "",
                "",
                       IF(
                           C17 ="FOTOGRAFIA",
                           "LINK",
                           "https://www.appsheet.com/template/gettablefileurl?appName=APP022ParticMagnMTV2-924373673-26-05-14&amp;tableName=4.reg_fotografico&amp;fileName="&amp;C17                         )
                          )</f>
        <v>https://www.appsheet.com/template/gettablefileurl?appName=APP022ParticMagnMTV2-924373673-26-05-14&amp;tableName=4.reg_fotografico&amp;fileName=4.2.reg_calidad_Images/d0a561dd.imagen.033500.jpg</v>
      </c>
      <c r="F17" s="77" t="str">
        <f t="shared" si="1"/>
        <v/>
      </c>
    </row>
    <row r="18">
      <c r="A18" s="30" t="s">
        <v>3642</v>
      </c>
      <c r="B18" s="30" t="s">
        <v>437</v>
      </c>
      <c r="C18" s="30" t="s">
        <v>3643</v>
      </c>
      <c r="D18" s="30" t="s">
        <v>3622</v>
      </c>
      <c r="E18" s="76" t="str">
        <f t="array" ref="E18">IF(
                C18 = "",
                "",
                       IF(
                           C18 ="FOTOGRAFIA",
                           "LINK",
                           "https://www.appsheet.com/template/gettablefileurl?appName=APP022ParticMagnMTV2-924373673-26-05-14&amp;tableName=4.reg_fotografico&amp;fileName="&amp;C18                         )
                          )</f>
        <v>https://www.appsheet.com/template/gettablefileurl?appName=APP022ParticMagnMTV2-924373673-26-05-14&amp;tableName=4.reg_fotografico&amp;fileName=4.2.reg_calidad_Images/0c08d85e.imagen.033503.jpg</v>
      </c>
      <c r="F18" s="77" t="str">
        <f t="shared" si="1"/>
        <v/>
      </c>
    </row>
    <row r="19">
      <c r="A19" s="30" t="s">
        <v>3644</v>
      </c>
      <c r="B19" s="30" t="s">
        <v>437</v>
      </c>
      <c r="C19" s="30" t="s">
        <v>3645</v>
      </c>
      <c r="D19" s="30" t="s">
        <v>3625</v>
      </c>
      <c r="E19" s="76" t="str">
        <f t="array" ref="E19">IF(
                C19 = "",
                "",
                       IF(
                           C19 ="FOTOGRAFIA",
                           "LINK",
                           "https://www.appsheet.com/template/gettablefileurl?appName=APP022ParticMagnMTV2-924373673-26-05-14&amp;tableName=4.reg_fotografico&amp;fileName="&amp;C19                         )
                          )</f>
        <v>https://www.appsheet.com/template/gettablefileurl?appName=APP022ParticMagnMTV2-924373673-26-05-14&amp;tableName=4.reg_fotografico&amp;fileName=4.2.reg_calidad_Images/561c59eb.imagen.033506.jpg</v>
      </c>
      <c r="F19" s="77" t="str">
        <f t="shared" si="1"/>
        <v/>
      </c>
    </row>
    <row r="20">
      <c r="A20" s="30" t="s">
        <v>3646</v>
      </c>
      <c r="B20" s="30" t="s">
        <v>404</v>
      </c>
      <c r="C20" s="30" t="s">
        <v>3647</v>
      </c>
      <c r="D20" s="30" t="s">
        <v>3605</v>
      </c>
      <c r="E20" s="76" t="str">
        <f t="array" ref="E20">IF(
                C20 = "",
                "",
                       IF(
                           C20 ="FOTOGRAFIA",
                           "LINK",
                           "https://www.appsheet.com/template/gettablefileurl?appName=APP022ParticMagnMTV2-924373673-26-05-14&amp;tableName=4.reg_fotografico&amp;fileName="&amp;C20                         )
                          )</f>
        <v>https://www.appsheet.com/template/gettablefileurl?appName=APP022ParticMagnMTV2-924373673-26-05-14&amp;tableName=4.reg_fotografico&amp;fileName=4.2.reg_calidad_Images/39bd8126.imagen.005227.jpg</v>
      </c>
      <c r="F20" s="77" t="str">
        <f t="shared" si="1"/>
        <v/>
      </c>
    </row>
    <row r="21">
      <c r="A21" s="30" t="s">
        <v>3648</v>
      </c>
      <c r="B21" s="30" t="s">
        <v>404</v>
      </c>
      <c r="C21" s="30" t="s">
        <v>3649</v>
      </c>
      <c r="D21" s="30" t="s">
        <v>3625</v>
      </c>
      <c r="E21" s="76" t="str">
        <f t="array" ref="E21">IF(
                C21 = "",
                "",
                       IF(
                           C21 ="FOTOGRAFIA",
                           "LINK",
                           "https://www.appsheet.com/template/gettablefileurl?appName=APP022ParticMagnMTV2-924373673-26-05-14&amp;tableName=4.reg_fotografico&amp;fileName="&amp;C21                         )
                          )</f>
        <v>https://www.appsheet.com/template/gettablefileurl?appName=APP022ParticMagnMTV2-924373673-26-05-14&amp;tableName=4.reg_fotografico&amp;fileName=4.2.reg_calidad_Images/6be4ca8b.imagen.005332.jpg</v>
      </c>
      <c r="F21" s="77" t="str">
        <f t="shared" si="1"/>
        <v/>
      </c>
    </row>
    <row r="22">
      <c r="A22" s="30" t="s">
        <v>3650</v>
      </c>
      <c r="B22" s="30" t="s">
        <v>404</v>
      </c>
      <c r="C22" s="30" t="s">
        <v>3651</v>
      </c>
      <c r="D22" s="30" t="s">
        <v>3622</v>
      </c>
      <c r="E22" s="76" t="str">
        <f t="array" ref="E22">IF(
                C22 = "",
                "",
                       IF(
                           C22 ="FOTOGRAFIA",
                           "LINK",
                           "https://www.appsheet.com/template/gettablefileurl?appName=APP022ParticMagnMTV2-924373673-26-05-14&amp;tableName=4.reg_fotografico&amp;fileName="&amp;C22                         )
                          )</f>
        <v>https://www.appsheet.com/template/gettablefileurl?appName=APP022ParticMagnMTV2-924373673-26-05-14&amp;tableName=4.reg_fotografico&amp;fileName=4.2.reg_calidad_Images/654d1f75.imagen.005336.jpg</v>
      </c>
      <c r="F22" s="77" t="str">
        <f t="shared" si="1"/>
        <v/>
      </c>
    </row>
    <row r="23">
      <c r="A23" s="30" t="s">
        <v>3652</v>
      </c>
      <c r="B23" s="30" t="s">
        <v>404</v>
      </c>
      <c r="C23" s="30" t="s">
        <v>3653</v>
      </c>
      <c r="D23" s="30" t="s">
        <v>3608</v>
      </c>
      <c r="E23" s="76" t="str">
        <f t="array" ref="E23">IF(
                C23 = "",
                "",
                       IF(
                           C23 ="FOTOGRAFIA",
                           "LINK",
                           "https://www.appsheet.com/template/gettablefileurl?appName=APP022ParticMagnMTV2-924373673-26-05-14&amp;tableName=4.reg_fotografico&amp;fileName="&amp;C23                         )
                          )</f>
        <v>https://www.appsheet.com/template/gettablefileurl?appName=APP022ParticMagnMTV2-924373673-26-05-14&amp;tableName=4.reg_fotografico&amp;fileName=4.2.reg_calidad_Images/831f5690.imagen.005339.jpg</v>
      </c>
      <c r="F23" s="77" t="str">
        <f t="shared" si="1"/>
        <v/>
      </c>
    </row>
    <row r="24">
      <c r="A24" s="30" t="s">
        <v>3654</v>
      </c>
      <c r="B24" s="30" t="s">
        <v>404</v>
      </c>
      <c r="C24" s="30" t="s">
        <v>3655</v>
      </c>
      <c r="D24" s="30" t="s">
        <v>3611</v>
      </c>
      <c r="E24" s="76" t="str">
        <f t="array" ref="E24">IF(
                C24 = "",
                "",
                       IF(
                           C24 ="FOTOGRAFIA",
                           "LINK",
                           "https://www.appsheet.com/template/gettablefileurl?appName=APP022ParticMagnMTV2-924373673-26-05-14&amp;tableName=4.reg_fotografico&amp;fileName="&amp;C24                         )
                          )</f>
        <v>https://www.appsheet.com/template/gettablefileurl?appName=APP022ParticMagnMTV2-924373673-26-05-14&amp;tableName=4.reg_fotografico&amp;fileName=4.2.reg_calidad_Images/8498207d.imagen.005342.jpg</v>
      </c>
      <c r="F24" s="77" t="str">
        <f t="shared" si="1"/>
        <v/>
      </c>
    </row>
    <row r="25">
      <c r="A25" s="4" t="s">
        <v>3656</v>
      </c>
      <c r="B25" s="4" t="s">
        <v>453</v>
      </c>
      <c r="C25" s="4" t="s">
        <v>3657</v>
      </c>
      <c r="D25" s="4" t="s">
        <v>3622</v>
      </c>
      <c r="E25" s="80" t="str">
        <f t="array" ref="E25">IF(
                C25 = "",
                "",
                       IF(
                           C25 ="FOTOGRAFIA",
                           "LINK",
                           "https://www.appsheet.com/template/gettablefileurl?appName=particulas_magneticas-924373673&amp;tableName=4.reg_fotografico&amp;fileName="&amp;C25                         )
                          )</f>
        <v>https://www.appsheet.com/template/gettablefileurl?appName=particulas_magneticas-924373673&amp;tableName=4.reg_fotografico&amp;fileName=4.2.reg_calidad_Images/8d8fee56.imagen.162802.jpg</v>
      </c>
      <c r="F25" s="77" t="str">
        <f t="shared" si="1"/>
        <v/>
      </c>
    </row>
    <row r="26">
      <c r="A26" s="4" t="s">
        <v>3658</v>
      </c>
      <c r="B26" s="4" t="s">
        <v>453</v>
      </c>
      <c r="C26" s="4" t="s">
        <v>3659</v>
      </c>
      <c r="D26" s="4" t="s">
        <v>3608</v>
      </c>
      <c r="E26" s="80" t="str">
        <f t="array" ref="E26">IF(
                C26 = "",
                "",
                       IF(
                           C26 ="FOTOGRAFIA",
                           "LINK",
                           "https://www.appsheet.com/template/gettablefileurl?appName=particulas_magneticas-924373673&amp;tableName=4.reg_fotografico&amp;fileName="&amp;C26                         )
                          )</f>
        <v>https://www.appsheet.com/template/gettablefileurl?appName=particulas_magneticas-924373673&amp;tableName=4.reg_fotografico&amp;fileName=4.2.reg_calidad_Images/40db845e.imagen.162806.jpg</v>
      </c>
      <c r="F26" s="77" t="str">
        <f t="shared" si="1"/>
        <v/>
      </c>
    </row>
    <row r="27">
      <c r="A27" s="4" t="s">
        <v>3660</v>
      </c>
      <c r="B27" s="4" t="s">
        <v>453</v>
      </c>
      <c r="C27" s="4" t="s">
        <v>3661</v>
      </c>
      <c r="D27" s="4" t="s">
        <v>3611</v>
      </c>
      <c r="E27" s="80" t="str">
        <f t="array" ref="E27">IF(
                C27 = "",
                "",
                       IF(
                           C27 ="FOTOGRAFIA",
                           "LINK",
                           "https://www.appsheet.com/template/gettablefileurl?appName=particulas_magneticas-924373673&amp;tableName=4.reg_fotografico&amp;fileName="&amp;C27                         )
                          )</f>
        <v>https://www.appsheet.com/template/gettablefileurl?appName=particulas_magneticas-924373673&amp;tableName=4.reg_fotografico&amp;fileName=4.2.reg_calidad_Images/de33e8d2.imagen.162809.jpg</v>
      </c>
      <c r="F27" s="77" t="str">
        <f t="shared" si="1"/>
        <v/>
      </c>
    </row>
    <row r="28">
      <c r="A28" s="4" t="s">
        <v>3662</v>
      </c>
      <c r="B28" s="4" t="s">
        <v>453</v>
      </c>
      <c r="C28" s="4" t="s">
        <v>3663</v>
      </c>
      <c r="D28" s="4" t="s">
        <v>3625</v>
      </c>
      <c r="E28" s="80" t="str">
        <f t="array" ref="E28">IF(
                C28 = "",
                "",
                       IF(
                           C28 ="FOTOGRAFIA",
                           "LINK",
                           "https://www.appsheet.com/template/gettablefileurl?appName=particulas_magneticas-924373673&amp;tableName=4.reg_fotografico&amp;fileName="&amp;C28                         )
                          )</f>
        <v>https://www.appsheet.com/template/gettablefileurl?appName=particulas_magneticas-924373673&amp;tableName=4.reg_fotografico&amp;fileName=4.2.reg_calidad_Images/5556fdcc.imagen.162813.jpg</v>
      </c>
      <c r="F28" s="77" t="str">
        <f t="shared" si="1"/>
        <v/>
      </c>
    </row>
    <row r="29">
      <c r="A29" s="4" t="s">
        <v>3664</v>
      </c>
      <c r="B29" s="4" t="s">
        <v>453</v>
      </c>
      <c r="C29" s="4" t="s">
        <v>3665</v>
      </c>
      <c r="D29" s="4" t="s">
        <v>3605</v>
      </c>
      <c r="E29" s="80" t="str">
        <f t="array" ref="E29">IF(
                C29 = "",
                "",
                       IF(
                           C29 ="FOTOGRAFIA",
                           "LINK",
                           "https://www.appsheet.com/template/gettablefileurl?appName=particulas_magneticas-924373673&amp;tableName=4.reg_fotografico&amp;fileName="&amp;C29                         )
                          )</f>
        <v>https://www.appsheet.com/template/gettablefileurl?appName=particulas_magneticas-924373673&amp;tableName=4.reg_fotografico&amp;fileName=4.2.reg_calidad_Images/bfeb010c.imagen.162817.jpg</v>
      </c>
      <c r="F29" s="77" t="str">
        <f t="shared" si="1"/>
        <v/>
      </c>
    </row>
    <row r="30">
      <c r="A30" s="30" t="s">
        <v>3666</v>
      </c>
      <c r="B30" s="30" t="s">
        <v>473</v>
      </c>
      <c r="C30" s="30" t="s">
        <v>3667</v>
      </c>
      <c r="D30" s="30" t="s">
        <v>3625</v>
      </c>
      <c r="E30" s="76" t="str">
        <f t="array" ref="E30">IF(
                C30 = "",
                "",
                       IF(
                           C30 ="FOTOGRAFIA",
                           "LINK",
                           "https://www.appsheet.com/template/gettablefileurl?appName=APP022ParticMagnMTV2-924373673-26-05-14&amp;tableName=4.reg_fotografico&amp;fileName="&amp;C30                         )
                          )</f>
        <v>https://www.appsheet.com/template/gettablefileurl?appName=APP022ParticMagnMTV2-924373673-26-05-14&amp;tableName=4.reg_fotografico&amp;fileName=4.2.reg_calidad_Images/3b6deb00.imagen.175038.jpg</v>
      </c>
      <c r="F30" s="77" t="str">
        <f t="shared" si="1"/>
        <v/>
      </c>
    </row>
    <row r="31">
      <c r="A31" s="30" t="s">
        <v>3668</v>
      </c>
      <c r="B31" s="30" t="s">
        <v>473</v>
      </c>
      <c r="C31" s="30" t="s">
        <v>3669</v>
      </c>
      <c r="D31" s="30" t="s">
        <v>3622</v>
      </c>
      <c r="E31" s="76" t="str">
        <f t="array" ref="E31">IF(
                C31 = "",
                "",
                       IF(
                           C31 ="FOTOGRAFIA",
                           "LINK",
                           "https://www.appsheet.com/template/gettablefileurl?appName=APP022ParticMagnMTV2-924373673-26-05-14&amp;tableName=4.reg_fotografico&amp;fileName="&amp;C31                         )
                          )</f>
        <v>https://www.appsheet.com/template/gettablefileurl?appName=APP022ParticMagnMTV2-924373673-26-05-14&amp;tableName=4.reg_fotografico&amp;fileName=4.2.reg_calidad_Images/62800f8c.imagen.175042.jpg</v>
      </c>
      <c r="F31" s="77" t="str">
        <f t="shared" si="1"/>
        <v/>
      </c>
    </row>
    <row r="32">
      <c r="A32" s="30" t="s">
        <v>3670</v>
      </c>
      <c r="B32" s="30" t="s">
        <v>473</v>
      </c>
      <c r="C32" s="30" t="s">
        <v>3671</v>
      </c>
      <c r="D32" s="30" t="s">
        <v>3605</v>
      </c>
      <c r="E32" s="76" t="str">
        <f t="array" ref="E32">IF(
                C32 = "",
                "",
                       IF(
                           C32 ="FOTOGRAFIA",
                           "LINK",
                           "https://www.appsheet.com/template/gettablefileurl?appName=APP022ParticMagnMTV2-924373673-26-05-14&amp;tableName=4.reg_fotografico&amp;fileName="&amp;C32                         )
                          )</f>
        <v>https://www.appsheet.com/template/gettablefileurl?appName=APP022ParticMagnMTV2-924373673-26-05-14&amp;tableName=4.reg_fotografico&amp;fileName=4.2.reg_calidad_Images/1656c229.imagen.175045.jpg</v>
      </c>
      <c r="F32" s="77" t="str">
        <f t="shared" si="1"/>
        <v/>
      </c>
    </row>
    <row r="33">
      <c r="A33" s="30" t="s">
        <v>3672</v>
      </c>
      <c r="B33" s="30" t="s">
        <v>473</v>
      </c>
      <c r="C33" s="30" t="s">
        <v>3673</v>
      </c>
      <c r="D33" s="30" t="s">
        <v>3611</v>
      </c>
      <c r="E33" s="76" t="str">
        <f t="array" ref="E33">IF(
                C33 = "",
                "",
                       IF(
                           C33 ="FOTOGRAFIA",
                           "LINK",
                           "https://www.appsheet.com/template/gettablefileurl?appName=APP022ParticMagnMTV2-924373673-26-05-14&amp;tableName=4.reg_fotografico&amp;fileName="&amp;C33                         )
                          )</f>
        <v>https://www.appsheet.com/template/gettablefileurl?appName=APP022ParticMagnMTV2-924373673-26-05-14&amp;tableName=4.reg_fotografico&amp;fileName=4.2.reg_calidad_Images/ab237c9d.imagen.175050.png</v>
      </c>
      <c r="F33" s="77" t="str">
        <f t="shared" si="1"/>
        <v/>
      </c>
    </row>
    <row r="34">
      <c r="A34" s="30" t="s">
        <v>3674</v>
      </c>
      <c r="B34" s="30" t="s">
        <v>473</v>
      </c>
      <c r="C34" s="30" t="s">
        <v>3675</v>
      </c>
      <c r="D34" s="30" t="s">
        <v>3608</v>
      </c>
      <c r="E34" s="76" t="str">
        <f t="array" ref="E34">IF(
                C34 = "",
                "",
                       IF(
                           C34 ="FOTOGRAFIA",
                           "LINK",
                           "https://www.appsheet.com/template/gettablefileurl?appName=APP022ParticMagnMTV2-924373673-26-05-14&amp;tableName=4.reg_fotografico&amp;fileName="&amp;C34                         )
                          )</f>
        <v>https://www.appsheet.com/template/gettablefileurl?appName=APP022ParticMagnMTV2-924373673-26-05-14&amp;tableName=4.reg_fotografico&amp;fileName=4.2.reg_calidad_Images/3d187c15.imagen.212642.png</v>
      </c>
      <c r="F34" s="77" t="str">
        <f t="shared" si="1"/>
        <v/>
      </c>
    </row>
    <row r="35">
      <c r="A35" s="30" t="s">
        <v>3676</v>
      </c>
      <c r="B35" s="30" t="s">
        <v>510</v>
      </c>
      <c r="C35" s="30" t="s">
        <v>3677</v>
      </c>
      <c r="D35" s="30" t="s">
        <v>3605</v>
      </c>
      <c r="E35" s="76" t="str">
        <f t="array" ref="E35">IF(
                C35 = "",
                "",
                       IF(
                           C35 ="FOTOGRAFIA",
                           "LINK",
                           "https://www.appsheet.com/template/gettablefileurl?appName=APP022ParticMagnMTV2-924373673-26-05-14&amp;tableName=4.reg_fotografico&amp;fileName="&amp;C35                         )
                          )</f>
        <v>https://www.appsheet.com/template/gettablefileurl?appName=APP022ParticMagnMTV2-924373673-26-05-14&amp;tableName=4.reg_fotografico&amp;fileName=4.2.reg_calidad_Images/c64317ea.imagen.030138.jpg</v>
      </c>
      <c r="F35" s="77" t="str">
        <f t="shared" si="1"/>
        <v/>
      </c>
    </row>
    <row r="36">
      <c r="A36" s="30" t="s">
        <v>3678</v>
      </c>
      <c r="B36" s="30" t="s">
        <v>510</v>
      </c>
      <c r="C36" s="30" t="s">
        <v>3679</v>
      </c>
      <c r="D36" s="30" t="s">
        <v>3611</v>
      </c>
      <c r="E36" s="76" t="str">
        <f t="array" ref="E36">IF(
                C36 = "",
                "",
                       IF(
                           C36 ="FOTOGRAFIA",
                           "LINK",
                           "https://www.appsheet.com/template/gettablefileurl?appName=APP022ParticMagnMTV2-924373673-26-05-14&amp;tableName=4.reg_fotografico&amp;fileName="&amp;C36                         )
                          )</f>
        <v>https://www.appsheet.com/template/gettablefileurl?appName=APP022ParticMagnMTV2-924373673-26-05-14&amp;tableName=4.reg_fotografico&amp;fileName=4.2.reg_calidad_Images/9a3f6157.imagen.030141.jpg</v>
      </c>
      <c r="F36" s="77" t="str">
        <f t="shared" si="1"/>
        <v/>
      </c>
    </row>
    <row r="37">
      <c r="A37" s="30" t="s">
        <v>3680</v>
      </c>
      <c r="B37" s="30" t="s">
        <v>510</v>
      </c>
      <c r="C37" s="30" t="s">
        <v>3681</v>
      </c>
      <c r="D37" s="30" t="s">
        <v>3608</v>
      </c>
      <c r="E37" s="76" t="str">
        <f t="array" ref="E37">IF(
                C37 = "",
                "",
                       IF(
                           C37 ="FOTOGRAFIA",
                           "LINK",
                           "https://www.appsheet.com/template/gettablefileurl?appName=APP022ParticMagnMTV2-924373673-26-05-14&amp;tableName=4.reg_fotografico&amp;fileName="&amp;C37                         )
                          )</f>
        <v>https://www.appsheet.com/template/gettablefileurl?appName=APP022ParticMagnMTV2-924373673-26-05-14&amp;tableName=4.reg_fotografico&amp;fileName=4.2.reg_calidad_Images/9a8a0946.imagen.030144.jpg</v>
      </c>
      <c r="F37" s="77" t="str">
        <f t="shared" si="1"/>
        <v/>
      </c>
    </row>
    <row r="38">
      <c r="A38" s="81" t="s">
        <v>3682</v>
      </c>
      <c r="B38" s="30" t="s">
        <v>510</v>
      </c>
      <c r="C38" s="30" t="s">
        <v>3683</v>
      </c>
      <c r="D38" s="30" t="s">
        <v>3622</v>
      </c>
      <c r="E38" s="76" t="str">
        <f t="array" ref="E38">IF(
                C38 = "",
                "",
                       IF(
                           C38 ="FOTOGRAFIA",
                           "LINK",
                           "https://www.appsheet.com/template/gettablefileurl?appName=APP022ParticMagnMTV2-924373673-26-05-14&amp;tableName=4.reg_fotografico&amp;fileName="&amp;C38                         )
                          )</f>
        <v>https://www.appsheet.com/template/gettablefileurl?appName=APP022ParticMagnMTV2-924373673-26-05-14&amp;tableName=4.reg_fotografico&amp;fileName=4.2.reg_calidad_Images/78610859.imagen.030147.jpg</v>
      </c>
      <c r="F38" s="77" t="str">
        <f t="shared" si="1"/>
        <v/>
      </c>
    </row>
    <row r="39">
      <c r="A39" s="30" t="s">
        <v>3684</v>
      </c>
      <c r="B39" s="30" t="s">
        <v>510</v>
      </c>
      <c r="C39" s="30" t="s">
        <v>3685</v>
      </c>
      <c r="D39" s="30" t="s">
        <v>3625</v>
      </c>
      <c r="E39" s="76" t="str">
        <f t="array" ref="E39">IF(
                C39 = "",
                "",
                       IF(
                           C39 ="FOTOGRAFIA",
                           "LINK",
                           "https://www.appsheet.com/template/gettablefileurl?appName=APP022ParticMagnMTV2-924373673-26-05-14&amp;tableName=4.reg_fotografico&amp;fileName="&amp;C39                         )
                          )</f>
        <v>https://www.appsheet.com/template/gettablefileurl?appName=APP022ParticMagnMTV2-924373673-26-05-14&amp;tableName=4.reg_fotografico&amp;fileName=4.2.reg_calidad_Images/ed88d11c.imagen.030151.jpg</v>
      </c>
      <c r="F39" s="77" t="str">
        <f t="shared" si="1"/>
        <v/>
      </c>
    </row>
    <row r="40">
      <c r="A40" s="30" t="s">
        <v>3686</v>
      </c>
      <c r="B40" s="30" t="s">
        <v>523</v>
      </c>
      <c r="C40" s="30" t="s">
        <v>3687</v>
      </c>
      <c r="D40" s="30" t="s">
        <v>3611</v>
      </c>
      <c r="E40" s="76" t="str">
        <f t="array" ref="E40">IF(
                C40 = "",
                "",
                       IF(
                           C40 ="FOTOGRAFIA",
                           "LINK",
                           "https://www.appsheet.com/template/gettablefileurl?appName=APP022ParticMagnMTV2-924373673-26-05-14&amp;tableName=4.reg_fotografico&amp;fileName="&amp;C40                         )
                          )</f>
        <v>https://www.appsheet.com/template/gettablefileurl?appName=APP022ParticMagnMTV2-924373673-26-05-14&amp;tableName=4.reg_fotografico&amp;fileName=4.2.reg_calidad_Images/0a974b2b.imagen.032315.jpg</v>
      </c>
      <c r="F40" s="77" t="str">
        <f t="shared" si="1"/>
        <v/>
      </c>
    </row>
    <row r="41">
      <c r="A41" s="30" t="s">
        <v>3688</v>
      </c>
      <c r="B41" s="30" t="s">
        <v>523</v>
      </c>
      <c r="C41" s="30" t="s">
        <v>3689</v>
      </c>
      <c r="D41" s="30" t="s">
        <v>3605</v>
      </c>
      <c r="E41" s="76" t="str">
        <f t="array" ref="E41">IF(
                C41 = "",
                "",
                       IF(
                           C41 ="FOTOGRAFIA",
                           "LINK",
                           "https://www.appsheet.com/template/gettablefileurl?appName=APP022ParticMagnMTV2-924373673-26-05-14&amp;tableName=4.reg_fotografico&amp;fileName="&amp;C41                         )
                          )</f>
        <v>https://www.appsheet.com/template/gettablefileurl?appName=APP022ParticMagnMTV2-924373673-26-05-14&amp;tableName=4.reg_fotografico&amp;fileName=4.2.reg_calidad_Images/1491d8c2.imagen.032318.jpg</v>
      </c>
      <c r="F41" s="77" t="str">
        <f t="shared" si="1"/>
        <v/>
      </c>
    </row>
    <row r="42">
      <c r="A42" s="30" t="s">
        <v>3690</v>
      </c>
      <c r="B42" s="30" t="s">
        <v>523</v>
      </c>
      <c r="C42" s="30" t="s">
        <v>3691</v>
      </c>
      <c r="D42" s="30" t="s">
        <v>3608</v>
      </c>
      <c r="E42" s="76" t="str">
        <f t="array" ref="E42">IF(
                C42 = "",
                "",
                       IF(
                           C42 ="FOTOGRAFIA",
                           "LINK",
                           "https://www.appsheet.com/template/gettablefileurl?appName=APP022ParticMagnMTV2-924373673-26-05-14&amp;tableName=4.reg_fotografico&amp;fileName="&amp;C42                         )
                          )</f>
        <v>https://www.appsheet.com/template/gettablefileurl?appName=APP022ParticMagnMTV2-924373673-26-05-14&amp;tableName=4.reg_fotografico&amp;fileName=4.2.reg_calidad_Images/c69c58e9.imagen.032322.jpg</v>
      </c>
      <c r="F42" s="77" t="str">
        <f t="shared" si="1"/>
        <v/>
      </c>
    </row>
    <row r="43">
      <c r="A43" s="30" t="s">
        <v>3692</v>
      </c>
      <c r="B43" s="30" t="s">
        <v>523</v>
      </c>
      <c r="C43" s="30" t="s">
        <v>3693</v>
      </c>
      <c r="D43" s="30" t="s">
        <v>3622</v>
      </c>
      <c r="E43" s="76" t="str">
        <f t="array" ref="E43">IF(
                C43 = "",
                "",
                       IF(
                           C43 ="FOTOGRAFIA",
                           "LINK",
                           "https://www.appsheet.com/template/gettablefileurl?appName=APP022ParticMagnMTV2-924373673-26-05-14&amp;tableName=4.reg_fotografico&amp;fileName="&amp;C43                         )
                          )</f>
        <v>https://www.appsheet.com/template/gettablefileurl?appName=APP022ParticMagnMTV2-924373673-26-05-14&amp;tableName=4.reg_fotografico&amp;fileName=4.2.reg_calidad_Images/22081aca.imagen.032326.jpg</v>
      </c>
      <c r="F43" s="77" t="str">
        <f t="shared" si="1"/>
        <v/>
      </c>
    </row>
    <row r="44">
      <c r="A44" s="30" t="s">
        <v>3694</v>
      </c>
      <c r="B44" s="30" t="s">
        <v>523</v>
      </c>
      <c r="C44" s="30" t="s">
        <v>3695</v>
      </c>
      <c r="D44" s="30" t="s">
        <v>3625</v>
      </c>
      <c r="E44" s="76" t="str">
        <f t="array" ref="E44">IF(
                C44 = "",
                "",
                       IF(
                           C44 ="FOTOGRAFIA",
                           "LINK",
                           "https://www.appsheet.com/template/gettablefileurl?appName=APP022ParticMagnMTV2-924373673-26-05-14&amp;tableName=4.reg_fotografico&amp;fileName="&amp;C44                         )
                          )</f>
        <v>https://www.appsheet.com/template/gettablefileurl?appName=APP022ParticMagnMTV2-924373673-26-05-14&amp;tableName=4.reg_fotografico&amp;fileName=4.2.reg_calidad_Images/a8c1caed.imagen.032330.jpg</v>
      </c>
      <c r="F44" s="77" t="str">
        <f t="shared" si="1"/>
        <v/>
      </c>
    </row>
    <row r="45">
      <c r="A45" s="30" t="s">
        <v>3696</v>
      </c>
      <c r="B45" s="30" t="s">
        <v>489</v>
      </c>
      <c r="C45" s="30" t="s">
        <v>3697</v>
      </c>
      <c r="D45" s="30" t="s">
        <v>3622</v>
      </c>
      <c r="E45" s="76" t="str">
        <f t="array" ref="E45">IF(
                C45 = "",
                "",
                       IF(
                           C45 ="FOTOGRAFIA",
                           "LINK",
                           "https://www.appsheet.com/template/gettablefileurl?appName=APP022ParticMagnMTV2-924373673-26-05-14&amp;tableName=4.reg_fotografico&amp;fileName="&amp;C45                         )
                          )</f>
        <v>https://www.appsheet.com/template/gettablefileurl?appName=APP022ParticMagnMTV2-924373673-26-05-14&amp;tableName=4.reg_fotografico&amp;fileName=4.2.reg_calidad_Images/b36d8400.imagen.225944.png</v>
      </c>
      <c r="F45" s="77" t="str">
        <f t="shared" si="1"/>
        <v/>
      </c>
    </row>
    <row r="46">
      <c r="A46" s="30" t="s">
        <v>3698</v>
      </c>
      <c r="B46" s="30" t="s">
        <v>489</v>
      </c>
      <c r="C46" s="30" t="s">
        <v>3699</v>
      </c>
      <c r="D46" s="30" t="s">
        <v>3605</v>
      </c>
      <c r="E46" s="76" t="str">
        <f t="array" ref="E46">IF(
                C46 = "",
                "",
                       IF(
                           C46 ="FOTOGRAFIA",
                           "LINK",
                           "https://www.appsheet.com/template/gettablefileurl?appName=APP022ParticMagnMTV2-924373673-26-05-14&amp;tableName=4.reg_fotografico&amp;fileName="&amp;C46                         )
                          )</f>
        <v>https://www.appsheet.com/template/gettablefileurl?appName=APP022ParticMagnMTV2-924373673-26-05-14&amp;tableName=4.reg_fotografico&amp;fileName=4.2.reg_calidad_Images/55eeba61.imagen.225948.png</v>
      </c>
      <c r="F46" s="77" t="str">
        <f t="shared" si="1"/>
        <v/>
      </c>
    </row>
    <row r="47">
      <c r="A47" s="30" t="s">
        <v>3700</v>
      </c>
      <c r="B47" s="30" t="s">
        <v>489</v>
      </c>
      <c r="C47" s="30" t="s">
        <v>3701</v>
      </c>
      <c r="D47" s="30" t="s">
        <v>3611</v>
      </c>
      <c r="E47" s="76" t="str">
        <f t="array" ref="E47">IF(
                C47 = "",
                "",
                       IF(
                           C47 ="FOTOGRAFIA",
                           "LINK",
                           "https://www.appsheet.com/template/gettablefileurl?appName=APP022ParticMagnMTV2-924373673-26-05-14&amp;tableName=4.reg_fotografico&amp;fileName="&amp;C47                         )
                          )</f>
        <v>https://www.appsheet.com/template/gettablefileurl?appName=APP022ParticMagnMTV2-924373673-26-05-14&amp;tableName=4.reg_fotografico&amp;fileName=4.2.reg_calidad_Images/dd9af31e.imagen.225951.png</v>
      </c>
      <c r="F47" s="77" t="str">
        <f t="shared" si="1"/>
        <v/>
      </c>
    </row>
    <row r="48">
      <c r="A48" s="30" t="s">
        <v>3702</v>
      </c>
      <c r="B48" s="30" t="s">
        <v>489</v>
      </c>
      <c r="C48" s="30" t="s">
        <v>3703</v>
      </c>
      <c r="D48" s="30" t="s">
        <v>3608</v>
      </c>
      <c r="E48" s="76" t="str">
        <f t="array" ref="E48">IF(
                C48 = "",
                "",
                       IF(
                           C48 ="FOTOGRAFIA",
                           "LINK",
                           "https://www.appsheet.com/template/gettablefileurl?appName=APP022ParticMagnMTV2-924373673-26-05-14&amp;tableName=4.reg_fotografico&amp;fileName="&amp;C48                         )
                          )</f>
        <v>https://www.appsheet.com/template/gettablefileurl?appName=APP022ParticMagnMTV2-924373673-26-05-14&amp;tableName=4.reg_fotografico&amp;fileName=4.2.reg_calidad_Images/4d414eb3.imagen.225954.png</v>
      </c>
      <c r="F48" s="77" t="str">
        <f t="shared" si="1"/>
        <v/>
      </c>
    </row>
    <row r="49">
      <c r="A49" s="30" t="s">
        <v>3704</v>
      </c>
      <c r="B49" s="30" t="s">
        <v>531</v>
      </c>
      <c r="C49" s="30" t="s">
        <v>3705</v>
      </c>
      <c r="D49" s="30" t="s">
        <v>3611</v>
      </c>
      <c r="E49" s="76" t="str">
        <f t="array" ref="E49">IF(
                C49 = "",
                "",
                       IF(
                           C49 ="FOTOGRAFIA",
                           "LINK",
                           "https://www.appsheet.com/template/gettablefileurl?appName=APP022ParticMagnMTV2-924373673-26-05-14&amp;tableName=4.reg_fotografico&amp;fileName="&amp;C49                         )
                          )</f>
        <v>https://www.appsheet.com/template/gettablefileurl?appName=APP022ParticMagnMTV2-924373673-26-05-14&amp;tableName=4.reg_fotografico&amp;fileName=4.2.reg_calidad_Images/90e6806b.imagen.151833.jpg</v>
      </c>
      <c r="F49" s="77" t="str">
        <f t="shared" si="1"/>
        <v/>
      </c>
    </row>
    <row r="50">
      <c r="A50" s="30" t="s">
        <v>3706</v>
      </c>
      <c r="B50" s="30" t="s">
        <v>531</v>
      </c>
      <c r="C50" s="30" t="s">
        <v>3707</v>
      </c>
      <c r="D50" s="30" t="s">
        <v>3605</v>
      </c>
      <c r="E50" s="76" t="str">
        <f t="array" ref="E50">IF(
                C50 = "",
                "",
                       IF(
                           C50 ="FOTOGRAFIA",
                           "LINK",
                           "https://www.appsheet.com/template/gettablefileurl?appName=APP022ParticMagnMTV2-924373673-26-05-14&amp;tableName=4.reg_fotografico&amp;fileName="&amp;C50                         )
                          )</f>
        <v>https://www.appsheet.com/template/gettablefileurl?appName=APP022ParticMagnMTV2-924373673-26-05-14&amp;tableName=4.reg_fotografico&amp;fileName=4.2.reg_calidad_Images/c1c8e199.imagen.151839.jpg</v>
      </c>
      <c r="F50" s="77" t="str">
        <f t="shared" si="1"/>
        <v/>
      </c>
    </row>
    <row r="51">
      <c r="A51" s="30" t="s">
        <v>3708</v>
      </c>
      <c r="B51" s="30" t="s">
        <v>531</v>
      </c>
      <c r="C51" s="30" t="s">
        <v>3709</v>
      </c>
      <c r="D51" s="30" t="s">
        <v>3622</v>
      </c>
      <c r="E51" s="76" t="str">
        <f t="array" ref="E51">IF(
                C51 = "",
                "",
                       IF(
                           C51 ="FOTOGRAFIA",
                           "LINK",
                           "https://www.appsheet.com/template/gettablefileurl?appName=APP022ParticMagnMTV2-924373673-26-05-14&amp;tableName=4.reg_fotografico&amp;fileName="&amp;C51                         )
                          )</f>
        <v>https://www.appsheet.com/template/gettablefileurl?appName=APP022ParticMagnMTV2-924373673-26-05-14&amp;tableName=4.reg_fotografico&amp;fileName=4.2.reg_calidad_Images/c140c144.imagen.151845.jpg</v>
      </c>
      <c r="F51" s="77" t="str">
        <f t="shared" si="1"/>
        <v/>
      </c>
    </row>
    <row r="52">
      <c r="A52" s="30" t="s">
        <v>3710</v>
      </c>
      <c r="B52" s="30" t="s">
        <v>531</v>
      </c>
      <c r="C52" s="30" t="s">
        <v>3711</v>
      </c>
      <c r="D52" s="30" t="s">
        <v>3625</v>
      </c>
      <c r="E52" s="76" t="str">
        <f t="array" ref="E52">IF(
                C52 = "",
                "",
                       IF(
                           C52 ="FOTOGRAFIA",
                           "LINK",
                           "https://www.appsheet.com/template/gettablefileurl?appName=APP022ParticMagnMTV2-924373673-26-05-14&amp;tableName=4.reg_fotografico&amp;fileName="&amp;C52                         )
                          )</f>
        <v>https://www.appsheet.com/template/gettablefileurl?appName=APP022ParticMagnMTV2-924373673-26-05-14&amp;tableName=4.reg_fotografico&amp;fileName=4.2.reg_calidad_Images/1b56297d.imagen.151851.jpg</v>
      </c>
      <c r="F52" s="77" t="str">
        <f t="shared" si="1"/>
        <v/>
      </c>
    </row>
    <row r="53">
      <c r="A53" s="30" t="s">
        <v>3712</v>
      </c>
      <c r="B53" s="30" t="s">
        <v>531</v>
      </c>
      <c r="C53" s="30" t="s">
        <v>3713</v>
      </c>
      <c r="D53" s="30" t="s">
        <v>3608</v>
      </c>
      <c r="E53" s="76" t="str">
        <f t="array" ref="E53">IF(
                C53 = "",
                "",
                       IF(
                           C53 ="FOTOGRAFIA",
                           "LINK",
                           "https://www.appsheet.com/template/gettablefileurl?appName=APP022ParticMagnMTV2-924373673-26-05-14&amp;tableName=4.reg_fotografico&amp;fileName="&amp;C53                         )
                          )</f>
        <v>https://www.appsheet.com/template/gettablefileurl?appName=APP022ParticMagnMTV2-924373673-26-05-14&amp;tableName=4.reg_fotografico&amp;fileName=4.2.reg_calidad_Images/cb933dd2.imagen.151854.jpg</v>
      </c>
      <c r="F53" s="77" t="str">
        <f t="shared" si="1"/>
        <v/>
      </c>
    </row>
    <row r="54">
      <c r="A54" s="30" t="s">
        <v>3714</v>
      </c>
      <c r="B54" s="30" t="s">
        <v>283</v>
      </c>
      <c r="C54" s="30" t="s">
        <v>3715</v>
      </c>
      <c r="D54" s="30" t="s">
        <v>3611</v>
      </c>
      <c r="E54" s="76" t="str">
        <f t="array" ref="E54">IF(
                C54 = "",
                "",
                       IF(
                           C54 ="FOTOGRAFIA",
                           "LINK",
                           "https://www.appsheet.com/template/gettablefileurl?appName=APP022ParticMagnMTV2-924373673-26-05-14&amp;tableName=4.reg_fotografico&amp;fileName="&amp;C54                         )
                          )</f>
        <v>https://www.appsheet.com/template/gettablefileurl?appName=APP022ParticMagnMTV2-924373673-26-05-14&amp;tableName=4.reg_fotografico&amp;fileName=4.2.reg_calidad_Images/671fee5f.imagen.190835.jpg</v>
      </c>
      <c r="F54" s="77" t="str">
        <f t="shared" si="1"/>
        <v/>
      </c>
    </row>
    <row r="55">
      <c r="A55" s="30" t="s">
        <v>3716</v>
      </c>
      <c r="B55" s="30" t="s">
        <v>283</v>
      </c>
      <c r="C55" s="30" t="s">
        <v>3717</v>
      </c>
      <c r="D55" s="30" t="s">
        <v>3605</v>
      </c>
      <c r="E55" s="76" t="str">
        <f t="array" ref="E55">IF(
                C55 = "",
                "",
                       IF(
                           C55 ="FOTOGRAFIA",
                           "LINK",
                           "https://www.appsheet.com/template/gettablefileurl?appName=APP022ParticMagnMTV2-924373673-26-05-14&amp;tableName=4.reg_fotografico&amp;fileName="&amp;C55                         )
                          )</f>
        <v>https://www.appsheet.com/template/gettablefileurl?appName=APP022ParticMagnMTV2-924373673-26-05-14&amp;tableName=4.reg_fotografico&amp;fileName=4.2.reg_calidad_Images/3fa151c3.imagen.190839.jpg</v>
      </c>
      <c r="F55" s="77" t="str">
        <f t="shared" si="1"/>
        <v/>
      </c>
    </row>
    <row r="56">
      <c r="A56" s="30" t="s">
        <v>3718</v>
      </c>
      <c r="B56" s="30" t="s">
        <v>546</v>
      </c>
      <c r="C56" s="30" t="s">
        <v>3719</v>
      </c>
      <c r="D56" s="30" t="s">
        <v>3608</v>
      </c>
      <c r="E56" s="76" t="str">
        <f t="array" ref="E56">IF(
                C56 = "",
                "",
                       IF(
                           C56 ="FOTOGRAFIA",
                           "LINK",
                           "https://www.appsheet.com/template/gettablefileurl?appName=APP022ParticMagnMTV2-924373673-26-05-14&amp;tableName=4.reg_fotografico&amp;fileName="&amp;C56                         )
                          )</f>
        <v>https://www.appsheet.com/template/gettablefileurl?appName=APP022ParticMagnMTV2-924373673-26-05-14&amp;tableName=4.reg_fotografico&amp;fileName=4.2.reg_calidad_Images/db1b93da.imagen.154333.jpg</v>
      </c>
      <c r="F56" s="77" t="str">
        <f t="shared" si="1"/>
        <v/>
      </c>
    </row>
    <row r="57">
      <c r="A57" s="30" t="s">
        <v>3720</v>
      </c>
      <c r="B57" s="30" t="s">
        <v>546</v>
      </c>
      <c r="C57" s="30" t="s">
        <v>3721</v>
      </c>
      <c r="D57" s="30" t="s">
        <v>3622</v>
      </c>
      <c r="E57" s="76" t="str">
        <f t="array" ref="E57">IF(
                C57 = "",
                "",
                       IF(
                           C57 ="FOTOGRAFIA",
                           "LINK",
                           "https://www.appsheet.com/template/gettablefileurl?appName=APP022ParticMagnMTV2-924373673-26-05-14&amp;tableName=4.reg_fotografico&amp;fileName="&amp;C57                         )
                          )</f>
        <v>https://www.appsheet.com/template/gettablefileurl?appName=APP022ParticMagnMTV2-924373673-26-05-14&amp;tableName=4.reg_fotografico&amp;fileName=4.2.reg_calidad_Images/38642b3f.imagen.154337.jpg</v>
      </c>
      <c r="F57" s="77" t="str">
        <f t="shared" si="1"/>
        <v/>
      </c>
    </row>
    <row r="58">
      <c r="A58" s="30" t="s">
        <v>3722</v>
      </c>
      <c r="B58" s="30" t="s">
        <v>546</v>
      </c>
      <c r="C58" s="30" t="s">
        <v>3723</v>
      </c>
      <c r="D58" s="30" t="s">
        <v>3625</v>
      </c>
      <c r="E58" s="76" t="str">
        <f t="array" ref="E58">IF(
                C58 = "",
                "",
                       IF(
                           C58 ="FOTOGRAFIA",
                           "LINK",
                           "https://www.appsheet.com/template/gettablefileurl?appName=APP022ParticMagnMTV2-924373673-26-05-14&amp;tableName=4.reg_fotografico&amp;fileName="&amp;C58                         )
                          )</f>
        <v>https://www.appsheet.com/template/gettablefileurl?appName=APP022ParticMagnMTV2-924373673-26-05-14&amp;tableName=4.reg_fotografico&amp;fileName=4.2.reg_calidad_Images/c9ae8b43.imagen.154342.jpg</v>
      </c>
      <c r="F58" s="77" t="str">
        <f t="shared" si="1"/>
        <v/>
      </c>
    </row>
    <row r="59">
      <c r="A59" s="30" t="s">
        <v>3724</v>
      </c>
      <c r="B59" s="30" t="s">
        <v>546</v>
      </c>
      <c r="C59" s="30" t="s">
        <v>3725</v>
      </c>
      <c r="D59" s="30" t="s">
        <v>3605</v>
      </c>
      <c r="E59" s="76" t="str">
        <f t="array" ref="E59">IF(
                C59 = "",
                "",
                       IF(
                           C59 ="FOTOGRAFIA",
                           "LINK",
                           "https://www.appsheet.com/template/gettablefileurl?appName=APP022ParticMagnMTV2-924373673-26-05-14&amp;tableName=4.reg_fotografico&amp;fileName="&amp;C59                         )
                          )</f>
        <v>https://www.appsheet.com/template/gettablefileurl?appName=APP022ParticMagnMTV2-924373673-26-05-14&amp;tableName=4.reg_fotografico&amp;fileName=4.2.reg_calidad_Images/e32c8e41.imagen.154346.jpg</v>
      </c>
      <c r="F59" s="77" t="str">
        <f t="shared" si="1"/>
        <v/>
      </c>
    </row>
    <row r="60">
      <c r="A60" s="30" t="s">
        <v>3726</v>
      </c>
      <c r="B60" s="30" t="s">
        <v>546</v>
      </c>
      <c r="C60" s="30" t="s">
        <v>3727</v>
      </c>
      <c r="D60" s="30" t="s">
        <v>3611</v>
      </c>
      <c r="E60" s="76" t="str">
        <f t="array" ref="E60">IF(
                C60 = "",
                "",
                       IF(
                           C60 ="FOTOGRAFIA",
                           "LINK",
                           "https://www.appsheet.com/template/gettablefileurl?appName=APP022ParticMagnMTV2-924373673-26-05-14&amp;tableName=4.reg_fotografico&amp;fileName="&amp;C60                         )
                          )</f>
        <v>https://www.appsheet.com/template/gettablefileurl?appName=APP022ParticMagnMTV2-924373673-26-05-14&amp;tableName=4.reg_fotografico&amp;fileName=4.2.reg_calidad_Images/bde207d4.imagen.154349.jpg</v>
      </c>
      <c r="F60" s="77" t="str">
        <f t="shared" si="1"/>
        <v/>
      </c>
    </row>
    <row r="61">
      <c r="A61" s="30" t="s">
        <v>3728</v>
      </c>
      <c r="B61" s="30" t="s">
        <v>561</v>
      </c>
      <c r="C61" s="30" t="s">
        <v>3729</v>
      </c>
      <c r="D61" s="30" t="s">
        <v>3622</v>
      </c>
      <c r="E61" s="76" t="str">
        <f t="array" ref="E61">IF(
                C61 = "",
                "",
                       IF(
                           C61 ="FOTOGRAFIA",
                           "LINK",
                           "https://www.appsheet.com/template/gettablefileurl?appName=APP022ParticMagnMTV2-924373673-26-05-14&amp;tableName=4.reg_fotografico&amp;fileName="&amp;C61                         )
                          )</f>
        <v>https://www.appsheet.com/template/gettablefileurl?appName=APP022ParticMagnMTV2-924373673-26-05-14&amp;tableName=4.reg_fotografico&amp;fileName=4.2.reg_calidad_Images/de42e8d0.imagen.192935.jpg</v>
      </c>
      <c r="F61" s="77" t="str">
        <f t="shared" si="1"/>
        <v/>
      </c>
    </row>
    <row r="62">
      <c r="A62" s="30" t="s">
        <v>3730</v>
      </c>
      <c r="B62" s="30" t="s">
        <v>561</v>
      </c>
      <c r="C62" s="30" t="s">
        <v>3731</v>
      </c>
      <c r="D62" s="30" t="s">
        <v>3611</v>
      </c>
      <c r="E62" s="76" t="str">
        <f t="array" ref="E62">IF(
                C62 = "",
                "",
                       IF(
                           C62 ="FOTOGRAFIA",
                           "LINK",
                           "https://www.appsheet.com/template/gettablefileurl?appName=APP022ParticMagnMTV2-924373673-26-05-14&amp;tableName=4.reg_fotografico&amp;fileName="&amp;C62                         )
                          )</f>
        <v>https://www.appsheet.com/template/gettablefileurl?appName=APP022ParticMagnMTV2-924373673-26-05-14&amp;tableName=4.reg_fotografico&amp;fileName=4.2.reg_calidad_Images/5da35d44.imagen.192939.jpg</v>
      </c>
      <c r="F62" s="77" t="str">
        <f t="shared" si="1"/>
        <v/>
      </c>
    </row>
    <row r="63">
      <c r="A63" s="30" t="s">
        <v>3732</v>
      </c>
      <c r="B63" s="30" t="s">
        <v>561</v>
      </c>
      <c r="C63" s="30" t="s">
        <v>3733</v>
      </c>
      <c r="D63" s="30" t="s">
        <v>3608</v>
      </c>
      <c r="E63" s="76" t="str">
        <f t="array" ref="E63">IF(
                C63 = "",
                "",
                       IF(
                           C63 ="FOTOGRAFIA",
                           "LINK",
                           "https://www.appsheet.com/template/gettablefileurl?appName=APP022ParticMagnMTV2-924373673-26-05-14&amp;tableName=4.reg_fotografico&amp;fileName="&amp;C63                         )
                          )</f>
        <v>https://www.appsheet.com/template/gettablefileurl?appName=APP022ParticMagnMTV2-924373673-26-05-14&amp;tableName=4.reg_fotografico&amp;fileName=4.2.reg_calidad_Images/7df71cc1.imagen.193234.jpg</v>
      </c>
      <c r="F63" s="77" t="str">
        <f t="shared" si="1"/>
        <v/>
      </c>
    </row>
    <row r="64">
      <c r="A64" s="30" t="s">
        <v>3734</v>
      </c>
      <c r="B64" s="30" t="s">
        <v>561</v>
      </c>
      <c r="C64" s="30" t="s">
        <v>3735</v>
      </c>
      <c r="D64" s="30" t="s">
        <v>3605</v>
      </c>
      <c r="E64" s="76" t="str">
        <f t="array" ref="E64">IF(
                C64 = "",
                "",
                       IF(
                           C64 ="FOTOGRAFIA",
                           "LINK",
                           "https://www.appsheet.com/template/gettablefileurl?appName=APP022ParticMagnMTV2-924373673-26-05-14&amp;tableName=4.reg_fotografico&amp;fileName="&amp;C64                         )
                          )</f>
        <v>https://www.appsheet.com/template/gettablefileurl?appName=APP022ParticMagnMTV2-924373673-26-05-14&amp;tableName=4.reg_fotografico&amp;fileName=4.2.reg_calidad_Images/fa6c21cf.imagen.193238.jpg</v>
      </c>
      <c r="F64" s="77" t="str">
        <f t="shared" si="1"/>
        <v/>
      </c>
    </row>
    <row r="65">
      <c r="A65" s="30" t="s">
        <v>3736</v>
      </c>
      <c r="B65" s="30" t="s">
        <v>578</v>
      </c>
      <c r="C65" s="30" t="s">
        <v>3737</v>
      </c>
      <c r="D65" s="30" t="s">
        <v>3622</v>
      </c>
      <c r="E65" s="76" t="str">
        <f t="array" ref="E65">IF(
                C65 = "",
                "",
                       IF(
                           C65 ="FOTOGRAFIA",
                           "LINK",
                           "https://www.appsheet.com/template/gettablefileurl?appName=APP022ParticMagnMTV2-924373673-26-05-14&amp;tableName=4.reg_fotografico&amp;fileName="&amp;C65                         )
                          )</f>
        <v>https://www.appsheet.com/template/gettablefileurl?appName=APP022ParticMagnMTV2-924373673-26-05-14&amp;tableName=4.reg_fotografico&amp;fileName=4.2.reg_calidad_Images/b3781aa7.imagen.142019.jpg</v>
      </c>
      <c r="F65" s="77" t="str">
        <f t="shared" si="1"/>
        <v/>
      </c>
    </row>
    <row r="66">
      <c r="A66" s="30" t="s">
        <v>3738</v>
      </c>
      <c r="B66" s="30" t="s">
        <v>578</v>
      </c>
      <c r="C66" s="30" t="s">
        <v>3739</v>
      </c>
      <c r="D66" s="30" t="s">
        <v>3625</v>
      </c>
      <c r="E66" s="76" t="str">
        <f t="array" ref="E66">IF(
                C66 = "",
                "",
                       IF(
                           C66 ="FOTOGRAFIA",
                           "LINK",
                           "https://www.appsheet.com/template/gettablefileurl?appName=APP022ParticMagnMTV2-924373673-26-05-14&amp;tableName=4.reg_fotografico&amp;fileName="&amp;C66                         )
                          )</f>
        <v>https://www.appsheet.com/template/gettablefileurl?appName=APP022ParticMagnMTV2-924373673-26-05-14&amp;tableName=4.reg_fotografico&amp;fileName=4.2.reg_calidad_Images/d7fda3e9.imagen.142029.jpg</v>
      </c>
      <c r="F66" s="77" t="str">
        <f t="shared" si="1"/>
        <v/>
      </c>
    </row>
    <row r="67">
      <c r="A67" s="30" t="s">
        <v>3740</v>
      </c>
      <c r="B67" s="30" t="s">
        <v>578</v>
      </c>
      <c r="C67" s="30" t="s">
        <v>3741</v>
      </c>
      <c r="D67" s="30" t="s">
        <v>3611</v>
      </c>
      <c r="E67" s="76" t="str">
        <f t="array" ref="E67">IF(
                C67 = "",
                "",
                       IF(
                           C67 ="FOTOGRAFIA",
                           "LINK",
                           "https://www.appsheet.com/template/gettablefileurl?appName=APP022ParticMagnMTV2-924373673-26-05-14&amp;tableName=4.reg_fotografico&amp;fileName="&amp;C67                         )
                          )</f>
        <v>https://www.appsheet.com/template/gettablefileurl?appName=APP022ParticMagnMTV2-924373673-26-05-14&amp;tableName=4.reg_fotografico&amp;fileName=4.2.reg_calidad_Images/b4355fe3.imagen.142032.jpg</v>
      </c>
      <c r="F67" s="77" t="str">
        <f t="shared" si="1"/>
        <v/>
      </c>
    </row>
    <row r="68">
      <c r="A68" s="30" t="s">
        <v>3742</v>
      </c>
      <c r="B68" s="30" t="s">
        <v>578</v>
      </c>
      <c r="C68" s="30" t="s">
        <v>3743</v>
      </c>
      <c r="D68" s="30" t="s">
        <v>3605</v>
      </c>
      <c r="E68" s="76" t="str">
        <f t="array" ref="E68">IF(
                C68 = "",
                "",
                       IF(
                           C68 ="FOTOGRAFIA",
                           "LINK",
                           "https://www.appsheet.com/template/gettablefileurl?appName=APP022ParticMagnMTV2-924373673-26-05-14&amp;tableName=4.reg_fotografico&amp;fileName="&amp;C68                         )
                          )</f>
        <v>https://www.appsheet.com/template/gettablefileurl?appName=APP022ParticMagnMTV2-924373673-26-05-14&amp;tableName=4.reg_fotografico&amp;fileName=4.2.reg_calidad_Images/e49f29a7.imagen.142035.jpg</v>
      </c>
      <c r="F68" s="77" t="str">
        <f t="shared" si="1"/>
        <v/>
      </c>
    </row>
    <row r="69">
      <c r="A69" s="30" t="s">
        <v>3744</v>
      </c>
      <c r="B69" s="30" t="s">
        <v>578</v>
      </c>
      <c r="C69" s="30" t="s">
        <v>3745</v>
      </c>
      <c r="D69" s="30" t="s">
        <v>3608</v>
      </c>
      <c r="E69" s="76" t="str">
        <f t="array" ref="E69">IF(
                C69 = "",
                "",
                       IF(
                           C69 ="FOTOGRAFIA",
                           "LINK",
                           "https://www.appsheet.com/template/gettablefileurl?appName=APP022ParticMagnMTV2-924373673-26-05-14&amp;tableName=4.reg_fotografico&amp;fileName="&amp;C69                         )
                          )</f>
        <v>https://www.appsheet.com/template/gettablefileurl?appName=APP022ParticMagnMTV2-924373673-26-05-14&amp;tableName=4.reg_fotografico&amp;fileName=4.2.reg_calidad_Images/83b08c40.imagen.142039.jpg</v>
      </c>
      <c r="F69" s="77" t="str">
        <f t="shared" si="1"/>
        <v/>
      </c>
    </row>
    <row r="70">
      <c r="A70" s="30" t="s">
        <v>3746</v>
      </c>
      <c r="B70" s="30" t="s">
        <v>593</v>
      </c>
      <c r="C70" s="30" t="s">
        <v>3747</v>
      </c>
      <c r="D70" s="30" t="s">
        <v>3605</v>
      </c>
      <c r="E70" s="76" t="str">
        <f t="array" ref="E70">IF(
                C70 = "",
                "",
                       IF(
                           C70 ="FOTOGRAFIA",
                           "LINK",
                           "https://www.appsheet.com/template/gettablefileurl?appName=APP022ParticMagnMTV2-924373673-26-05-14&amp;tableName=4.reg_fotografico&amp;fileName="&amp;C70                         )
                          )</f>
        <v>https://www.appsheet.com/template/gettablefileurl?appName=APP022ParticMagnMTV2-924373673-26-05-14&amp;tableName=4.reg_fotografico&amp;fileName=4.2.reg_calidad_Images/3900cd72.imagen.144606.jpg</v>
      </c>
      <c r="F70" s="77" t="str">
        <f t="shared" si="1"/>
        <v/>
      </c>
    </row>
    <row r="71">
      <c r="A71" s="30" t="s">
        <v>3748</v>
      </c>
      <c r="B71" s="30" t="s">
        <v>593</v>
      </c>
      <c r="C71" s="30" t="s">
        <v>3749</v>
      </c>
      <c r="D71" s="30" t="s">
        <v>3611</v>
      </c>
      <c r="E71" s="76" t="str">
        <f t="array" ref="E71">IF(
                C71 = "",
                "",
                       IF(
                           C71 ="FOTOGRAFIA",
                           "LINK",
                           "https://www.appsheet.com/template/gettablefileurl?appName=APP022ParticMagnMTV2-924373673-26-05-14&amp;tableName=4.reg_fotografico&amp;fileName="&amp;C71                         )
                          )</f>
        <v>https://www.appsheet.com/template/gettablefileurl?appName=APP022ParticMagnMTV2-924373673-26-05-14&amp;tableName=4.reg_fotografico&amp;fileName=4.2.reg_calidad_Images/87ec66f0.imagen.144613.jpg</v>
      </c>
      <c r="F71" s="77" t="str">
        <f t="shared" si="1"/>
        <v/>
      </c>
    </row>
    <row r="72">
      <c r="A72" s="30" t="s">
        <v>3750</v>
      </c>
      <c r="B72" s="30" t="s">
        <v>593</v>
      </c>
      <c r="C72" s="30" t="s">
        <v>3751</v>
      </c>
      <c r="D72" s="30" t="s">
        <v>3608</v>
      </c>
      <c r="E72" s="76" t="str">
        <f t="array" ref="E72">IF(
                C72 = "",
                "",
                       IF(
                           C72 ="FOTOGRAFIA",
                           "LINK",
                           "https://www.appsheet.com/template/gettablefileurl?appName=APP022ParticMagnMTV2-924373673-26-05-14&amp;tableName=4.reg_fotografico&amp;fileName="&amp;C72                         )
                          )</f>
        <v>https://www.appsheet.com/template/gettablefileurl?appName=APP022ParticMagnMTV2-924373673-26-05-14&amp;tableName=4.reg_fotografico&amp;fileName=4.2.reg_calidad_Images/041eb661.imagen.144619.jpg</v>
      </c>
      <c r="F72" s="77" t="str">
        <f t="shared" si="1"/>
        <v/>
      </c>
    </row>
    <row r="73">
      <c r="A73" s="30" t="s">
        <v>3752</v>
      </c>
      <c r="B73" s="30" t="s">
        <v>593</v>
      </c>
      <c r="C73" s="30" t="s">
        <v>3753</v>
      </c>
      <c r="D73" s="30" t="s">
        <v>3622</v>
      </c>
      <c r="E73" s="76" t="str">
        <f t="array" ref="E73">IF(
                C73 = "",
                "",
                       IF(
                           C73 ="FOTOGRAFIA",
                           "LINK",
                           "https://www.appsheet.com/template/gettablefileurl?appName=APP022ParticMagnMTV2-924373673-26-05-14&amp;tableName=4.reg_fotografico&amp;fileName="&amp;C73                         )
                          )</f>
        <v>https://www.appsheet.com/template/gettablefileurl?appName=APP022ParticMagnMTV2-924373673-26-05-14&amp;tableName=4.reg_fotografico&amp;fileName=4.2.reg_calidad_Images/2d535510.imagen.144626.jpg</v>
      </c>
      <c r="F73" s="77" t="str">
        <f t="shared" si="1"/>
        <v/>
      </c>
    </row>
    <row r="74">
      <c r="A74" s="30" t="s">
        <v>3754</v>
      </c>
      <c r="B74" s="30" t="s">
        <v>603</v>
      </c>
      <c r="C74" s="30" t="s">
        <v>3755</v>
      </c>
      <c r="D74" s="30" t="s">
        <v>3622</v>
      </c>
      <c r="E74" s="76" t="str">
        <f t="array" ref="E74">IF(
                C74 = "",
                "",
                       IF(
                           C74 ="FOTOGRAFIA",
                           "LINK",
                           "https://www.appsheet.com/template/gettablefileurl?appName=APP022ParticMagnMTV2-924373673-26-05-14&amp;tableName=4.reg_fotografico&amp;fileName="&amp;C74                         )
                          )</f>
        <v>https://www.appsheet.com/template/gettablefileurl?appName=APP022ParticMagnMTV2-924373673-26-05-14&amp;tableName=4.reg_fotografico&amp;fileName=4.2.reg_calidad_Images/b5517ed5.imagen.004234.jpg</v>
      </c>
      <c r="F74" s="77" t="str">
        <f t="shared" si="1"/>
        <v/>
      </c>
    </row>
    <row r="75">
      <c r="A75" s="30" t="s">
        <v>3756</v>
      </c>
      <c r="B75" s="30" t="s">
        <v>603</v>
      </c>
      <c r="C75" s="30" t="s">
        <v>3757</v>
      </c>
      <c r="D75" s="30" t="s">
        <v>3605</v>
      </c>
      <c r="E75" s="76" t="str">
        <f t="array" ref="E75">IF(
                C75 = "",
                "",
                       IF(
                           C75 ="FOTOGRAFIA",
                           "LINK",
                           "https://www.appsheet.com/template/gettablefileurl?appName=APP022ParticMagnMTV2-924373673-26-05-14&amp;tableName=4.reg_fotografico&amp;fileName="&amp;C75                         )
                          )</f>
        <v>https://www.appsheet.com/template/gettablefileurl?appName=APP022ParticMagnMTV2-924373673-26-05-14&amp;tableName=4.reg_fotografico&amp;fileName=4.2.reg_calidad_Images/9b40269a.imagen.004238.jpg</v>
      </c>
      <c r="F75" s="77" t="str">
        <f t="shared" si="1"/>
        <v/>
      </c>
    </row>
    <row r="76">
      <c r="A76" s="30" t="s">
        <v>3758</v>
      </c>
      <c r="B76" s="30" t="s">
        <v>603</v>
      </c>
      <c r="C76" s="30" t="s">
        <v>3759</v>
      </c>
      <c r="D76" s="30" t="s">
        <v>3611</v>
      </c>
      <c r="E76" s="76" t="str">
        <f t="array" ref="E76">IF(
                C76 = "",
                "",
                       IF(
                           C76 ="FOTOGRAFIA",
                           "LINK",
                           "https://www.appsheet.com/template/gettablefileurl?appName=APP022ParticMagnMTV2-924373673-26-05-14&amp;tableName=4.reg_fotografico&amp;fileName="&amp;C76                         )
                          )</f>
        <v>https://www.appsheet.com/template/gettablefileurl?appName=APP022ParticMagnMTV2-924373673-26-05-14&amp;tableName=4.reg_fotografico&amp;fileName=4.2.reg_calidad_Images/a82107df.imagen.004241.jpg</v>
      </c>
      <c r="F76" s="77" t="str">
        <f t="shared" si="1"/>
        <v/>
      </c>
    </row>
    <row r="77">
      <c r="A77" s="30" t="s">
        <v>3760</v>
      </c>
      <c r="B77" s="30" t="s">
        <v>603</v>
      </c>
      <c r="C77" s="30" t="s">
        <v>3761</v>
      </c>
      <c r="D77" s="30" t="s">
        <v>3611</v>
      </c>
      <c r="E77" s="76" t="str">
        <f t="array" ref="E77">IF(
                C77 = "",
                "",
                       IF(
                           C77 ="FOTOGRAFIA",
                           "LINK",
                           "https://www.appsheet.com/template/gettablefileurl?appName=APP022ParticMagnMTV2-924373673-26-05-14&amp;tableName=4.reg_fotografico&amp;fileName="&amp;C77                         )
                          )</f>
        <v>https://www.appsheet.com/template/gettablefileurl?appName=APP022ParticMagnMTV2-924373673-26-05-14&amp;tableName=4.reg_fotografico&amp;fileName=4.2.reg_calidad_Images/8c060be4.imagen.004244.jpg</v>
      </c>
      <c r="F77" s="77" t="str">
        <f t="shared" si="1"/>
        <v/>
      </c>
    </row>
    <row r="78" ht="20.25" customHeight="1">
      <c r="A78" s="30" t="s">
        <v>3762</v>
      </c>
      <c r="B78" s="30" t="s">
        <v>615</v>
      </c>
      <c r="C78" s="30" t="s">
        <v>3763</v>
      </c>
      <c r="D78" s="30" t="s">
        <v>3605</v>
      </c>
      <c r="E78" s="78" t="s">
        <v>3764</v>
      </c>
      <c r="F78" s="77" t="str">
        <f t="shared" si="1"/>
        <v/>
      </c>
    </row>
    <row r="79" ht="20.25" customHeight="1">
      <c r="A79" s="30" t="s">
        <v>3765</v>
      </c>
      <c r="B79" s="30" t="s">
        <v>615</v>
      </c>
      <c r="C79" s="30" t="s">
        <v>3766</v>
      </c>
      <c r="D79" s="30" t="s">
        <v>3625</v>
      </c>
      <c r="E79" s="78" t="s">
        <v>3767</v>
      </c>
      <c r="F79" s="77" t="str">
        <f t="shared" si="1"/>
        <v/>
      </c>
    </row>
    <row r="80" ht="20.25" customHeight="1">
      <c r="A80" s="30" t="s">
        <v>3768</v>
      </c>
      <c r="B80" s="30" t="s">
        <v>615</v>
      </c>
      <c r="C80" s="30" t="s">
        <v>3769</v>
      </c>
      <c r="D80" s="30" t="s">
        <v>3611</v>
      </c>
      <c r="E80" s="78" t="s">
        <v>3770</v>
      </c>
      <c r="F80" s="77" t="str">
        <f t="shared" si="1"/>
        <v/>
      </c>
    </row>
    <row r="81" ht="20.25" customHeight="1">
      <c r="A81" s="30" t="s">
        <v>3771</v>
      </c>
      <c r="B81" s="30" t="s">
        <v>615</v>
      </c>
      <c r="C81" s="30" t="s">
        <v>3772</v>
      </c>
      <c r="D81" s="30" t="s">
        <v>3608</v>
      </c>
      <c r="E81" s="78" t="s">
        <v>3773</v>
      </c>
      <c r="F81" s="77" t="str">
        <f t="shared" si="1"/>
        <v/>
      </c>
    </row>
    <row r="82" ht="20.25" customHeight="1">
      <c r="A82" s="30" t="s">
        <v>3774</v>
      </c>
      <c r="B82" s="30" t="s">
        <v>615</v>
      </c>
      <c r="C82" s="30" t="s">
        <v>3775</v>
      </c>
      <c r="D82" s="30" t="s">
        <v>3622</v>
      </c>
      <c r="E82" s="78" t="s">
        <v>3776</v>
      </c>
      <c r="F82" s="77" t="str">
        <f t="shared" si="1"/>
        <v/>
      </c>
    </row>
    <row r="83" ht="20.25" customHeight="1">
      <c r="A83" s="30" t="s">
        <v>3777</v>
      </c>
      <c r="B83" s="30" t="s">
        <v>628</v>
      </c>
      <c r="C83" s="30" t="s">
        <v>3778</v>
      </c>
      <c r="D83" s="30" t="s">
        <v>3622</v>
      </c>
      <c r="E83" s="76" t="str">
        <f t="array" ref="E83">IF(
                C83 = "",
                "",
                       IF(
                           C83 ="FOTOGRAFIA",
                           "LINK",
                           "https://www.appsheet.com/template/gettablefileurl?appName=APP022ParticMagnMTV2-924373673-26-05-14&amp;tableName=4.reg_fotografico&amp;fileName="&amp;C83                         )
                          )</f>
        <v>https://www.appsheet.com/template/gettablefileurl?appName=APP022ParticMagnMTV2-924373673-26-05-14&amp;tableName=4.reg_fotografico&amp;fileName=4.2.reg_calidad_Images/c71fb46b.imagen.181054.jpg</v>
      </c>
      <c r="F83" s="77" t="str">
        <f t="shared" si="1"/>
        <v/>
      </c>
    </row>
    <row r="84">
      <c r="A84" s="30" t="s">
        <v>3779</v>
      </c>
      <c r="B84" s="30" t="s">
        <v>628</v>
      </c>
      <c r="C84" s="30" t="s">
        <v>3780</v>
      </c>
      <c r="D84" s="30" t="s">
        <v>3611</v>
      </c>
      <c r="E84" s="76" t="str">
        <f t="array" ref="E84">IF(
                C84 = "",
                "",
                       IF(
                           C84 ="FOTOGRAFIA",
                           "LINK",
                           "https://www.appsheet.com/template/gettablefileurl?appName=APP022ParticMagnMTV2-924373673-26-05-14&amp;tableName=4.reg_fotografico&amp;fileName="&amp;C84                         )
                          )</f>
        <v>https://www.appsheet.com/template/gettablefileurl?appName=APP022ParticMagnMTV2-924373673-26-05-14&amp;tableName=4.reg_fotografico&amp;fileName=4.2.reg_calidad_Images/fe029ffd.imagen.181058.jpg</v>
      </c>
      <c r="F84" s="77" t="str">
        <f t="shared" si="1"/>
        <v/>
      </c>
    </row>
    <row r="85">
      <c r="A85" s="30" t="s">
        <v>3781</v>
      </c>
      <c r="B85" s="30" t="s">
        <v>628</v>
      </c>
      <c r="C85" s="30" t="s">
        <v>3782</v>
      </c>
      <c r="D85" s="30" t="s">
        <v>3605</v>
      </c>
      <c r="E85" s="76" t="str">
        <f t="array" ref="E85">IF(
                C85 = "",
                "",
                       IF(
                           C85 ="FOTOGRAFIA",
                           "LINK",
                           "https://www.appsheet.com/template/gettablefileurl?appName=APP022ParticMagnMTV2-924373673-26-05-14&amp;tableName=4.reg_fotografico&amp;fileName="&amp;C85                         )
                          )</f>
        <v>https://www.appsheet.com/template/gettablefileurl?appName=APP022ParticMagnMTV2-924373673-26-05-14&amp;tableName=4.reg_fotografico&amp;fileName=4.2.reg_calidad_Images/640c25da.imagen.181102.jpg</v>
      </c>
      <c r="F85" s="77" t="str">
        <f t="shared" si="1"/>
        <v/>
      </c>
    </row>
    <row r="86">
      <c r="A86" s="30" t="s">
        <v>3783</v>
      </c>
      <c r="B86" s="30" t="s">
        <v>628</v>
      </c>
      <c r="C86" s="30" t="s">
        <v>3784</v>
      </c>
      <c r="D86" s="30" t="s">
        <v>3625</v>
      </c>
      <c r="E86" s="76" t="str">
        <f t="array" ref="E86">IF(
                C86 = "",
                "",
                       IF(
                           C86 ="FOTOGRAFIA",
                           "LINK",
                           "https://www.appsheet.com/template/gettablefileurl?appName=APP022ParticMagnMTV2-924373673-26-05-14&amp;tableName=4.reg_fotografico&amp;fileName="&amp;C86                         )
                          )</f>
        <v>https://www.appsheet.com/template/gettablefileurl?appName=APP022ParticMagnMTV2-924373673-26-05-14&amp;tableName=4.reg_fotografico&amp;fileName=4.2.reg_calidad_Images/56f286e3.imagen.181106.jpg</v>
      </c>
      <c r="F86" s="77" t="str">
        <f t="shared" si="1"/>
        <v/>
      </c>
    </row>
    <row r="87">
      <c r="A87" s="30" t="s">
        <v>3785</v>
      </c>
      <c r="B87" s="30" t="s">
        <v>628</v>
      </c>
      <c r="C87" s="30" t="s">
        <v>3786</v>
      </c>
      <c r="D87" s="30" t="s">
        <v>3608</v>
      </c>
      <c r="E87" s="76" t="str">
        <f t="array" ref="E87">IF(
                C87 = "",
                "",
                       IF(
                           C87 ="FOTOGRAFIA",
                           "LINK",
                           "https://www.appsheet.com/template/gettablefileurl?appName=APP022ParticMagnMTV2-924373673-26-05-14&amp;tableName=4.reg_fotografico&amp;fileName="&amp;C87                         )
                          )</f>
        <v>https://www.appsheet.com/template/gettablefileurl?appName=APP022ParticMagnMTV2-924373673-26-05-14&amp;tableName=4.reg_fotografico&amp;fileName=4.2.reg_calidad_Images/b0077113.imagen.181109.jpg</v>
      </c>
      <c r="F87" s="77" t="str">
        <f t="shared" si="1"/>
        <v/>
      </c>
    </row>
    <row r="88">
      <c r="A88" s="30" t="s">
        <v>3787</v>
      </c>
      <c r="B88" s="30" t="s">
        <v>603</v>
      </c>
      <c r="C88" s="30" t="s">
        <v>3788</v>
      </c>
      <c r="D88" s="30" t="s">
        <v>3625</v>
      </c>
      <c r="E88" s="76" t="str">
        <f t="array" ref="E88">IF(
                C88 = "",
                "",
                       IF(
                           C88 ="FOTOGRAFIA",
                           "LINK",
                           "https://www.appsheet.com/template/gettablefileurl?appName=APP022ParticMagnMTV2-924373673-26-05-14&amp;tableName=4.reg_fotografico&amp;fileName="&amp;C88                         )
                          )</f>
        <v>https://www.appsheet.com/template/gettablefileurl?appName=APP022ParticMagnMTV2-924373673-26-05-14&amp;tableName=4.reg_fotografico&amp;fileName=4.2.reg_calidad_Images/f9dc9447.imagen.200016.jpg</v>
      </c>
      <c r="F88" s="77" t="str">
        <f t="shared" si="1"/>
        <v/>
      </c>
    </row>
    <row r="89">
      <c r="A89" s="30" t="s">
        <v>3789</v>
      </c>
      <c r="B89" s="30" t="s">
        <v>642</v>
      </c>
      <c r="C89" s="30" t="s">
        <v>3790</v>
      </c>
      <c r="D89" s="30" t="s">
        <v>3611</v>
      </c>
      <c r="E89" s="76" t="str">
        <f t="array" ref="E89">IF(
                C89 = "",
                "",
                       IF(
                           C89 ="FOTOGRAFIA",
                           "LINK",
                           "https://www.appsheet.com/template/gettablefileurl?appName=APP022ParticMagnMTV2-924373673-26-05-14&amp;tableName=4.reg_fotografico&amp;fileName="&amp;C89                         )
                          )</f>
        <v>https://www.appsheet.com/template/gettablefileurl?appName=APP022ParticMagnMTV2-924373673-26-05-14&amp;tableName=4.reg_fotografico&amp;fileName=4.2.reg_calidad_Images/0fb20a41.imagen.185006.jpg</v>
      </c>
      <c r="F89" s="77" t="str">
        <f t="shared" si="1"/>
        <v/>
      </c>
    </row>
    <row r="90">
      <c r="A90" s="30" t="s">
        <v>3791</v>
      </c>
      <c r="B90" s="30" t="s">
        <v>642</v>
      </c>
      <c r="C90" s="30" t="s">
        <v>3792</v>
      </c>
      <c r="D90" s="30" t="s">
        <v>3622</v>
      </c>
      <c r="E90" s="76" t="str">
        <f t="array" ref="E90">IF(
                C90 = "",
                "",
                       IF(
                           C90 ="FOTOGRAFIA",
                           "LINK",
                           "https://www.appsheet.com/template/gettablefileurl?appName=APP022ParticMagnMTV2-924373673-26-05-14&amp;tableName=4.reg_fotografico&amp;fileName="&amp;C90                         )
                          )</f>
        <v>https://www.appsheet.com/template/gettablefileurl?appName=APP022ParticMagnMTV2-924373673-26-05-14&amp;tableName=4.reg_fotografico&amp;fileName=4.2.reg_calidad_Images/6c0f4ccb.imagen.185009.jpg</v>
      </c>
      <c r="F90" s="77" t="str">
        <f t="shared" si="1"/>
        <v/>
      </c>
    </row>
    <row r="91">
      <c r="A91" s="30" t="s">
        <v>3793</v>
      </c>
      <c r="B91" s="30" t="s">
        <v>642</v>
      </c>
      <c r="C91" s="30" t="s">
        <v>3794</v>
      </c>
      <c r="D91" s="30" t="s">
        <v>3605</v>
      </c>
      <c r="E91" s="76" t="str">
        <f t="array" ref="E91">IF(
                C91 = "",
                "",
                       IF(
                           C91 ="FOTOGRAFIA",
                           "LINK",
                           "https://www.appsheet.com/template/gettablefileurl?appName=APP022ParticMagnMTV2-924373673-26-05-14&amp;tableName=4.reg_fotografico&amp;fileName="&amp;C91                         )
                          )</f>
        <v>https://www.appsheet.com/template/gettablefileurl?appName=APP022ParticMagnMTV2-924373673-26-05-14&amp;tableName=4.reg_fotografico&amp;fileName=4.2.reg_calidad_Images/c589cce3.imagen.185013.jpg</v>
      </c>
      <c r="F91" s="77" t="str">
        <f t="shared" si="1"/>
        <v/>
      </c>
    </row>
    <row r="92">
      <c r="A92" s="30" t="s">
        <v>3795</v>
      </c>
      <c r="B92" s="30" t="s">
        <v>642</v>
      </c>
      <c r="C92" s="30" t="s">
        <v>3796</v>
      </c>
      <c r="D92" s="30" t="s">
        <v>3608</v>
      </c>
      <c r="E92" s="76" t="str">
        <f t="array" ref="E92">IF(
                C92 = "",
                "",
                       IF(
                           C92 ="FOTOGRAFIA",
                           "LINK",
                           "https://www.appsheet.com/template/gettablefileurl?appName=APP022ParticMagnMTV2-924373673-26-05-14&amp;tableName=4.reg_fotografico&amp;fileName="&amp;C92                         )
                          )</f>
        <v>https://www.appsheet.com/template/gettablefileurl?appName=APP022ParticMagnMTV2-924373673-26-05-14&amp;tableName=4.reg_fotografico&amp;fileName=4.2.reg_calidad_Images/60b84e26.imagen.185017.jpg</v>
      </c>
      <c r="F92" s="77" t="str">
        <f t="shared" si="1"/>
        <v/>
      </c>
    </row>
    <row r="93">
      <c r="A93" s="30" t="s">
        <v>3797</v>
      </c>
      <c r="B93" s="30" t="s">
        <v>656</v>
      </c>
      <c r="C93" s="30" t="s">
        <v>3798</v>
      </c>
      <c r="D93" s="30" t="s">
        <v>3611</v>
      </c>
      <c r="E93" s="76" t="str">
        <f t="array" ref="E93">IF(
                C93 = "",
                "",
                       IF(
                           C93 ="FOTOGRAFIA",
                           "LINK",
                           "https://www.appsheet.com/template/gettablefileurl?appName=APP022ParticMagnMTV2-924373673-26-05-14&amp;tableName=4.reg_fotografico&amp;fileName="&amp;C93                         )
                          )</f>
        <v>https://www.appsheet.com/template/gettablefileurl?appName=APP022ParticMagnMTV2-924373673-26-05-14&amp;tableName=4.reg_fotografico&amp;fileName=4.2.reg_calidad_Images/0cc0bb4c.imagen.023304.jpg</v>
      </c>
      <c r="F93" s="77" t="str">
        <f t="shared" si="1"/>
        <v/>
      </c>
    </row>
    <row r="94">
      <c r="A94" s="30" t="s">
        <v>3799</v>
      </c>
      <c r="B94" s="30" t="s">
        <v>656</v>
      </c>
      <c r="C94" s="30" t="s">
        <v>3800</v>
      </c>
      <c r="D94" s="30" t="s">
        <v>3622</v>
      </c>
      <c r="E94" s="76" t="str">
        <f t="array" ref="E94">IF(
                C94 = "",
                "",
                       IF(
                           C94 ="FOTOGRAFIA",
                           "LINK",
                           "https://www.appsheet.com/template/gettablefileurl?appName=APP022ParticMagnMTV2-924373673-26-05-14&amp;tableName=4.reg_fotografico&amp;fileName="&amp;C94                         )
                          )</f>
        <v>https://www.appsheet.com/template/gettablefileurl?appName=APP022ParticMagnMTV2-924373673-26-05-14&amp;tableName=4.reg_fotografico&amp;fileName=4.2.reg_calidad_Images/9fe5a76f.imagen.023440.jpg</v>
      </c>
      <c r="F94" s="77" t="str">
        <f t="shared" si="1"/>
        <v/>
      </c>
    </row>
    <row r="95">
      <c r="A95" s="30" t="s">
        <v>3801</v>
      </c>
      <c r="B95" s="30" t="s">
        <v>656</v>
      </c>
      <c r="C95" s="30" t="s">
        <v>3802</v>
      </c>
      <c r="D95" s="30" t="s">
        <v>3605</v>
      </c>
      <c r="E95" s="76" t="str">
        <f t="array" ref="E95">IF(
                C95 = "",
                "",
                       IF(
                           C95 ="FOTOGRAFIA",
                           "LINK",
                           "https://www.appsheet.com/template/gettablefileurl?appName=APP022ParticMagnMTV2-924373673-26-05-14&amp;tableName=4.reg_fotografico&amp;fileName="&amp;C95                         )
                          )</f>
        <v>https://www.appsheet.com/template/gettablefileurl?appName=APP022ParticMagnMTV2-924373673-26-05-14&amp;tableName=4.reg_fotografico&amp;fileName=4.2.reg_calidad_Images/d5e226e7.imagen.023456.jpg</v>
      </c>
      <c r="F95" s="77" t="str">
        <f t="shared" si="1"/>
        <v/>
      </c>
    </row>
    <row r="96">
      <c r="A96" s="30" t="s">
        <v>3803</v>
      </c>
      <c r="B96" s="30" t="s">
        <v>656</v>
      </c>
      <c r="C96" s="30" t="s">
        <v>3804</v>
      </c>
      <c r="D96" s="30" t="s">
        <v>3608</v>
      </c>
      <c r="E96" s="76" t="str">
        <f t="array" ref="E96">IF(
                C96 = "",
                "",
                       IF(
                           C96 ="FOTOGRAFIA",
                           "LINK",
                           "https://www.appsheet.com/template/gettablefileurl?appName=APP022ParticMagnMTV2-924373673-26-05-14&amp;tableName=4.reg_fotografico&amp;fileName="&amp;C96                         )
                          )</f>
        <v>https://www.appsheet.com/template/gettablefileurl?appName=APP022ParticMagnMTV2-924373673-26-05-14&amp;tableName=4.reg_fotografico&amp;fileName=4.2.reg_calidad_Images/64a81f1c.imagen.023459.jpg</v>
      </c>
      <c r="F96" s="77" t="str">
        <f t="shared" si="1"/>
        <v/>
      </c>
    </row>
    <row r="97">
      <c r="A97" s="30" t="s">
        <v>3805</v>
      </c>
      <c r="B97" s="30" t="s">
        <v>656</v>
      </c>
      <c r="C97" s="30" t="s">
        <v>3806</v>
      </c>
      <c r="D97" s="30" t="s">
        <v>3625</v>
      </c>
      <c r="E97" s="76" t="str">
        <f t="array" ref="E97">IF(
                C97 = "",
                "",
                       IF(
                           C97 ="FOTOGRAFIA",
                           "LINK",
                           "https://www.appsheet.com/template/gettablefileurl?appName=APP022ParticMagnMTV2-924373673-26-05-14&amp;tableName=4.reg_fotografico&amp;fileName="&amp;C97                         )
                          )</f>
        <v>https://www.appsheet.com/template/gettablefileurl?appName=APP022ParticMagnMTV2-924373673-26-05-14&amp;tableName=4.reg_fotografico&amp;fileName=4.2.reg_calidad_Images/369eb63f.imagen.133854.jpg</v>
      </c>
      <c r="F97" s="77" t="str">
        <f t="shared" si="1"/>
        <v/>
      </c>
    </row>
    <row r="98">
      <c r="A98" s="30" t="s">
        <v>3807</v>
      </c>
      <c r="B98" s="30" t="s">
        <v>671</v>
      </c>
      <c r="C98" s="30" t="s">
        <v>3808</v>
      </c>
      <c r="D98" s="30" t="s">
        <v>3625</v>
      </c>
      <c r="E98" s="76" t="str">
        <f t="array" ref="E98">IF(
                C98 = "",
                "",
                       IF(
                           C98 ="FOTOGRAFIA",
                           "LINK",
                           "https://www.appsheet.com/template/gettablefileurl?appName=APP022ParticMagnMTV2-924373673-26-05-14&amp;tableName=4.reg_fotografico&amp;fileName="&amp;C98                         )
                          )</f>
        <v>https://www.appsheet.com/template/gettablefileurl?appName=APP022ParticMagnMTV2-924373673-26-05-14&amp;tableName=4.reg_fotografico&amp;fileName=4.2.reg_calidad_Images/8a19757e.imagen.195826.jpg</v>
      </c>
      <c r="F98" s="77" t="str">
        <f t="shared" si="1"/>
        <v/>
      </c>
    </row>
    <row r="99">
      <c r="A99" s="30" t="s">
        <v>3809</v>
      </c>
      <c r="B99" s="30" t="s">
        <v>671</v>
      </c>
      <c r="C99" s="30" t="s">
        <v>3810</v>
      </c>
      <c r="D99" s="30" t="s">
        <v>3605</v>
      </c>
      <c r="E99" s="76" t="str">
        <f t="array" ref="E99">IF(
                C99 = "",
                "",
                       IF(
                           C99 ="FOTOGRAFIA",
                           "LINK",
                           "https://www.appsheet.com/template/gettablefileurl?appName=APP022ParticMagnMTV2-924373673-26-05-14&amp;tableName=4.reg_fotografico&amp;fileName="&amp;C99                         )
                          )</f>
        <v>https://www.appsheet.com/template/gettablefileurl?appName=APP022ParticMagnMTV2-924373673-26-05-14&amp;tableName=4.reg_fotografico&amp;fileName=4.2.reg_calidad_Images/ce066b91.imagen.195829.jpg</v>
      </c>
      <c r="F99" s="77" t="str">
        <f t="shared" si="1"/>
        <v/>
      </c>
    </row>
    <row r="100">
      <c r="A100" s="30" t="s">
        <v>3811</v>
      </c>
      <c r="B100" s="30" t="s">
        <v>671</v>
      </c>
      <c r="C100" s="30" t="s">
        <v>3812</v>
      </c>
      <c r="D100" s="30" t="s">
        <v>3608</v>
      </c>
      <c r="E100" s="76" t="str">
        <f t="array" ref="E100">IF(
                C100 = "",
                "",
                       IF(
                           C100 ="FOTOGRAFIA",
                           "LINK",
                           "https://www.appsheet.com/template/gettablefileurl?appName=APP022ParticMagnMTV2-924373673-26-05-14&amp;tableName=4.reg_fotografico&amp;fileName="&amp;C100                         )
                          )</f>
        <v>https://www.appsheet.com/template/gettablefileurl?appName=APP022ParticMagnMTV2-924373673-26-05-14&amp;tableName=4.reg_fotografico&amp;fileName=4.2.reg_calidad_Images/36eb8237.imagen.195832.jpg</v>
      </c>
      <c r="F100" s="77" t="str">
        <f t="shared" si="1"/>
        <v/>
      </c>
    </row>
    <row r="101">
      <c r="A101" s="30" t="s">
        <v>3813</v>
      </c>
      <c r="B101" s="30" t="s">
        <v>671</v>
      </c>
      <c r="C101" s="30" t="s">
        <v>3814</v>
      </c>
      <c r="D101" s="30" t="s">
        <v>3622</v>
      </c>
      <c r="E101" s="76" t="str">
        <f t="array" ref="E101">IF(
                C101 = "",
                "",
                       IF(
                           C101 ="FOTOGRAFIA",
                           "LINK",
                           "https://www.appsheet.com/template/gettablefileurl?appName=APP022ParticMagnMTV2-924373673-26-05-14&amp;tableName=4.reg_fotografico&amp;fileName="&amp;C101                         )
                          )</f>
        <v>https://www.appsheet.com/template/gettablefileurl?appName=APP022ParticMagnMTV2-924373673-26-05-14&amp;tableName=4.reg_fotografico&amp;fileName=4.2.reg_calidad_Images/66c8c033.imagen.195836.jpg</v>
      </c>
      <c r="F101" s="77" t="str">
        <f t="shared" si="1"/>
        <v/>
      </c>
    </row>
    <row r="102">
      <c r="A102" s="30" t="s">
        <v>3815</v>
      </c>
      <c r="B102" s="30" t="s">
        <v>671</v>
      </c>
      <c r="C102" s="30" t="s">
        <v>3816</v>
      </c>
      <c r="D102" s="30" t="s">
        <v>3611</v>
      </c>
      <c r="E102" s="76" t="str">
        <f t="array" ref="E102">IF(
                C102 = "",
                "",
                       IF(
                           C102 ="FOTOGRAFIA",
                           "LINK",
                           "https://www.appsheet.com/template/gettablefileurl?appName=APP022ParticMagnMTV2-924373673-26-05-14&amp;tableName=4.reg_fotografico&amp;fileName="&amp;C102                         )
                          )</f>
        <v>https://www.appsheet.com/template/gettablefileurl?appName=APP022ParticMagnMTV2-924373673-26-05-14&amp;tableName=4.reg_fotografico&amp;fileName=4.2.reg_calidad_Images/dfb3375a.imagen.195840.jpg</v>
      </c>
      <c r="F102" s="77" t="str">
        <f t="shared" si="1"/>
        <v/>
      </c>
    </row>
    <row r="103">
      <c r="A103" s="30" t="s">
        <v>3817</v>
      </c>
      <c r="B103" s="30" t="s">
        <v>688</v>
      </c>
      <c r="C103" s="30" t="s">
        <v>3818</v>
      </c>
      <c r="D103" s="30" t="s">
        <v>3622</v>
      </c>
      <c r="E103" s="76" t="str">
        <f t="array" ref="E103">IF(
                C103 = "",
                "",
                       IF(
                           C103 ="FOTOGRAFIA",
                           "LINK",
                           "https://www.appsheet.com/template/gettablefileurl?appName=APP022ParticMagnMTV2-924373673-26-05-14&amp;tableName=4.reg_fotografico&amp;fileName="&amp;C103                         )
                          )</f>
        <v>https://www.appsheet.com/template/gettablefileurl?appName=APP022ParticMagnMTV2-924373673-26-05-14&amp;tableName=4.reg_fotografico&amp;fileName=4.2.reg_calidad_Images/aaa46fc7.imagen.005114.jpg</v>
      </c>
      <c r="F103" s="77" t="str">
        <f t="shared" si="1"/>
        <v/>
      </c>
    </row>
    <row r="104">
      <c r="A104" s="30" t="s">
        <v>3819</v>
      </c>
      <c r="B104" s="30" t="s">
        <v>688</v>
      </c>
      <c r="C104" s="30" t="s">
        <v>3820</v>
      </c>
      <c r="D104" s="30" t="s">
        <v>3625</v>
      </c>
      <c r="E104" s="76" t="str">
        <f t="array" ref="E104">IF(
                C104 = "",
                "",
                       IF(
                           C104 ="FOTOGRAFIA",
                           "LINK",
                           "https://www.appsheet.com/template/gettablefileurl?appName=APP022ParticMagnMTV2-924373673-26-05-14&amp;tableName=4.reg_fotografico&amp;fileName="&amp;C104                         )
                          )</f>
        <v>https://www.appsheet.com/template/gettablefileurl?appName=APP022ParticMagnMTV2-924373673-26-05-14&amp;tableName=4.reg_fotografico&amp;fileName=4.2.reg_calidad_Images/a7c30127.imagen.005122.jpg</v>
      </c>
      <c r="F104" s="77" t="str">
        <f t="shared" si="1"/>
        <v/>
      </c>
    </row>
    <row r="105">
      <c r="A105" s="30" t="s">
        <v>3821</v>
      </c>
      <c r="B105" s="30" t="s">
        <v>688</v>
      </c>
      <c r="C105" s="30" t="s">
        <v>3822</v>
      </c>
      <c r="D105" s="30" t="s">
        <v>3611</v>
      </c>
      <c r="E105" s="76" t="str">
        <f t="array" ref="E105">IF(
                C105 = "",
                "",
                       IF(
                           C105 ="FOTOGRAFIA",
                           "LINK",
                           "https://www.appsheet.com/template/gettablefileurl?appName=APP022ParticMagnMTV2-924373673-26-05-14&amp;tableName=4.reg_fotografico&amp;fileName="&amp;C105                         )
                          )</f>
        <v>https://www.appsheet.com/template/gettablefileurl?appName=APP022ParticMagnMTV2-924373673-26-05-14&amp;tableName=4.reg_fotografico&amp;fileName=4.2.reg_calidad_Images/4dc0cf00.imagen.005127.jpg</v>
      </c>
      <c r="F105" s="77" t="str">
        <f t="shared" si="1"/>
        <v/>
      </c>
    </row>
    <row r="106">
      <c r="A106" s="30" t="s">
        <v>3823</v>
      </c>
      <c r="B106" s="30" t="s">
        <v>688</v>
      </c>
      <c r="C106" s="30" t="s">
        <v>3824</v>
      </c>
      <c r="D106" s="30" t="s">
        <v>3605</v>
      </c>
      <c r="E106" s="76" t="str">
        <f t="array" ref="E106">IF(
                C106 = "",
                "",
                       IF(
                           C106 ="FOTOGRAFIA",
                           "LINK",
                           "https://www.appsheet.com/template/gettablefileurl?appName=APP022ParticMagnMTV2-924373673-26-05-14&amp;tableName=4.reg_fotografico&amp;fileName="&amp;C106                         )
                          )</f>
        <v>https://www.appsheet.com/template/gettablefileurl?appName=APP022ParticMagnMTV2-924373673-26-05-14&amp;tableName=4.reg_fotografico&amp;fileName=4.2.reg_calidad_Images/9927cd89.imagen.005132.jpg</v>
      </c>
      <c r="F106" s="77" t="str">
        <f t="shared" si="1"/>
        <v/>
      </c>
    </row>
    <row r="107">
      <c r="A107" s="30" t="s">
        <v>3825</v>
      </c>
      <c r="B107" s="30" t="s">
        <v>688</v>
      </c>
      <c r="C107" s="30" t="s">
        <v>3826</v>
      </c>
      <c r="D107" s="30" t="s">
        <v>3608</v>
      </c>
      <c r="E107" s="76" t="str">
        <f t="array" ref="E107">IF(
                C107 = "",
                "",
                       IF(
                           C107 ="FOTOGRAFIA",
                           "LINK",
                           "https://www.appsheet.com/template/gettablefileurl?appName=APP022ParticMagnMTV2-924373673-26-05-14&amp;tableName=4.reg_fotografico&amp;fileName="&amp;C107                         )
                          )</f>
        <v>https://www.appsheet.com/template/gettablefileurl?appName=APP022ParticMagnMTV2-924373673-26-05-14&amp;tableName=4.reg_fotografico&amp;fileName=4.2.reg_calidad_Images/2f650cbb.imagen.005348.jpg</v>
      </c>
      <c r="F107" s="77" t="str">
        <f t="shared" si="1"/>
        <v/>
      </c>
    </row>
    <row r="108">
      <c r="A108" s="30" t="s">
        <v>3827</v>
      </c>
      <c r="B108" s="30" t="s">
        <v>705</v>
      </c>
      <c r="C108" s="30" t="s">
        <v>3828</v>
      </c>
      <c r="D108" s="30" t="s">
        <v>3625</v>
      </c>
      <c r="E108" s="76" t="str">
        <f t="array" ref="E108">IF(
                C108 = "",
                "",
                       IF(
                           C108 ="FOTOGRAFIA",
                           "LINK",
                           "https://www.appsheet.com/template/gettablefileurl?appName=APP022ParticMagnMTV2-924373673-26-05-14&amp;tableName=4.reg_fotografico&amp;fileName="&amp;C108                         )
                          )</f>
        <v>https://www.appsheet.com/template/gettablefileurl?appName=APP022ParticMagnMTV2-924373673-26-05-14&amp;tableName=4.reg_fotografico&amp;fileName=4.2.reg_calidad_Images/aafc10bc.imagen.172745.jpg</v>
      </c>
      <c r="F108" s="77" t="str">
        <f t="shared" si="1"/>
        <v/>
      </c>
    </row>
    <row r="109">
      <c r="A109" s="30" t="s">
        <v>3829</v>
      </c>
      <c r="B109" s="30" t="s">
        <v>705</v>
      </c>
      <c r="C109" s="30" t="s">
        <v>3830</v>
      </c>
      <c r="D109" s="30" t="s">
        <v>3622</v>
      </c>
      <c r="E109" s="76" t="str">
        <f t="array" ref="E109">IF(
                C109 = "",
                "",
                       IF(
                           C109 ="FOTOGRAFIA",
                           "LINK",
                           "https://www.appsheet.com/template/gettablefileurl?appName=APP022ParticMagnMTV2-924373673-26-05-14&amp;tableName=4.reg_fotografico&amp;fileName="&amp;C109                         )
                          )</f>
        <v>https://www.appsheet.com/template/gettablefileurl?appName=APP022ParticMagnMTV2-924373673-26-05-14&amp;tableName=4.reg_fotografico&amp;fileName=4.2.reg_calidad_Images/52e8de21.imagen.172748.jpg</v>
      </c>
      <c r="F109" s="77" t="str">
        <f t="shared" si="1"/>
        <v/>
      </c>
    </row>
    <row r="110">
      <c r="A110" s="30" t="s">
        <v>3831</v>
      </c>
      <c r="B110" s="30" t="s">
        <v>705</v>
      </c>
      <c r="C110" s="30" t="s">
        <v>3832</v>
      </c>
      <c r="D110" s="30" t="s">
        <v>3611</v>
      </c>
      <c r="E110" s="76" t="str">
        <f t="array" ref="E110">IF(
                C110 = "",
                "",
                       IF(
                           C110 ="FOTOGRAFIA",
                           "LINK",
                           "https://www.appsheet.com/template/gettablefileurl?appName=APP022ParticMagnMTV2-924373673-26-05-14&amp;tableName=4.reg_fotografico&amp;fileName="&amp;C110                         )
                          )</f>
        <v>https://www.appsheet.com/template/gettablefileurl?appName=APP022ParticMagnMTV2-924373673-26-05-14&amp;tableName=4.reg_fotografico&amp;fileName=4.2.reg_calidad_Images/59ca5f4e.imagen.172804.jpg</v>
      </c>
      <c r="F110" s="77" t="str">
        <f t="shared" si="1"/>
        <v/>
      </c>
    </row>
    <row r="111">
      <c r="A111" s="30" t="s">
        <v>3833</v>
      </c>
      <c r="B111" s="30" t="s">
        <v>705</v>
      </c>
      <c r="C111" s="30" t="s">
        <v>3834</v>
      </c>
      <c r="D111" s="30" t="s">
        <v>3608</v>
      </c>
      <c r="E111" s="76" t="str">
        <f t="array" ref="E111">IF(
                C111 = "",
                "",
                       IF(
                           C111 ="FOTOGRAFIA",
                           "LINK",
                           "https://www.appsheet.com/template/gettablefileurl?appName=APP022ParticMagnMTV2-924373673-26-05-14&amp;tableName=4.reg_fotografico&amp;fileName="&amp;C111                         )
                          )</f>
        <v>https://www.appsheet.com/template/gettablefileurl?appName=APP022ParticMagnMTV2-924373673-26-05-14&amp;tableName=4.reg_fotografico&amp;fileName=4.2.reg_calidad_Images/b6804992.imagen.172808.jpg</v>
      </c>
      <c r="F111" s="77" t="str">
        <f t="shared" si="1"/>
        <v/>
      </c>
    </row>
    <row r="112">
      <c r="A112" s="30" t="s">
        <v>3835</v>
      </c>
      <c r="B112" s="30" t="s">
        <v>705</v>
      </c>
      <c r="C112" s="30" t="s">
        <v>3836</v>
      </c>
      <c r="D112" s="30" t="s">
        <v>3605</v>
      </c>
      <c r="E112" s="76" t="str">
        <f t="array" ref="E112">IF(
                C112 = "",
                "",
                       IF(
                           C112 ="FOTOGRAFIA",
                           "LINK",
                           "https://www.appsheet.com/template/gettablefileurl?appName=APP022ParticMagnMTV2-924373673-26-05-14&amp;tableName=4.reg_fotografico&amp;fileName="&amp;C112                         )
                          )</f>
        <v>https://www.appsheet.com/template/gettablefileurl?appName=APP022ParticMagnMTV2-924373673-26-05-14&amp;tableName=4.reg_fotografico&amp;fileName=4.2.reg_calidad_Images/ba817662.imagen.172811.jpg</v>
      </c>
      <c r="F112" s="77" t="str">
        <f t="shared" si="1"/>
        <v/>
      </c>
    </row>
    <row r="113">
      <c r="A113" s="30" t="s">
        <v>3837</v>
      </c>
      <c r="B113" s="30" t="s">
        <v>712</v>
      </c>
      <c r="C113" s="30" t="s">
        <v>3838</v>
      </c>
      <c r="D113" s="30" t="s">
        <v>3611</v>
      </c>
      <c r="E113" s="76" t="str">
        <f t="array" ref="E113">IF(
                C113 = "",
                "",
                       IF(
                           C113 ="FOTOGRAFIA",
                           "LINK",
                           "https://www.appsheet.com/template/gettablefileurl?appName=APP022ParticMagnMTV2-924373673-26-05-14&amp;tableName=4.reg_fotografico&amp;fileName="&amp;C113                         )
                          )</f>
        <v>https://www.appsheet.com/template/gettablefileurl?appName=APP022ParticMagnMTV2-924373673-26-05-14&amp;tableName=4.reg_fotografico&amp;fileName=4.2.reg_calidad_Images/c7043079.imagen.172622.jpg</v>
      </c>
      <c r="F113" s="77" t="str">
        <f t="shared" si="1"/>
        <v/>
      </c>
    </row>
    <row r="114">
      <c r="A114" s="30" t="s">
        <v>3839</v>
      </c>
      <c r="B114" s="30" t="s">
        <v>712</v>
      </c>
      <c r="C114" s="30" t="s">
        <v>3840</v>
      </c>
      <c r="D114" s="30" t="s">
        <v>3622</v>
      </c>
      <c r="E114" s="76" t="str">
        <f t="array" ref="E114">IF(
                C114 = "",
                "",
                       IF(
                           C114 ="FOTOGRAFIA",
                           "LINK",
                           "https://www.appsheet.com/template/gettablefileurl?appName=APP022ParticMagnMTV2-924373673-26-05-14&amp;tableName=4.reg_fotografico&amp;fileName="&amp;C114                         )
                          )</f>
        <v>https://www.appsheet.com/template/gettablefileurl?appName=APP022ParticMagnMTV2-924373673-26-05-14&amp;tableName=4.reg_fotografico&amp;fileName=4.2.reg_calidad_Images/bfea67fe.imagen.172625.jpg</v>
      </c>
      <c r="F114" s="77" t="str">
        <f t="shared" si="1"/>
        <v/>
      </c>
    </row>
    <row r="115">
      <c r="A115" s="30" t="s">
        <v>3841</v>
      </c>
      <c r="B115" s="30" t="s">
        <v>712</v>
      </c>
      <c r="C115" s="30" t="s">
        <v>3842</v>
      </c>
      <c r="D115" s="30" t="s">
        <v>3608</v>
      </c>
      <c r="E115" s="76" t="str">
        <f t="array" ref="E115">IF(
                C115 = "",
                "",
                       IF(
                           C115 ="FOTOGRAFIA",
                           "LINK",
                           "https://www.appsheet.com/template/gettablefileurl?appName=APP022ParticMagnMTV2-924373673-26-05-14&amp;tableName=4.reg_fotografico&amp;fileName="&amp;C115                         )
                          )</f>
        <v>https://www.appsheet.com/template/gettablefileurl?appName=APP022ParticMagnMTV2-924373673-26-05-14&amp;tableName=4.reg_fotografico&amp;fileName=4.2.reg_calidad_Images/4dd386f8.imagen.172628.jpg</v>
      </c>
      <c r="F115" s="77" t="str">
        <f t="shared" si="1"/>
        <v/>
      </c>
    </row>
    <row r="116">
      <c r="A116" s="30" t="s">
        <v>3843</v>
      </c>
      <c r="B116" s="30" t="s">
        <v>712</v>
      </c>
      <c r="C116" s="30" t="s">
        <v>3844</v>
      </c>
      <c r="D116" s="30" t="s">
        <v>3605</v>
      </c>
      <c r="E116" s="76" t="str">
        <f t="array" ref="E116">IF(
                C116 = "",
                "",
                       IF(
                           C116 ="FOTOGRAFIA",
                           "LINK",
                           "https://www.appsheet.com/template/gettablefileurl?appName=APP022ParticMagnMTV2-924373673-26-05-14&amp;tableName=4.reg_fotografico&amp;fileName="&amp;C116                         )
                          )</f>
        <v>https://www.appsheet.com/template/gettablefileurl?appName=APP022ParticMagnMTV2-924373673-26-05-14&amp;tableName=4.reg_fotografico&amp;fileName=4.2.reg_calidad_Images/91be6bf9.imagen.172631.jpg</v>
      </c>
      <c r="F116" s="77" t="str">
        <f t="shared" si="1"/>
        <v/>
      </c>
    </row>
    <row r="117">
      <c r="A117" s="30" t="s">
        <v>3845</v>
      </c>
      <c r="B117" s="30" t="s">
        <v>712</v>
      </c>
      <c r="C117" s="30" t="s">
        <v>3846</v>
      </c>
      <c r="D117" s="30" t="s">
        <v>3625</v>
      </c>
      <c r="E117" s="76" t="str">
        <f t="array" ref="E117">IF(
                C117 = "",
                "",
                       IF(
                           C117 ="FOTOGRAFIA",
                           "LINK",
                           "https://www.appsheet.com/template/gettablefileurl?appName=APP022ParticMagnMTV2-924373673-26-05-14&amp;tableName=4.reg_fotografico&amp;fileName="&amp;C117                         )
                          )</f>
        <v>https://www.appsheet.com/template/gettablefileurl?appName=APP022ParticMagnMTV2-924373673-26-05-14&amp;tableName=4.reg_fotografico&amp;fileName=4.2.reg_calidad_Images/c175a560.imagen.172634.jpg</v>
      </c>
      <c r="F117" s="77" t="str">
        <f t="shared" si="1"/>
        <v/>
      </c>
    </row>
    <row r="118">
      <c r="A118" s="30" t="s">
        <v>3847</v>
      </c>
      <c r="B118" s="30" t="s">
        <v>722</v>
      </c>
      <c r="C118" s="30" t="s">
        <v>3848</v>
      </c>
      <c r="D118" s="30" t="s">
        <v>3608</v>
      </c>
      <c r="E118" s="76" t="str">
        <f t="array" ref="E118">IF(
                C118 = "",
                "",
                       IF(
                           C118 ="FOTOGRAFIA",
                           "LINK",
                           "https://www.appsheet.com/template/gettablefileurl?appName=APP022ParticMagnMTV2-924373673-26-05-14&amp;tableName=4.reg_fotografico&amp;fileName="&amp;C118                         )
                          )</f>
        <v>https://www.appsheet.com/template/gettablefileurl?appName=APP022ParticMagnMTV2-924373673-26-05-14&amp;tableName=4.reg_fotografico&amp;fileName=4.2.reg_calidad_Images/fbd64581.imagen.180818.jpg</v>
      </c>
      <c r="F118" s="77" t="str">
        <f t="shared" si="1"/>
        <v/>
      </c>
    </row>
    <row r="119">
      <c r="A119" s="30" t="s">
        <v>3849</v>
      </c>
      <c r="B119" s="30" t="s">
        <v>722</v>
      </c>
      <c r="C119" s="30" t="s">
        <v>3850</v>
      </c>
      <c r="D119" s="30" t="s">
        <v>3622</v>
      </c>
      <c r="E119" s="76" t="str">
        <f t="array" ref="E119">IF(
                C119 = "",
                "",
                       IF(
                           C119 ="FOTOGRAFIA",
                           "LINK",
                           "https://www.appsheet.com/template/gettablefileurl?appName=APP022ParticMagnMTV2-924373673-26-05-14&amp;tableName=4.reg_fotografico&amp;fileName="&amp;C119                         )
                          )</f>
        <v>https://www.appsheet.com/template/gettablefileurl?appName=APP022ParticMagnMTV2-924373673-26-05-14&amp;tableName=4.reg_fotografico&amp;fileName=4.2.reg_calidad_Images/0c36d816.imagen.180821.jpg</v>
      </c>
      <c r="F119" s="77" t="str">
        <f t="shared" si="1"/>
        <v/>
      </c>
    </row>
    <row r="120">
      <c r="A120" s="30" t="s">
        <v>3851</v>
      </c>
      <c r="B120" s="30" t="s">
        <v>722</v>
      </c>
      <c r="C120" s="30" t="s">
        <v>3852</v>
      </c>
      <c r="D120" s="30" t="s">
        <v>3611</v>
      </c>
      <c r="E120" s="76" t="str">
        <f t="array" ref="E120">IF(
                C120 = "",
                "",
                       IF(
                           C120 ="FOTOGRAFIA",
                           "LINK",
                           "https://www.appsheet.com/template/gettablefileurl?appName=APP022ParticMagnMTV2-924373673-26-05-14&amp;tableName=4.reg_fotografico&amp;fileName="&amp;C120                         )
                          )</f>
        <v>https://www.appsheet.com/template/gettablefileurl?appName=APP022ParticMagnMTV2-924373673-26-05-14&amp;tableName=4.reg_fotografico&amp;fileName=4.2.reg_calidad_Images/9ed4a43c.imagen.180824.jpg</v>
      </c>
      <c r="F120" s="77" t="str">
        <f t="shared" si="1"/>
        <v/>
      </c>
    </row>
    <row r="121">
      <c r="A121" s="30" t="s">
        <v>3853</v>
      </c>
      <c r="B121" s="30" t="s">
        <v>722</v>
      </c>
      <c r="C121" s="30" t="s">
        <v>3854</v>
      </c>
      <c r="D121" s="30" t="s">
        <v>3605</v>
      </c>
      <c r="E121" s="76" t="str">
        <f t="array" ref="E121">IF(
                C121 = "",
                "",
                       IF(
                           C121 ="FOTOGRAFIA",
                           "LINK",
                           "https://www.appsheet.com/template/gettablefileurl?appName=APP022ParticMagnMTV2-924373673-26-05-14&amp;tableName=4.reg_fotografico&amp;fileName="&amp;C121                         )
                          )</f>
        <v>https://www.appsheet.com/template/gettablefileurl?appName=APP022ParticMagnMTV2-924373673-26-05-14&amp;tableName=4.reg_fotografico&amp;fileName=4.2.reg_calidad_Images/e2a10cfd.imagen.193433.jpg</v>
      </c>
      <c r="F121" s="77" t="str">
        <f t="shared" si="1"/>
        <v/>
      </c>
    </row>
    <row r="122">
      <c r="A122" s="30" t="s">
        <v>3855</v>
      </c>
      <c r="B122" s="30" t="s">
        <v>722</v>
      </c>
      <c r="C122" s="30" t="s">
        <v>3856</v>
      </c>
      <c r="D122" s="30" t="s">
        <v>3625</v>
      </c>
      <c r="E122" s="76" t="str">
        <f t="array" ref="E122">IF(
                C122 = "",
                "",
                       IF(
                           C122 ="FOTOGRAFIA",
                           "LINK",
                           "https://www.appsheet.com/template/gettablefileurl?appName=APP022ParticMagnMTV2-924373673-26-05-14&amp;tableName=4.reg_fotografico&amp;fileName="&amp;C122                         )
                          )</f>
        <v>https://www.appsheet.com/template/gettablefileurl?appName=APP022ParticMagnMTV2-924373673-26-05-14&amp;tableName=4.reg_fotografico&amp;fileName=4.2.reg_calidad_Images/48b47f97.imagen.193439.jpg</v>
      </c>
      <c r="F122" s="77" t="str">
        <f t="shared" si="1"/>
        <v/>
      </c>
    </row>
    <row r="123">
      <c r="A123" s="30" t="s">
        <v>3857</v>
      </c>
      <c r="B123" s="30" t="s">
        <v>730</v>
      </c>
      <c r="C123" s="30" t="s">
        <v>3858</v>
      </c>
      <c r="D123" s="30" t="s">
        <v>3625</v>
      </c>
      <c r="E123" s="76" t="str">
        <f t="array" ref="E123">IF(
                C123 = "",
                "",
                       IF(
                           C123 ="FOTOGRAFIA",
                           "LINK",
                           "https://www.appsheet.com/template/gettablefileurl?appName=APP022ParticMagnMTV2-924373673-26-05-14&amp;tableName=4.reg_fotografico&amp;fileName="&amp;C123                         )
                          )</f>
        <v>https://www.appsheet.com/template/gettablefileurl?appName=APP022ParticMagnMTV2-924373673-26-05-14&amp;tableName=4.reg_fotografico&amp;fileName=4.2.reg_calidad_Images/12fe98bc.imagen.021214.jpg</v>
      </c>
      <c r="F123" s="77" t="str">
        <f t="shared" si="1"/>
        <v/>
      </c>
    </row>
    <row r="124">
      <c r="A124" s="30" t="s">
        <v>3859</v>
      </c>
      <c r="B124" s="30" t="s">
        <v>730</v>
      </c>
      <c r="C124" s="30" t="s">
        <v>3860</v>
      </c>
      <c r="D124" s="30" t="s">
        <v>3605</v>
      </c>
      <c r="E124" s="76" t="str">
        <f t="array" ref="E124">IF(
                C124 = "",
                "",
                       IF(
                           C124 ="FOTOGRAFIA",
                           "LINK",
                           "https://www.appsheet.com/template/gettablefileurl?appName=APP022ParticMagnMTV2-924373673-26-05-14&amp;tableName=4.reg_fotografico&amp;fileName="&amp;C124                         )
                          )</f>
        <v>https://www.appsheet.com/template/gettablefileurl?appName=APP022ParticMagnMTV2-924373673-26-05-14&amp;tableName=4.reg_fotografico&amp;fileName=4.2.reg_calidad_Images/b38df833.imagen.021218.jpg</v>
      </c>
      <c r="F124" s="77" t="str">
        <f t="shared" si="1"/>
        <v/>
      </c>
    </row>
    <row r="125">
      <c r="A125" s="30" t="s">
        <v>3861</v>
      </c>
      <c r="B125" s="30" t="s">
        <v>730</v>
      </c>
      <c r="C125" s="30" t="s">
        <v>3862</v>
      </c>
      <c r="D125" s="30" t="s">
        <v>3622</v>
      </c>
      <c r="E125" s="76" t="str">
        <f t="array" ref="E125">IF(
                C125 = "",
                "",
                       IF(
                           C125 ="FOTOGRAFIA",
                           "LINK",
                           "https://www.appsheet.com/template/gettablefileurl?appName=APP022ParticMagnMTV2-924373673-26-05-14&amp;tableName=4.reg_fotografico&amp;fileName="&amp;C125                         )
                          )</f>
        <v>https://www.appsheet.com/template/gettablefileurl?appName=APP022ParticMagnMTV2-924373673-26-05-14&amp;tableName=4.reg_fotografico&amp;fileName=4.2.reg_calidad_Images/a2d394bb.imagen.021221.jpg</v>
      </c>
      <c r="F125" s="77" t="str">
        <f t="shared" si="1"/>
        <v/>
      </c>
    </row>
    <row r="126">
      <c r="A126" s="30" t="s">
        <v>3863</v>
      </c>
      <c r="B126" s="30" t="s">
        <v>730</v>
      </c>
      <c r="C126" s="30" t="s">
        <v>3864</v>
      </c>
      <c r="D126" s="30" t="s">
        <v>3608</v>
      </c>
      <c r="E126" s="76" t="str">
        <f t="array" ref="E126">IF(
                C126 = "",
                "",
                       IF(
                           C126 ="FOTOGRAFIA",
                           "LINK",
                           "https://www.appsheet.com/template/gettablefileurl?appName=APP022ParticMagnMTV2-924373673-26-05-14&amp;tableName=4.reg_fotografico&amp;fileName="&amp;C126                         )
                          )</f>
        <v>https://www.appsheet.com/template/gettablefileurl?appName=APP022ParticMagnMTV2-924373673-26-05-14&amp;tableName=4.reg_fotografico&amp;fileName=4.2.reg_calidad_Images/8cd64497.imagen.021224.jpg</v>
      </c>
      <c r="F126" s="77" t="str">
        <f t="shared" si="1"/>
        <v/>
      </c>
    </row>
    <row r="127">
      <c r="A127" s="30" t="s">
        <v>3865</v>
      </c>
      <c r="B127" s="30" t="s">
        <v>730</v>
      </c>
      <c r="C127" s="30" t="s">
        <v>3866</v>
      </c>
      <c r="D127" s="30" t="s">
        <v>3611</v>
      </c>
      <c r="E127" s="76" t="str">
        <f t="array" ref="E127">IF(
                C127 = "",
                "",
                       IF(
                           C127 ="FOTOGRAFIA",
                           "LINK",
                           "https://www.appsheet.com/template/gettablefileurl?appName=APP022ParticMagnMTV2-924373673-26-05-14&amp;tableName=4.reg_fotografico&amp;fileName="&amp;C127                         )
                          )</f>
        <v>https://www.appsheet.com/template/gettablefileurl?appName=APP022ParticMagnMTV2-924373673-26-05-14&amp;tableName=4.reg_fotografico&amp;fileName=4.2.reg_calidad_Images/99e5ae44.imagen.021227.jpg</v>
      </c>
      <c r="F127" s="77" t="str">
        <f t="shared" si="1"/>
        <v/>
      </c>
    </row>
    <row r="128">
      <c r="A128" s="30" t="s">
        <v>3867</v>
      </c>
      <c r="B128" s="30" t="s">
        <v>696</v>
      </c>
      <c r="C128" s="30" t="s">
        <v>3868</v>
      </c>
      <c r="D128" s="30" t="s">
        <v>3611</v>
      </c>
      <c r="E128" s="76" t="str">
        <f t="array" ref="E128">IF(
                C128 = "",
                "",
                       IF(
                           C128 ="FOTOGRAFIA",
                           "LINK",
                           "https://www.appsheet.com/template/gettablefileurl?appName=APP022ParticMagnMTV2-924373673-26-05-14&amp;tableName=4.reg_fotografico&amp;fileName="&amp;C128                         )
                          )</f>
        <v>https://www.appsheet.com/template/gettablefileurl?appName=APP022ParticMagnMTV2-924373673-26-05-14&amp;tableName=4.reg_fotografico&amp;fileName=4.2.reg_calidad_Images/2e2f5a3a.imagen.131416.jpg</v>
      </c>
      <c r="F128" s="77" t="str">
        <f t="shared" si="1"/>
        <v/>
      </c>
    </row>
    <row r="129">
      <c r="A129" s="30" t="s">
        <v>3869</v>
      </c>
      <c r="B129" s="30" t="s">
        <v>696</v>
      </c>
      <c r="C129" s="30" t="s">
        <v>3870</v>
      </c>
      <c r="D129" s="30" t="s">
        <v>3605</v>
      </c>
      <c r="E129" s="76" t="str">
        <f t="array" ref="E129">IF(
                C129 = "",
                "",
                       IF(
                           C129 ="FOTOGRAFIA",
                           "LINK",
                           "https://www.appsheet.com/template/gettablefileurl?appName=APP022ParticMagnMTV2-924373673-26-05-14&amp;tableName=4.reg_fotografico&amp;fileName="&amp;C129                         )
                          )</f>
        <v>https://www.appsheet.com/template/gettablefileurl?appName=APP022ParticMagnMTV2-924373673-26-05-14&amp;tableName=4.reg_fotografico&amp;fileName=4.2.reg_calidad_Images/b7ac2b24.imagen.131420.jpg</v>
      </c>
      <c r="F129" s="77" t="str">
        <f t="shared" si="1"/>
        <v/>
      </c>
    </row>
    <row r="130">
      <c r="A130" s="30" t="s">
        <v>3871</v>
      </c>
      <c r="B130" s="30" t="s">
        <v>696</v>
      </c>
      <c r="C130" s="30" t="s">
        <v>3872</v>
      </c>
      <c r="D130" s="30" t="s">
        <v>3608</v>
      </c>
      <c r="E130" s="76" t="str">
        <f t="array" ref="E130">IF(
                C130 = "",
                "",
                       IF(
                           C130 ="FOTOGRAFIA",
                           "LINK",
                           "https://www.appsheet.com/template/gettablefileurl?appName=APP022ParticMagnMTV2-924373673-26-05-14&amp;tableName=4.reg_fotografico&amp;fileName="&amp;C130                         )
                          )</f>
        <v>https://www.appsheet.com/template/gettablefileurl?appName=APP022ParticMagnMTV2-924373673-26-05-14&amp;tableName=4.reg_fotografico&amp;fileName=4.2.reg_calidad_Images/1df7f0fd.imagen.131423.jpg</v>
      </c>
      <c r="F130" s="77" t="str">
        <f t="shared" si="1"/>
        <v/>
      </c>
    </row>
    <row r="131">
      <c r="A131" s="30" t="s">
        <v>3873</v>
      </c>
      <c r="B131" s="30" t="s">
        <v>696</v>
      </c>
      <c r="C131" s="30" t="s">
        <v>3874</v>
      </c>
      <c r="D131" s="30" t="s">
        <v>3625</v>
      </c>
      <c r="E131" s="76" t="str">
        <f t="array" ref="E131">IF(
                C131 = "",
                "",
                       IF(
                           C131 ="FOTOGRAFIA",
                           "LINK",
                           "https://www.appsheet.com/template/gettablefileurl?appName=APP022ParticMagnMTV2-924373673-26-05-14&amp;tableName=4.reg_fotografico&amp;fileName="&amp;C131                         )
                          )</f>
        <v>https://www.appsheet.com/template/gettablefileurl?appName=APP022ParticMagnMTV2-924373673-26-05-14&amp;tableName=4.reg_fotografico&amp;fileName=4.2.reg_calidad_Images/138198cd.imagen.131429.jpg</v>
      </c>
      <c r="F131" s="77" t="str">
        <f t="shared" si="1"/>
        <v/>
      </c>
    </row>
    <row r="132">
      <c r="A132" s="30" t="s">
        <v>3875</v>
      </c>
      <c r="B132" s="30" t="s">
        <v>696</v>
      </c>
      <c r="C132" s="30" t="s">
        <v>3876</v>
      </c>
      <c r="D132" s="30" t="s">
        <v>3622</v>
      </c>
      <c r="E132" s="76" t="str">
        <f t="array" ref="E132">IF(
                C132 = "",
                "",
                       IF(
                           C132 ="FOTOGRAFIA",
                           "LINK",
                           "https://www.appsheet.com/template/gettablefileurl?appName=APP022ParticMagnMTV2-924373673-26-05-14&amp;tableName=4.reg_fotografico&amp;fileName="&amp;C132                         )
                          )</f>
        <v>https://www.appsheet.com/template/gettablefileurl?appName=APP022ParticMagnMTV2-924373673-26-05-14&amp;tableName=4.reg_fotografico&amp;fileName=4.2.reg_calidad_Images/29510d90.imagen.131433.jpg</v>
      </c>
      <c r="F132" s="77" t="str">
        <f t="shared" si="1"/>
        <v/>
      </c>
    </row>
    <row r="133">
      <c r="A133" s="30" t="s">
        <v>3877</v>
      </c>
      <c r="B133" s="30" t="s">
        <v>744</v>
      </c>
      <c r="C133" s="30" t="s">
        <v>3878</v>
      </c>
      <c r="D133" s="30" t="s">
        <v>3608</v>
      </c>
      <c r="E133" s="76" t="str">
        <f t="array" ref="E133">IF(
                C133 = "",
                "",
                       IF(
                           C133 ="FOTOGRAFIA",
                           "LINK",
                           "https://www.appsheet.com/template/gettablefileurl?appName=APP022ParticMagnMTV2-924373673-26-05-14&amp;tableName=4.reg_fotografico&amp;fileName="&amp;C133                         )
                          )</f>
        <v>https://www.appsheet.com/template/gettablefileurl?appName=APP022ParticMagnMTV2-924373673-26-05-14&amp;tableName=4.reg_fotografico&amp;fileName=4.2.reg_calidad_Images/10d9a5ee.imagen.191101.jpg</v>
      </c>
      <c r="F133" s="77" t="str">
        <f t="shared" si="1"/>
        <v/>
      </c>
    </row>
    <row r="134">
      <c r="A134" s="30" t="s">
        <v>3879</v>
      </c>
      <c r="B134" s="30" t="s">
        <v>744</v>
      </c>
      <c r="C134" s="30" t="s">
        <v>3880</v>
      </c>
      <c r="D134" s="30" t="s">
        <v>3611</v>
      </c>
      <c r="E134" s="76" t="str">
        <f t="array" ref="E134">IF(
                C134 = "",
                "",
                       IF(
                           C134 ="FOTOGRAFIA",
                           "LINK",
                           "https://www.appsheet.com/template/gettablefileurl?appName=APP022ParticMagnMTV2-924373673-26-05-14&amp;tableName=4.reg_fotografico&amp;fileName="&amp;C134                         )
                          )</f>
        <v>https://www.appsheet.com/template/gettablefileurl?appName=APP022ParticMagnMTV2-924373673-26-05-14&amp;tableName=4.reg_fotografico&amp;fileName=4.2.reg_calidad_Images/b8a80f36.imagen.191105.jpg</v>
      </c>
      <c r="F134" s="77" t="str">
        <f t="shared" si="1"/>
        <v/>
      </c>
    </row>
    <row r="135">
      <c r="A135" s="30" t="s">
        <v>3881</v>
      </c>
      <c r="B135" s="30" t="s">
        <v>744</v>
      </c>
      <c r="C135" s="30" t="s">
        <v>3882</v>
      </c>
      <c r="D135" s="30" t="s">
        <v>3605</v>
      </c>
      <c r="E135" s="76" t="str">
        <f t="array" ref="E135">IF(
                C135 = "",
                "",
                       IF(
                           C135 ="FOTOGRAFIA",
                           "LINK",
                           "https://www.appsheet.com/template/gettablefileurl?appName=APP022ParticMagnMTV2-924373673-26-05-14&amp;tableName=4.reg_fotografico&amp;fileName="&amp;C135                         )
                          )</f>
        <v>https://www.appsheet.com/template/gettablefileurl?appName=APP022ParticMagnMTV2-924373673-26-05-14&amp;tableName=4.reg_fotografico&amp;fileName=4.2.reg_calidad_Images/c93172ac.imagen.191108.jpg</v>
      </c>
      <c r="F135" s="77" t="str">
        <f t="shared" si="1"/>
        <v/>
      </c>
    </row>
    <row r="136">
      <c r="A136" s="30" t="s">
        <v>3883</v>
      </c>
      <c r="B136" s="30" t="s">
        <v>744</v>
      </c>
      <c r="C136" s="30" t="s">
        <v>3884</v>
      </c>
      <c r="D136" s="30" t="s">
        <v>3625</v>
      </c>
      <c r="E136" s="76" t="str">
        <f t="array" ref="E136">IF(
                C136 = "",
                "",
                       IF(
                           C136 ="FOTOGRAFIA",
                           "LINK",
                           "https://www.appsheet.com/template/gettablefileurl?appName=APP022ParticMagnMTV2-924373673-26-05-14&amp;tableName=4.reg_fotografico&amp;fileName="&amp;C136                         )
                          )</f>
        <v>https://www.appsheet.com/template/gettablefileurl?appName=APP022ParticMagnMTV2-924373673-26-05-14&amp;tableName=4.reg_fotografico&amp;fileName=4.2.reg_calidad_Images/cc32bac2.imagen.191113.jpg</v>
      </c>
      <c r="F136" s="77" t="str">
        <f t="shared" si="1"/>
        <v/>
      </c>
    </row>
    <row r="137">
      <c r="A137" s="30" t="s">
        <v>3885</v>
      </c>
      <c r="B137" s="30" t="s">
        <v>744</v>
      </c>
      <c r="C137" s="30" t="s">
        <v>3886</v>
      </c>
      <c r="D137" s="30" t="s">
        <v>3622</v>
      </c>
      <c r="E137" s="76" t="str">
        <f t="array" ref="E137">IF(
                C137 = "",
                "",
                       IF(
                           C137 ="FOTOGRAFIA",
                           "LINK",
                           "https://www.appsheet.com/template/gettablefileurl?appName=APP022ParticMagnMTV2-924373673-26-05-14&amp;tableName=4.reg_fotografico&amp;fileName="&amp;C137                         )
                          )</f>
        <v>https://www.appsheet.com/template/gettablefileurl?appName=APP022ParticMagnMTV2-924373673-26-05-14&amp;tableName=4.reg_fotografico&amp;fileName=4.2.reg_calidad_Images/c41ce9f5.imagen.191117.png</v>
      </c>
      <c r="F137" s="77" t="str">
        <f t="shared" si="1"/>
        <v/>
      </c>
    </row>
    <row r="138">
      <c r="A138" s="81" t="s">
        <v>3887</v>
      </c>
      <c r="B138" s="30" t="s">
        <v>756</v>
      </c>
      <c r="C138" s="30" t="s">
        <v>3888</v>
      </c>
      <c r="D138" s="30" t="s">
        <v>3611</v>
      </c>
      <c r="E138" s="76" t="str">
        <f t="array" ref="E138">IF(
                C138 = "",
                "",
                       IF(
                           C138 ="FOTOGRAFIA",
                           "LINK",
                           "https://www.appsheet.com/template/gettablefileurl?appName=APP022ParticMagnMTV2-924373673-26-05-14&amp;tableName=4.reg_fotografico&amp;fileName="&amp;C138                         )
                          )</f>
        <v>https://www.appsheet.com/template/gettablefileurl?appName=APP022ParticMagnMTV2-924373673-26-05-14&amp;tableName=4.reg_fotografico&amp;fileName=4.2.reg_calidad_Images/24292460.imagen.193039.jpg</v>
      </c>
      <c r="F138" s="77" t="str">
        <f t="shared" si="1"/>
        <v/>
      </c>
    </row>
    <row r="139">
      <c r="A139" s="30" t="s">
        <v>3889</v>
      </c>
      <c r="B139" s="30" t="s">
        <v>756</v>
      </c>
      <c r="C139" s="30" t="s">
        <v>3890</v>
      </c>
      <c r="D139" s="30" t="s">
        <v>3608</v>
      </c>
      <c r="E139" s="76" t="str">
        <f t="array" ref="E139">IF(
                C139 = "",
                "",
                       IF(
                           C139 ="FOTOGRAFIA",
                           "LINK",
                           "https://www.appsheet.com/template/gettablefileurl?appName=APP022ParticMagnMTV2-924373673-26-05-14&amp;tableName=4.reg_fotografico&amp;fileName="&amp;C139                         )
                          )</f>
        <v>https://www.appsheet.com/template/gettablefileurl?appName=APP022ParticMagnMTV2-924373673-26-05-14&amp;tableName=4.reg_fotografico&amp;fileName=4.2.reg_calidad_Images/d54dc63a.imagen.193043.jpg</v>
      </c>
      <c r="F139" s="77" t="str">
        <f t="shared" si="1"/>
        <v/>
      </c>
    </row>
    <row r="140">
      <c r="A140" s="30" t="s">
        <v>3891</v>
      </c>
      <c r="B140" s="30" t="s">
        <v>756</v>
      </c>
      <c r="C140" s="30" t="s">
        <v>3892</v>
      </c>
      <c r="D140" s="30" t="s">
        <v>3605</v>
      </c>
      <c r="E140" s="76" t="str">
        <f t="array" ref="E140">IF(
                C140 = "",
                "",
                       IF(
                           C140 ="FOTOGRAFIA",
                           "LINK",
                           "https://www.appsheet.com/template/gettablefileurl?appName=APP022ParticMagnMTV2-924373673-26-05-14&amp;tableName=4.reg_fotografico&amp;fileName="&amp;C140                         )
                          )</f>
        <v>https://www.appsheet.com/template/gettablefileurl?appName=APP022ParticMagnMTV2-924373673-26-05-14&amp;tableName=4.reg_fotografico&amp;fileName=4.2.reg_calidad_Images/7c1e5ca2.imagen.193046.jpg</v>
      </c>
      <c r="F140" s="77" t="str">
        <f t="shared" si="1"/>
        <v/>
      </c>
    </row>
    <row r="141">
      <c r="A141" s="30" t="s">
        <v>3893</v>
      </c>
      <c r="B141" s="30" t="s">
        <v>768</v>
      </c>
      <c r="C141" s="30" t="s">
        <v>3894</v>
      </c>
      <c r="D141" s="30" t="s">
        <v>3605</v>
      </c>
      <c r="E141" s="76" t="str">
        <f t="array" ref="E141">IF(
                C141 = "",
                "",
                       IF(
                           C141 ="FOTOGRAFIA",
                           "LINK",
                           "https://www.appsheet.com/template/gettablefileurl?appName=APP022ParticMagnMTV2-924373673-26-05-14&amp;tableName=4.reg_fotografico&amp;fileName="&amp;C141                         )
                          )</f>
        <v>https://www.appsheet.com/template/gettablefileurl?appName=APP022ParticMagnMTV2-924373673-26-05-14&amp;tableName=4.reg_fotografico&amp;fileName=4.2.reg_calidad_Images/2923389e.imagen.055945.jpg</v>
      </c>
      <c r="F141" s="77" t="str">
        <f t="shared" si="1"/>
        <v/>
      </c>
    </row>
    <row r="142">
      <c r="A142" s="30" t="s">
        <v>3895</v>
      </c>
      <c r="B142" s="30" t="s">
        <v>768</v>
      </c>
      <c r="C142" s="30" t="s">
        <v>3896</v>
      </c>
      <c r="D142" s="30" t="s">
        <v>3611</v>
      </c>
      <c r="E142" s="76" t="str">
        <f t="array" ref="E142">IF(
                C142 = "",
                "",
                       IF(
                           C142 ="FOTOGRAFIA",
                           "LINK",
                           "https://www.appsheet.com/template/gettablefileurl?appName=APP022ParticMagnMTV2-924373673-26-05-14&amp;tableName=4.reg_fotografico&amp;fileName="&amp;C142                         )
                          )</f>
        <v>https://www.appsheet.com/template/gettablefileurl?appName=APP022ParticMagnMTV2-924373673-26-05-14&amp;tableName=4.reg_fotografico&amp;fileName=4.2.reg_calidad_Images/ad9e0500.imagen.055949.jpg</v>
      </c>
      <c r="F142" s="77" t="str">
        <f t="shared" si="1"/>
        <v/>
      </c>
    </row>
    <row r="143">
      <c r="A143" s="30" t="s">
        <v>3897</v>
      </c>
      <c r="B143" s="30" t="s">
        <v>768</v>
      </c>
      <c r="C143" s="30" t="s">
        <v>3898</v>
      </c>
      <c r="D143" s="30" t="s">
        <v>3608</v>
      </c>
      <c r="E143" s="76" t="str">
        <f t="array" ref="E143">IF(
                C143 = "",
                "",
                       IF(
                           C143 ="FOTOGRAFIA",
                           "LINK",
                           "https://www.appsheet.com/template/gettablefileurl?appName=APP022ParticMagnMTV2-924373673-26-05-14&amp;tableName=4.reg_fotografico&amp;fileName="&amp;C143                         )
                          )</f>
        <v>https://www.appsheet.com/template/gettablefileurl?appName=APP022ParticMagnMTV2-924373673-26-05-14&amp;tableName=4.reg_fotografico&amp;fileName=4.2.reg_calidad_Images/f51b3105.imagen.055952.jpg</v>
      </c>
      <c r="F143" s="77" t="str">
        <f t="shared" si="1"/>
        <v/>
      </c>
    </row>
    <row r="144">
      <c r="A144" s="30" t="s">
        <v>3899</v>
      </c>
      <c r="B144" s="30" t="s">
        <v>768</v>
      </c>
      <c r="C144" s="30" t="s">
        <v>3900</v>
      </c>
      <c r="D144" s="30" t="s">
        <v>3622</v>
      </c>
      <c r="E144" s="76" t="str">
        <f t="array" ref="E144">IF(
                C144 = "",
                "",
                       IF(
                           C144 ="FOTOGRAFIA",
                           "LINK",
                           "https://www.appsheet.com/template/gettablefileurl?appName=APP022ParticMagnMTV2-924373673-26-05-14&amp;tableName=4.reg_fotografico&amp;fileName="&amp;C144                         )
                          )</f>
        <v>https://www.appsheet.com/template/gettablefileurl?appName=APP022ParticMagnMTV2-924373673-26-05-14&amp;tableName=4.reg_fotografico&amp;fileName=4.2.reg_calidad_Images/a03da2ff.imagen.055955.jpg</v>
      </c>
      <c r="F144" s="77" t="str">
        <f t="shared" si="1"/>
        <v/>
      </c>
    </row>
    <row r="145">
      <c r="A145" s="30" t="s">
        <v>3901</v>
      </c>
      <c r="B145" s="30" t="s">
        <v>768</v>
      </c>
      <c r="C145" s="30" t="s">
        <v>3902</v>
      </c>
      <c r="D145" s="30" t="s">
        <v>3625</v>
      </c>
      <c r="E145" s="76" t="str">
        <f t="array" ref="E145">IF(
                C145 = "",
                "",
                       IF(
                           C145 ="FOTOGRAFIA",
                           "LINK",
                           "https://www.appsheet.com/template/gettablefileurl?appName=APP022ParticMagnMTV2-924373673-26-05-14&amp;tableName=4.reg_fotografico&amp;fileName="&amp;C145                         )
                          )</f>
        <v>https://www.appsheet.com/template/gettablefileurl?appName=APP022ParticMagnMTV2-924373673-26-05-14&amp;tableName=4.reg_fotografico&amp;fileName=4.2.reg_calidad_Images/c281cc3e.imagen.003723.jpg</v>
      </c>
      <c r="F145" s="77" t="str">
        <f t="shared" si="1"/>
        <v/>
      </c>
    </row>
    <row r="146">
      <c r="A146" s="30" t="s">
        <v>3903</v>
      </c>
      <c r="B146" s="30" t="s">
        <v>784</v>
      </c>
      <c r="C146" s="30" t="s">
        <v>3904</v>
      </c>
      <c r="D146" s="30" t="s">
        <v>3611</v>
      </c>
      <c r="E146" s="76" t="str">
        <f t="array" ref="E146">IF(
                C146 = "",
                "",
                       IF(
                           C146 ="FOTOGRAFIA",
                           "LINK",
                           "https://www.appsheet.com/template/gettablefileurl?appName=APP022ParticMagnMTV2-924373673-26-05-14&amp;tableName=4.reg_fotografico&amp;fileName="&amp;C146                         )
                          )</f>
        <v>https://www.appsheet.com/template/gettablefileurl?appName=APP022ParticMagnMTV2-924373673-26-05-14&amp;tableName=4.reg_fotografico&amp;fileName=4.2.reg_calidad_Images/b1cad793.imagen.031257.jpg</v>
      </c>
      <c r="F146" s="77" t="str">
        <f t="shared" si="1"/>
        <v/>
      </c>
    </row>
    <row r="147">
      <c r="A147" s="30" t="s">
        <v>3905</v>
      </c>
      <c r="B147" s="30" t="s">
        <v>784</v>
      </c>
      <c r="C147" s="30" t="s">
        <v>3906</v>
      </c>
      <c r="D147" s="30" t="s">
        <v>3605</v>
      </c>
      <c r="E147" s="76" t="str">
        <f t="array" ref="E147">IF(
                C147 = "",
                "",
                       IF(
                           C147 ="FOTOGRAFIA",
                           "LINK",
                           "https://www.appsheet.com/template/gettablefileurl?appName=APP022ParticMagnMTV2-924373673-26-05-14&amp;tableName=4.reg_fotografico&amp;fileName="&amp;C147                         )
                          )</f>
        <v>https://www.appsheet.com/template/gettablefileurl?appName=APP022ParticMagnMTV2-924373673-26-05-14&amp;tableName=4.reg_fotografico&amp;fileName=4.2.reg_calidad_Images/17ba245c.imagen.031302.jpg</v>
      </c>
      <c r="F147" s="77" t="str">
        <f t="shared" si="1"/>
        <v/>
      </c>
    </row>
    <row r="148">
      <c r="A148" s="30" t="s">
        <v>3907</v>
      </c>
      <c r="B148" s="30" t="s">
        <v>784</v>
      </c>
      <c r="C148" s="30" t="s">
        <v>3908</v>
      </c>
      <c r="D148" s="30" t="s">
        <v>3608</v>
      </c>
      <c r="E148" s="76" t="str">
        <f t="array" ref="E148">IF(
                C148 = "",
                "",
                       IF(
                           C148 ="FOTOGRAFIA",
                           "LINK",
                           "https://www.appsheet.com/template/gettablefileurl?appName=APP022ParticMagnMTV2-924373673-26-05-14&amp;tableName=4.reg_fotografico&amp;fileName="&amp;C148                         )
                          )</f>
        <v>https://www.appsheet.com/template/gettablefileurl?appName=APP022ParticMagnMTV2-924373673-26-05-14&amp;tableName=4.reg_fotografico&amp;fileName=4.2.reg_calidad_Images/eb5dcff8.imagen.031304.jpg</v>
      </c>
      <c r="F148" s="77" t="str">
        <f t="shared" si="1"/>
        <v/>
      </c>
    </row>
    <row r="149">
      <c r="A149" s="30" t="s">
        <v>3909</v>
      </c>
      <c r="B149" s="30" t="s">
        <v>784</v>
      </c>
      <c r="C149" s="30" t="s">
        <v>3910</v>
      </c>
      <c r="D149" s="30" t="s">
        <v>3622</v>
      </c>
      <c r="E149" s="76" t="str">
        <f t="array" ref="E149">IF(
                C149 = "",
                "",
                       IF(
                           C149 ="FOTOGRAFIA",
                           "LINK",
                           "https://www.appsheet.com/template/gettablefileurl?appName=APP022ParticMagnMTV2-924373673-26-05-14&amp;tableName=4.reg_fotografico&amp;fileName="&amp;C149                         )
                          )</f>
        <v>https://www.appsheet.com/template/gettablefileurl?appName=APP022ParticMagnMTV2-924373673-26-05-14&amp;tableName=4.reg_fotografico&amp;fileName=4.2.reg_calidad_Images/de9f5556.imagen.031307.jpg</v>
      </c>
      <c r="F149" s="77" t="str">
        <f t="shared" si="1"/>
        <v/>
      </c>
    </row>
    <row r="150">
      <c r="A150" s="30" t="s">
        <v>3911</v>
      </c>
      <c r="B150" s="30" t="s">
        <v>784</v>
      </c>
      <c r="C150" s="30" t="s">
        <v>3912</v>
      </c>
      <c r="D150" s="30" t="s">
        <v>3625</v>
      </c>
      <c r="E150" s="76" t="str">
        <f t="array" ref="E150">IF(
                C150 = "",
                "",
                       IF(
                           C150 ="FOTOGRAFIA",
                           "LINK",
                           "https://www.appsheet.com/template/gettablefileurl?appName=APP022ParticMagnMTV2-924373673-26-05-14&amp;tableName=4.reg_fotografico&amp;fileName="&amp;C150                         )
                          )</f>
        <v>https://www.appsheet.com/template/gettablefileurl?appName=APP022ParticMagnMTV2-924373673-26-05-14&amp;tableName=4.reg_fotografico&amp;fileName=4.2.reg_calidad_Images/1a6a273a.imagen.031310.jpg</v>
      </c>
      <c r="F150" s="77" t="str">
        <f t="shared" si="1"/>
        <v/>
      </c>
    </row>
    <row r="151">
      <c r="E151" s="77" t="str">
        <f t="array" ref="E151">IF(
                C151 = "",
                "",
                       IF(
                           C151 ="FOTOGRAFIA",
                           "LINK",
                           "https://www.appsheet.com/template/gettablefileurl?appName=APP022ParticMagnMTV2-924373673-26-05-14&amp;tableName=4.reg_fotografico&amp;fileName="&amp;C151                         )
                          )</f>
        <v/>
      </c>
      <c r="F151" s="77" t="str">
        <f t="shared" si="1"/>
        <v/>
      </c>
    </row>
    <row r="152">
      <c r="E152" s="77" t="str">
        <f t="array" ref="E152">IF(
                C152 = "",
                "",
                       IF(
                           C152 ="FOTOGRAFIA",
                           "LINK",
                           "https://www.appsheet.com/template/gettablefileurl?appName=APP022ParticMagnMTV2-924373673-26-05-14&amp;tableName=4.reg_fotografico&amp;fileName="&amp;C152                         )
                          )</f>
        <v/>
      </c>
      <c r="F152" s="77" t="str">
        <f t="shared" si="1"/>
        <v/>
      </c>
    </row>
    <row r="153">
      <c r="E153" s="77" t="str">
        <f t="array" ref="E153">IF(
                C153 = "",
                "",
                       IF(
                           C153 ="FOTOGRAFIA",
                           "LINK",
                           "https://www.appsheet.com/template/gettablefileurl?appName=APP022ParticMagnMTV2-924373673-26-05-14&amp;tableName=4.reg_fotografico&amp;fileName="&amp;C153                         )
                          )</f>
        <v/>
      </c>
      <c r="F153" s="77" t="str">
        <f t="shared" si="1"/>
        <v/>
      </c>
    </row>
  </sheetData>
  <hyperlinks>
    <hyperlink r:id="rId1" ref="E5"/>
    <hyperlink r:id="rId2" ref="E6"/>
    <hyperlink r:id="rId3" ref="E78"/>
    <hyperlink r:id="rId4" ref="E79"/>
    <hyperlink r:id="rId5" ref="E80"/>
    <hyperlink r:id="rId6" ref="E81"/>
    <hyperlink r:id="rId7" ref="E82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257</v>
      </c>
      <c r="B1" s="82" t="s">
        <v>16</v>
      </c>
      <c r="C1" s="82" t="s">
        <v>4</v>
      </c>
      <c r="D1" s="30" t="s">
        <v>259</v>
      </c>
      <c r="E1" s="30" t="s">
        <v>262</v>
      </c>
    </row>
    <row r="2">
      <c r="A2" s="30" t="s">
        <v>3913</v>
      </c>
      <c r="B2" s="30" t="s">
        <v>794</v>
      </c>
      <c r="C2" s="30" t="s">
        <v>300</v>
      </c>
      <c r="D2" s="30" t="s">
        <v>3914</v>
      </c>
      <c r="E2" s="30">
        <v>0.12</v>
      </c>
    </row>
    <row r="3">
      <c r="A3" s="30" t="s">
        <v>3915</v>
      </c>
      <c r="B3" s="30" t="s">
        <v>794</v>
      </c>
      <c r="C3" s="30" t="s">
        <v>300</v>
      </c>
      <c r="D3" s="30" t="s">
        <v>3916</v>
      </c>
      <c r="E3" s="30">
        <v>0.44</v>
      </c>
    </row>
    <row r="4">
      <c r="A4" s="30" t="s">
        <v>3917</v>
      </c>
      <c r="B4" s="30" t="s">
        <v>794</v>
      </c>
      <c r="C4" s="30" t="s">
        <v>300</v>
      </c>
      <c r="D4" s="30" t="s">
        <v>3918</v>
      </c>
      <c r="E4" s="30">
        <v>0.33</v>
      </c>
    </row>
    <row r="5">
      <c r="A5" s="30" t="s">
        <v>3919</v>
      </c>
      <c r="B5" s="30" t="s">
        <v>798</v>
      </c>
      <c r="C5" s="30" t="s">
        <v>300</v>
      </c>
      <c r="D5" s="30" t="s">
        <v>3920</v>
      </c>
      <c r="E5" s="30">
        <v>0.05</v>
      </c>
    </row>
    <row r="6">
      <c r="A6" s="30" t="s">
        <v>3921</v>
      </c>
      <c r="B6" s="30" t="s">
        <v>798</v>
      </c>
      <c r="C6" s="30" t="s">
        <v>300</v>
      </c>
      <c r="D6" s="30" t="s">
        <v>3922</v>
      </c>
      <c r="E6" s="30">
        <v>0.22</v>
      </c>
    </row>
    <row r="7">
      <c r="A7" s="30" t="s">
        <v>3923</v>
      </c>
      <c r="B7" s="30" t="s">
        <v>794</v>
      </c>
      <c r="C7" s="30" t="s">
        <v>300</v>
      </c>
      <c r="D7" s="30" t="s">
        <v>3924</v>
      </c>
      <c r="E7" s="30">
        <v>0.05</v>
      </c>
    </row>
    <row r="8">
      <c r="A8" s="30" t="s">
        <v>3925</v>
      </c>
      <c r="B8" s="30" t="s">
        <v>794</v>
      </c>
      <c r="C8" s="30" t="s">
        <v>300</v>
      </c>
      <c r="D8" s="30" t="s">
        <v>3920</v>
      </c>
      <c r="E8" s="30">
        <v>0.04</v>
      </c>
    </row>
    <row r="9">
      <c r="A9" s="30" t="s">
        <v>3926</v>
      </c>
      <c r="B9" s="30" t="s">
        <v>794</v>
      </c>
      <c r="C9" s="30" t="s">
        <v>300</v>
      </c>
      <c r="D9" s="30" t="s">
        <v>3927</v>
      </c>
      <c r="E9" s="30">
        <v>0.04</v>
      </c>
    </row>
    <row r="10">
      <c r="A10" s="30" t="s">
        <v>3928</v>
      </c>
      <c r="B10" s="30" t="s">
        <v>794</v>
      </c>
      <c r="C10" s="30" t="s">
        <v>300</v>
      </c>
      <c r="D10" s="30" t="s">
        <v>3916</v>
      </c>
      <c r="E10" s="30">
        <v>0.04</v>
      </c>
    </row>
    <row r="11">
      <c r="A11" s="30" t="s">
        <v>3929</v>
      </c>
      <c r="B11" s="30" t="s">
        <v>802</v>
      </c>
      <c r="C11" s="30" t="s">
        <v>300</v>
      </c>
      <c r="D11" s="30" t="s">
        <v>3930</v>
      </c>
      <c r="E11" s="30">
        <v>0.04</v>
      </c>
    </row>
    <row r="12">
      <c r="A12" s="30" t="s">
        <v>3931</v>
      </c>
      <c r="B12" s="30" t="s">
        <v>802</v>
      </c>
      <c r="C12" s="30" t="s">
        <v>300</v>
      </c>
      <c r="D12" s="30" t="s">
        <v>3932</v>
      </c>
      <c r="E12" s="30">
        <v>0.02</v>
      </c>
    </row>
    <row r="13">
      <c r="A13" s="30" t="s">
        <v>3933</v>
      </c>
      <c r="B13" s="30" t="s">
        <v>802</v>
      </c>
      <c r="C13" s="30" t="s">
        <v>300</v>
      </c>
      <c r="D13" s="30" t="s">
        <v>3934</v>
      </c>
      <c r="E13" s="30">
        <v>0.07</v>
      </c>
    </row>
    <row r="14">
      <c r="A14" s="30" t="s">
        <v>3935</v>
      </c>
      <c r="B14" s="30" t="s">
        <v>802</v>
      </c>
      <c r="C14" s="30" t="s">
        <v>300</v>
      </c>
      <c r="D14" s="30" t="s">
        <v>3936</v>
      </c>
      <c r="E14" s="30">
        <v>0.04</v>
      </c>
    </row>
    <row r="15">
      <c r="A15" s="30" t="s">
        <v>3937</v>
      </c>
      <c r="B15" s="30" t="s">
        <v>842</v>
      </c>
      <c r="C15" s="30" t="s">
        <v>330</v>
      </c>
      <c r="D15" s="30" t="s">
        <v>3938</v>
      </c>
      <c r="E15" s="30">
        <v>1708.0</v>
      </c>
    </row>
    <row r="16">
      <c r="A16" s="30" t="s">
        <v>3939</v>
      </c>
      <c r="B16" s="30" t="s">
        <v>932</v>
      </c>
      <c r="C16" s="30" t="s">
        <v>437</v>
      </c>
      <c r="D16" s="30" t="s">
        <v>3940</v>
      </c>
      <c r="E16" s="30">
        <v>8.0</v>
      </c>
    </row>
    <row r="17">
      <c r="A17" s="30" t="s">
        <v>3941</v>
      </c>
      <c r="B17" s="30" t="s">
        <v>932</v>
      </c>
      <c r="C17" s="30" t="s">
        <v>437</v>
      </c>
      <c r="D17" s="30" t="s">
        <v>3942</v>
      </c>
      <c r="E17" s="30">
        <v>52.0</v>
      </c>
    </row>
    <row r="18">
      <c r="A18" s="30" t="s">
        <v>3943</v>
      </c>
      <c r="B18" s="30" t="s">
        <v>932</v>
      </c>
      <c r="C18" s="30" t="s">
        <v>437</v>
      </c>
      <c r="D18" s="30" t="s">
        <v>3944</v>
      </c>
      <c r="E18" s="30">
        <v>61.0</v>
      </c>
    </row>
    <row r="19">
      <c r="A19" s="4" t="s">
        <v>3945</v>
      </c>
      <c r="B19" s="4" t="s">
        <v>1235</v>
      </c>
      <c r="C19" s="4" t="s">
        <v>453</v>
      </c>
      <c r="D19" s="4" t="s">
        <v>3946</v>
      </c>
      <c r="E19" s="83">
        <v>11.0</v>
      </c>
    </row>
    <row r="20">
      <c r="A20" s="4" t="s">
        <v>3947</v>
      </c>
      <c r="B20" s="4" t="s">
        <v>1228</v>
      </c>
      <c r="C20" s="4" t="s">
        <v>453</v>
      </c>
      <c r="D20" s="4" t="s">
        <v>3946</v>
      </c>
      <c r="E20" s="83">
        <v>10.0</v>
      </c>
    </row>
    <row r="21">
      <c r="A21" s="4" t="s">
        <v>3948</v>
      </c>
      <c r="B21" s="4" t="s">
        <v>1249</v>
      </c>
      <c r="C21" s="4" t="s">
        <v>453</v>
      </c>
      <c r="D21" s="4" t="s">
        <v>3949</v>
      </c>
      <c r="E21" s="83">
        <v>5087.0</v>
      </c>
    </row>
    <row r="22">
      <c r="A22" s="4" t="s">
        <v>3950</v>
      </c>
      <c r="B22" s="4" t="s">
        <v>1270</v>
      </c>
      <c r="C22" s="4" t="s">
        <v>453</v>
      </c>
      <c r="D22" s="4" t="s">
        <v>3946</v>
      </c>
      <c r="E22" s="83">
        <v>11.0</v>
      </c>
    </row>
    <row r="23">
      <c r="A23" s="4" t="s">
        <v>3951</v>
      </c>
      <c r="B23" s="4" t="s">
        <v>1245</v>
      </c>
      <c r="C23" s="4" t="s">
        <v>453</v>
      </c>
      <c r="D23" s="4" t="s">
        <v>3952</v>
      </c>
      <c r="E23" s="83">
        <v>25.0</v>
      </c>
    </row>
    <row r="24">
      <c r="A24" s="4" t="s">
        <v>3953</v>
      </c>
      <c r="B24" s="4" t="s">
        <v>1326</v>
      </c>
      <c r="C24" s="4" t="s">
        <v>453</v>
      </c>
      <c r="D24" s="4" t="s">
        <v>3954</v>
      </c>
      <c r="E24" s="83">
        <v>25.0</v>
      </c>
    </row>
    <row r="25">
      <c r="A25" s="4" t="s">
        <v>3955</v>
      </c>
      <c r="B25" s="4" t="s">
        <v>1274</v>
      </c>
      <c r="C25" s="4" t="s">
        <v>453</v>
      </c>
      <c r="D25" s="4" t="s">
        <v>3956</v>
      </c>
      <c r="E25" s="83">
        <v>21.0</v>
      </c>
    </row>
    <row r="26">
      <c r="A26" s="4" t="s">
        <v>3957</v>
      </c>
      <c r="B26" s="4" t="s">
        <v>1281</v>
      </c>
      <c r="C26" s="4" t="s">
        <v>453</v>
      </c>
      <c r="D26" s="4" t="s">
        <v>3954</v>
      </c>
      <c r="E26" s="83">
        <v>44.0</v>
      </c>
    </row>
    <row r="27">
      <c r="A27" s="4" t="s">
        <v>3958</v>
      </c>
      <c r="B27" s="4" t="s">
        <v>1314</v>
      </c>
      <c r="C27" s="4" t="s">
        <v>453</v>
      </c>
      <c r="D27" s="4" t="s">
        <v>3956</v>
      </c>
      <c r="E27" s="83">
        <v>5.0</v>
      </c>
    </row>
    <row r="28">
      <c r="A28" s="4" t="s">
        <v>3959</v>
      </c>
      <c r="B28" s="4" t="s">
        <v>1320</v>
      </c>
      <c r="C28" s="4" t="s">
        <v>453</v>
      </c>
      <c r="D28" s="4" t="s">
        <v>3954</v>
      </c>
      <c r="E28" s="83">
        <v>18.0</v>
      </c>
    </row>
    <row r="29">
      <c r="A29" s="4" t="s">
        <v>3960</v>
      </c>
      <c r="B29" s="4" t="s">
        <v>1307</v>
      </c>
      <c r="C29" s="4" t="s">
        <v>453</v>
      </c>
      <c r="D29" s="4" t="s">
        <v>3954</v>
      </c>
      <c r="E29" s="83">
        <v>13.0</v>
      </c>
      <c r="I29" s="30" t="s">
        <v>3961</v>
      </c>
    </row>
    <row r="30">
      <c r="A30" s="4" t="s">
        <v>3962</v>
      </c>
      <c r="B30" s="4" t="s">
        <v>1260</v>
      </c>
      <c r="C30" s="4" t="s">
        <v>453</v>
      </c>
      <c r="D30" s="4" t="s">
        <v>3956</v>
      </c>
      <c r="E30" s="83">
        <v>10.0</v>
      </c>
    </row>
    <row r="31">
      <c r="A31" s="4" t="s">
        <v>3963</v>
      </c>
      <c r="B31" s="4" t="s">
        <v>1296</v>
      </c>
      <c r="C31" s="4" t="s">
        <v>453</v>
      </c>
      <c r="D31" s="4" t="s">
        <v>3946</v>
      </c>
      <c r="E31" s="83">
        <v>12.0</v>
      </c>
    </row>
    <row r="32">
      <c r="A32" s="30" t="s">
        <v>3964</v>
      </c>
      <c r="B32" s="30" t="s">
        <v>1354</v>
      </c>
      <c r="C32" s="30" t="s">
        <v>283</v>
      </c>
      <c r="D32" s="30" t="s">
        <v>3965</v>
      </c>
      <c r="E32" s="30">
        <v>58.0</v>
      </c>
    </row>
    <row r="33">
      <c r="A33" s="30" t="s">
        <v>3966</v>
      </c>
      <c r="B33" s="30" t="s">
        <v>1354</v>
      </c>
      <c r="C33" s="30" t="s">
        <v>283</v>
      </c>
      <c r="D33" s="30" t="s">
        <v>3967</v>
      </c>
      <c r="E33" s="30">
        <v>25.0</v>
      </c>
    </row>
    <row r="34">
      <c r="A34" s="30" t="s">
        <v>3968</v>
      </c>
      <c r="B34" s="30" t="s">
        <v>1398</v>
      </c>
      <c r="C34" s="30" t="s">
        <v>561</v>
      </c>
    </row>
    <row r="35">
      <c r="A35" s="30" t="s">
        <v>3969</v>
      </c>
      <c r="B35" s="30" t="s">
        <v>1551</v>
      </c>
      <c r="C35" s="30" t="s">
        <v>642</v>
      </c>
      <c r="D35" s="30" t="s">
        <v>3970</v>
      </c>
      <c r="E35" s="30">
        <v>32.0</v>
      </c>
      <c r="F35" s="30" t="s">
        <v>1327</v>
      </c>
    </row>
    <row r="36">
      <c r="A36" s="30" t="s">
        <v>3971</v>
      </c>
      <c r="B36" s="30" t="s">
        <v>1551</v>
      </c>
      <c r="C36" s="30" t="s">
        <v>642</v>
      </c>
      <c r="D36" s="30" t="s">
        <v>3972</v>
      </c>
      <c r="E36" s="30">
        <v>18.0</v>
      </c>
    </row>
    <row r="37">
      <c r="A37" s="30" t="s">
        <v>3973</v>
      </c>
      <c r="B37" s="30" t="s">
        <v>1551</v>
      </c>
      <c r="C37" s="30" t="s">
        <v>642</v>
      </c>
      <c r="D37" s="30" t="s">
        <v>3974</v>
      </c>
      <c r="E37" s="30">
        <v>5.0</v>
      </c>
    </row>
    <row r="38">
      <c r="A38" s="30" t="s">
        <v>3975</v>
      </c>
      <c r="B38" s="30" t="s">
        <v>1551</v>
      </c>
      <c r="C38" s="30" t="s">
        <v>642</v>
      </c>
      <c r="D38" s="30" t="s">
        <v>3976</v>
      </c>
      <c r="E38" s="30">
        <v>22.0</v>
      </c>
    </row>
    <row r="39">
      <c r="A39" s="30" t="s">
        <v>3977</v>
      </c>
      <c r="B39" s="30" t="s">
        <v>1551</v>
      </c>
      <c r="C39" s="30" t="s">
        <v>642</v>
      </c>
      <c r="D39" s="30" t="s">
        <v>3978</v>
      </c>
      <c r="E39" s="30">
        <v>8.0</v>
      </c>
    </row>
    <row r="40">
      <c r="A40" s="30" t="s">
        <v>3979</v>
      </c>
      <c r="B40" s="30" t="s">
        <v>1551</v>
      </c>
      <c r="C40" s="30" t="s">
        <v>642</v>
      </c>
      <c r="D40" s="30" t="s">
        <v>3980</v>
      </c>
      <c r="E40" s="30">
        <v>6.0</v>
      </c>
    </row>
    <row r="41">
      <c r="A41" s="30" t="s">
        <v>3981</v>
      </c>
      <c r="B41" s="30" t="s">
        <v>1551</v>
      </c>
      <c r="C41" s="30" t="s">
        <v>642</v>
      </c>
      <c r="D41" s="30" t="s">
        <v>3982</v>
      </c>
      <c r="E41" s="30">
        <v>88.0</v>
      </c>
    </row>
    <row r="42">
      <c r="A42" s="30" t="s">
        <v>3983</v>
      </c>
      <c r="B42" s="30" t="s">
        <v>1570</v>
      </c>
      <c r="C42" s="30" t="s">
        <v>642</v>
      </c>
      <c r="D42" s="30" t="s">
        <v>3970</v>
      </c>
      <c r="E42" s="30">
        <v>32.0</v>
      </c>
    </row>
    <row r="43">
      <c r="A43" s="30" t="s">
        <v>3984</v>
      </c>
      <c r="B43" s="30" t="s">
        <v>1580</v>
      </c>
      <c r="C43" s="30" t="s">
        <v>642</v>
      </c>
      <c r="D43" s="30" t="s">
        <v>3985</v>
      </c>
      <c r="E43" s="30">
        <v>18.0</v>
      </c>
    </row>
    <row r="44">
      <c r="A44" s="30" t="s">
        <v>3986</v>
      </c>
      <c r="B44" s="30" t="s">
        <v>1584</v>
      </c>
      <c r="C44" s="30" t="s">
        <v>642</v>
      </c>
      <c r="D44" s="30" t="s">
        <v>3974</v>
      </c>
      <c r="E44" s="30">
        <v>5.0</v>
      </c>
    </row>
    <row r="45">
      <c r="A45" s="30" t="s">
        <v>3987</v>
      </c>
      <c r="B45" s="30" t="s">
        <v>1587</v>
      </c>
      <c r="C45" s="30" t="s">
        <v>642</v>
      </c>
      <c r="D45" s="30" t="s">
        <v>3976</v>
      </c>
      <c r="E45" s="30">
        <v>22.0</v>
      </c>
    </row>
    <row r="46">
      <c r="A46" s="30" t="s">
        <v>3988</v>
      </c>
      <c r="B46" s="30" t="s">
        <v>1595</v>
      </c>
      <c r="C46" s="30" t="s">
        <v>642</v>
      </c>
      <c r="D46" s="30" t="s">
        <v>3989</v>
      </c>
      <c r="E46" s="30">
        <v>8.0</v>
      </c>
    </row>
    <row r="47">
      <c r="A47" s="30" t="s">
        <v>3990</v>
      </c>
      <c r="B47" s="30" t="s">
        <v>1599</v>
      </c>
      <c r="C47" s="30" t="s">
        <v>642</v>
      </c>
      <c r="D47" s="30" t="s">
        <v>3980</v>
      </c>
      <c r="E47" s="30">
        <v>6.0</v>
      </c>
    </row>
    <row r="48">
      <c r="A48" s="30" t="s">
        <v>3991</v>
      </c>
      <c r="B48" s="30" t="s">
        <v>1599</v>
      </c>
      <c r="C48" s="30" t="s">
        <v>642</v>
      </c>
      <c r="D48" s="30" t="s">
        <v>3992</v>
      </c>
      <c r="E48" s="30">
        <v>88.0</v>
      </c>
    </row>
    <row r="49">
      <c r="A49" s="30" t="s">
        <v>3993</v>
      </c>
      <c r="B49" s="30" t="s">
        <v>1720</v>
      </c>
      <c r="C49" s="30" t="s">
        <v>744</v>
      </c>
      <c r="D49" s="30" t="s">
        <v>3994</v>
      </c>
      <c r="E49" s="30">
        <v>12.0</v>
      </c>
    </row>
    <row r="50">
      <c r="A50" s="30" t="s">
        <v>3995</v>
      </c>
      <c r="B50" s="30" t="s">
        <v>1882</v>
      </c>
      <c r="C50" s="30" t="s">
        <v>756</v>
      </c>
      <c r="D50" s="30" t="s">
        <v>3996</v>
      </c>
      <c r="E50" s="30">
        <v>10.0</v>
      </c>
    </row>
    <row r="51">
      <c r="A51" s="30" t="s">
        <v>3997</v>
      </c>
      <c r="B51" s="30" t="s">
        <v>1885</v>
      </c>
      <c r="C51" s="30" t="s">
        <v>756</v>
      </c>
      <c r="D51" s="30" t="s">
        <v>3998</v>
      </c>
      <c r="E51" s="30">
        <v>9.0</v>
      </c>
    </row>
    <row r="52">
      <c r="A52" s="30" t="s">
        <v>3999</v>
      </c>
      <c r="B52" s="30" t="s">
        <v>1888</v>
      </c>
      <c r="C52" s="30" t="s">
        <v>756</v>
      </c>
      <c r="D52" s="30" t="s">
        <v>3996</v>
      </c>
      <c r="E52" s="30">
        <v>20.0</v>
      </c>
    </row>
    <row r="53">
      <c r="A53" s="30" t="s">
        <v>4000</v>
      </c>
      <c r="B53" s="30" t="s">
        <v>1891</v>
      </c>
      <c r="C53" s="30" t="s">
        <v>756</v>
      </c>
      <c r="D53" s="30" t="s">
        <v>4001</v>
      </c>
      <c r="E53" s="30">
        <v>17.0</v>
      </c>
    </row>
    <row r="54">
      <c r="A54" s="30" t="s">
        <v>4002</v>
      </c>
      <c r="B54" s="30" t="s">
        <v>1894</v>
      </c>
      <c r="C54" s="30" t="s">
        <v>756</v>
      </c>
      <c r="D54" s="30" t="s">
        <v>4003</v>
      </c>
      <c r="E54" s="30">
        <v>26.0</v>
      </c>
    </row>
    <row r="55">
      <c r="A55" s="30" t="s">
        <v>4004</v>
      </c>
      <c r="B55" s="30" t="s">
        <v>1900</v>
      </c>
      <c r="C55" s="30" t="s">
        <v>756</v>
      </c>
      <c r="D55" s="30" t="s">
        <v>4005</v>
      </c>
      <c r="E55" s="30">
        <v>15.0</v>
      </c>
    </row>
    <row r="56">
      <c r="A56" s="30" t="s">
        <v>4006</v>
      </c>
      <c r="B56" s="30" t="s">
        <v>1903</v>
      </c>
      <c r="C56" s="30" t="s">
        <v>756</v>
      </c>
      <c r="D56" s="30" t="s">
        <v>3994</v>
      </c>
      <c r="E56" s="30">
        <v>7.0</v>
      </c>
    </row>
    <row r="57">
      <c r="A57" s="30" t="s">
        <v>4007</v>
      </c>
      <c r="B57" s="30" t="s">
        <v>1906</v>
      </c>
      <c r="C57" s="30" t="s">
        <v>756</v>
      </c>
      <c r="D57" s="30" t="s">
        <v>4008</v>
      </c>
      <c r="E57" s="30">
        <v>15.0</v>
      </c>
    </row>
    <row r="58">
      <c r="A58" s="30" t="s">
        <v>4009</v>
      </c>
      <c r="B58" s="30" t="s">
        <v>1909</v>
      </c>
      <c r="C58" s="30" t="s">
        <v>756</v>
      </c>
      <c r="D58" s="30" t="s">
        <v>4005</v>
      </c>
      <c r="E58" s="30">
        <v>21.0</v>
      </c>
    </row>
    <row r="59">
      <c r="A59" s="30" t="s">
        <v>4010</v>
      </c>
      <c r="B59" s="30" t="s">
        <v>1912</v>
      </c>
      <c r="C59" s="30" t="s">
        <v>756</v>
      </c>
      <c r="D59" s="30" t="s">
        <v>4005</v>
      </c>
      <c r="E59" s="30">
        <v>27.0</v>
      </c>
    </row>
    <row r="60">
      <c r="A60" s="30" t="s">
        <v>4011</v>
      </c>
      <c r="B60" s="30" t="s">
        <v>1915</v>
      </c>
      <c r="C60" s="30" t="s">
        <v>756</v>
      </c>
      <c r="D60" s="30" t="s">
        <v>4005</v>
      </c>
      <c r="E60" s="30">
        <v>20.0</v>
      </c>
    </row>
    <row r="61">
      <c r="A61" s="30" t="s">
        <v>4012</v>
      </c>
      <c r="B61" s="30" t="s">
        <v>1918</v>
      </c>
      <c r="C61" s="30" t="s">
        <v>756</v>
      </c>
      <c r="D61" s="30" t="s">
        <v>4005</v>
      </c>
      <c r="E61" s="30">
        <v>29.0</v>
      </c>
    </row>
    <row r="62">
      <c r="A62" s="30" t="s">
        <v>4013</v>
      </c>
      <c r="B62" s="30" t="s">
        <v>1922</v>
      </c>
      <c r="C62" s="30" t="s">
        <v>756</v>
      </c>
      <c r="D62" s="30" t="s">
        <v>4014</v>
      </c>
      <c r="E62" s="30">
        <v>26.0</v>
      </c>
    </row>
    <row r="63">
      <c r="A63" s="30" t="s">
        <v>4015</v>
      </c>
      <c r="B63" s="30" t="s">
        <v>1926</v>
      </c>
      <c r="C63" s="30" t="s">
        <v>756</v>
      </c>
      <c r="D63" s="30" t="s">
        <v>4005</v>
      </c>
      <c r="E63" s="30">
        <v>41.0</v>
      </c>
    </row>
    <row r="64">
      <c r="A64" s="30" t="s">
        <v>4016</v>
      </c>
      <c r="B64" s="30" t="s">
        <v>1931</v>
      </c>
      <c r="C64" s="30" t="s">
        <v>756</v>
      </c>
      <c r="D64" s="30" t="s">
        <v>4005</v>
      </c>
      <c r="E64" s="30">
        <v>74.0</v>
      </c>
    </row>
    <row r="65">
      <c r="A65" s="30" t="s">
        <v>4017</v>
      </c>
      <c r="B65" s="30" t="s">
        <v>1936</v>
      </c>
      <c r="C65" s="30" t="s">
        <v>756</v>
      </c>
      <c r="D65" s="30" t="s">
        <v>4005</v>
      </c>
      <c r="E65" s="30">
        <v>17.0</v>
      </c>
    </row>
    <row r="66">
      <c r="A66" s="30" t="s">
        <v>4018</v>
      </c>
      <c r="B66" s="30" t="s">
        <v>1940</v>
      </c>
      <c r="C66" s="30" t="s">
        <v>756</v>
      </c>
      <c r="D66" s="30" t="s">
        <v>3994</v>
      </c>
      <c r="E66" s="30">
        <v>19.0</v>
      </c>
    </row>
    <row r="67">
      <c r="A67" s="30" t="s">
        <v>4019</v>
      </c>
      <c r="B67" s="30" t="s">
        <v>1944</v>
      </c>
      <c r="C67" s="30" t="s">
        <v>756</v>
      </c>
      <c r="D67" s="30" t="s">
        <v>4005</v>
      </c>
      <c r="E67" s="30">
        <v>14.0</v>
      </c>
    </row>
    <row r="68">
      <c r="A68" s="30" t="s">
        <v>4020</v>
      </c>
      <c r="B68" s="30" t="s">
        <v>1948</v>
      </c>
      <c r="C68" s="30" t="s">
        <v>756</v>
      </c>
      <c r="D68" s="30" t="s">
        <v>4005</v>
      </c>
      <c r="E68" s="30">
        <v>42.0</v>
      </c>
    </row>
    <row r="69">
      <c r="A69" s="30" t="s">
        <v>4021</v>
      </c>
      <c r="B69" s="30" t="s">
        <v>1953</v>
      </c>
      <c r="C69" s="30" t="s">
        <v>756</v>
      </c>
      <c r="D69" s="30" t="s">
        <v>3994</v>
      </c>
      <c r="E69" s="30">
        <v>9.0</v>
      </c>
    </row>
    <row r="70">
      <c r="A70" s="30" t="s">
        <v>4022</v>
      </c>
      <c r="B70" s="30" t="s">
        <v>1964</v>
      </c>
      <c r="C70" s="30" t="s">
        <v>756</v>
      </c>
      <c r="D70" s="30" t="s">
        <v>4014</v>
      </c>
      <c r="E70" s="30">
        <v>39.0</v>
      </c>
    </row>
    <row r="71">
      <c r="A71" s="30" t="s">
        <v>4023</v>
      </c>
      <c r="B71" s="30" t="s">
        <v>1968</v>
      </c>
      <c r="C71" s="30" t="s">
        <v>756</v>
      </c>
      <c r="D71" s="30" t="s">
        <v>4005</v>
      </c>
      <c r="E71" s="30">
        <v>18.0</v>
      </c>
    </row>
    <row r="72">
      <c r="A72" s="30" t="s">
        <v>4024</v>
      </c>
      <c r="B72" s="30" t="s">
        <v>1972</v>
      </c>
      <c r="C72" s="30" t="s">
        <v>756</v>
      </c>
      <c r="D72" s="30" t="s">
        <v>4005</v>
      </c>
      <c r="E72" s="30">
        <v>36.0</v>
      </c>
    </row>
    <row r="73">
      <c r="A73" s="30" t="s">
        <v>4025</v>
      </c>
      <c r="B73" s="30" t="s">
        <v>1976</v>
      </c>
      <c r="C73" s="30" t="s">
        <v>756</v>
      </c>
      <c r="D73" s="30" t="s">
        <v>4005</v>
      </c>
      <c r="E73" s="30">
        <v>15.0</v>
      </c>
    </row>
    <row r="74">
      <c r="A74" s="30" t="s">
        <v>4026</v>
      </c>
      <c r="B74" s="30" t="s">
        <v>1980</v>
      </c>
      <c r="C74" s="30" t="s">
        <v>756</v>
      </c>
      <c r="D74" s="30" t="s">
        <v>3994</v>
      </c>
      <c r="E74" s="30">
        <v>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28.13"/>
    <col customWidth="1" min="3" max="3" width="35.38"/>
    <col customWidth="1" min="4" max="4" width="29.63"/>
    <col customWidth="1" min="5" max="5" width="25.38"/>
    <col customWidth="1" min="6" max="6" width="30.38"/>
    <col customWidth="1" min="7" max="8" width="22.5"/>
    <col customWidth="1" min="9" max="9" width="19.75"/>
    <col customWidth="1" min="11" max="11" width="52.38"/>
    <col customWidth="1" min="16" max="16" width="49.88"/>
    <col customWidth="1" min="17" max="17" width="36.88"/>
    <col customWidth="1" min="18" max="18" width="24.38"/>
  </cols>
  <sheetData>
    <row r="1">
      <c r="A1" s="84" t="s">
        <v>4027</v>
      </c>
      <c r="B1" s="84" t="s">
        <v>4028</v>
      </c>
      <c r="C1" s="84" t="s">
        <v>4029</v>
      </c>
      <c r="D1" s="84" t="s">
        <v>4030</v>
      </c>
      <c r="E1" s="84" t="s">
        <v>4031</v>
      </c>
      <c r="F1" s="84" t="s">
        <v>4032</v>
      </c>
      <c r="G1" s="85" t="s">
        <v>4033</v>
      </c>
      <c r="H1" s="86" t="s">
        <v>4034</v>
      </c>
      <c r="I1" s="87" t="s">
        <v>4035</v>
      </c>
      <c r="L1" s="88" t="s">
        <v>4036</v>
      </c>
      <c r="M1" s="89" t="s">
        <v>4037</v>
      </c>
      <c r="N1" s="90" t="s">
        <v>4038</v>
      </c>
      <c r="O1" s="90" t="s">
        <v>4039</v>
      </c>
      <c r="P1" s="91" t="s">
        <v>4040</v>
      </c>
      <c r="Q1" s="91" t="s">
        <v>4041</v>
      </c>
      <c r="R1" s="90" t="s">
        <v>4042</v>
      </c>
      <c r="S1" s="90" t="s">
        <v>4043</v>
      </c>
    </row>
    <row r="2">
      <c r="A2" s="92" t="s">
        <v>4044</v>
      </c>
      <c r="B2" s="93" t="s">
        <v>4045</v>
      </c>
      <c r="C2" s="94" t="s">
        <v>4046</v>
      </c>
      <c r="D2" s="94" t="s">
        <v>4047</v>
      </c>
      <c r="E2" s="94">
        <v>10.0</v>
      </c>
      <c r="F2" s="93" t="s">
        <v>4048</v>
      </c>
      <c r="G2" s="95">
        <v>18.0</v>
      </c>
      <c r="H2" s="96" t="s">
        <v>498</v>
      </c>
      <c r="I2" s="97" t="s">
        <v>4049</v>
      </c>
      <c r="J2" s="30" t="s">
        <v>4050</v>
      </c>
      <c r="K2" s="30" t="s">
        <v>541</v>
      </c>
      <c r="L2" s="98" t="s">
        <v>4051</v>
      </c>
      <c r="M2" s="99">
        <v>9.0</v>
      </c>
      <c r="N2" s="99" t="s">
        <v>4052</v>
      </c>
      <c r="O2" s="99" t="s">
        <v>4053</v>
      </c>
      <c r="P2" s="100" t="s">
        <v>4054</v>
      </c>
      <c r="Q2" s="100" t="s">
        <v>323</v>
      </c>
      <c r="R2" s="100" t="s">
        <v>4055</v>
      </c>
      <c r="S2" s="99" t="s">
        <v>4056</v>
      </c>
    </row>
    <row r="3">
      <c r="A3" s="92" t="s">
        <v>4057</v>
      </c>
      <c r="B3" s="93" t="s">
        <v>4045</v>
      </c>
      <c r="C3" s="94" t="s">
        <v>4046</v>
      </c>
      <c r="D3" s="94" t="s">
        <v>4047</v>
      </c>
      <c r="E3" s="94">
        <v>6.0</v>
      </c>
      <c r="F3" s="93" t="s">
        <v>4058</v>
      </c>
      <c r="G3" s="95">
        <v>18.0</v>
      </c>
      <c r="H3" s="96" t="s">
        <v>4059</v>
      </c>
      <c r="I3" s="101" t="s">
        <v>4060</v>
      </c>
      <c r="J3" s="30" t="s">
        <v>4061</v>
      </c>
      <c r="K3" s="30" t="s">
        <v>4062</v>
      </c>
      <c r="L3" s="102" t="s">
        <v>4063</v>
      </c>
      <c r="M3" s="103">
        <v>321.0</v>
      </c>
      <c r="N3" s="103" t="s">
        <v>4052</v>
      </c>
      <c r="O3" s="103" t="s">
        <v>4053</v>
      </c>
      <c r="P3" s="104" t="s">
        <v>4054</v>
      </c>
      <c r="Q3" s="104" t="s">
        <v>665</v>
      </c>
      <c r="R3" s="104" t="s">
        <v>4064</v>
      </c>
      <c r="S3" s="103" t="s">
        <v>4065</v>
      </c>
    </row>
    <row r="4">
      <c r="A4" s="92" t="s">
        <v>4066</v>
      </c>
      <c r="B4" s="94" t="s">
        <v>422</v>
      </c>
      <c r="C4" s="93" t="s">
        <v>4067</v>
      </c>
      <c r="D4" s="105"/>
      <c r="E4" s="93" t="s">
        <v>4068</v>
      </c>
      <c r="F4" s="93" t="s">
        <v>4069</v>
      </c>
      <c r="G4" s="95">
        <v>8.0</v>
      </c>
      <c r="H4" s="96" t="s">
        <v>310</v>
      </c>
      <c r="I4" s="97" t="s">
        <v>4070</v>
      </c>
      <c r="L4" s="98" t="s">
        <v>4071</v>
      </c>
      <c r="M4" s="99">
        <v>367.0</v>
      </c>
      <c r="N4" s="99" t="s">
        <v>4052</v>
      </c>
      <c r="O4" s="99" t="s">
        <v>4053</v>
      </c>
      <c r="P4" s="100" t="s">
        <v>4054</v>
      </c>
      <c r="Q4" s="100" t="s">
        <v>665</v>
      </c>
      <c r="R4" s="100" t="s">
        <v>4064</v>
      </c>
      <c r="S4" s="99" t="s">
        <v>4072</v>
      </c>
    </row>
    <row r="5">
      <c r="A5" s="92" t="s">
        <v>4073</v>
      </c>
      <c r="B5" s="94" t="s">
        <v>4074</v>
      </c>
      <c r="C5" s="94" t="s">
        <v>4075</v>
      </c>
      <c r="D5" s="105"/>
      <c r="E5" s="93">
        <v>24.0</v>
      </c>
      <c r="F5" s="93" t="s">
        <v>4076</v>
      </c>
      <c r="G5" s="95">
        <v>10.0</v>
      </c>
      <c r="H5" s="96" t="s">
        <v>462</v>
      </c>
      <c r="I5" s="101" t="s">
        <v>4070</v>
      </c>
      <c r="L5" s="102" t="s">
        <v>4077</v>
      </c>
      <c r="M5" s="103">
        <v>368.0</v>
      </c>
      <c r="N5" s="103" t="s">
        <v>4052</v>
      </c>
      <c r="O5" s="103" t="s">
        <v>4053</v>
      </c>
      <c r="P5" s="104" t="s">
        <v>4054</v>
      </c>
      <c r="Q5" s="104" t="s">
        <v>665</v>
      </c>
      <c r="R5" s="104" t="s">
        <v>4064</v>
      </c>
      <c r="S5" s="103" t="s">
        <v>4078</v>
      </c>
    </row>
    <row r="6">
      <c r="A6" s="92" t="s">
        <v>4079</v>
      </c>
      <c r="B6" s="94" t="s">
        <v>4074</v>
      </c>
      <c r="C6" s="94" t="s">
        <v>4080</v>
      </c>
      <c r="D6" s="105"/>
      <c r="E6" s="93">
        <v>20.0</v>
      </c>
      <c r="F6" s="93" t="s">
        <v>4081</v>
      </c>
      <c r="G6" s="95">
        <v>24.0</v>
      </c>
      <c r="H6" s="96" t="s">
        <v>292</v>
      </c>
      <c r="I6" s="97" t="s">
        <v>4070</v>
      </c>
      <c r="L6" s="98" t="s">
        <v>4082</v>
      </c>
      <c r="M6" s="99">
        <v>369.0</v>
      </c>
      <c r="N6" s="99" t="s">
        <v>4052</v>
      </c>
      <c r="O6" s="99" t="s">
        <v>4053</v>
      </c>
      <c r="P6" s="100" t="s">
        <v>4054</v>
      </c>
      <c r="Q6" s="100" t="s">
        <v>665</v>
      </c>
      <c r="R6" s="100" t="s">
        <v>4064</v>
      </c>
      <c r="S6" s="99" t="s">
        <v>4083</v>
      </c>
    </row>
    <row r="7">
      <c r="A7" s="92" t="s">
        <v>4084</v>
      </c>
      <c r="B7" s="94" t="s">
        <v>4074</v>
      </c>
      <c r="C7" s="94" t="s">
        <v>4085</v>
      </c>
      <c r="D7" s="105"/>
      <c r="E7" s="93">
        <v>30.0</v>
      </c>
      <c r="F7" s="93" t="s">
        <v>4086</v>
      </c>
      <c r="G7" s="95">
        <v>24.0</v>
      </c>
      <c r="H7" s="96" t="s">
        <v>376</v>
      </c>
      <c r="I7" s="101" t="s">
        <v>4087</v>
      </c>
      <c r="L7" s="102" t="s">
        <v>4088</v>
      </c>
      <c r="M7" s="103">
        <v>370.0</v>
      </c>
      <c r="N7" s="103" t="s">
        <v>4052</v>
      </c>
      <c r="O7" s="103" t="s">
        <v>4053</v>
      </c>
      <c r="P7" s="104" t="s">
        <v>4054</v>
      </c>
      <c r="Q7" s="104" t="s">
        <v>665</v>
      </c>
      <c r="R7" s="104" t="s">
        <v>4064</v>
      </c>
      <c r="S7" s="103" t="s">
        <v>4089</v>
      </c>
    </row>
    <row r="8">
      <c r="A8" s="92" t="s">
        <v>4090</v>
      </c>
      <c r="B8" s="94" t="s">
        <v>4074</v>
      </c>
      <c r="C8" s="94" t="s">
        <v>4091</v>
      </c>
      <c r="D8" s="93" t="s">
        <v>4092</v>
      </c>
      <c r="E8" s="93" t="s">
        <v>4093</v>
      </c>
      <c r="F8" s="93" t="s">
        <v>4094</v>
      </c>
      <c r="G8" s="95">
        <v>12.0</v>
      </c>
      <c r="H8" s="96" t="s">
        <v>4095</v>
      </c>
      <c r="I8" s="97" t="s">
        <v>4087</v>
      </c>
      <c r="L8" s="98" t="s">
        <v>4096</v>
      </c>
      <c r="M8" s="99">
        <v>371.0</v>
      </c>
      <c r="N8" s="99" t="s">
        <v>4052</v>
      </c>
      <c r="O8" s="99" t="s">
        <v>4053</v>
      </c>
      <c r="P8" s="100" t="s">
        <v>4054</v>
      </c>
      <c r="Q8" s="100" t="s">
        <v>665</v>
      </c>
      <c r="R8" s="100" t="s">
        <v>4064</v>
      </c>
      <c r="S8" s="99" t="s">
        <v>4097</v>
      </c>
    </row>
    <row r="9">
      <c r="A9" s="92" t="s">
        <v>734</v>
      </c>
      <c r="B9" s="93" t="s">
        <v>369</v>
      </c>
      <c r="C9" s="93" t="s">
        <v>4098</v>
      </c>
      <c r="D9" s="93" t="s">
        <v>4099</v>
      </c>
      <c r="E9" s="93">
        <v>24.0</v>
      </c>
      <c r="F9" s="93" t="s">
        <v>4100</v>
      </c>
      <c r="G9" s="95">
        <v>24.0</v>
      </c>
      <c r="I9" s="101" t="s">
        <v>4101</v>
      </c>
      <c r="L9" s="106" t="s">
        <v>4102</v>
      </c>
      <c r="M9" s="103">
        <v>372.0</v>
      </c>
      <c r="N9" s="103" t="s">
        <v>4052</v>
      </c>
      <c r="O9" s="103" t="s">
        <v>4053</v>
      </c>
      <c r="P9" s="104" t="s">
        <v>4054</v>
      </c>
      <c r="Q9" s="104" t="s">
        <v>665</v>
      </c>
      <c r="R9" s="104" t="s">
        <v>4064</v>
      </c>
      <c r="S9" s="103" t="s">
        <v>4103</v>
      </c>
    </row>
    <row r="10">
      <c r="A10" s="92" t="s">
        <v>4104</v>
      </c>
      <c r="B10" s="93" t="s">
        <v>4105</v>
      </c>
      <c r="C10" s="105"/>
      <c r="D10" s="105"/>
      <c r="E10" s="105"/>
      <c r="F10" s="93" t="s">
        <v>4106</v>
      </c>
      <c r="G10" s="95">
        <v>12.0</v>
      </c>
      <c r="I10" s="97" t="s">
        <v>4087</v>
      </c>
      <c r="L10" s="106" t="s">
        <v>4107</v>
      </c>
      <c r="M10" s="99">
        <v>373.0</v>
      </c>
      <c r="N10" s="99" t="s">
        <v>4052</v>
      </c>
      <c r="O10" s="99" t="s">
        <v>4053</v>
      </c>
      <c r="P10" s="100" t="s">
        <v>4054</v>
      </c>
      <c r="Q10" s="100" t="s">
        <v>665</v>
      </c>
      <c r="R10" s="100" t="s">
        <v>4064</v>
      </c>
      <c r="S10" s="99" t="s">
        <v>4108</v>
      </c>
    </row>
    <row r="11">
      <c r="A11" s="92" t="s">
        <v>772</v>
      </c>
      <c r="B11" s="94" t="s">
        <v>369</v>
      </c>
      <c r="C11" s="94" t="s">
        <v>4109</v>
      </c>
      <c r="D11" s="93" t="s">
        <v>4110</v>
      </c>
      <c r="E11" s="93">
        <v>8.0</v>
      </c>
      <c r="F11" s="93" t="s">
        <v>4111</v>
      </c>
      <c r="G11" s="95">
        <v>16.0</v>
      </c>
      <c r="I11" s="101" t="s">
        <v>4112</v>
      </c>
      <c r="L11" s="107" t="s">
        <v>4113</v>
      </c>
      <c r="M11" s="103">
        <v>1468.0</v>
      </c>
      <c r="N11" s="108" t="s">
        <v>4052</v>
      </c>
      <c r="O11" s="103" t="s">
        <v>4053</v>
      </c>
      <c r="P11" s="104" t="s">
        <v>4053</v>
      </c>
      <c r="Q11" s="104" t="s">
        <v>4114</v>
      </c>
      <c r="R11" s="104" t="s">
        <v>4115</v>
      </c>
      <c r="S11" s="103">
        <v>2.2059069E7</v>
      </c>
    </row>
    <row r="12">
      <c r="A12" s="92" t="s">
        <v>289</v>
      </c>
      <c r="B12" s="94" t="s">
        <v>369</v>
      </c>
      <c r="C12" s="94" t="s">
        <v>714</v>
      </c>
      <c r="D12" s="93" t="s">
        <v>4116</v>
      </c>
      <c r="E12" s="93">
        <v>16.0</v>
      </c>
      <c r="F12" s="93" t="s">
        <v>4117</v>
      </c>
      <c r="G12" s="95">
        <v>16.0</v>
      </c>
      <c r="I12" s="97" t="s">
        <v>4087</v>
      </c>
      <c r="L12" s="109" t="s">
        <v>4118</v>
      </c>
      <c r="M12" s="99">
        <v>1469.0</v>
      </c>
      <c r="N12" s="110" t="s">
        <v>4052</v>
      </c>
      <c r="O12" s="99" t="s">
        <v>4053</v>
      </c>
      <c r="P12" s="100" t="s">
        <v>4053</v>
      </c>
      <c r="Q12" s="100" t="s">
        <v>4114</v>
      </c>
      <c r="R12" s="100" t="s">
        <v>4115</v>
      </c>
      <c r="S12" s="99">
        <v>2.2059073E7</v>
      </c>
    </row>
    <row r="13">
      <c r="A13" s="92" t="s">
        <v>4119</v>
      </c>
      <c r="B13" s="93" t="s">
        <v>369</v>
      </c>
      <c r="C13" s="105"/>
      <c r="D13" s="105"/>
      <c r="E13" s="105"/>
      <c r="F13" s="93" t="s">
        <v>4120</v>
      </c>
      <c r="G13" s="95">
        <v>6.0</v>
      </c>
      <c r="I13" s="101" t="s">
        <v>4121</v>
      </c>
      <c r="L13" s="107" t="s">
        <v>4122</v>
      </c>
      <c r="M13" s="103">
        <v>1470.0</v>
      </c>
      <c r="N13" s="108" t="s">
        <v>4052</v>
      </c>
      <c r="O13" s="103" t="s">
        <v>4053</v>
      </c>
      <c r="P13" s="104" t="s">
        <v>4053</v>
      </c>
      <c r="Q13" s="104" t="s">
        <v>4114</v>
      </c>
      <c r="R13" s="104" t="s">
        <v>4115</v>
      </c>
      <c r="S13" s="103">
        <v>2.2059107E7</v>
      </c>
    </row>
    <row r="14">
      <c r="A14" s="92" t="s">
        <v>4123</v>
      </c>
      <c r="B14" s="93" t="s">
        <v>4124</v>
      </c>
      <c r="C14" s="93" t="s">
        <v>4098</v>
      </c>
      <c r="D14" s="111"/>
      <c r="E14" s="94">
        <v>18.0</v>
      </c>
      <c r="F14" s="93" t="s">
        <v>4125</v>
      </c>
      <c r="G14" s="95">
        <v>12.0</v>
      </c>
      <c r="I14" s="97" t="s">
        <v>4126</v>
      </c>
      <c r="L14" s="112" t="s">
        <v>4127</v>
      </c>
      <c r="M14" s="99">
        <v>1471.0</v>
      </c>
      <c r="N14" s="113" t="s">
        <v>4052</v>
      </c>
      <c r="O14" s="99" t="s">
        <v>4053</v>
      </c>
      <c r="P14" s="114" t="s">
        <v>4053</v>
      </c>
      <c r="Q14" s="114" t="s">
        <v>4114</v>
      </c>
      <c r="R14" s="114" t="s">
        <v>4115</v>
      </c>
      <c r="S14" s="115">
        <v>2.205917E7</v>
      </c>
    </row>
    <row r="15">
      <c r="A15" s="92" t="s">
        <v>632</v>
      </c>
      <c r="B15" s="94" t="s">
        <v>303</v>
      </c>
      <c r="C15" s="93" t="s">
        <v>631</v>
      </c>
      <c r="D15" s="93" t="s">
        <v>4128</v>
      </c>
      <c r="E15" s="116">
        <v>41127.0</v>
      </c>
      <c r="F15" s="93" t="s">
        <v>4129</v>
      </c>
      <c r="G15" s="95">
        <v>12.0</v>
      </c>
      <c r="I15" s="101" t="s">
        <v>4130</v>
      </c>
      <c r="L15" s="117" t="s">
        <v>4131</v>
      </c>
      <c r="M15" s="103">
        <v>1472.0</v>
      </c>
      <c r="N15" s="118" t="s">
        <v>4052</v>
      </c>
      <c r="O15" s="103" t="s">
        <v>4053</v>
      </c>
      <c r="P15" s="119" t="s">
        <v>4053</v>
      </c>
      <c r="Q15" s="119" t="s">
        <v>4114</v>
      </c>
      <c r="R15" s="119" t="s">
        <v>4115</v>
      </c>
      <c r="S15" s="120">
        <v>2.2058994E7</v>
      </c>
    </row>
    <row r="16">
      <c r="A16" s="92" t="s">
        <v>4132</v>
      </c>
      <c r="B16" s="93" t="s">
        <v>4124</v>
      </c>
      <c r="C16" s="93" t="s">
        <v>4098</v>
      </c>
      <c r="D16" s="111"/>
      <c r="E16" s="111"/>
      <c r="F16" s="93" t="s">
        <v>4133</v>
      </c>
      <c r="G16" s="95">
        <v>12.0</v>
      </c>
      <c r="I16" s="97" t="s">
        <v>4134</v>
      </c>
      <c r="L16" s="98" t="s">
        <v>4135</v>
      </c>
      <c r="M16" s="99">
        <v>10.0</v>
      </c>
      <c r="N16" s="99" t="s">
        <v>4136</v>
      </c>
      <c r="O16" s="99" t="s">
        <v>4137</v>
      </c>
      <c r="P16" s="100" t="s">
        <v>4137</v>
      </c>
      <c r="Q16" s="100" t="s">
        <v>323</v>
      </c>
      <c r="R16" s="100" t="s">
        <v>4138</v>
      </c>
      <c r="S16" s="99" t="s">
        <v>4139</v>
      </c>
    </row>
    <row r="17">
      <c r="A17" s="92" t="s">
        <v>457</v>
      </c>
      <c r="B17" s="93" t="s">
        <v>4105</v>
      </c>
      <c r="C17" s="93" t="s">
        <v>4140</v>
      </c>
      <c r="D17" s="93" t="s">
        <v>4141</v>
      </c>
      <c r="E17" s="93">
        <v>12.0</v>
      </c>
      <c r="F17" s="93" t="s">
        <v>4142</v>
      </c>
      <c r="G17" s="95">
        <v>6.0</v>
      </c>
      <c r="I17" s="101" t="s">
        <v>4121</v>
      </c>
      <c r="L17" s="102" t="s">
        <v>4143</v>
      </c>
      <c r="M17" s="103">
        <v>895.0</v>
      </c>
      <c r="N17" s="103" t="s">
        <v>4136</v>
      </c>
      <c r="O17" s="103" t="s">
        <v>4137</v>
      </c>
      <c r="P17" s="104" t="s">
        <v>4137</v>
      </c>
      <c r="Q17" s="104" t="s">
        <v>295</v>
      </c>
      <c r="R17" s="104" t="s">
        <v>4144</v>
      </c>
      <c r="S17" s="103">
        <v>1.9100028E8</v>
      </c>
    </row>
    <row r="18">
      <c r="A18" s="92" t="s">
        <v>334</v>
      </c>
      <c r="B18" s="94" t="s">
        <v>303</v>
      </c>
      <c r="C18" s="93" t="s">
        <v>333</v>
      </c>
      <c r="D18" s="93" t="s">
        <v>4145</v>
      </c>
      <c r="E18" s="93">
        <v>10.0</v>
      </c>
      <c r="F18" s="93" t="s">
        <v>4146</v>
      </c>
      <c r="G18" s="95">
        <v>10.0</v>
      </c>
      <c r="I18" s="97" t="s">
        <v>4112</v>
      </c>
      <c r="L18" s="98" t="s">
        <v>4147</v>
      </c>
      <c r="M18" s="99">
        <v>896.0</v>
      </c>
      <c r="N18" s="99" t="s">
        <v>4136</v>
      </c>
      <c r="O18" s="99" t="s">
        <v>4137</v>
      </c>
      <c r="P18" s="100" t="s">
        <v>4137</v>
      </c>
      <c r="Q18" s="100" t="s">
        <v>295</v>
      </c>
      <c r="R18" s="100" t="s">
        <v>4144</v>
      </c>
      <c r="S18" s="99">
        <v>1.91000249E8</v>
      </c>
    </row>
    <row r="19">
      <c r="A19" s="92" t="s">
        <v>4148</v>
      </c>
      <c r="B19" s="93" t="s">
        <v>533</v>
      </c>
      <c r="C19" s="93" t="s">
        <v>564</v>
      </c>
      <c r="D19" s="105"/>
      <c r="E19" s="93">
        <v>10.0</v>
      </c>
      <c r="F19" s="93" t="s">
        <v>4149</v>
      </c>
      <c r="G19" s="95">
        <v>12.0</v>
      </c>
      <c r="I19" s="101" t="s">
        <v>4112</v>
      </c>
      <c r="L19" s="102" t="s">
        <v>4150</v>
      </c>
      <c r="M19" s="103">
        <v>897.0</v>
      </c>
      <c r="N19" s="103" t="s">
        <v>4136</v>
      </c>
      <c r="O19" s="103" t="s">
        <v>4137</v>
      </c>
      <c r="P19" s="104" t="s">
        <v>4137</v>
      </c>
      <c r="Q19" s="104" t="s">
        <v>295</v>
      </c>
      <c r="R19" s="104" t="s">
        <v>4144</v>
      </c>
      <c r="S19" s="103">
        <v>1.91000264E8</v>
      </c>
    </row>
    <row r="20">
      <c r="A20" s="92" t="s">
        <v>4151</v>
      </c>
      <c r="B20" s="94" t="s">
        <v>4074</v>
      </c>
      <c r="C20" s="94" t="s">
        <v>4152</v>
      </c>
      <c r="D20" s="105"/>
      <c r="E20" s="93">
        <v>16.0</v>
      </c>
      <c r="F20" s="93" t="s">
        <v>4153</v>
      </c>
      <c r="G20" s="95" t="s">
        <v>4093</v>
      </c>
      <c r="I20" s="97" t="s">
        <v>4112</v>
      </c>
      <c r="L20" s="98" t="s">
        <v>4154</v>
      </c>
      <c r="M20" s="99">
        <v>898.0</v>
      </c>
      <c r="N20" s="99" t="s">
        <v>4136</v>
      </c>
      <c r="O20" s="99" t="s">
        <v>4137</v>
      </c>
      <c r="P20" s="100" t="s">
        <v>4137</v>
      </c>
      <c r="Q20" s="100" t="s">
        <v>295</v>
      </c>
      <c r="R20" s="100" t="s">
        <v>4144</v>
      </c>
      <c r="S20" s="99">
        <v>1.91000078E8</v>
      </c>
    </row>
    <row r="21">
      <c r="A21" s="92" t="s">
        <v>4155</v>
      </c>
      <c r="B21" s="94" t="s">
        <v>4074</v>
      </c>
      <c r="C21" s="94" t="s">
        <v>4156</v>
      </c>
      <c r="D21" s="105"/>
      <c r="E21" s="94">
        <v>10.0</v>
      </c>
      <c r="F21" s="93" t="s">
        <v>4157</v>
      </c>
      <c r="G21" s="95">
        <v>20.0</v>
      </c>
      <c r="I21" s="101" t="s">
        <v>4158</v>
      </c>
      <c r="L21" s="102" t="s">
        <v>4159</v>
      </c>
      <c r="M21" s="103">
        <v>899.0</v>
      </c>
      <c r="N21" s="103" t="s">
        <v>4136</v>
      </c>
      <c r="O21" s="103" t="s">
        <v>4137</v>
      </c>
      <c r="P21" s="104" t="s">
        <v>4137</v>
      </c>
      <c r="Q21" s="104" t="s">
        <v>295</v>
      </c>
      <c r="R21" s="104" t="s">
        <v>4144</v>
      </c>
      <c r="S21" s="103">
        <v>1.91000114E8</v>
      </c>
    </row>
    <row r="22">
      <c r="A22" s="92" t="s">
        <v>4160</v>
      </c>
      <c r="B22" s="94" t="s">
        <v>422</v>
      </c>
      <c r="C22" s="93" t="s">
        <v>4161</v>
      </c>
      <c r="D22" s="105"/>
      <c r="E22" s="93">
        <v>6.0</v>
      </c>
      <c r="F22" s="93" t="s">
        <v>4162</v>
      </c>
      <c r="G22" s="95">
        <v>12.0</v>
      </c>
      <c r="I22" s="97" t="s">
        <v>4163</v>
      </c>
      <c r="L22" s="98" t="s">
        <v>4164</v>
      </c>
      <c r="M22" s="99">
        <v>927.0</v>
      </c>
      <c r="N22" s="99" t="s">
        <v>4136</v>
      </c>
      <c r="O22" s="99" t="s">
        <v>4137</v>
      </c>
      <c r="P22" s="100" t="s">
        <v>4137</v>
      </c>
      <c r="Q22" s="100" t="s">
        <v>295</v>
      </c>
      <c r="R22" s="100" t="s">
        <v>4144</v>
      </c>
      <c r="S22" s="99">
        <v>2.00500429E8</v>
      </c>
    </row>
    <row r="23">
      <c r="A23" s="92" t="s">
        <v>4165</v>
      </c>
      <c r="B23" s="94" t="s">
        <v>422</v>
      </c>
      <c r="C23" s="93" t="s">
        <v>4166</v>
      </c>
      <c r="D23" s="105"/>
      <c r="E23" s="93" t="s">
        <v>4167</v>
      </c>
      <c r="F23" s="93" t="s">
        <v>4168</v>
      </c>
      <c r="G23" s="95">
        <v>12.0</v>
      </c>
      <c r="I23" s="101" t="s">
        <v>4163</v>
      </c>
      <c r="L23" s="102" t="s">
        <v>4169</v>
      </c>
      <c r="M23" s="103">
        <v>928.0</v>
      </c>
      <c r="N23" s="103" t="s">
        <v>4136</v>
      </c>
      <c r="O23" s="103" t="s">
        <v>4137</v>
      </c>
      <c r="P23" s="104" t="s">
        <v>4137</v>
      </c>
      <c r="Q23" s="104" t="s">
        <v>295</v>
      </c>
      <c r="R23" s="104" t="s">
        <v>4144</v>
      </c>
      <c r="S23" s="103">
        <v>2.00500335E8</v>
      </c>
    </row>
    <row r="24">
      <c r="A24" s="92" t="s">
        <v>606</v>
      </c>
      <c r="B24" s="94" t="s">
        <v>422</v>
      </c>
      <c r="C24" s="93" t="s">
        <v>4166</v>
      </c>
      <c r="D24" s="105"/>
      <c r="E24" s="93">
        <v>12.0</v>
      </c>
      <c r="F24" s="93" t="s">
        <v>4170</v>
      </c>
      <c r="G24" s="95">
        <v>6.0</v>
      </c>
      <c r="I24" s="97" t="s">
        <v>4070</v>
      </c>
      <c r="L24" s="98" t="s">
        <v>4171</v>
      </c>
      <c r="M24" s="99">
        <v>929.0</v>
      </c>
      <c r="N24" s="99" t="s">
        <v>4136</v>
      </c>
      <c r="O24" s="99" t="s">
        <v>4137</v>
      </c>
      <c r="P24" s="100" t="s">
        <v>4137</v>
      </c>
      <c r="Q24" s="100" t="s">
        <v>295</v>
      </c>
      <c r="R24" s="100" t="s">
        <v>4144</v>
      </c>
      <c r="S24" s="99">
        <v>2.00500234E8</v>
      </c>
    </row>
    <row r="25">
      <c r="A25" s="92" t="s">
        <v>619</v>
      </c>
      <c r="B25" s="94" t="s">
        <v>369</v>
      </c>
      <c r="C25" s="94" t="s">
        <v>698</v>
      </c>
      <c r="D25" s="93" t="s">
        <v>4172</v>
      </c>
      <c r="E25" s="93">
        <v>18.0</v>
      </c>
      <c r="F25" s="93" t="s">
        <v>4173</v>
      </c>
      <c r="G25" s="95">
        <v>12.0</v>
      </c>
      <c r="I25" s="101" t="s">
        <v>4112</v>
      </c>
      <c r="L25" s="102" t="s">
        <v>4174</v>
      </c>
      <c r="M25" s="103">
        <v>930.0</v>
      </c>
      <c r="N25" s="103" t="s">
        <v>4136</v>
      </c>
      <c r="O25" s="103" t="s">
        <v>4137</v>
      </c>
      <c r="P25" s="104" t="s">
        <v>4137</v>
      </c>
      <c r="Q25" s="104" t="s">
        <v>295</v>
      </c>
      <c r="R25" s="104" t="s">
        <v>4144</v>
      </c>
      <c r="S25" s="103">
        <v>2.00500407E8</v>
      </c>
    </row>
    <row r="26">
      <c r="A26" s="92" t="s">
        <v>4175</v>
      </c>
      <c r="B26" s="93" t="s">
        <v>4045</v>
      </c>
      <c r="C26" s="94" t="s">
        <v>4176</v>
      </c>
      <c r="D26" s="94" t="s">
        <v>4177</v>
      </c>
      <c r="E26" s="94">
        <v>8.0</v>
      </c>
      <c r="F26" s="93" t="s">
        <v>4178</v>
      </c>
      <c r="G26" s="95">
        <v>20.0</v>
      </c>
      <c r="I26" s="97" t="s">
        <v>4087</v>
      </c>
      <c r="L26" s="98" t="s">
        <v>4179</v>
      </c>
      <c r="M26" s="99">
        <v>931.0</v>
      </c>
      <c r="N26" s="99" t="s">
        <v>4136</v>
      </c>
      <c r="O26" s="99" t="s">
        <v>4137</v>
      </c>
      <c r="P26" s="100" t="s">
        <v>4137</v>
      </c>
      <c r="Q26" s="100" t="s">
        <v>295</v>
      </c>
      <c r="R26" s="100" t="s">
        <v>4144</v>
      </c>
      <c r="S26" s="99">
        <v>2.00500336E8</v>
      </c>
    </row>
    <row r="27">
      <c r="A27" s="92" t="s">
        <v>4180</v>
      </c>
      <c r="B27" s="94" t="s">
        <v>303</v>
      </c>
      <c r="C27" s="93" t="s">
        <v>631</v>
      </c>
      <c r="D27" s="93" t="s">
        <v>4181</v>
      </c>
      <c r="E27" s="93">
        <v>12.0</v>
      </c>
      <c r="F27" s="93" t="s">
        <v>4182</v>
      </c>
      <c r="G27" s="95">
        <v>10.0</v>
      </c>
      <c r="I27" s="101" t="s">
        <v>4183</v>
      </c>
      <c r="L27" s="107" t="s">
        <v>4184</v>
      </c>
      <c r="M27" s="103">
        <v>1464.0</v>
      </c>
      <c r="N27" s="103" t="s">
        <v>4136</v>
      </c>
      <c r="O27" s="103" t="s">
        <v>4137</v>
      </c>
      <c r="P27" s="104" t="s">
        <v>4137</v>
      </c>
      <c r="Q27" s="104" t="s">
        <v>295</v>
      </c>
      <c r="R27" s="104" t="s">
        <v>4144</v>
      </c>
      <c r="S27" s="103">
        <v>2.20700188E8</v>
      </c>
    </row>
    <row r="28">
      <c r="A28" s="92" t="s">
        <v>4185</v>
      </c>
      <c r="B28" s="94" t="s">
        <v>422</v>
      </c>
      <c r="C28" s="94" t="s">
        <v>4067</v>
      </c>
      <c r="D28" s="105"/>
      <c r="E28" s="93">
        <v>10.0</v>
      </c>
      <c r="F28" s="93" t="s">
        <v>4186</v>
      </c>
      <c r="G28" s="95">
        <v>12.0</v>
      </c>
      <c r="I28" s="97" t="s">
        <v>4187</v>
      </c>
      <c r="L28" s="121" t="s">
        <v>4188</v>
      </c>
      <c r="M28" s="99">
        <v>1465.0</v>
      </c>
      <c r="N28" s="110" t="s">
        <v>4136</v>
      </c>
      <c r="O28" s="99" t="s">
        <v>4137</v>
      </c>
      <c r="P28" s="100" t="s">
        <v>4137</v>
      </c>
      <c r="Q28" s="100" t="s">
        <v>295</v>
      </c>
      <c r="R28" s="100" t="s">
        <v>4144</v>
      </c>
      <c r="S28" s="99">
        <v>2.20700189E8</v>
      </c>
    </row>
    <row r="29">
      <c r="A29" s="92" t="s">
        <v>4189</v>
      </c>
      <c r="B29" s="93" t="s">
        <v>4105</v>
      </c>
      <c r="C29" s="105"/>
      <c r="D29" s="105"/>
      <c r="E29" s="105"/>
      <c r="F29" s="93" t="s">
        <v>4190</v>
      </c>
      <c r="G29" s="95">
        <v>6.0</v>
      </c>
      <c r="I29" s="101" t="s">
        <v>4191</v>
      </c>
      <c r="L29" s="107" t="s">
        <v>4192</v>
      </c>
      <c r="M29" s="103">
        <v>1466.0</v>
      </c>
      <c r="N29" s="108" t="s">
        <v>4136</v>
      </c>
      <c r="O29" s="103" t="s">
        <v>4137</v>
      </c>
      <c r="P29" s="104" t="s">
        <v>4137</v>
      </c>
      <c r="Q29" s="104" t="s">
        <v>295</v>
      </c>
      <c r="R29" s="104" t="s">
        <v>4144</v>
      </c>
      <c r="S29" s="103">
        <v>2.20700178E8</v>
      </c>
    </row>
    <row r="30">
      <c r="A30" s="92" t="s">
        <v>4193</v>
      </c>
      <c r="B30" s="94" t="s">
        <v>422</v>
      </c>
      <c r="C30" s="94" t="s">
        <v>4067</v>
      </c>
      <c r="D30" s="105"/>
      <c r="E30" s="93">
        <v>14.0</v>
      </c>
      <c r="F30" s="93" t="s">
        <v>4194</v>
      </c>
      <c r="G30" s="95" t="s">
        <v>4195</v>
      </c>
      <c r="I30" s="97" t="s">
        <v>4196</v>
      </c>
      <c r="L30" s="121" t="s">
        <v>4197</v>
      </c>
      <c r="M30" s="99">
        <v>1467.0</v>
      </c>
      <c r="N30" s="110" t="s">
        <v>4136</v>
      </c>
      <c r="O30" s="99" t="s">
        <v>4137</v>
      </c>
      <c r="P30" s="100" t="s">
        <v>4137</v>
      </c>
      <c r="Q30" s="100" t="s">
        <v>295</v>
      </c>
      <c r="R30" s="100" t="s">
        <v>4144</v>
      </c>
      <c r="S30" s="99">
        <v>2.20700193E8</v>
      </c>
    </row>
    <row r="31">
      <c r="A31" s="92" t="s">
        <v>4198</v>
      </c>
      <c r="B31" s="94" t="s">
        <v>4074</v>
      </c>
      <c r="C31" s="94" t="s">
        <v>4199</v>
      </c>
      <c r="D31" s="105"/>
      <c r="E31" s="94">
        <v>24.0</v>
      </c>
      <c r="F31" s="93" t="s">
        <v>4200</v>
      </c>
      <c r="G31" s="95">
        <v>24.0</v>
      </c>
      <c r="I31" s="101" t="s">
        <v>4201</v>
      </c>
      <c r="L31" s="98" t="s">
        <v>4202</v>
      </c>
      <c r="M31" s="99">
        <v>11.0</v>
      </c>
      <c r="N31" s="99" t="s">
        <v>4203</v>
      </c>
      <c r="O31" s="99" t="s">
        <v>4204</v>
      </c>
      <c r="P31" s="100" t="s">
        <v>4205</v>
      </c>
      <c r="Q31" s="100" t="s">
        <v>359</v>
      </c>
      <c r="R31" s="122"/>
      <c r="S31" s="99">
        <v>12590.0</v>
      </c>
    </row>
    <row r="32">
      <c r="A32" s="92" t="s">
        <v>4206</v>
      </c>
      <c r="B32" s="94" t="s">
        <v>303</v>
      </c>
      <c r="C32" s="93" t="s">
        <v>406</v>
      </c>
      <c r="D32" s="93" t="s">
        <v>4207</v>
      </c>
      <c r="E32" s="93">
        <v>12.0</v>
      </c>
      <c r="F32" s="123" t="s">
        <v>4208</v>
      </c>
      <c r="G32" s="95" t="s">
        <v>4209</v>
      </c>
      <c r="I32" s="97" t="s">
        <v>4201</v>
      </c>
      <c r="L32" s="102" t="s">
        <v>4210</v>
      </c>
      <c r="M32" s="103">
        <v>57.0</v>
      </c>
      <c r="N32" s="103" t="s">
        <v>4203</v>
      </c>
      <c r="O32" s="103" t="s">
        <v>4204</v>
      </c>
      <c r="P32" s="104" t="s">
        <v>4205</v>
      </c>
      <c r="Q32" s="104" t="s">
        <v>359</v>
      </c>
      <c r="R32" s="104" t="s">
        <v>4211</v>
      </c>
      <c r="S32" s="103">
        <v>13782.0</v>
      </c>
    </row>
    <row r="33">
      <c r="A33" s="92" t="s">
        <v>4212</v>
      </c>
      <c r="B33" s="94" t="s">
        <v>303</v>
      </c>
      <c r="C33" s="93" t="s">
        <v>406</v>
      </c>
      <c r="D33" s="93" t="s">
        <v>4213</v>
      </c>
      <c r="E33" s="93">
        <v>12.0</v>
      </c>
      <c r="F33" s="123" t="s">
        <v>4208</v>
      </c>
      <c r="G33" s="95" t="s">
        <v>4209</v>
      </c>
      <c r="I33" s="101" t="s">
        <v>284</v>
      </c>
      <c r="L33" s="98" t="s">
        <v>4214</v>
      </c>
      <c r="M33" s="99">
        <v>163.0</v>
      </c>
      <c r="N33" s="99" t="s">
        <v>4203</v>
      </c>
      <c r="O33" s="99" t="s">
        <v>4204</v>
      </c>
      <c r="P33" s="100" t="s">
        <v>4205</v>
      </c>
      <c r="Q33" s="100" t="s">
        <v>503</v>
      </c>
      <c r="R33" s="100" t="s">
        <v>4215</v>
      </c>
      <c r="S33" s="99" t="s">
        <v>4216</v>
      </c>
    </row>
    <row r="34">
      <c r="A34" s="92" t="s">
        <v>646</v>
      </c>
      <c r="B34" s="93" t="s">
        <v>533</v>
      </c>
      <c r="C34" s="93" t="s">
        <v>534</v>
      </c>
      <c r="D34" s="93" t="s">
        <v>4217</v>
      </c>
      <c r="E34" s="93" t="s">
        <v>4209</v>
      </c>
      <c r="F34" s="93" t="s">
        <v>4218</v>
      </c>
      <c r="G34" s="95">
        <v>16.0</v>
      </c>
      <c r="I34" s="97" t="s">
        <v>4219</v>
      </c>
      <c r="L34" s="102" t="s">
        <v>4220</v>
      </c>
      <c r="M34" s="103">
        <v>164.0</v>
      </c>
      <c r="N34" s="103" t="s">
        <v>4203</v>
      </c>
      <c r="O34" s="103" t="s">
        <v>4204</v>
      </c>
      <c r="P34" s="104" t="s">
        <v>4205</v>
      </c>
      <c r="Q34" s="104" t="s">
        <v>503</v>
      </c>
      <c r="R34" s="104" t="s">
        <v>4215</v>
      </c>
      <c r="S34" s="103">
        <v>3999.0</v>
      </c>
    </row>
    <row r="35">
      <c r="A35" s="92" t="s">
        <v>596</v>
      </c>
      <c r="B35" s="94" t="s">
        <v>369</v>
      </c>
      <c r="C35" s="94" t="s">
        <v>4221</v>
      </c>
      <c r="D35" s="93" t="s">
        <v>4110</v>
      </c>
      <c r="E35" s="93">
        <v>14.0</v>
      </c>
      <c r="F35" s="93" t="s">
        <v>4222</v>
      </c>
      <c r="G35" s="95">
        <v>20.0</v>
      </c>
      <c r="I35" s="101" t="s">
        <v>4049</v>
      </c>
      <c r="L35" s="98" t="s">
        <v>4223</v>
      </c>
      <c r="M35" s="99">
        <v>165.0</v>
      </c>
      <c r="N35" s="99" t="s">
        <v>4203</v>
      </c>
      <c r="O35" s="99" t="s">
        <v>4204</v>
      </c>
      <c r="P35" s="100" t="s">
        <v>4205</v>
      </c>
      <c r="Q35" s="100" t="s">
        <v>503</v>
      </c>
      <c r="R35" s="100" t="s">
        <v>4215</v>
      </c>
      <c r="S35" s="99" t="s">
        <v>4224</v>
      </c>
    </row>
    <row r="36">
      <c r="A36" s="92" t="s">
        <v>371</v>
      </c>
      <c r="B36" s="94" t="s">
        <v>369</v>
      </c>
      <c r="C36" s="94" t="s">
        <v>370</v>
      </c>
      <c r="D36" s="105"/>
      <c r="E36" s="93">
        <v>18.0</v>
      </c>
      <c r="F36" s="93" t="s">
        <v>4225</v>
      </c>
      <c r="G36" s="95">
        <v>16.0</v>
      </c>
      <c r="I36" s="97" t="s">
        <v>4087</v>
      </c>
      <c r="L36" s="102" t="s">
        <v>4226</v>
      </c>
      <c r="M36" s="103">
        <v>166.0</v>
      </c>
      <c r="N36" s="103" t="s">
        <v>4203</v>
      </c>
      <c r="O36" s="103" t="s">
        <v>4204</v>
      </c>
      <c r="P36" s="104" t="s">
        <v>4205</v>
      </c>
      <c r="Q36" s="104" t="s">
        <v>503</v>
      </c>
      <c r="R36" s="104" t="s">
        <v>4215</v>
      </c>
      <c r="S36" s="103" t="s">
        <v>4227</v>
      </c>
    </row>
    <row r="37">
      <c r="A37" s="124" t="s">
        <v>4228</v>
      </c>
      <c r="B37" s="94" t="s">
        <v>4229</v>
      </c>
      <c r="C37" s="94" t="s">
        <v>4230</v>
      </c>
      <c r="D37" s="93" t="s">
        <v>4231</v>
      </c>
      <c r="E37" s="94">
        <v>12.0</v>
      </c>
      <c r="F37" s="94" t="s">
        <v>4232</v>
      </c>
      <c r="G37" s="95">
        <v>14.0</v>
      </c>
      <c r="I37" s="101" t="s">
        <v>4233</v>
      </c>
      <c r="L37" s="106" t="s">
        <v>4234</v>
      </c>
      <c r="M37" s="125">
        <v>167.0</v>
      </c>
      <c r="N37" s="125" t="s">
        <v>4203</v>
      </c>
      <c r="O37" s="125" t="s">
        <v>4204</v>
      </c>
      <c r="P37" s="126" t="s">
        <v>4205</v>
      </c>
      <c r="Q37" s="126" t="s">
        <v>503</v>
      </c>
      <c r="R37" s="126" t="s">
        <v>4215</v>
      </c>
      <c r="S37" s="125">
        <v>3979.0</v>
      </c>
    </row>
    <row r="38">
      <c r="A38" s="124" t="s">
        <v>4235</v>
      </c>
      <c r="B38" s="94" t="s">
        <v>4229</v>
      </c>
      <c r="C38" s="94" t="s">
        <v>4236</v>
      </c>
      <c r="D38" s="93" t="s">
        <v>4237</v>
      </c>
      <c r="E38" s="94">
        <v>12.0</v>
      </c>
      <c r="F38" s="94" t="s">
        <v>4238</v>
      </c>
      <c r="G38" s="95">
        <v>18.0</v>
      </c>
      <c r="I38" s="97" t="s">
        <v>4233</v>
      </c>
      <c r="L38" s="102" t="s">
        <v>4239</v>
      </c>
      <c r="M38" s="103">
        <v>298.0</v>
      </c>
      <c r="N38" s="103" t="s">
        <v>4203</v>
      </c>
      <c r="O38" s="103" t="s">
        <v>4204</v>
      </c>
      <c r="P38" s="104" t="s">
        <v>4205</v>
      </c>
      <c r="Q38" s="104" t="s">
        <v>359</v>
      </c>
      <c r="R38" s="104" t="s">
        <v>4211</v>
      </c>
      <c r="S38" s="103">
        <v>24778.0</v>
      </c>
    </row>
    <row r="39">
      <c r="A39" s="124" t="s">
        <v>4240</v>
      </c>
      <c r="B39" s="94" t="s">
        <v>4229</v>
      </c>
      <c r="C39" s="94" t="s">
        <v>4241</v>
      </c>
      <c r="D39" s="105"/>
      <c r="E39" s="94">
        <v>16.0</v>
      </c>
      <c r="F39" s="94" t="s">
        <v>4242</v>
      </c>
      <c r="G39" s="95" t="s">
        <v>4068</v>
      </c>
      <c r="I39" s="101" t="s">
        <v>284</v>
      </c>
      <c r="L39" s="98" t="s">
        <v>4243</v>
      </c>
      <c r="M39" s="99">
        <v>477.0</v>
      </c>
      <c r="N39" s="99" t="s">
        <v>4203</v>
      </c>
      <c r="O39" s="99" t="s">
        <v>4204</v>
      </c>
      <c r="P39" s="100" t="s">
        <v>4205</v>
      </c>
      <c r="Q39" s="100" t="s">
        <v>503</v>
      </c>
      <c r="R39" s="100" t="s">
        <v>4215</v>
      </c>
      <c r="S39" s="99">
        <v>3888.0</v>
      </c>
    </row>
    <row r="40">
      <c r="A40" s="124" t="s">
        <v>4244</v>
      </c>
      <c r="B40" s="94" t="s">
        <v>4229</v>
      </c>
      <c r="C40" s="94" t="s">
        <v>4245</v>
      </c>
      <c r="D40" s="93" t="s">
        <v>4246</v>
      </c>
      <c r="E40" s="94">
        <v>8.0</v>
      </c>
      <c r="F40" s="94" t="s">
        <v>4247</v>
      </c>
      <c r="G40" s="95">
        <v>14.0</v>
      </c>
      <c r="I40" s="97" t="s">
        <v>4087</v>
      </c>
      <c r="L40" s="102" t="s">
        <v>4248</v>
      </c>
      <c r="M40" s="103">
        <v>478.0</v>
      </c>
      <c r="N40" s="103" t="s">
        <v>4203</v>
      </c>
      <c r="O40" s="103" t="s">
        <v>4204</v>
      </c>
      <c r="P40" s="104" t="s">
        <v>4205</v>
      </c>
      <c r="Q40" s="104" t="s">
        <v>503</v>
      </c>
      <c r="R40" s="104" t="s">
        <v>4215</v>
      </c>
      <c r="S40" s="103" t="s">
        <v>4249</v>
      </c>
    </row>
    <row r="41">
      <c r="A41" s="92" t="s">
        <v>4250</v>
      </c>
      <c r="B41" s="94" t="s">
        <v>303</v>
      </c>
      <c r="C41" s="93" t="s">
        <v>631</v>
      </c>
      <c r="D41" s="93" t="s">
        <v>4251</v>
      </c>
      <c r="E41" s="93">
        <v>12.0</v>
      </c>
      <c r="F41" s="93" t="s">
        <v>4252</v>
      </c>
      <c r="G41" s="95" t="s">
        <v>4209</v>
      </c>
      <c r="I41" s="101" t="s">
        <v>4196</v>
      </c>
      <c r="L41" s="98" t="s">
        <v>4253</v>
      </c>
      <c r="M41" s="99">
        <v>483.0</v>
      </c>
      <c r="N41" s="99" t="s">
        <v>4203</v>
      </c>
      <c r="O41" s="99" t="s">
        <v>4204</v>
      </c>
      <c r="P41" s="100" t="s">
        <v>4205</v>
      </c>
      <c r="Q41" s="100" t="s">
        <v>503</v>
      </c>
      <c r="R41" s="100" t="s">
        <v>4215</v>
      </c>
      <c r="S41" s="99">
        <v>3978.0</v>
      </c>
    </row>
    <row r="42">
      <c r="A42" s="92" t="s">
        <v>4254</v>
      </c>
      <c r="B42" s="94" t="s">
        <v>422</v>
      </c>
      <c r="C42" s="94" t="s">
        <v>4067</v>
      </c>
      <c r="D42" s="105"/>
      <c r="E42" s="93">
        <v>14.0</v>
      </c>
      <c r="F42" s="93" t="s">
        <v>4255</v>
      </c>
      <c r="G42" s="95">
        <v>10.0</v>
      </c>
      <c r="I42" s="97" t="s">
        <v>4256</v>
      </c>
      <c r="L42" s="102" t="s">
        <v>4257</v>
      </c>
      <c r="M42" s="103">
        <v>484.0</v>
      </c>
      <c r="N42" s="103" t="s">
        <v>4203</v>
      </c>
      <c r="O42" s="103" t="s">
        <v>4204</v>
      </c>
      <c r="P42" s="104" t="s">
        <v>4205</v>
      </c>
      <c r="Q42" s="104" t="s">
        <v>503</v>
      </c>
      <c r="R42" s="104" t="s">
        <v>4215</v>
      </c>
      <c r="S42" s="103">
        <v>3976.0</v>
      </c>
    </row>
    <row r="43">
      <c r="A43" s="92" t="s">
        <v>4258</v>
      </c>
      <c r="B43" s="93" t="s">
        <v>533</v>
      </c>
      <c r="C43" s="93" t="s">
        <v>564</v>
      </c>
      <c r="D43" s="105"/>
      <c r="E43" s="93" t="s">
        <v>4209</v>
      </c>
      <c r="F43" s="93" t="s">
        <v>4259</v>
      </c>
      <c r="G43" s="95">
        <v>8.0</v>
      </c>
      <c r="I43" s="101" t="s">
        <v>4087</v>
      </c>
      <c r="L43" s="98" t="s">
        <v>4260</v>
      </c>
      <c r="M43" s="99">
        <v>485.0</v>
      </c>
      <c r="N43" s="99" t="s">
        <v>4203</v>
      </c>
      <c r="O43" s="99" t="s">
        <v>4204</v>
      </c>
      <c r="P43" s="100" t="s">
        <v>4205</v>
      </c>
      <c r="Q43" s="100" t="s">
        <v>503</v>
      </c>
      <c r="R43" s="100" t="s">
        <v>4215</v>
      </c>
      <c r="S43" s="99">
        <v>3977.0</v>
      </c>
    </row>
    <row r="44">
      <c r="A44" s="92" t="s">
        <v>4261</v>
      </c>
      <c r="B44" s="93" t="s">
        <v>4045</v>
      </c>
      <c r="C44" s="94" t="s">
        <v>4046</v>
      </c>
      <c r="D44" s="94" t="s">
        <v>4262</v>
      </c>
      <c r="E44" s="94">
        <v>10.0</v>
      </c>
      <c r="F44" s="93" t="s">
        <v>4263</v>
      </c>
      <c r="G44" s="95">
        <v>18.0</v>
      </c>
      <c r="I44" s="97" t="s">
        <v>4264</v>
      </c>
      <c r="L44" s="102" t="s">
        <v>4265</v>
      </c>
      <c r="M44" s="103">
        <v>950.0</v>
      </c>
      <c r="N44" s="103" t="s">
        <v>4203</v>
      </c>
      <c r="O44" s="103" t="s">
        <v>4204</v>
      </c>
      <c r="P44" s="104" t="s">
        <v>4205</v>
      </c>
      <c r="Q44" s="104" t="s">
        <v>359</v>
      </c>
      <c r="R44" s="104" t="s">
        <v>467</v>
      </c>
      <c r="S44" s="103">
        <v>9145.0</v>
      </c>
    </row>
    <row r="45">
      <c r="A45" s="92" t="s">
        <v>4266</v>
      </c>
      <c r="B45" s="93" t="s">
        <v>533</v>
      </c>
      <c r="C45" s="93" t="s">
        <v>4267</v>
      </c>
      <c r="D45" s="93" t="s">
        <v>4268</v>
      </c>
      <c r="E45" s="93" t="s">
        <v>4195</v>
      </c>
      <c r="F45" s="93" t="s">
        <v>4269</v>
      </c>
      <c r="G45" s="95">
        <v>12.0</v>
      </c>
      <c r="I45" s="101" t="s">
        <v>4270</v>
      </c>
      <c r="L45" s="98" t="s">
        <v>4271</v>
      </c>
      <c r="M45" s="99">
        <v>951.0</v>
      </c>
      <c r="N45" s="99" t="s">
        <v>4203</v>
      </c>
      <c r="O45" s="99" t="s">
        <v>4204</v>
      </c>
      <c r="P45" s="100" t="s">
        <v>4205</v>
      </c>
      <c r="Q45" s="100" t="s">
        <v>359</v>
      </c>
      <c r="R45" s="100" t="s">
        <v>467</v>
      </c>
      <c r="S45" s="99">
        <v>8161.0</v>
      </c>
    </row>
    <row r="46">
      <c r="A46" s="92" t="s">
        <v>675</v>
      </c>
      <c r="B46" s="94" t="s">
        <v>422</v>
      </c>
      <c r="C46" s="94" t="s">
        <v>4067</v>
      </c>
      <c r="D46" s="105"/>
      <c r="E46" s="93">
        <v>18.0</v>
      </c>
      <c r="F46" s="93" t="s">
        <v>4272</v>
      </c>
      <c r="G46" s="95">
        <v>10.0</v>
      </c>
      <c r="I46" s="97" t="s">
        <v>4273</v>
      </c>
      <c r="L46" s="102" t="s">
        <v>4274</v>
      </c>
      <c r="M46" s="103">
        <v>1017.0</v>
      </c>
      <c r="N46" s="103" t="s">
        <v>4203</v>
      </c>
      <c r="O46" s="103" t="s">
        <v>4204</v>
      </c>
      <c r="P46" s="104" t="s">
        <v>4205</v>
      </c>
      <c r="Q46" s="104" t="s">
        <v>4275</v>
      </c>
      <c r="R46" s="127"/>
      <c r="S46" s="103" t="s">
        <v>4274</v>
      </c>
    </row>
    <row r="47">
      <c r="A47" s="92" t="s">
        <v>4276</v>
      </c>
      <c r="B47" s="94" t="s">
        <v>422</v>
      </c>
      <c r="C47" s="94" t="s">
        <v>4067</v>
      </c>
      <c r="D47" s="105"/>
      <c r="E47" s="93">
        <v>14.0</v>
      </c>
      <c r="F47" s="93" t="s">
        <v>4277</v>
      </c>
      <c r="G47" s="95">
        <v>10.0</v>
      </c>
      <c r="I47" s="101" t="s">
        <v>4087</v>
      </c>
      <c r="L47" s="98" t="s">
        <v>4278</v>
      </c>
      <c r="M47" s="99">
        <v>1251.0</v>
      </c>
      <c r="N47" s="99" t="s">
        <v>4203</v>
      </c>
      <c r="O47" s="99" t="s">
        <v>4204</v>
      </c>
      <c r="P47" s="100" t="s">
        <v>4205</v>
      </c>
      <c r="Q47" s="100" t="s">
        <v>359</v>
      </c>
      <c r="R47" s="100" t="s">
        <v>467</v>
      </c>
      <c r="S47" s="99">
        <v>5117.0</v>
      </c>
    </row>
    <row r="48">
      <c r="A48" s="92" t="s">
        <v>4279</v>
      </c>
      <c r="B48" s="93" t="s">
        <v>533</v>
      </c>
      <c r="C48" s="93" t="s">
        <v>534</v>
      </c>
      <c r="D48" s="93" t="s">
        <v>4280</v>
      </c>
      <c r="E48" s="93" t="s">
        <v>4209</v>
      </c>
      <c r="F48" s="93" t="s">
        <v>4281</v>
      </c>
      <c r="G48" s="95">
        <v>6.0</v>
      </c>
      <c r="I48" s="97" t="s">
        <v>4087</v>
      </c>
      <c r="L48" s="106" t="s">
        <v>4282</v>
      </c>
      <c r="M48" s="103">
        <v>1336.0</v>
      </c>
      <c r="N48" s="103" t="s">
        <v>4203</v>
      </c>
      <c r="O48" s="103" t="s">
        <v>4204</v>
      </c>
      <c r="P48" s="104" t="s">
        <v>4205</v>
      </c>
      <c r="Q48" s="104" t="s">
        <v>323</v>
      </c>
      <c r="R48" s="104" t="s">
        <v>4283</v>
      </c>
      <c r="S48" s="103">
        <v>1001.0</v>
      </c>
    </row>
    <row r="49">
      <c r="A49" s="92" t="s">
        <v>4284</v>
      </c>
      <c r="B49" s="94" t="s">
        <v>422</v>
      </c>
      <c r="C49" s="94" t="s">
        <v>4067</v>
      </c>
      <c r="D49" s="105"/>
      <c r="E49" s="93">
        <v>14.0</v>
      </c>
      <c r="F49" s="93" t="s">
        <v>4285</v>
      </c>
      <c r="G49" s="95">
        <v>10.0</v>
      </c>
      <c r="I49" s="101" t="s">
        <v>4196</v>
      </c>
      <c r="L49" s="112" t="s">
        <v>4286</v>
      </c>
      <c r="M49" s="99">
        <v>1476.0</v>
      </c>
      <c r="N49" s="99" t="s">
        <v>4203</v>
      </c>
      <c r="O49" s="99" t="s">
        <v>4204</v>
      </c>
      <c r="P49" s="100" t="s">
        <v>4205</v>
      </c>
      <c r="Q49" s="114" t="s">
        <v>323</v>
      </c>
      <c r="R49" s="100" t="s">
        <v>4287</v>
      </c>
      <c r="S49" s="99">
        <v>620145.0</v>
      </c>
    </row>
    <row r="50">
      <c r="A50" s="92" t="s">
        <v>390</v>
      </c>
      <c r="B50" s="94" t="s">
        <v>303</v>
      </c>
      <c r="C50" s="93" t="s">
        <v>389</v>
      </c>
      <c r="D50" s="93" t="s">
        <v>4288</v>
      </c>
      <c r="E50" s="93">
        <v>10.0</v>
      </c>
      <c r="F50" s="93" t="s">
        <v>4289</v>
      </c>
      <c r="G50" s="95">
        <v>8.0</v>
      </c>
      <c r="I50" s="97" t="s">
        <v>4273</v>
      </c>
      <c r="L50" s="117" t="s">
        <v>4290</v>
      </c>
      <c r="M50" s="103">
        <v>1477.0</v>
      </c>
      <c r="N50" s="103" t="s">
        <v>4203</v>
      </c>
      <c r="O50" s="103" t="s">
        <v>4204</v>
      </c>
      <c r="P50" s="104" t="s">
        <v>4205</v>
      </c>
      <c r="Q50" s="119" t="s">
        <v>359</v>
      </c>
      <c r="R50" s="104" t="s">
        <v>4291</v>
      </c>
      <c r="S50" s="103">
        <v>3713.0</v>
      </c>
    </row>
    <row r="51">
      <c r="A51" s="92" t="s">
        <v>4292</v>
      </c>
      <c r="B51" s="94" t="s">
        <v>303</v>
      </c>
      <c r="C51" s="105"/>
      <c r="D51" s="105"/>
      <c r="E51" s="105"/>
      <c r="F51" s="105"/>
      <c r="G51" s="95">
        <v>12.0</v>
      </c>
      <c r="I51" s="101" t="s">
        <v>4293</v>
      </c>
    </row>
    <row r="52">
      <c r="A52" s="124" t="s">
        <v>4294</v>
      </c>
      <c r="B52" s="94" t="s">
        <v>4229</v>
      </c>
      <c r="C52" s="94" t="s">
        <v>4295</v>
      </c>
      <c r="D52" s="93" t="s">
        <v>4296</v>
      </c>
      <c r="E52" s="94">
        <v>6.0</v>
      </c>
      <c r="F52" s="94" t="s">
        <v>4297</v>
      </c>
      <c r="G52" s="95">
        <v>10.0</v>
      </c>
      <c r="I52" s="97" t="s">
        <v>4298</v>
      </c>
    </row>
    <row r="53">
      <c r="A53" s="92" t="s">
        <v>4299</v>
      </c>
      <c r="B53" s="93" t="s">
        <v>533</v>
      </c>
      <c r="C53" s="93" t="s">
        <v>564</v>
      </c>
      <c r="D53" s="105"/>
      <c r="E53" s="93">
        <v>10.0</v>
      </c>
      <c r="F53" s="93" t="s">
        <v>4300</v>
      </c>
      <c r="G53" s="95">
        <v>8.0</v>
      </c>
      <c r="I53" s="101" t="s">
        <v>4087</v>
      </c>
    </row>
    <row r="54">
      <c r="A54" s="92" t="s">
        <v>757</v>
      </c>
      <c r="B54" s="93" t="s">
        <v>533</v>
      </c>
      <c r="C54" s="93" t="s">
        <v>534</v>
      </c>
      <c r="D54" s="93" t="s">
        <v>4301</v>
      </c>
      <c r="E54" s="93" t="s">
        <v>4209</v>
      </c>
      <c r="F54" s="93" t="s">
        <v>4302</v>
      </c>
      <c r="G54" s="95">
        <v>20.0</v>
      </c>
      <c r="I54" s="97" t="s">
        <v>4087</v>
      </c>
    </row>
    <row r="55">
      <c r="A55" s="92" t="s">
        <v>4303</v>
      </c>
      <c r="B55" s="93" t="s">
        <v>4045</v>
      </c>
      <c r="C55" s="105"/>
      <c r="D55" s="111"/>
      <c r="E55" s="94">
        <v>8.0</v>
      </c>
      <c r="F55" s="105"/>
      <c r="G55" s="95">
        <v>16.0</v>
      </c>
      <c r="I55" s="101" t="s">
        <v>4304</v>
      </c>
    </row>
    <row r="56">
      <c r="A56" s="92" t="s">
        <v>4305</v>
      </c>
      <c r="B56" s="93" t="s">
        <v>4045</v>
      </c>
      <c r="C56" s="94" t="s">
        <v>4306</v>
      </c>
      <c r="D56" s="94" t="s">
        <v>4306</v>
      </c>
      <c r="E56" s="94">
        <v>10.0</v>
      </c>
      <c r="F56" s="93" t="s">
        <v>4307</v>
      </c>
      <c r="G56" s="95">
        <v>24.0</v>
      </c>
      <c r="I56" s="97" t="s">
        <v>4308</v>
      </c>
    </row>
    <row r="57">
      <c r="A57" s="92" t="s">
        <v>4309</v>
      </c>
      <c r="B57" s="93" t="s">
        <v>4045</v>
      </c>
      <c r="C57" s="94" t="s">
        <v>4310</v>
      </c>
      <c r="D57" s="94" t="s">
        <v>4311</v>
      </c>
      <c r="E57" s="94">
        <v>6.0</v>
      </c>
      <c r="F57" s="93" t="s">
        <v>4312</v>
      </c>
      <c r="G57" s="95">
        <v>24.0</v>
      </c>
      <c r="I57" s="101" t="s">
        <v>4313</v>
      </c>
    </row>
    <row r="58">
      <c r="A58" s="92" t="s">
        <v>493</v>
      </c>
      <c r="B58" s="94" t="s">
        <v>422</v>
      </c>
      <c r="C58" s="94" t="s">
        <v>492</v>
      </c>
      <c r="D58" s="105"/>
      <c r="E58" s="93">
        <v>6.0</v>
      </c>
      <c r="F58" s="93" t="s">
        <v>4314</v>
      </c>
      <c r="G58" s="95">
        <v>10.0</v>
      </c>
      <c r="I58" s="97" t="s">
        <v>4315</v>
      </c>
    </row>
    <row r="59">
      <c r="A59" s="92" t="s">
        <v>4316</v>
      </c>
      <c r="B59" s="93" t="s">
        <v>533</v>
      </c>
      <c r="C59" s="93" t="s">
        <v>534</v>
      </c>
      <c r="D59" s="93" t="s">
        <v>4317</v>
      </c>
      <c r="E59" s="93" t="s">
        <v>4209</v>
      </c>
      <c r="F59" s="93" t="s">
        <v>4318</v>
      </c>
      <c r="G59" s="95">
        <v>8.0</v>
      </c>
      <c r="I59" s="101" t="s">
        <v>4319</v>
      </c>
    </row>
    <row r="60">
      <c r="A60" s="92" t="s">
        <v>513</v>
      </c>
      <c r="B60" s="94" t="s">
        <v>303</v>
      </c>
      <c r="C60" s="93" t="s">
        <v>389</v>
      </c>
      <c r="D60" s="93" t="s">
        <v>4320</v>
      </c>
      <c r="E60" s="128">
        <v>45942.0</v>
      </c>
      <c r="F60" s="93" t="s">
        <v>4321</v>
      </c>
      <c r="G60" s="95">
        <v>10.0</v>
      </c>
      <c r="I60" s="97" t="s">
        <v>4293</v>
      </c>
    </row>
    <row r="61">
      <c r="A61" s="92" t="s">
        <v>4322</v>
      </c>
      <c r="B61" s="93" t="s">
        <v>4045</v>
      </c>
      <c r="C61" s="93" t="s">
        <v>4323</v>
      </c>
      <c r="D61" s="93" t="s">
        <v>4324</v>
      </c>
      <c r="E61" s="93">
        <v>12.0</v>
      </c>
      <c r="F61" s="93" t="s">
        <v>4325</v>
      </c>
      <c r="G61" s="95">
        <v>8.0</v>
      </c>
      <c r="I61" s="101" t="s">
        <v>4087</v>
      </c>
    </row>
    <row r="62">
      <c r="A62" s="92" t="s">
        <v>4326</v>
      </c>
      <c r="B62" s="94" t="s">
        <v>4074</v>
      </c>
      <c r="C62" s="94" t="s">
        <v>4327</v>
      </c>
      <c r="D62" s="93" t="s">
        <v>4328</v>
      </c>
      <c r="E62" s="93">
        <v>20.0</v>
      </c>
      <c r="F62" s="93" t="s">
        <v>4329</v>
      </c>
      <c r="G62" s="95">
        <v>12.0</v>
      </c>
      <c r="I62" s="97" t="s">
        <v>4330</v>
      </c>
    </row>
    <row r="63">
      <c r="A63" s="92" t="s">
        <v>4331</v>
      </c>
      <c r="B63" s="94" t="s">
        <v>4074</v>
      </c>
      <c r="C63" s="94" t="s">
        <v>4332</v>
      </c>
      <c r="D63" s="105"/>
      <c r="E63" s="94">
        <v>10.0</v>
      </c>
      <c r="F63" s="93" t="s">
        <v>4333</v>
      </c>
      <c r="G63" s="95">
        <v>10.0</v>
      </c>
      <c r="I63" s="101" t="s">
        <v>4087</v>
      </c>
    </row>
    <row r="64">
      <c r="A64" s="92" t="s">
        <v>4334</v>
      </c>
      <c r="B64" s="94" t="s">
        <v>4074</v>
      </c>
      <c r="C64" s="94" t="s">
        <v>4335</v>
      </c>
      <c r="D64" s="93" t="s">
        <v>4336</v>
      </c>
      <c r="E64" s="94">
        <v>12.0</v>
      </c>
      <c r="F64" s="93" t="s">
        <v>4337</v>
      </c>
      <c r="G64" s="95">
        <v>10.0</v>
      </c>
      <c r="I64" s="97" t="s">
        <v>4330</v>
      </c>
    </row>
    <row r="65">
      <c r="A65" s="124" t="s">
        <v>4338</v>
      </c>
      <c r="B65" s="94" t="s">
        <v>4074</v>
      </c>
      <c r="C65" s="94" t="s">
        <v>4339</v>
      </c>
      <c r="D65" s="93" t="s">
        <v>4339</v>
      </c>
      <c r="E65" s="94">
        <v>16.0</v>
      </c>
      <c r="F65" s="94" t="s">
        <v>4340</v>
      </c>
      <c r="G65" s="95">
        <v>6.0</v>
      </c>
      <c r="I65" s="101" t="s">
        <v>4087</v>
      </c>
    </row>
    <row r="66">
      <c r="A66" s="92" t="s">
        <v>4341</v>
      </c>
      <c r="B66" s="94" t="s">
        <v>303</v>
      </c>
      <c r="C66" s="93" t="s">
        <v>631</v>
      </c>
      <c r="D66" s="93" t="s">
        <v>4342</v>
      </c>
      <c r="E66" s="93">
        <v>6.0</v>
      </c>
      <c r="F66" s="93" t="s">
        <v>4343</v>
      </c>
      <c r="G66" s="95">
        <v>10.0</v>
      </c>
      <c r="I66" s="97" t="s">
        <v>4330</v>
      </c>
    </row>
    <row r="67">
      <c r="A67" s="124" t="s">
        <v>4344</v>
      </c>
      <c r="B67" s="94" t="s">
        <v>422</v>
      </c>
      <c r="C67" s="94" t="s">
        <v>4067</v>
      </c>
      <c r="D67" s="105"/>
      <c r="E67" s="93">
        <v>14.0</v>
      </c>
      <c r="F67" s="94" t="s">
        <v>4345</v>
      </c>
      <c r="G67" s="95">
        <v>10.0</v>
      </c>
      <c r="I67" s="129" t="s">
        <v>4346</v>
      </c>
    </row>
    <row r="68">
      <c r="A68" s="92" t="s">
        <v>4347</v>
      </c>
      <c r="B68" s="93" t="s">
        <v>4124</v>
      </c>
      <c r="C68" s="105"/>
      <c r="D68" s="111"/>
      <c r="E68" s="111"/>
      <c r="F68" s="93" t="s">
        <v>4348</v>
      </c>
      <c r="G68" s="95">
        <v>16.0</v>
      </c>
      <c r="I68" s="129" t="s">
        <v>547</v>
      </c>
    </row>
    <row r="69">
      <c r="A69" s="92" t="s">
        <v>4349</v>
      </c>
      <c r="B69" s="93" t="s">
        <v>4105</v>
      </c>
      <c r="C69" s="93" t="s">
        <v>4350</v>
      </c>
      <c r="D69" s="105"/>
      <c r="E69" s="93">
        <v>14.0</v>
      </c>
      <c r="F69" s="93" t="s">
        <v>4351</v>
      </c>
      <c r="G69" s="95">
        <v>12.0</v>
      </c>
    </row>
    <row r="70">
      <c r="A70" s="92" t="s">
        <v>4352</v>
      </c>
      <c r="B70" s="93" t="s">
        <v>4045</v>
      </c>
      <c r="C70" s="93" t="s">
        <v>4353</v>
      </c>
      <c r="D70" s="93" t="s">
        <v>4354</v>
      </c>
      <c r="E70" s="93">
        <v>6.0</v>
      </c>
      <c r="F70" s="93" t="s">
        <v>4355</v>
      </c>
      <c r="G70" s="95">
        <v>18.0</v>
      </c>
    </row>
    <row r="71">
      <c r="A71" s="92" t="s">
        <v>4356</v>
      </c>
      <c r="B71" s="94" t="s">
        <v>369</v>
      </c>
      <c r="C71" s="94" t="s">
        <v>4357</v>
      </c>
      <c r="D71" s="105"/>
      <c r="E71" s="93">
        <v>16.0</v>
      </c>
      <c r="F71" s="93" t="s">
        <v>4358</v>
      </c>
      <c r="G71" s="95">
        <v>16.0</v>
      </c>
    </row>
    <row r="72">
      <c r="A72" s="92" t="s">
        <v>4359</v>
      </c>
      <c r="B72" s="93" t="s">
        <v>4124</v>
      </c>
      <c r="C72" s="105"/>
      <c r="D72" s="111"/>
      <c r="E72" s="105"/>
      <c r="F72" s="93" t="s">
        <v>4360</v>
      </c>
      <c r="G72" s="95">
        <v>24.0</v>
      </c>
    </row>
    <row r="73">
      <c r="A73" s="124" t="s">
        <v>4361</v>
      </c>
      <c r="B73" s="94" t="s">
        <v>4074</v>
      </c>
      <c r="C73" s="94" t="s">
        <v>4362</v>
      </c>
      <c r="D73" s="105"/>
      <c r="E73" s="94">
        <v>24.0</v>
      </c>
      <c r="F73" s="94" t="s">
        <v>4363</v>
      </c>
      <c r="G73" s="95">
        <v>6.0</v>
      </c>
    </row>
    <row r="74">
      <c r="A74" s="92" t="s">
        <v>4364</v>
      </c>
      <c r="B74" s="93" t="s">
        <v>4045</v>
      </c>
      <c r="C74" s="93" t="s">
        <v>4365</v>
      </c>
      <c r="D74" s="93" t="s">
        <v>4366</v>
      </c>
      <c r="E74" s="93">
        <v>8.0</v>
      </c>
      <c r="F74" s="93" t="s">
        <v>4367</v>
      </c>
      <c r="G74" s="95">
        <v>14.0</v>
      </c>
    </row>
    <row r="75">
      <c r="A75" s="92" t="s">
        <v>4368</v>
      </c>
      <c r="B75" s="93" t="s">
        <v>4045</v>
      </c>
      <c r="C75" s="93" t="s">
        <v>4046</v>
      </c>
      <c r="D75" s="93" t="s">
        <v>4369</v>
      </c>
      <c r="E75" s="93">
        <v>10.0</v>
      </c>
      <c r="F75" s="93" t="s">
        <v>4370</v>
      </c>
      <c r="G75" s="95">
        <v>14.0</v>
      </c>
    </row>
    <row r="76">
      <c r="A76" s="92" t="s">
        <v>4371</v>
      </c>
      <c r="B76" s="93" t="s">
        <v>533</v>
      </c>
      <c r="C76" s="93" t="s">
        <v>4267</v>
      </c>
      <c r="D76" s="93" t="s">
        <v>4372</v>
      </c>
      <c r="E76" s="93">
        <v>12.0</v>
      </c>
      <c r="F76" s="93" t="s">
        <v>4373</v>
      </c>
      <c r="G76" s="95">
        <v>18.0</v>
      </c>
    </row>
    <row r="77">
      <c r="A77" s="92" t="s">
        <v>4374</v>
      </c>
      <c r="B77" s="93" t="s">
        <v>533</v>
      </c>
      <c r="C77" s="93" t="s">
        <v>4375</v>
      </c>
      <c r="D77" s="93" t="s">
        <v>4376</v>
      </c>
      <c r="E77" s="93">
        <v>8.0</v>
      </c>
      <c r="F77" s="93" t="s">
        <v>4377</v>
      </c>
      <c r="G77" s="95">
        <v>14.0</v>
      </c>
    </row>
    <row r="78">
      <c r="A78" s="92" t="s">
        <v>535</v>
      </c>
      <c r="B78" s="93" t="s">
        <v>533</v>
      </c>
      <c r="C78" s="93" t="s">
        <v>534</v>
      </c>
      <c r="D78" s="93" t="s">
        <v>4378</v>
      </c>
      <c r="E78" s="93">
        <v>8.0</v>
      </c>
      <c r="F78" s="93" t="s">
        <v>4379</v>
      </c>
      <c r="G78" s="95">
        <v>14.0</v>
      </c>
    </row>
    <row r="79">
      <c r="A79" s="92" t="s">
        <v>4380</v>
      </c>
      <c r="B79" s="93" t="s">
        <v>4124</v>
      </c>
      <c r="C79" s="93" t="s">
        <v>4098</v>
      </c>
      <c r="D79" s="94" t="s">
        <v>4381</v>
      </c>
      <c r="E79" s="93">
        <v>20.0</v>
      </c>
      <c r="F79" s="93" t="s">
        <v>4382</v>
      </c>
      <c r="G79" s="95">
        <v>18.0</v>
      </c>
    </row>
    <row r="80">
      <c r="A80" s="92" t="s">
        <v>4383</v>
      </c>
      <c r="B80" s="94" t="s">
        <v>303</v>
      </c>
      <c r="C80" s="93" t="s">
        <v>406</v>
      </c>
      <c r="D80" s="93" t="s">
        <v>4384</v>
      </c>
      <c r="E80" s="93">
        <v>12.0</v>
      </c>
      <c r="F80" s="93" t="s">
        <v>4385</v>
      </c>
      <c r="G80" s="95">
        <v>10.0</v>
      </c>
    </row>
    <row r="81">
      <c r="A81" s="92" t="s">
        <v>4386</v>
      </c>
      <c r="B81" s="93" t="s">
        <v>4045</v>
      </c>
      <c r="C81" s="93" t="s">
        <v>4387</v>
      </c>
      <c r="D81" s="93" t="s">
        <v>4388</v>
      </c>
      <c r="E81" s="93">
        <v>16.0</v>
      </c>
      <c r="F81" s="93" t="s">
        <v>4389</v>
      </c>
      <c r="G81" s="95">
        <v>14.0</v>
      </c>
    </row>
    <row r="82">
      <c r="A82" s="124" t="s">
        <v>659</v>
      </c>
      <c r="B82" s="94" t="s">
        <v>422</v>
      </c>
      <c r="C82" s="94" t="s">
        <v>492</v>
      </c>
      <c r="D82" s="105"/>
      <c r="E82" s="93">
        <v>6.0</v>
      </c>
      <c r="F82" s="94" t="s">
        <v>4390</v>
      </c>
      <c r="G82" s="95">
        <v>6.0</v>
      </c>
    </row>
    <row r="83">
      <c r="A83" s="124" t="s">
        <v>4391</v>
      </c>
      <c r="B83" s="94" t="s">
        <v>4074</v>
      </c>
      <c r="C83" s="94" t="s">
        <v>4392</v>
      </c>
      <c r="D83" s="93" t="s">
        <v>4392</v>
      </c>
      <c r="E83" s="94">
        <v>10.0</v>
      </c>
      <c r="F83" s="94" t="s">
        <v>4393</v>
      </c>
      <c r="G83" s="95">
        <v>6.0</v>
      </c>
    </row>
    <row r="84">
      <c r="A84" s="124" t="s">
        <v>4394</v>
      </c>
      <c r="B84" s="94" t="s">
        <v>4229</v>
      </c>
      <c r="C84" s="94" t="s">
        <v>4245</v>
      </c>
      <c r="D84" s="93" t="s">
        <v>4395</v>
      </c>
      <c r="E84" s="94">
        <v>8.0</v>
      </c>
      <c r="F84" s="94" t="s">
        <v>4396</v>
      </c>
      <c r="G84" s="95">
        <v>14.0</v>
      </c>
    </row>
    <row r="85">
      <c r="A85" s="124" t="s">
        <v>4397</v>
      </c>
      <c r="B85" s="94" t="s">
        <v>4229</v>
      </c>
      <c r="C85" s="94" t="s">
        <v>4236</v>
      </c>
      <c r="D85" s="93" t="s">
        <v>4395</v>
      </c>
      <c r="E85" s="94">
        <v>12.0</v>
      </c>
      <c r="F85" s="94" t="s">
        <v>4398</v>
      </c>
      <c r="G85" s="95">
        <v>14.0</v>
      </c>
    </row>
    <row r="86">
      <c r="A86" s="124" t="s">
        <v>4399</v>
      </c>
      <c r="B86" s="94" t="s">
        <v>4229</v>
      </c>
      <c r="C86" s="94" t="s">
        <v>4400</v>
      </c>
      <c r="D86" s="93" t="s">
        <v>4395</v>
      </c>
      <c r="E86" s="94">
        <v>16.0</v>
      </c>
      <c r="F86" s="94" t="s">
        <v>4401</v>
      </c>
      <c r="G86" s="95">
        <v>14.0</v>
      </c>
    </row>
    <row r="87">
      <c r="A87" s="124" t="s">
        <v>407</v>
      </c>
      <c r="B87" s="94" t="s">
        <v>303</v>
      </c>
      <c r="C87" s="93" t="s">
        <v>406</v>
      </c>
      <c r="D87" s="93" t="s">
        <v>4402</v>
      </c>
      <c r="E87" s="94">
        <v>16.0</v>
      </c>
      <c r="F87" s="94" t="s">
        <v>4403</v>
      </c>
      <c r="G87" s="95" t="s">
        <v>4167</v>
      </c>
    </row>
    <row r="88">
      <c r="A88" s="92" t="s">
        <v>4404</v>
      </c>
      <c r="B88" s="93" t="s">
        <v>4045</v>
      </c>
      <c r="C88" s="93" t="s">
        <v>4387</v>
      </c>
      <c r="D88" s="93" t="s">
        <v>4405</v>
      </c>
      <c r="E88" s="93">
        <v>20.0</v>
      </c>
      <c r="F88" s="93" t="s">
        <v>4406</v>
      </c>
      <c r="G88" s="95">
        <v>14.0</v>
      </c>
    </row>
    <row r="89">
      <c r="A89" s="92" t="s">
        <v>4407</v>
      </c>
      <c r="B89" s="93" t="s">
        <v>4045</v>
      </c>
      <c r="C89" s="93" t="s">
        <v>4408</v>
      </c>
      <c r="D89" s="105"/>
      <c r="E89" s="94">
        <v>16.0</v>
      </c>
      <c r="F89" s="123" t="s">
        <v>4409</v>
      </c>
      <c r="G89" s="95">
        <v>16.0</v>
      </c>
    </row>
    <row r="90">
      <c r="A90" s="92" t="s">
        <v>4410</v>
      </c>
      <c r="B90" s="93" t="s">
        <v>4045</v>
      </c>
      <c r="C90" s="93" t="s">
        <v>4387</v>
      </c>
      <c r="D90" s="93" t="s">
        <v>4411</v>
      </c>
      <c r="E90" s="93">
        <v>16.0</v>
      </c>
      <c r="F90" s="123" t="s">
        <v>4409</v>
      </c>
      <c r="G90" s="95">
        <v>24.0</v>
      </c>
    </row>
    <row r="91">
      <c r="A91" s="92" t="s">
        <v>4412</v>
      </c>
      <c r="B91" s="93" t="s">
        <v>533</v>
      </c>
      <c r="C91" s="93" t="s">
        <v>4413</v>
      </c>
      <c r="D91" s="105"/>
      <c r="E91" s="93">
        <v>10.0</v>
      </c>
      <c r="F91" s="93" t="s">
        <v>4414</v>
      </c>
      <c r="G91" s="95">
        <v>12.0</v>
      </c>
    </row>
    <row r="92">
      <c r="A92" s="92" t="s">
        <v>4415</v>
      </c>
      <c r="B92" s="94" t="s">
        <v>422</v>
      </c>
      <c r="C92" s="93" t="s">
        <v>4416</v>
      </c>
      <c r="D92" s="105"/>
      <c r="E92" s="93">
        <v>10.0</v>
      </c>
      <c r="F92" s="93" t="s">
        <v>4417</v>
      </c>
      <c r="G92" s="95" t="s">
        <v>4209</v>
      </c>
    </row>
    <row r="93">
      <c r="A93" s="92" t="s">
        <v>4418</v>
      </c>
      <c r="B93" s="93" t="s">
        <v>4124</v>
      </c>
      <c r="C93" s="93" t="s">
        <v>4098</v>
      </c>
      <c r="D93" s="94" t="s">
        <v>4419</v>
      </c>
      <c r="E93" s="93">
        <v>18.0</v>
      </c>
      <c r="F93" s="93" t="s">
        <v>4420</v>
      </c>
      <c r="G93" s="95">
        <v>24.0</v>
      </c>
    </row>
    <row r="94">
      <c r="A94" s="124" t="s">
        <v>4421</v>
      </c>
      <c r="B94" s="94" t="s">
        <v>4229</v>
      </c>
      <c r="C94" s="94" t="s">
        <v>4295</v>
      </c>
      <c r="D94" s="93" t="s">
        <v>4422</v>
      </c>
      <c r="E94" s="94">
        <v>6.0</v>
      </c>
      <c r="F94" s="94" t="s">
        <v>4423</v>
      </c>
      <c r="G94" s="95">
        <v>12.0</v>
      </c>
    </row>
    <row r="95">
      <c r="A95" s="92" t="s">
        <v>4424</v>
      </c>
      <c r="B95" s="94" t="s">
        <v>4229</v>
      </c>
      <c r="C95" s="93" t="s">
        <v>4425</v>
      </c>
      <c r="D95" s="105"/>
      <c r="E95" s="93">
        <v>12.0</v>
      </c>
      <c r="F95" s="93" t="s">
        <v>4426</v>
      </c>
      <c r="G95" s="95">
        <v>12.0</v>
      </c>
    </row>
    <row r="96">
      <c r="A96" s="92" t="s">
        <v>4427</v>
      </c>
      <c r="B96" s="94" t="s">
        <v>4428</v>
      </c>
      <c r="C96" s="111"/>
      <c r="D96" s="105"/>
      <c r="E96" s="111"/>
      <c r="F96" s="93" t="s">
        <v>4429</v>
      </c>
      <c r="G96" s="95">
        <v>8.0</v>
      </c>
    </row>
    <row r="97">
      <c r="A97" s="92" t="s">
        <v>4430</v>
      </c>
      <c r="B97" s="94" t="s">
        <v>4428</v>
      </c>
      <c r="C97" s="94" t="s">
        <v>4431</v>
      </c>
      <c r="D97" s="93" t="s">
        <v>4432</v>
      </c>
      <c r="E97" s="94">
        <v>20.0</v>
      </c>
      <c r="F97" s="93" t="s">
        <v>4433</v>
      </c>
      <c r="G97" s="95">
        <v>6.0</v>
      </c>
    </row>
    <row r="98">
      <c r="A98" s="124" t="s">
        <v>4434</v>
      </c>
      <c r="B98" s="94" t="s">
        <v>4428</v>
      </c>
      <c r="C98" s="111"/>
      <c r="D98" s="105"/>
      <c r="E98" s="93">
        <v>12.0</v>
      </c>
      <c r="F98" s="94" t="s">
        <v>4435</v>
      </c>
      <c r="G98" s="95">
        <v>8.0</v>
      </c>
    </row>
    <row r="99">
      <c r="A99" s="92" t="s">
        <v>4436</v>
      </c>
      <c r="B99" s="93" t="s">
        <v>4045</v>
      </c>
      <c r="C99" s="93" t="s">
        <v>4046</v>
      </c>
      <c r="D99" s="93" t="s">
        <v>4437</v>
      </c>
      <c r="E99" s="93">
        <v>10.0</v>
      </c>
      <c r="F99" s="93" t="s">
        <v>4438</v>
      </c>
      <c r="G99" s="95">
        <v>12.0</v>
      </c>
    </row>
    <row r="100">
      <c r="A100" s="92" t="s">
        <v>424</v>
      </c>
      <c r="B100" s="94" t="s">
        <v>422</v>
      </c>
      <c r="C100" s="93" t="s">
        <v>423</v>
      </c>
      <c r="D100" s="105"/>
      <c r="E100" s="93">
        <v>8.0</v>
      </c>
      <c r="F100" s="93" t="s">
        <v>4439</v>
      </c>
      <c r="G100" s="95">
        <v>10.0</v>
      </c>
    </row>
    <row r="101">
      <c r="A101" s="92" t="s">
        <v>565</v>
      </c>
      <c r="B101" s="93" t="s">
        <v>533</v>
      </c>
      <c r="C101" s="93" t="s">
        <v>564</v>
      </c>
      <c r="D101" s="105"/>
      <c r="E101" s="93">
        <v>10.0</v>
      </c>
      <c r="F101" s="93" t="s">
        <v>4440</v>
      </c>
      <c r="G101" s="95">
        <v>20.0</v>
      </c>
    </row>
  </sheetData>
  <autoFilter ref="$A$1:$Z$10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7.38"/>
    <col customWidth="1" min="7" max="7" width="9.38"/>
    <col customWidth="1" min="8" max="8" width="7.38"/>
    <col customWidth="1" min="9" max="9" width="6.75"/>
    <col customWidth="1" min="10" max="10" width="8.63"/>
    <col customWidth="1" min="11" max="11" width="5.38"/>
    <col customWidth="1" min="12" max="12" width="8.63"/>
    <col customWidth="1" min="13" max="13" width="11.63"/>
    <col customWidth="1" min="14" max="14" width="8.63"/>
    <col customWidth="1" min="15" max="16" width="6.63"/>
    <col customWidth="1" min="17" max="17" width="7.88"/>
    <col customWidth="1" min="18" max="18" width="6.63"/>
    <col customWidth="1" min="19" max="20" width="12.63"/>
  </cols>
  <sheetData>
    <row r="1" ht="19.5" customHeight="1">
      <c r="A1" s="130"/>
      <c r="B1" s="131"/>
      <c r="C1" s="132"/>
      <c r="D1" s="133" t="s">
        <v>4441</v>
      </c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5"/>
      <c r="S1" s="133" t="s">
        <v>4442</v>
      </c>
      <c r="T1" s="135"/>
    </row>
    <row r="2" ht="24.75" customHeight="1">
      <c r="A2" s="136"/>
      <c r="C2" s="137"/>
      <c r="D2" s="138" t="s">
        <v>4443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2"/>
      <c r="S2" s="139" t="s">
        <v>4444</v>
      </c>
      <c r="T2" s="140">
        <v>5.0</v>
      </c>
    </row>
    <row r="3" ht="24.75" customHeight="1">
      <c r="A3" s="141"/>
      <c r="B3" s="142"/>
      <c r="C3" s="143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3"/>
      <c r="S3" s="139" t="s">
        <v>4445</v>
      </c>
      <c r="T3" s="144">
        <v>46132.0</v>
      </c>
    </row>
    <row r="4" ht="6.0" customHeight="1">
      <c r="A4" s="145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7"/>
      <c r="T4" s="148"/>
    </row>
    <row r="5" ht="19.5" customHeight="1">
      <c r="A5" s="149"/>
      <c r="B5" s="150" t="s">
        <v>4446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</row>
    <row r="6" ht="6.0" customHeight="1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3"/>
    </row>
    <row r="7" ht="24.75" customHeight="1">
      <c r="A7" s="154" t="s">
        <v>4447</v>
      </c>
      <c r="B7" s="155"/>
      <c r="C7" s="156"/>
      <c r="D7" s="157"/>
      <c r="E7" s="155"/>
      <c r="F7" s="158" t="s">
        <v>4448</v>
      </c>
      <c r="G7" s="155"/>
      <c r="H7" s="156"/>
      <c r="I7" s="155"/>
      <c r="J7" s="159" t="s">
        <v>4449</v>
      </c>
      <c r="K7" s="160"/>
      <c r="M7" s="161" t="s">
        <v>4450</v>
      </c>
      <c r="N7" s="162"/>
      <c r="O7" s="155"/>
      <c r="P7" s="163" t="s">
        <v>200</v>
      </c>
      <c r="Q7" s="155"/>
      <c r="R7" s="156"/>
      <c r="S7" s="157"/>
      <c r="T7" s="164"/>
    </row>
    <row r="8" ht="6.0" customHeight="1">
      <c r="A8" s="165"/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7"/>
    </row>
    <row r="9" ht="24.75" customHeight="1">
      <c r="A9" s="154" t="s">
        <v>4451</v>
      </c>
      <c r="B9" s="155"/>
      <c r="C9" s="168"/>
      <c r="D9" s="157"/>
      <c r="E9" s="157"/>
      <c r="F9" s="155"/>
      <c r="G9" s="158" t="s">
        <v>4029</v>
      </c>
      <c r="H9" s="155"/>
      <c r="I9" s="169"/>
      <c r="M9" s="158" t="s">
        <v>4452</v>
      </c>
      <c r="N9" s="155"/>
      <c r="O9" s="160"/>
      <c r="T9" s="137"/>
    </row>
    <row r="10" ht="6.0" customHeight="1">
      <c r="A10" s="165"/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7"/>
    </row>
    <row r="11" ht="24.75" customHeight="1">
      <c r="A11" s="170" t="s">
        <v>4453</v>
      </c>
      <c r="B11" s="155"/>
      <c r="C11" s="156"/>
      <c r="D11" s="157"/>
      <c r="E11" s="157"/>
      <c r="F11" s="155"/>
      <c r="G11" s="158" t="s">
        <v>4454</v>
      </c>
      <c r="H11" s="155"/>
      <c r="I11" s="169"/>
      <c r="M11" s="158" t="s">
        <v>4455</v>
      </c>
      <c r="N11" s="155"/>
      <c r="O11" s="160"/>
      <c r="Q11" s="158" t="s">
        <v>4456</v>
      </c>
      <c r="R11" s="155"/>
      <c r="S11" s="156"/>
      <c r="T11" s="164"/>
    </row>
    <row r="12" ht="6.0" customHeight="1">
      <c r="A12" s="165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7"/>
    </row>
    <row r="13" ht="19.5" customHeight="1">
      <c r="A13" s="171" t="s">
        <v>4457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5"/>
    </row>
    <row r="14" ht="6.0" customHeight="1">
      <c r="A14" s="165"/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7"/>
    </row>
    <row r="15" ht="24.75" customHeight="1">
      <c r="A15" s="172" t="s">
        <v>4458</v>
      </c>
      <c r="B15" s="157"/>
      <c r="C15" s="157"/>
      <c r="D15" s="157"/>
      <c r="E15" s="155"/>
      <c r="F15" s="173"/>
      <c r="N15" s="174" t="s">
        <v>4459</v>
      </c>
      <c r="O15" s="157"/>
      <c r="P15" s="157"/>
      <c r="Q15" s="155"/>
      <c r="R15" s="175"/>
      <c r="T15" s="137"/>
    </row>
    <row r="16" ht="6.0" customHeight="1">
      <c r="A16" s="165"/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7"/>
    </row>
    <row r="17" ht="24.75" customHeight="1">
      <c r="A17" s="172" t="s">
        <v>4460</v>
      </c>
      <c r="B17" s="157"/>
      <c r="C17" s="155"/>
      <c r="D17" s="176"/>
      <c r="E17" s="157"/>
      <c r="F17" s="157"/>
      <c r="G17" s="157"/>
      <c r="H17" s="155"/>
      <c r="I17" s="177" t="s">
        <v>4461</v>
      </c>
      <c r="J17" s="178"/>
      <c r="L17" s="174" t="s">
        <v>4462</v>
      </c>
      <c r="M17" s="155"/>
      <c r="N17" s="179"/>
      <c r="O17" s="155"/>
      <c r="P17" s="180" t="s">
        <v>4463</v>
      </c>
      <c r="Q17" s="181"/>
      <c r="R17" s="182"/>
      <c r="S17" s="183"/>
      <c r="T17" s="184"/>
    </row>
    <row r="18" ht="6.0" customHeight="1">
      <c r="A18" s="165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85"/>
      <c r="R18" s="186"/>
      <c r="S18" s="185"/>
      <c r="T18" s="137"/>
    </row>
    <row r="19" ht="24.75" customHeight="1">
      <c r="A19" s="187" t="s">
        <v>4464</v>
      </c>
      <c r="B19" s="157"/>
      <c r="C19" s="155"/>
      <c r="D19" s="169"/>
      <c r="P19" s="188"/>
      <c r="Q19" s="189"/>
      <c r="R19" s="190"/>
      <c r="S19" s="188"/>
      <c r="T19" s="191"/>
    </row>
    <row r="20" ht="6.0" customHeight="1">
      <c r="A20" s="165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7"/>
    </row>
    <row r="21" ht="19.5" customHeight="1">
      <c r="A21" s="171" t="s">
        <v>4465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5"/>
    </row>
    <row r="22" ht="6.0" customHeight="1">
      <c r="A22" s="165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7"/>
    </row>
    <row r="23" ht="24.75" customHeight="1">
      <c r="A23" s="187" t="s">
        <v>4466</v>
      </c>
      <c r="B23" s="157"/>
      <c r="C23" s="157"/>
      <c r="D23" s="155"/>
      <c r="E23" s="192"/>
      <c r="F23" s="157"/>
      <c r="G23" s="157"/>
      <c r="H23" s="155"/>
      <c r="I23" s="174" t="s">
        <v>4467</v>
      </c>
      <c r="J23" s="155"/>
      <c r="K23" s="176"/>
      <c r="L23" s="155"/>
      <c r="M23" s="174" t="s">
        <v>4468</v>
      </c>
      <c r="N23" s="157"/>
      <c r="O23" s="157"/>
      <c r="P23" s="155"/>
      <c r="Q23" s="176"/>
      <c r="R23" s="157"/>
      <c r="S23" s="157"/>
      <c r="T23" s="164"/>
    </row>
    <row r="24" ht="6.0" customHeight="1">
      <c r="A24" s="165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7"/>
    </row>
    <row r="25" ht="24.75" customHeight="1">
      <c r="A25" s="187" t="s">
        <v>4469</v>
      </c>
      <c r="B25" s="157"/>
      <c r="C25" s="157"/>
      <c r="D25" s="155"/>
      <c r="E25" s="193"/>
      <c r="F25" s="157"/>
      <c r="G25" s="157"/>
      <c r="H25" s="155"/>
      <c r="I25" s="174" t="s">
        <v>4470</v>
      </c>
      <c r="J25" s="157"/>
      <c r="K25" s="155"/>
      <c r="L25" s="176"/>
      <c r="M25" s="155"/>
      <c r="N25" s="194" t="s">
        <v>4471</v>
      </c>
      <c r="O25" s="157"/>
      <c r="P25" s="157"/>
      <c r="Q25" s="157"/>
      <c r="R25" s="155"/>
      <c r="S25" s="169"/>
      <c r="T25" s="137"/>
    </row>
    <row r="26" ht="6.0" customHeight="1">
      <c r="A26" s="165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7"/>
    </row>
    <row r="27" ht="24.75" customHeight="1">
      <c r="A27" s="187" t="s">
        <v>4472</v>
      </c>
      <c r="B27" s="157"/>
      <c r="C27" s="157"/>
      <c r="D27" s="157"/>
      <c r="E27" s="155"/>
      <c r="F27" s="193"/>
      <c r="G27" s="155"/>
      <c r="H27" s="195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64"/>
    </row>
    <row r="28" ht="6.0" customHeight="1">
      <c r="A28" s="19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64"/>
    </row>
    <row r="29" ht="22.5" customHeight="1">
      <c r="A29" s="171" t="s">
        <v>4473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5"/>
    </row>
    <row r="30" ht="6.0" customHeight="1">
      <c r="A30" s="19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64"/>
    </row>
    <row r="31" ht="24.75" customHeight="1">
      <c r="A31" s="187" t="s">
        <v>4474</v>
      </c>
      <c r="B31" s="157"/>
      <c r="C31" s="155"/>
      <c r="D31" s="197"/>
      <c r="E31" s="157"/>
      <c r="F31" s="157"/>
      <c r="G31" s="155"/>
      <c r="H31" s="194" t="s">
        <v>4475</v>
      </c>
      <c r="I31" s="157"/>
      <c r="J31" s="155"/>
      <c r="K31" s="198"/>
      <c r="L31" s="194" t="s">
        <v>4476</v>
      </c>
      <c r="M31" s="157"/>
      <c r="N31" s="155"/>
      <c r="O31" s="197"/>
      <c r="P31" s="155"/>
      <c r="Q31" s="174" t="s">
        <v>4477</v>
      </c>
      <c r="R31" s="157"/>
      <c r="S31" s="155"/>
      <c r="T31" s="199"/>
    </row>
    <row r="32" ht="6.0" customHeight="1">
      <c r="A32" s="19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64"/>
    </row>
    <row r="33" ht="24.75" customHeight="1">
      <c r="A33" s="187" t="s">
        <v>4478</v>
      </c>
      <c r="B33" s="157"/>
      <c r="C33" s="157"/>
      <c r="D33" s="155"/>
      <c r="E33" s="200"/>
      <c r="M33" s="174" t="s">
        <v>4479</v>
      </c>
      <c r="N33" s="157"/>
      <c r="O33" s="155"/>
      <c r="P33" s="175"/>
      <c r="T33" s="137"/>
    </row>
    <row r="34" ht="6.0" customHeight="1">
      <c r="A34" s="19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64"/>
    </row>
    <row r="35" ht="24.75" customHeight="1">
      <c r="A35" s="187" t="s">
        <v>4480</v>
      </c>
      <c r="B35" s="157"/>
      <c r="C35" s="157"/>
      <c r="D35" s="155"/>
      <c r="E35" s="201"/>
      <c r="F35" s="157"/>
      <c r="G35" s="157"/>
      <c r="H35" s="157"/>
      <c r="I35" s="157"/>
      <c r="J35" s="157"/>
      <c r="K35" s="157"/>
      <c r="L35" s="155"/>
      <c r="M35" s="174" t="s">
        <v>4481</v>
      </c>
      <c r="N35" s="157"/>
      <c r="O35" s="157"/>
      <c r="P35" s="157"/>
      <c r="Q35" s="155"/>
      <c r="R35" s="176"/>
      <c r="S35" s="157"/>
      <c r="T35" s="164"/>
    </row>
    <row r="36" ht="6.0" customHeight="1">
      <c r="A36" s="19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64"/>
    </row>
    <row r="37" ht="24.75" customHeight="1">
      <c r="A37" s="187" t="s">
        <v>4482</v>
      </c>
      <c r="B37" s="157"/>
      <c r="C37" s="157"/>
      <c r="D37" s="155"/>
      <c r="E37" s="201"/>
      <c r="F37" s="157"/>
      <c r="G37" s="157"/>
      <c r="H37" s="157"/>
      <c r="I37" s="157"/>
      <c r="J37" s="157"/>
      <c r="K37" s="157"/>
      <c r="L37" s="155"/>
      <c r="M37" s="174" t="s">
        <v>4483</v>
      </c>
      <c r="N37" s="157"/>
      <c r="O37" s="157"/>
      <c r="P37" s="157"/>
      <c r="Q37" s="155"/>
      <c r="R37" s="175"/>
      <c r="T37" s="137"/>
    </row>
    <row r="38" ht="6.0" customHeight="1">
      <c r="A38" s="19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64"/>
    </row>
    <row r="39" ht="24.75" customHeight="1">
      <c r="A39" s="187" t="s">
        <v>4484</v>
      </c>
      <c r="B39" s="157"/>
      <c r="C39" s="157"/>
      <c r="D39" s="155"/>
      <c r="E39" s="202"/>
      <c r="F39" s="155"/>
      <c r="G39" s="174" t="s">
        <v>4485</v>
      </c>
      <c r="H39" s="157"/>
      <c r="I39" s="157"/>
      <c r="J39" s="155"/>
      <c r="K39" s="203"/>
      <c r="L39" s="157"/>
      <c r="M39" s="157"/>
      <c r="N39" s="157"/>
      <c r="O39" s="157"/>
      <c r="P39" s="155"/>
      <c r="Q39" s="204" t="s">
        <v>4486</v>
      </c>
      <c r="R39" s="176"/>
      <c r="S39" s="157"/>
      <c r="T39" s="164"/>
    </row>
    <row r="40" ht="6.0" customHeight="1">
      <c r="A40" s="19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64"/>
    </row>
    <row r="41" ht="21.75" customHeight="1">
      <c r="A41" s="205" t="s">
        <v>4487</v>
      </c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7"/>
    </row>
    <row r="42" ht="19.5" customHeight="1">
      <c r="A42" s="208" t="s">
        <v>4488</v>
      </c>
      <c r="B42" s="134"/>
      <c r="C42" s="134"/>
      <c r="D42" s="134"/>
      <c r="E42" s="134"/>
      <c r="F42" s="134"/>
      <c r="G42" s="134"/>
      <c r="H42" s="135"/>
      <c r="I42" s="209" t="s">
        <v>4489</v>
      </c>
      <c r="J42" s="135"/>
      <c r="K42" s="209" t="s">
        <v>4490</v>
      </c>
      <c r="L42" s="135"/>
      <c r="M42" s="209" t="s">
        <v>4491</v>
      </c>
      <c r="N42" s="135"/>
      <c r="O42" s="210" t="s">
        <v>4492</v>
      </c>
      <c r="P42" s="132"/>
      <c r="Q42" s="211" t="s">
        <v>4493</v>
      </c>
      <c r="R42" s="131"/>
      <c r="S42" s="131"/>
      <c r="T42" s="132"/>
    </row>
    <row r="43" ht="44.25" customHeight="1">
      <c r="A43" s="212" t="s">
        <v>4494</v>
      </c>
      <c r="B43" s="208" t="s">
        <v>4495</v>
      </c>
      <c r="C43" s="134"/>
      <c r="D43" s="135"/>
      <c r="E43" s="209" t="s">
        <v>4496</v>
      </c>
      <c r="F43" s="135"/>
      <c r="G43" s="213" t="s">
        <v>4497</v>
      </c>
      <c r="H43" s="135"/>
      <c r="I43" s="214" t="s">
        <v>4498</v>
      </c>
      <c r="J43" s="214" t="s">
        <v>4499</v>
      </c>
      <c r="K43" s="214" t="s">
        <v>4498</v>
      </c>
      <c r="L43" s="214" t="s">
        <v>4499</v>
      </c>
      <c r="M43" s="214" t="s">
        <v>4498</v>
      </c>
      <c r="N43" s="214" t="s">
        <v>4499</v>
      </c>
      <c r="O43" s="141"/>
      <c r="P43" s="143"/>
      <c r="Q43" s="141"/>
      <c r="R43" s="142"/>
      <c r="S43" s="142"/>
      <c r="T43" s="143"/>
    </row>
    <row r="44" ht="30.0" customHeight="1">
      <c r="A44" s="215"/>
      <c r="B44" s="216"/>
      <c r="C44" s="134"/>
      <c r="D44" s="135"/>
      <c r="E44" s="217"/>
      <c r="F44" s="135"/>
      <c r="G44" s="217"/>
      <c r="H44" s="135"/>
      <c r="I44" s="218"/>
      <c r="J44" s="218"/>
      <c r="K44" s="218"/>
      <c r="L44" s="218"/>
      <c r="M44" s="215"/>
      <c r="N44" s="215"/>
      <c r="O44" s="219"/>
      <c r="P44" s="135"/>
      <c r="Q44" s="220"/>
      <c r="R44" s="134"/>
      <c r="S44" s="134"/>
      <c r="T44" s="135"/>
    </row>
    <row r="45" ht="30.0" customHeight="1">
      <c r="A45" s="215"/>
      <c r="B45" s="216"/>
      <c r="C45" s="134"/>
      <c r="D45" s="135"/>
      <c r="E45" s="217"/>
      <c r="F45" s="135"/>
      <c r="G45" s="217"/>
      <c r="H45" s="135"/>
      <c r="I45" s="218"/>
      <c r="J45" s="218"/>
      <c r="K45" s="218"/>
      <c r="L45" s="218"/>
      <c r="M45" s="215"/>
      <c r="N45" s="215"/>
      <c r="O45" s="219"/>
      <c r="P45" s="135"/>
      <c r="Q45" s="220"/>
      <c r="R45" s="134"/>
      <c r="S45" s="134"/>
      <c r="T45" s="135"/>
    </row>
    <row r="46" ht="19.5" hidden="1" customHeight="1">
      <c r="A46" s="205" t="s">
        <v>4500</v>
      </c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7"/>
    </row>
    <row r="47" ht="259.5" hidden="1" customHeight="1">
      <c r="A47" s="221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5"/>
    </row>
    <row r="48" ht="24.0" customHeight="1">
      <c r="A48" s="222" t="s">
        <v>4501</v>
      </c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7"/>
    </row>
    <row r="49" ht="221.25" customHeight="1">
      <c r="A49" s="223"/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223"/>
      <c r="M49" s="134"/>
      <c r="N49" s="134"/>
      <c r="O49" s="134"/>
      <c r="P49" s="134"/>
      <c r="Q49" s="134"/>
      <c r="R49" s="134"/>
      <c r="S49" s="134"/>
      <c r="T49" s="135"/>
    </row>
    <row r="50" ht="19.5" customHeight="1">
      <c r="A50" s="224"/>
      <c r="B50" s="225"/>
      <c r="C50" s="131"/>
      <c r="D50" s="131"/>
      <c r="E50" s="131"/>
      <c r="F50" s="131"/>
      <c r="G50" s="131"/>
      <c r="H50" s="131"/>
      <c r="I50" s="131"/>
      <c r="J50" s="131"/>
      <c r="K50" s="132"/>
      <c r="L50" s="226"/>
      <c r="M50" s="225"/>
      <c r="N50" s="131"/>
      <c r="O50" s="131"/>
      <c r="P50" s="131"/>
      <c r="Q50" s="131"/>
      <c r="R50" s="131"/>
      <c r="S50" s="131"/>
      <c r="T50" s="132"/>
    </row>
    <row r="51" ht="19.5" customHeight="1">
      <c r="A51" s="227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7"/>
    </row>
    <row r="52" ht="132.0" customHeight="1">
      <c r="A52" s="228" t="s">
        <v>4502</v>
      </c>
      <c r="B52" s="134"/>
      <c r="C52" s="135"/>
      <c r="D52" s="229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5"/>
    </row>
    <row r="53" ht="12.75" customHeight="1">
      <c r="A53" s="133" t="s">
        <v>4503</v>
      </c>
      <c r="B53" s="134"/>
      <c r="C53" s="134"/>
      <c r="D53" s="134"/>
      <c r="E53" s="134"/>
      <c r="F53" s="134"/>
      <c r="G53" s="134"/>
      <c r="H53" s="135"/>
      <c r="I53" s="133" t="s">
        <v>4504</v>
      </c>
      <c r="J53" s="134"/>
      <c r="K53" s="134"/>
      <c r="L53" s="134"/>
      <c r="M53" s="135"/>
      <c r="N53" s="133" t="s">
        <v>4505</v>
      </c>
      <c r="O53" s="134"/>
      <c r="P53" s="134"/>
      <c r="Q53" s="134"/>
      <c r="R53" s="134"/>
      <c r="S53" s="134"/>
      <c r="T53" s="135"/>
    </row>
    <row r="54" ht="12.75" customHeight="1">
      <c r="A54" s="230" t="s">
        <v>4506</v>
      </c>
      <c r="B54" s="134"/>
      <c r="C54" s="135"/>
      <c r="D54" s="230"/>
      <c r="E54" s="134"/>
      <c r="F54" s="134"/>
      <c r="G54" s="134"/>
      <c r="H54" s="135"/>
      <c r="I54" s="230" t="s">
        <v>4507</v>
      </c>
      <c r="J54" s="135"/>
      <c r="K54" s="230"/>
      <c r="L54" s="134"/>
      <c r="M54" s="135"/>
      <c r="N54" s="230" t="s">
        <v>4507</v>
      </c>
      <c r="O54" s="135"/>
      <c r="P54" s="230"/>
      <c r="Q54" s="134"/>
      <c r="R54" s="134"/>
      <c r="S54" s="134"/>
      <c r="T54" s="135"/>
    </row>
    <row r="55" ht="12.75" customHeight="1">
      <c r="A55" s="231" t="s">
        <v>4508</v>
      </c>
      <c r="B55" s="134"/>
      <c r="C55" s="135"/>
      <c r="D55" s="230"/>
      <c r="E55" s="134"/>
      <c r="F55" s="134"/>
      <c r="G55" s="134"/>
      <c r="H55" s="135"/>
      <c r="I55" s="230" t="s">
        <v>4509</v>
      </c>
      <c r="J55" s="135"/>
      <c r="K55" s="230"/>
      <c r="L55" s="134"/>
      <c r="M55" s="135"/>
      <c r="N55" s="230" t="s">
        <v>4509</v>
      </c>
      <c r="O55" s="135"/>
      <c r="P55" s="230"/>
      <c r="Q55" s="134"/>
      <c r="R55" s="134"/>
      <c r="S55" s="134"/>
      <c r="T55" s="135"/>
    </row>
    <row r="56" ht="48.0" customHeight="1">
      <c r="A56" s="230" t="s">
        <v>4510</v>
      </c>
      <c r="B56" s="134"/>
      <c r="C56" s="135"/>
      <c r="D56" s="230"/>
      <c r="E56" s="134"/>
      <c r="F56" s="134"/>
      <c r="G56" s="134"/>
      <c r="H56" s="135"/>
      <c r="I56" s="230" t="s">
        <v>4510</v>
      </c>
      <c r="J56" s="135"/>
      <c r="K56" s="230"/>
      <c r="L56" s="134"/>
      <c r="M56" s="135"/>
      <c r="N56" s="230" t="s">
        <v>4510</v>
      </c>
      <c r="O56" s="135"/>
      <c r="P56" s="230"/>
      <c r="Q56" s="134"/>
      <c r="R56" s="134"/>
      <c r="S56" s="134"/>
      <c r="T56" s="135"/>
    </row>
    <row r="57" ht="12.75" customHeight="1">
      <c r="A57" s="230" t="s">
        <v>4511</v>
      </c>
      <c r="B57" s="134"/>
      <c r="C57" s="135"/>
      <c r="D57" s="230"/>
      <c r="E57" s="134"/>
      <c r="F57" s="134"/>
      <c r="G57" s="134"/>
      <c r="H57" s="135"/>
      <c r="I57" s="230" t="s">
        <v>4511</v>
      </c>
      <c r="J57" s="135"/>
      <c r="K57" s="230"/>
      <c r="L57" s="134"/>
      <c r="M57" s="135"/>
      <c r="N57" s="230" t="s">
        <v>4511</v>
      </c>
      <c r="O57" s="135"/>
      <c r="P57" s="230"/>
      <c r="Q57" s="134"/>
      <c r="R57" s="134"/>
      <c r="S57" s="134"/>
      <c r="T57" s="135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27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145">
    <mergeCell ref="L17:M17"/>
    <mergeCell ref="N17:O17"/>
    <mergeCell ref="P17:R19"/>
    <mergeCell ref="S17:T19"/>
    <mergeCell ref="M23:P23"/>
    <mergeCell ref="Q23:T23"/>
    <mergeCell ref="D17:H17"/>
    <mergeCell ref="J17:K17"/>
    <mergeCell ref="A19:C19"/>
    <mergeCell ref="D19:O19"/>
    <mergeCell ref="A21:T21"/>
    <mergeCell ref="A23:D23"/>
    <mergeCell ref="E23:H23"/>
    <mergeCell ref="A25:D25"/>
    <mergeCell ref="A27:E27"/>
    <mergeCell ref="F27:G27"/>
    <mergeCell ref="I23:J23"/>
    <mergeCell ref="K23:L23"/>
    <mergeCell ref="E25:H25"/>
    <mergeCell ref="I25:K25"/>
    <mergeCell ref="L25:M25"/>
    <mergeCell ref="N25:R25"/>
    <mergeCell ref="S25:T25"/>
    <mergeCell ref="K7:L7"/>
    <mergeCell ref="N7:O7"/>
    <mergeCell ref="P7:Q7"/>
    <mergeCell ref="R7:T7"/>
    <mergeCell ref="O9:T9"/>
    <mergeCell ref="A1:C3"/>
    <mergeCell ref="D1:R1"/>
    <mergeCell ref="S1:T1"/>
    <mergeCell ref="D2:R3"/>
    <mergeCell ref="B5:T5"/>
    <mergeCell ref="A7:B7"/>
    <mergeCell ref="C7:E7"/>
    <mergeCell ref="F7:G7"/>
    <mergeCell ref="H7:I7"/>
    <mergeCell ref="A9:B9"/>
    <mergeCell ref="C9:F9"/>
    <mergeCell ref="G9:H9"/>
    <mergeCell ref="I9:L9"/>
    <mergeCell ref="M9:N9"/>
    <mergeCell ref="A11:B11"/>
    <mergeCell ref="C11:F11"/>
    <mergeCell ref="G11:H11"/>
    <mergeCell ref="M11:N11"/>
    <mergeCell ref="O11:P11"/>
    <mergeCell ref="Q11:R11"/>
    <mergeCell ref="S11:T11"/>
    <mergeCell ref="I11:L11"/>
    <mergeCell ref="A13:T13"/>
    <mergeCell ref="A15:E15"/>
    <mergeCell ref="F15:M15"/>
    <mergeCell ref="N15:Q15"/>
    <mergeCell ref="R15:T15"/>
    <mergeCell ref="A17:C17"/>
    <mergeCell ref="L31:N31"/>
    <mergeCell ref="O31:P31"/>
    <mergeCell ref="B45:D45"/>
    <mergeCell ref="E45:F45"/>
    <mergeCell ref="G45:H45"/>
    <mergeCell ref="O45:P45"/>
    <mergeCell ref="Q45:T45"/>
    <mergeCell ref="A46:T46"/>
    <mergeCell ref="A47:T47"/>
    <mergeCell ref="A48:T48"/>
    <mergeCell ref="A49:K49"/>
    <mergeCell ref="L49:T49"/>
    <mergeCell ref="B50:K50"/>
    <mergeCell ref="M50:T50"/>
    <mergeCell ref="A51:T51"/>
    <mergeCell ref="D52:T52"/>
    <mergeCell ref="K54:M54"/>
    <mergeCell ref="N54:O54"/>
    <mergeCell ref="K55:M55"/>
    <mergeCell ref="N55:O55"/>
    <mergeCell ref="P55:T55"/>
    <mergeCell ref="A52:C52"/>
    <mergeCell ref="A53:H53"/>
    <mergeCell ref="I53:M53"/>
    <mergeCell ref="N53:T53"/>
    <mergeCell ref="D54:H54"/>
    <mergeCell ref="I54:J54"/>
    <mergeCell ref="P54:T54"/>
    <mergeCell ref="K56:M56"/>
    <mergeCell ref="N56:O56"/>
    <mergeCell ref="P56:T56"/>
    <mergeCell ref="A57:C57"/>
    <mergeCell ref="D57:H57"/>
    <mergeCell ref="I57:J57"/>
    <mergeCell ref="K57:M57"/>
    <mergeCell ref="N57:O57"/>
    <mergeCell ref="P57:T57"/>
    <mergeCell ref="A54:C54"/>
    <mergeCell ref="A55:C55"/>
    <mergeCell ref="D55:H55"/>
    <mergeCell ref="I55:J55"/>
    <mergeCell ref="A56:C56"/>
    <mergeCell ref="D56:H56"/>
    <mergeCell ref="I56:J56"/>
    <mergeCell ref="H27:T27"/>
    <mergeCell ref="A28:T28"/>
    <mergeCell ref="A29:T29"/>
    <mergeCell ref="A30:T30"/>
    <mergeCell ref="A31:C31"/>
    <mergeCell ref="H31:J31"/>
    <mergeCell ref="Q31:S31"/>
    <mergeCell ref="D31:G31"/>
    <mergeCell ref="A32:T32"/>
    <mergeCell ref="A33:D33"/>
    <mergeCell ref="E33:L33"/>
    <mergeCell ref="M33:O33"/>
    <mergeCell ref="P33:T33"/>
    <mergeCell ref="A34:T34"/>
    <mergeCell ref="M37:Q37"/>
    <mergeCell ref="R37:T37"/>
    <mergeCell ref="A35:D35"/>
    <mergeCell ref="E35:L35"/>
    <mergeCell ref="M35:Q35"/>
    <mergeCell ref="R35:T35"/>
    <mergeCell ref="A36:T36"/>
    <mergeCell ref="E37:L37"/>
    <mergeCell ref="A38:T38"/>
    <mergeCell ref="A37:D37"/>
    <mergeCell ref="A39:D39"/>
    <mergeCell ref="E39:F39"/>
    <mergeCell ref="G39:J39"/>
    <mergeCell ref="K39:P39"/>
    <mergeCell ref="R39:T39"/>
    <mergeCell ref="A40:T40"/>
    <mergeCell ref="A41:T41"/>
    <mergeCell ref="A42:H42"/>
    <mergeCell ref="I42:J42"/>
    <mergeCell ref="K42:L42"/>
    <mergeCell ref="M42:N42"/>
    <mergeCell ref="O42:P43"/>
    <mergeCell ref="Q42:T43"/>
    <mergeCell ref="G43:H43"/>
    <mergeCell ref="B43:D43"/>
    <mergeCell ref="E43:F43"/>
    <mergeCell ref="B44:D44"/>
    <mergeCell ref="E44:F44"/>
    <mergeCell ref="G44:H44"/>
    <mergeCell ref="O44:P44"/>
    <mergeCell ref="Q44:T44"/>
  </mergeCells>
  <printOptions horizontalCentered="1" verticalCentered="1"/>
  <pageMargins bottom="0.0" footer="0.0" header="0.0" left="0.0" right="0.0" top="0.0"/>
  <pageSetup scale="49" orientation="portrait"/>
  <headerFooter>
    <oddFooter>&amp;C000000Pag. &amp;P de &amp;R000000F-OPE-AP-50 V1</oddFooter>
  </headerFooter>
  <drawing r:id="rId1"/>
</worksheet>
</file>