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sheetId="1" r:id="rId5"/>
    <sheet state="visible" name="Sheet6" sheetId="2" r:id="rId6"/>
    <sheet state="visible" name="1_general" sheetId="3" r:id="rId7"/>
    <sheet state="visible" name="2_lecturas_tomadas" sheetId="4" r:id="rId8"/>
    <sheet state="visible" name="B36" sheetId="5" r:id="rId9"/>
    <sheet state="visible" name="3_fotografias" sheetId="6" r:id="rId10"/>
    <sheet state="visible" name="FORMATOS_SCAN_C" sheetId="7" r:id="rId11"/>
    <sheet state="visible" name="4_complementos" sheetId="8" r:id="rId12"/>
    <sheet state="visible" name="5_login" sheetId="9" r:id="rId13"/>
  </sheets>
  <definedNames>
    <definedName hidden="1" localSheetId="4" name="_xlnm._FilterDatabase">'B36'!$A$1:$K$1</definedName>
  </definedNames>
  <calcPr/>
</workbook>
</file>

<file path=xl/sharedStrings.xml><?xml version="1.0" encoding="utf-8"?>
<sst xmlns="http://schemas.openxmlformats.org/spreadsheetml/2006/main" count="33423" uniqueCount="8460">
  <si>
    <t>1_general</t>
  </si>
  <si>
    <t>variable</t>
  </si>
  <si>
    <t>Nombre real</t>
  </si>
  <si>
    <t>tipo de dato</t>
  </si>
  <si>
    <t>respuestas</t>
  </si>
  <si>
    <t>celda</t>
  </si>
  <si>
    <t>id_general</t>
  </si>
  <si>
    <t>ID General</t>
  </si>
  <si>
    <t>Text</t>
  </si>
  <si>
    <t>Solo lectura, Llave Primaria</t>
  </si>
  <si>
    <t>Por definir</t>
  </si>
  <si>
    <t>cliente</t>
  </si>
  <si>
    <t>CLIENTE</t>
  </si>
  <si>
    <t>Enum</t>
  </si>
  <si>
    <t>CENIT, FRONTERA, ADEMINSA PERU, ADEMINSA PTO RICO, MASS GROUP, STEPAN, TELMACOM, BAKER HUGHES, MAGNEX, CEMEX, MONTAJES Y CALDERAS, SGS, MAC POLLO, HYDRATICA</t>
  </si>
  <si>
    <t>D7</t>
  </si>
  <si>
    <t>contrato</t>
  </si>
  <si>
    <t>CONTRATO</t>
  </si>
  <si>
    <t>K7</t>
  </si>
  <si>
    <t>fecha_reporte</t>
  </si>
  <si>
    <t>Fecha reporte</t>
  </si>
  <si>
    <t>Date</t>
  </si>
  <si>
    <t>U7</t>
  </si>
  <si>
    <t>ot</t>
  </si>
  <si>
    <t>OT</t>
  </si>
  <si>
    <t>AD7</t>
  </si>
  <si>
    <t>num_reporte</t>
  </si>
  <si>
    <t>Nº Reporte</t>
  </si>
  <si>
    <t>AK7</t>
  </si>
  <si>
    <t>zona</t>
  </si>
  <si>
    <t>Zona</t>
  </si>
  <si>
    <t>D9</t>
  </si>
  <si>
    <t>estacion</t>
  </si>
  <si>
    <t>Estación</t>
  </si>
  <si>
    <t>K9</t>
  </si>
  <si>
    <t>sistema</t>
  </si>
  <si>
    <t>Sistema</t>
  </si>
  <si>
    <t>U8</t>
  </si>
  <si>
    <t>alcance</t>
  </si>
  <si>
    <t>Alcance</t>
  </si>
  <si>
    <t>AD9</t>
  </si>
  <si>
    <t>norma_referencia</t>
  </si>
  <si>
    <t>Norma de Referencia</t>
  </si>
  <si>
    <t>F11</t>
  </si>
  <si>
    <t>criterio_aceptacion</t>
  </si>
  <si>
    <t>Norma / Código Criterio de Aceptación y Rechazado</t>
  </si>
  <si>
    <t>AB11</t>
  </si>
  <si>
    <t>material</t>
  </si>
  <si>
    <t>Material</t>
  </si>
  <si>
    <t>E15</t>
  </si>
  <si>
    <t>temperatura_servicio</t>
  </si>
  <si>
    <t>Temperatura de Servicio</t>
  </si>
  <si>
    <t>Decimal</t>
  </si>
  <si>
    <t>R15</t>
  </si>
  <si>
    <t>tipo_recubrimiento</t>
  </si>
  <si>
    <t>Tipo Recubrimiento</t>
  </si>
  <si>
    <t>Epóxico, Pintura, Galvanizado, Sin Recubrimiento</t>
  </si>
  <si>
    <t>AB15</t>
  </si>
  <si>
    <t>condicion_recubrimiento</t>
  </si>
  <si>
    <t>Condición del recubrimiento</t>
  </si>
  <si>
    <t>BUENO, REGULAR, MALO</t>
  </si>
  <si>
    <t>AJ15</t>
  </si>
  <si>
    <t>rating_sistema</t>
  </si>
  <si>
    <t>Rating dentro del sistema</t>
  </si>
  <si>
    <t>E17</t>
  </si>
  <si>
    <t>presion_diseno</t>
  </si>
  <si>
    <t>Presión de Diseño (Psi)</t>
  </si>
  <si>
    <t>S17</t>
  </si>
  <si>
    <t>mop</t>
  </si>
  <si>
    <t>MOP (Psi)</t>
  </si>
  <si>
    <t>Z17</t>
  </si>
  <si>
    <t>codigo_diseno</t>
  </si>
  <si>
    <t>Código de diseño</t>
  </si>
  <si>
    <t>AG17</t>
  </si>
  <si>
    <t>marca_equipo</t>
  </si>
  <si>
    <t>Marca Equipo Medidor de Espesores</t>
  </si>
  <si>
    <t>G21</t>
  </si>
  <si>
    <t>modelo_equipo</t>
  </si>
  <si>
    <t>Modelo</t>
  </si>
  <si>
    <t>X21</t>
  </si>
  <si>
    <t>serie_equipo</t>
  </si>
  <si>
    <t>Serie</t>
  </si>
  <si>
    <t>AF21</t>
  </si>
  <si>
    <t>fecha_calibracion</t>
  </si>
  <si>
    <t>Fecha Calibración</t>
  </si>
  <si>
    <t>AL21</t>
  </si>
  <si>
    <t>tipo_palpador</t>
  </si>
  <si>
    <t>Tipo de Palpador</t>
  </si>
  <si>
    <t>Monocristal, Dual, Angular, Retraso de línea</t>
  </si>
  <si>
    <t>E23</t>
  </si>
  <si>
    <t>frecuencia</t>
  </si>
  <si>
    <t>Frecuencia</t>
  </si>
  <si>
    <t>R23</t>
  </si>
  <si>
    <t>tamano_diametro</t>
  </si>
  <si>
    <t>Tamaño - Diámetro</t>
  </si>
  <si>
    <t>AB23</t>
  </si>
  <si>
    <t>bloque_calibracion</t>
  </si>
  <si>
    <t>Bloque de Calibración</t>
  </si>
  <si>
    <t>AE23</t>
  </si>
  <si>
    <t>material_bloque</t>
  </si>
  <si>
    <t>Material del Bloque</t>
  </si>
  <si>
    <t>E25</t>
  </si>
  <si>
    <t>procedimiento</t>
  </si>
  <si>
    <t>Procedimiento</t>
  </si>
  <si>
    <t>P25</t>
  </si>
  <si>
    <t>tecnica</t>
  </si>
  <si>
    <t>Técnica</t>
  </si>
  <si>
    <t>AC25</t>
  </si>
  <si>
    <t>velocidad_calibracion</t>
  </si>
  <si>
    <t>Velocidad de Calibración</t>
  </si>
  <si>
    <t>Number</t>
  </si>
  <si>
    <t>AL25</t>
  </si>
  <si>
    <t>firma</t>
  </si>
  <si>
    <t>Firma Digital</t>
  </si>
  <si>
    <t>Signature</t>
  </si>
  <si>
    <t>C40</t>
  </si>
  <si>
    <t>nombre</t>
  </si>
  <si>
    <t>Nombre del Inspector</t>
  </si>
  <si>
    <t>C41</t>
  </si>
  <si>
    <t>cargo</t>
  </si>
  <si>
    <t>Cargo</t>
  </si>
  <si>
    <t>C42</t>
  </si>
  <si>
    <t>fecha</t>
  </si>
  <si>
    <t>Fecha de Firma</t>
  </si>
  <si>
    <t>C44</t>
  </si>
  <si>
    <t>link_firma</t>
  </si>
  <si>
    <t>Link de Firma</t>
  </si>
  <si>
    <t>Url</t>
  </si>
  <si>
    <t>2_lecturas_tomadas</t>
  </si>
  <si>
    <t>id_lectura</t>
  </si>
  <si>
    <t>ID Lectura</t>
  </si>
  <si>
    <t>Reporte General</t>
  </si>
  <si>
    <t>Ref</t>
  </si>
  <si>
    <t>Relación a: 1.0_medicion_espesores_general</t>
  </si>
  <si>
    <t>item</t>
  </si>
  <si>
    <t>Item</t>
  </si>
  <si>
    <t>cml</t>
  </si>
  <si>
    <t>CML / PM</t>
  </si>
  <si>
    <t>F34</t>
  </si>
  <si>
    <t>componente</t>
  </si>
  <si>
    <t>Componente / Elemento</t>
  </si>
  <si>
    <t>Tramo recto, Codo 90°</t>
  </si>
  <si>
    <t>B34</t>
  </si>
  <si>
    <t>diametro</t>
  </si>
  <si>
    <t>Diámetro (NPS)</t>
  </si>
  <si>
    <t>1/8, 1/4, 3/8, 1/2, 3/4, 1, 1 1/4, 1 1/2, 2, 2 1/2, 3, 3 1/2, 4, 5, 6, 8, 10, 12, 14, 16, 18, 20, 22, 24, 26, 28, 30, 32, 34, 36, 38, 40, 42, 44, 46, 48, 52, 56</t>
  </si>
  <si>
    <t>H34</t>
  </si>
  <si>
    <t>t_nominal</t>
  </si>
  <si>
    <t>Espesor Nominal</t>
  </si>
  <si>
    <t>I34</t>
  </si>
  <si>
    <t>med1</t>
  </si>
  <si>
    <t>Medida 1</t>
  </si>
  <si>
    <t>J34</t>
  </si>
  <si>
    <t>med2</t>
  </si>
  <si>
    <t>Medida 2</t>
  </si>
  <si>
    <t>K34</t>
  </si>
  <si>
    <t>med3</t>
  </si>
  <si>
    <t>Medida 3</t>
  </si>
  <si>
    <t>L34</t>
  </si>
  <si>
    <t>med4</t>
  </si>
  <si>
    <t>Medida 4</t>
  </si>
  <si>
    <t>M34</t>
  </si>
  <si>
    <t>med5</t>
  </si>
  <si>
    <t>Medida 5</t>
  </si>
  <si>
    <t>N34</t>
  </si>
  <si>
    <t>med6</t>
  </si>
  <si>
    <t>Medida 6</t>
  </si>
  <si>
    <t>O34</t>
  </si>
  <si>
    <t>med7</t>
  </si>
  <si>
    <t>Medida 7</t>
  </si>
  <si>
    <t>P34</t>
  </si>
  <si>
    <t>med8</t>
  </si>
  <si>
    <t>Medida 8</t>
  </si>
  <si>
    <t>Q34</t>
  </si>
  <si>
    <t>med9</t>
  </si>
  <si>
    <t>Medida 9</t>
  </si>
  <si>
    <t>R34</t>
  </si>
  <si>
    <t>med10</t>
  </si>
  <si>
    <t>Medida 10</t>
  </si>
  <si>
    <t>S34</t>
  </si>
  <si>
    <t>med11</t>
  </si>
  <si>
    <t>Medida 11</t>
  </si>
  <si>
    <t>T34</t>
  </si>
  <si>
    <t>med12</t>
  </si>
  <si>
    <t>Medida 12</t>
  </si>
  <si>
    <t>U34</t>
  </si>
  <si>
    <t>observaciones</t>
  </si>
  <si>
    <t>Observaciones</t>
  </si>
  <si>
    <t>AJ34</t>
  </si>
  <si>
    <t>3_fotografias</t>
  </si>
  <si>
    <t>id_imagenes</t>
  </si>
  <si>
    <t>ID Imagen</t>
  </si>
  <si>
    <t>imagen</t>
  </si>
  <si>
    <t>Fotografía</t>
  </si>
  <si>
    <t>Image</t>
  </si>
  <si>
    <t>A37-N37-AA37</t>
  </si>
  <si>
    <t>descripccion</t>
  </si>
  <si>
    <t>Descripción de la Foto</t>
  </si>
  <si>
    <t>A38-N38-AA38</t>
  </si>
  <si>
    <t>link_imagen</t>
  </si>
  <si>
    <t>Link de Imagen</t>
  </si>
  <si>
    <t>Solo lectura</t>
  </si>
  <si>
    <t>visualizacion</t>
  </si>
  <si>
    <t>Visualización</t>
  </si>
  <si>
    <t>INSTRUCTIVO</t>
  </si>
  <si>
    <t>IT– OPE – C –</t>
  </si>
  <si>
    <t>INSTRUCTIVO DE REGISTRO Y APROBACIÓN DE REPORTES DIARIOS</t>
  </si>
  <si>
    <t>Versión</t>
  </si>
  <si>
    <t>Fecha</t>
  </si>
  <si>
    <t>26/02/2026</t>
  </si>
  <si>
    <t>Página</t>
  </si>
  <si>
    <t>2 de 40</t>
  </si>
  <si>
    <t>certificado</t>
  </si>
  <si>
    <t>lectura</t>
  </si>
  <si>
    <t>LinkReporte</t>
  </si>
  <si>
    <t>link_datas</t>
  </si>
  <si>
    <t>copiado</t>
  </si>
  <si>
    <t>REPORT_SCAN9556eeca</t>
  </si>
  <si>
    <t>CENIT</t>
  </si>
  <si>
    <t>001</t>
  </si>
  <si>
    <t>CAR</t>
  </si>
  <si>
    <t>Estación Ayacucho</t>
  </si>
  <si>
    <t>Trampa de recibo</t>
  </si>
  <si>
    <t>Medición de espesores por ultrasonido (UT), en trampa de recibo.</t>
  </si>
  <si>
    <t>ASTME 797</t>
  </si>
  <si>
    <t>API 510</t>
  </si>
  <si>
    <t>N/R</t>
  </si>
  <si>
    <t>REGULAR</t>
  </si>
  <si>
    <t>Se evidencia pérdida puntual del recubrimiento, presentando en algunos sectores oxidación superficial debido a la exposición del metal base. Adicionalmente, se observan manchas de crudo sobre la superficie.</t>
  </si>
  <si>
    <t>Clase 1500</t>
  </si>
  <si>
    <t>siui</t>
  </si>
  <si>
    <t>Smartor</t>
  </si>
  <si>
    <t>M06310180011R</t>
  </si>
  <si>
    <t>07-09-2023</t>
  </si>
  <si>
    <t>5MHz-PT-8</t>
  </si>
  <si>
    <t>5 Hz</t>
  </si>
  <si>
    <t>28</t>
  </si>
  <si>
    <t>Escalerilla</t>
  </si>
  <si>
    <t>P-OP-AP-67</t>
  </si>
  <si>
    <t>UT ( Medición de espesores por ultrasonido)</t>
  </si>
  <si>
    <t>5920</t>
  </si>
  <si>
    <t>1_general_Images/REPORT_SCAN9556eeca.firma.204147.png</t>
  </si>
  <si>
    <t>John Jairo Rivera Heredia</t>
  </si>
  <si>
    <t>Técnico END</t>
  </si>
  <si>
    <t>https://docs.google.com/spreadsheets/d/1jZ8Zg0xGxLBcgiA_fGElusYwHu4dwB8H/edit?usp=drivesdk&amp;ouid=114509209988000595237&amp;rtpof=true&amp;sd=true</t>
  </si>
  <si>
    <t>REPORT_SCANbf5cce12</t>
  </si>
  <si>
    <t>002</t>
  </si>
  <si>
    <t>Estación ayacucho</t>
  </si>
  <si>
    <t>Trampa despacho, Caño limón Coveñas L24</t>
  </si>
  <si>
    <t>Medición de espesores por ultrasonido (UT), en trampa de despacho.</t>
  </si>
  <si>
    <t>ASTM E 797</t>
  </si>
  <si>
    <t>Entizamiento, manchas de crudo, desprendimiento en ciertas zonas</t>
  </si>
  <si>
    <t>2680 PSI@120°F"</t>
  </si>
  <si>
    <t>Siui</t>
  </si>
  <si>
    <t>07/09/2023</t>
  </si>
  <si>
    <t>5MHz(5M)-PT-08</t>
  </si>
  <si>
    <t>5 MHz</t>
  </si>
  <si>
    <t>P-OPE-AP-67</t>
  </si>
  <si>
    <t>UT (medición de espesores por ultrasonido)</t>
  </si>
  <si>
    <t>1_general_Images/REPORT_SCANbf5cce12.firma.042042.png</t>
  </si>
  <si>
    <t>Inspector END</t>
  </si>
  <si>
    <t>https://docs.google.com/spreadsheets/d/1Hr-YJuUGiNk13R8RJbqWIK-cFuQMjt28/edit?usp=drivesdk&amp;ouid=114509209988000595237&amp;rtpof=true&amp;sd=true</t>
  </si>
  <si>
    <t>REPORT_SCAN907c5009</t>
  </si>
  <si>
    <t>occ</t>
  </si>
  <si>
    <t>Sebastopol-San José del Nuz</t>
  </si>
  <si>
    <t>Medición de espesores por ultrasonido (UT)trampa de recibo.</t>
  </si>
  <si>
    <t>Se evidencia presencia de moho sobre el recubrimiento, asociado a condiciones de humedad y vegetación aledaña a la trampa.</t>
  </si>
  <si>
    <t>600</t>
  </si>
  <si>
    <t>1180 psi</t>
  </si>
  <si>
    <t>ASME B31.4</t>
  </si>
  <si>
    <t>SIUI</t>
  </si>
  <si>
    <t>SMARTOR</t>
  </si>
  <si>
    <t>5MHz(5m)-PT-08</t>
  </si>
  <si>
    <t>5MHz</t>
  </si>
  <si>
    <t>16</t>
  </si>
  <si>
    <t>UT (medición de espesores por ultrasonido).</t>
  </si>
  <si>
    <t>1_general_Images/REPORT_SCAN907c5009.firma.235814.png</t>
  </si>
  <si>
    <t>Tecnico END</t>
  </si>
  <si>
    <t>https://docs.google.com/spreadsheets/d/1XMVmqRTxNlhhvBuuIBA5IdROvo66YLE-/edit?usp=drivesdk&amp;ouid=114509209988000595237&amp;rtpof=true&amp;sd=true</t>
  </si>
  <si>
    <t>REPORT_SCAN15d2fcaf</t>
  </si>
  <si>
    <t>13/03/2026</t>
  </si>
  <si>
    <t>OCC</t>
  </si>
  <si>
    <t>Sebastopol-San José del Nuz-PK 61+253.</t>
  </si>
  <si>
    <t>Trampa de despacho</t>
  </si>
  <si>
    <t>Medición de espesores por ultrasonido(UT)</t>
  </si>
  <si>
    <t>ASME 797</t>
  </si>
  <si>
    <t>Se evidencia presencia de moho en el recubrimiento, asociada a condiciones de humedad y vegetación aledaña a la trampa.</t>
  </si>
  <si>
    <t>20</t>
  </si>
  <si>
    <t>UT (Medición de espesores por ultrasonido)</t>
  </si>
  <si>
    <t>1_general_Images/REPORT_SCAN15d2fcaf.firma.212144.png</t>
  </si>
  <si>
    <t>https://docs.google.com/spreadsheets/d/1abPAra4tii4kLQMYDb4Hj2q0BbkBEhO7/edit?usp=drivesdk&amp;ouid=114509209988000595237&amp;rtpof=true&amp;sd=true</t>
  </si>
  <si>
    <t>REPORT_SCAN20494428</t>
  </si>
  <si>
    <t>1</t>
  </si>
  <si>
    <t>OCCIDENTE</t>
  </si>
  <si>
    <t>DAGUA</t>
  </si>
  <si>
    <t>TRAMPA DESPACHO</t>
  </si>
  <si>
    <t>Medición de espesores por ultrasonido (UT) SCAN-A</t>
  </si>
  <si>
    <t>API510</t>
  </si>
  <si>
    <t>Sin recubrimiento.</t>
  </si>
  <si>
    <t>9/4/2025</t>
  </si>
  <si>
    <t>5MHz(5mm)-PT-08</t>
  </si>
  <si>
    <t>5mm</t>
  </si>
  <si>
    <t>Escalerilla 5 pasos</t>
  </si>
  <si>
    <t>Acero al carbono</t>
  </si>
  <si>
    <t>Medición de espesores (UT)</t>
  </si>
  <si>
    <t>5852m/s</t>
  </si>
  <si>
    <t>1_general_Images/REPORT_SCAN20494428.firma.220252.png</t>
  </si>
  <si>
    <t>CRISTIAN DAVID FERRO</t>
  </si>
  <si>
    <t>INSPECTOR MECÁNICO</t>
  </si>
  <si>
    <t>https://docs.google.com/spreadsheets/d/1Umybe9NnySSXN1zlyDiiEeW8WaT2hDk2/edit?usp=drivesdk&amp;ouid=114509209988000595237&amp;rtpof=true&amp;sd=true</t>
  </si>
  <si>
    <t>REPORT_SCANa87d5bc9</t>
  </si>
  <si>
    <t>https://docs.google.com/spreadsheets/d/1biC6R-9Q1BMmtl80Ww-uPBM_m6G4zcdJ/edit?usp=drivesdk&amp;ouid=114509209988000595237&amp;rtpof=true&amp;sd=true</t>
  </si>
  <si>
    <t>REPORT_SCAN4652fcd3</t>
  </si>
  <si>
    <t>YUMBO</t>
  </si>
  <si>
    <t>Salgar-Yumbo (ODECA)</t>
  </si>
  <si>
    <t>Se evidencia deterioro del recubrimiento caracterizado por decoloración, entizamiento y pérdidas puntuales, generando exposición del metal base y presencia de oxidación localizada.</t>
  </si>
  <si>
    <t>900</t>
  </si>
  <si>
    <t>18/03/2026</t>
  </si>
  <si>
    <t>6"</t>
  </si>
  <si>
    <t>1_general_Images/REPORT_SCAN400b8f00.firma.190023.png</t>
  </si>
  <si>
    <t>https://docs.google.com/spreadsheets/d/1PeGi2QUbDaZq6AHGahAdEpLG0uxsnJGf/edit?usp=drivesdk&amp;ouid=114509209988000595237&amp;rtpof=true&amp;sd=true</t>
  </si>
  <si>
    <t>REPORT_SCAN400b8f00</t>
  </si>
  <si>
    <t>Mulalo PK 97+003, Trampa de recibo.</t>
  </si>
  <si>
    <t>Buenaventura-Yumbo</t>
  </si>
  <si>
    <t>ASME B31.3, ASME B31.4, API 1104</t>
  </si>
  <si>
    <t>09/04/2025</t>
  </si>
  <si>
    <t>14"</t>
  </si>
  <si>
    <t>Medición de espesores por ultrasonido (UT-WT).</t>
  </si>
  <si>
    <t>https://docs.google.com/spreadsheets/d/1lYL5jD8sJNunzi4b4bq4ro35jWxBBf2k/edit?usp=drivesdk&amp;ouid=114509209988000595237&amp;rtpof=true&amp;sd=true</t>
  </si>
  <si>
    <t>REPORT_SCAN5947b5f6</t>
  </si>
  <si>
    <t>Occ</t>
  </si>
  <si>
    <t>PK 98+050,  Trampa despacho mulalo</t>
  </si>
  <si>
    <t>Medición de espesores mediante ultrasonido (UT-WT).</t>
  </si>
  <si>
    <t>ASTM E797</t>
  </si>
  <si>
    <t>9-04-2025</t>
  </si>
  <si>
    <t>5MHZ(5M)-PT-08</t>
  </si>
  <si>
    <t>8"</t>
  </si>
  <si>
    <t>5 pasos</t>
  </si>
  <si>
    <t>1_general_Images/REPORT_SCAN5947b5f6.firma.133728.png</t>
  </si>
  <si>
    <t>https://docs.google.com/spreadsheets/d/1kl_GqEiJW0wgRrQhNzQYa8ATthYpUgdq/edit?usp=drivesdk&amp;ouid=114509209988000595237&amp;rtpof=true&amp;sd=true</t>
  </si>
  <si>
    <t>REPORT_SCAN2d39c89c</t>
  </si>
  <si>
    <t>03-f-001.32</t>
  </si>
  <si>
    <t>https://docs.google.com/spreadsheets/d/1MusYpjx76mBMOWEiuezchN0HQlZmUjYE/edit?usp=drivesdk&amp;ouid=114509209988000595237&amp;rtpof=true&amp;sd=true</t>
  </si>
  <si>
    <t>REPORT_SCANedf05d2a</t>
  </si>
  <si>
    <t>FRONTERA</t>
  </si>
  <si>
    <t>N/A</t>
  </si>
  <si>
    <t>Planta saara</t>
  </si>
  <si>
    <t>03-F-002.33 Filtro</t>
  </si>
  <si>
    <t>ASME B36.4 /ASTM E 797</t>
  </si>
  <si>
    <t>Epóxico</t>
  </si>
  <si>
    <t>BUENO</t>
  </si>
  <si>
    <t>150</t>
  </si>
  <si>
    <t>80</t>
  </si>
  <si>
    <t>M06310180019R</t>
  </si>
  <si>
    <t>6/12/25</t>
  </si>
  <si>
    <t>Dual</t>
  </si>
  <si>
    <t>7.5 Mhz</t>
  </si>
  <si>
    <t>6</t>
  </si>
  <si>
    <t>Escalerilla 4 pasos</t>
  </si>
  <si>
    <t>Medición de espesores</t>
  </si>
  <si>
    <t>1_general_Images/REPORT_SCANedf05d2a.firma.155313.png</t>
  </si>
  <si>
    <t>Stefany Alejandra Fonseca Morales</t>
  </si>
  <si>
    <t>Inspector mecánico</t>
  </si>
  <si>
    <t>https://docs.google.com/spreadsheets/d/1CBsXGQA_CHS1i6GwvudeHknJFUqqVzml/edit?usp=drivesdk&amp;ouid=114509209988000595237&amp;rtpof=true&amp;sd=true</t>
  </si>
  <si>
    <t>x</t>
  </si>
  <si>
    <t>REPORT_SCAN29e62d04</t>
  </si>
  <si>
    <t>8000008077</t>
  </si>
  <si>
    <t>Sur.</t>
  </si>
  <si>
    <t>Orito.</t>
  </si>
  <si>
    <t>Despacho.</t>
  </si>
  <si>
    <t>Medición de espesores por ultrasonido A-Scan a trampa de despacho TG-002 de la estación Orito del cliente CENIT.</t>
  </si>
  <si>
    <t>ASTM E-797.</t>
  </si>
  <si>
    <t>API 510.</t>
  </si>
  <si>
    <t>Acero al carbono.</t>
  </si>
  <si>
    <t>ASME B31.4.</t>
  </si>
  <si>
    <t>OLYMPUS.</t>
  </si>
  <si>
    <t>38DL PLUS.</t>
  </si>
  <si>
    <t>1306487005.</t>
  </si>
  <si>
    <t>01/12/2025</t>
  </si>
  <si>
    <t>D790 - SM.</t>
  </si>
  <si>
    <t>5 MHz.</t>
  </si>
  <si>
    <t>5 mm.</t>
  </si>
  <si>
    <t>Escalerilla 5 pasos.</t>
  </si>
  <si>
    <t>P-OPE-AP-67.</t>
  </si>
  <si>
    <t>Medición de espesores por UT A-Scan.</t>
  </si>
  <si>
    <t>5920 m/s.</t>
  </si>
  <si>
    <t>1_general_Images/REPORT_SCAN29e62d04.firma.160357.png</t>
  </si>
  <si>
    <t>Álvaro Javier Daza Cotamo.</t>
  </si>
  <si>
    <t>Ingeniero Inspector I.</t>
  </si>
  <si>
    <t>https://docs.google.com/spreadsheets/d/1ZSQnsI1SFcVzdUGjrNZWWDgWA8uJL72W/edit?usp=drivesdk&amp;ouid=114509209988000595237&amp;rtpof=true&amp;sd=true</t>
  </si>
  <si>
    <t>REPORT_SCAN33e90de1</t>
  </si>
  <si>
    <t>2476</t>
  </si>
  <si>
    <t>03-F-002.44 Filtro</t>
  </si>
  <si>
    <t>ASME B36.4/ASTM E 797</t>
  </si>
  <si>
    <t>6/12/2025</t>
  </si>
  <si>
    <t>5934</t>
  </si>
  <si>
    <t>1_general_Images/REPORT_SCAN33e90de1.firma.201054.png</t>
  </si>
  <si>
    <t>https://docs.google.com/spreadsheets/d/1R8JIPvf0YI28ZZLGLVe97cNvZmuK-Ojh/edit?usp=drivesdk&amp;ouid=114509209988000595237&amp;rtpof=true&amp;sd=true</t>
  </si>
  <si>
    <t>REPORT_SCAN32dec6f8</t>
  </si>
  <si>
    <t>2</t>
  </si>
  <si>
    <t>03-F-002.35 Filtro</t>
  </si>
  <si>
    <t>M063100180019R</t>
  </si>
  <si>
    <t>1_general_Images/REPORT_SCAN32dec6f8.firma.213600.png</t>
  </si>
  <si>
    <t>https://docs.google.com/spreadsheets/d/1pMFtDK2T2fYePOm58YSgrue0pr_OPC4b/edit?usp=drivesdk&amp;ouid=114509209988000595237&amp;rtpof=true&amp;sd=true</t>
  </si>
  <si>
    <t>REPORT_SCAN5806bcd5</t>
  </si>
  <si>
    <t>3</t>
  </si>
  <si>
    <t>03-F-002.36 Filtro</t>
  </si>
  <si>
    <t>06/12/2025</t>
  </si>
  <si>
    <t>Escalerilla de 4 pasos</t>
  </si>
  <si>
    <t>1_general_Images/REPORT_SCAN5806bcd5.firma.044441.png</t>
  </si>
  <si>
    <t>https://docs.google.com/spreadsheets/d/1vlCQZjZs5oKaecBqUXQVidWL83RIlHS1/edit?usp=drivesdk&amp;ouid=114509209988000595237&amp;rtpof=true&amp;sd=true</t>
  </si>
  <si>
    <t>REPORT_SCANc2865929</t>
  </si>
  <si>
    <t>24-76</t>
  </si>
  <si>
    <t>PUERTO GAITAN</t>
  </si>
  <si>
    <t>PLANTA SAARA</t>
  </si>
  <si>
    <t>FW-FRP-16"-DN400-PN10-1008</t>
  </si>
  <si>
    <t>ASTM E1067</t>
  </si>
  <si>
    <t>Fibra de vidrio</t>
  </si>
  <si>
    <t>M06310180005R</t>
  </si>
  <si>
    <t>8/26/2025</t>
  </si>
  <si>
    <t>1 MHZ</t>
  </si>
  <si>
    <t>21</t>
  </si>
  <si>
    <t>Scan A</t>
  </si>
  <si>
    <t>2830</t>
  </si>
  <si>
    <t>1_general_Images/REPORT_SCANc2865929.firma.025340.png</t>
  </si>
  <si>
    <t>JULIAN RICARDO RIVERA NUNCIRA</t>
  </si>
  <si>
    <t>Profesional en entrenamiento</t>
  </si>
  <si>
    <t>1_general_Files_/REPORT_SCANc2865929.lectura.025340.xls</t>
  </si>
  <si>
    <t>X</t>
  </si>
  <si>
    <t>REPORT_SCAN8c059f5e</t>
  </si>
  <si>
    <t>SAARA</t>
  </si>
  <si>
    <t>FW-FRP-16"-DN400-PN10-1205</t>
  </si>
  <si>
    <t>2MHZ</t>
  </si>
  <si>
    <t>3.5</t>
  </si>
  <si>
    <t>Fibra</t>
  </si>
  <si>
    <t>SCAN A</t>
  </si>
  <si>
    <t>1_general_Images/REPORT_SCAN8c059f5e.firma.025849.png</t>
  </si>
  <si>
    <t>1_general_Files_/REPORT_SCAN8c059f5e.lectura.025849.xls</t>
  </si>
  <si>
    <t>REPORT_SCANc9d26dcc</t>
  </si>
  <si>
    <t>FW-FRP-16"-DN400-PN10-1210</t>
  </si>
  <si>
    <t>1_general_Images/REPORT_SCANc9d26dcc.firma.030123.png</t>
  </si>
  <si>
    <t>1_general_Files_/REPORT_SCANc9d26dcc.lectura.030123.xls</t>
  </si>
  <si>
    <t>REPORT_SCANff54722d</t>
  </si>
  <si>
    <t>5</t>
  </si>
  <si>
    <t>03-F-002.46 Filtro</t>
  </si>
  <si>
    <t>5890</t>
  </si>
  <si>
    <t>1_general_Images/REPORT_SCANff54722d.firma.035535.png</t>
  </si>
  <si>
    <t>https://docs.google.com/spreadsheets/d/16XEKy03i90nYx3KAzEUfq3nLNi_rpwne/edit?usp=drivesdk&amp;ouid=114509209988000595237&amp;rtpof=true&amp;sd=true</t>
  </si>
  <si>
    <t>REPORT_SCAN8c23f251</t>
  </si>
  <si>
    <t>4</t>
  </si>
  <si>
    <t>Planta Saara</t>
  </si>
  <si>
    <t>03-F-002.40 Filtro</t>
  </si>
  <si>
    <t>1_general_Images/REPORT_SCAN8c23f251.firma.100150.png</t>
  </si>
  <si>
    <t>https://docs.google.com/spreadsheets/d/1SVxcS_wr6gnkrxgo9MejIRyqbKiZiZtA/edit?usp=drivesdk&amp;ouid=114509209988000595237&amp;rtpof=true&amp;sd=true</t>
  </si>
  <si>
    <t>REPORT_SCAN124612ed</t>
  </si>
  <si>
    <t>03-F-002.42</t>
  </si>
  <si>
    <t>5984</t>
  </si>
  <si>
    <t>1_general_Images/REPORT_SCAN124612ed.firma.102229.png</t>
  </si>
  <si>
    <t>https://docs.google.com/spreadsheets/d/10rQWdq6MUGYpSSY7NsHsfF663xnykS3p/edit?usp=drivesdk&amp;ouid=114509209988000595237&amp;rtpof=true&amp;sd=true</t>
  </si>
  <si>
    <t>REPORT_SCAN46760222</t>
  </si>
  <si>
    <t>Estación Manizales</t>
  </si>
  <si>
    <t>Tanque pulmón aire No. 1</t>
  </si>
  <si>
    <t>Medicion de espesores por ultrasonido</t>
  </si>
  <si>
    <t>Api 510</t>
  </si>
  <si>
    <t>ACERO AL CARBONO</t>
  </si>
  <si>
    <t>300</t>
  </si>
  <si>
    <t>M06310180008R</t>
  </si>
  <si>
    <t>4/11/2025</t>
  </si>
  <si>
    <t>TGM5-10L</t>
  </si>
  <si>
    <t>5 Mhz</t>
  </si>
  <si>
    <t>914 mm</t>
  </si>
  <si>
    <t>Acero al carbón</t>
  </si>
  <si>
    <t>Medición ultrasónica de espesor (UT)</t>
  </si>
  <si>
    <t>1_general_Images/REPORT_SCAN46760222.firma.113344.png</t>
  </si>
  <si>
    <t>https://docs.google.com/spreadsheets/d/15zjrl87UOooniiXy0QMDC8Uf4PfQsjxw/edit?usp=drivesdk&amp;ouid=114509209988000595237&amp;rtpof=true&amp;sd=true</t>
  </si>
  <si>
    <t>REPORT_SCAN7f660cc4</t>
  </si>
  <si>
    <t>FRP-52-DN1250-N1-011</t>
  </si>
  <si>
    <t>FRP (Fibra de vidrio)</t>
  </si>
  <si>
    <t>Sin Recubrimiento</t>
  </si>
  <si>
    <t>26/08/2025</t>
  </si>
  <si>
    <t>1 Mhz</t>
  </si>
  <si>
    <t>27</t>
  </si>
  <si>
    <t>Bloques (6,10 - 12,20)</t>
  </si>
  <si>
    <t>FRP (Fribra de vidrio)</t>
  </si>
  <si>
    <t>Medicion de espesores UT</t>
  </si>
  <si>
    <t>2753</t>
  </si>
  <si>
    <t>1_general_Images/REPORT_SCAN7f660cc4.firma.142749.png</t>
  </si>
  <si>
    <t>Mauly Alexis Buitrago Pulido</t>
  </si>
  <si>
    <t>Inspector Mecánico</t>
  </si>
  <si>
    <t>1_general_Files_/REPORT_SCAN7f660cc4.lectura.214506.xlsx</t>
  </si>
  <si>
    <t>https://docs.google.com/spreadsheets/d/15rlUsAK-2RD4mUuut5kYTd2mqmxVSEvE/edit?usp=drivesdk&amp;ouid=114509209988000595237&amp;rtpof=true&amp;sd=true</t>
  </si>
  <si>
    <t>REPORT_SCAN5092571b</t>
  </si>
  <si>
    <t>Manizales</t>
  </si>
  <si>
    <t>Tanque pulmón aire No. 2</t>
  </si>
  <si>
    <t>Medición de espesores por (UT)</t>
  </si>
  <si>
    <t>4/11/2026</t>
  </si>
  <si>
    <t>5Mhz</t>
  </si>
  <si>
    <t>914</t>
  </si>
  <si>
    <t>1_general_Images/REPORT_SCAN5092571b.firma.042557.png</t>
  </si>
  <si>
    <t>https://docs.google.com/spreadsheets/d/1kx4iiQznT265RsUATXluJTJBZWfChXCm/edit?usp=drivesdk&amp;ouid=114509209988000595237&amp;rtpof=true&amp;sd=true</t>
  </si>
  <si>
    <t>REPORT_SCAN7fe3ba8b</t>
  </si>
  <si>
    <t>PLANTA SAARA 0100</t>
  </si>
  <si>
    <t>RWFRP20-DM500-PN101100</t>
  </si>
  <si>
    <t>FPR (Fibra de vidrio)</t>
  </si>
  <si>
    <t>Suiu</t>
  </si>
  <si>
    <t>1 MHz</t>
  </si>
  <si>
    <t>FRP ( Fibra de vidrio)</t>
  </si>
  <si>
    <t>Medición de espesores UT</t>
  </si>
  <si>
    <t>2766</t>
  </si>
  <si>
    <t>1_general_Images/REPORT_SCAN7fe3ba8b.firma.170755.png</t>
  </si>
  <si>
    <t>1_general_Files_/REPORT_SCAN7fe3ba8b.lectura.214630.xlsx</t>
  </si>
  <si>
    <t>REPORT_SCAN31a09985</t>
  </si>
  <si>
    <t>RWFRP20-DM500-PN1-101</t>
  </si>
  <si>
    <t>26/08/25</t>
  </si>
  <si>
    <t>1_general_Images/REPORT_SCAN31a09985.firma.215413.png</t>
  </si>
  <si>
    <t>1_general_Files_/REPORT_SCAN31a09985.lectura.214649.xlsx</t>
  </si>
  <si>
    <t>REPORT_SCAN061c0a5f</t>
  </si>
  <si>
    <t>RWFRP20-DM500-PN1-0103</t>
  </si>
  <si>
    <t>1_general_Images/REPORT_SCAN061c0a5f.firma.221126.png</t>
  </si>
  <si>
    <t>1_general_Files_/REPORT_SCAN061c0a5f.lectura.214715.xlsx</t>
  </si>
  <si>
    <t>REPORT_SCANee1af74c</t>
  </si>
  <si>
    <t>RW-FRP-16-DM400-PNG-0105</t>
  </si>
  <si>
    <t>1_general_Images/REPORT_SCANee1af74c.firma.221826.png</t>
  </si>
  <si>
    <t>1_general_Files_/REPORT_SCANee1af74c.lectura.214740.xlsx</t>
  </si>
  <si>
    <t>REPORT_SCAN4a15116c</t>
  </si>
  <si>
    <t>RWFRP-16-DM400-PNG-0106</t>
  </si>
  <si>
    <t>1_general_Images/REPORT_SCAN4a15116c.firma.222347.png</t>
  </si>
  <si>
    <t>1_general_Files_/REPORT_SCAN4a15116c.lectura.214759.xlsx</t>
  </si>
  <si>
    <t>REPORT_SCAN9de4b382</t>
  </si>
  <si>
    <t>7</t>
  </si>
  <si>
    <t>FW-FRP-16-DN400-DN10-1211</t>
  </si>
  <si>
    <t>1_general_Images/REPORT_SCAN9de4b382.firma.144625.png</t>
  </si>
  <si>
    <t>1_general_Files_/REPORT_SCAN9de4b382.lectura.214825.xlsx</t>
  </si>
  <si>
    <t>REPORT_SCAN8cca8b44</t>
  </si>
  <si>
    <t>8</t>
  </si>
  <si>
    <t>FW-FRP-16-DN400-DN10-1212</t>
  </si>
  <si>
    <t>2825</t>
  </si>
  <si>
    <t>1_general_Images/REPORT_SCAN8cca8b44.firma.175545.png</t>
  </si>
  <si>
    <t>1_general_Files_/REPORT_SCAN8cca8b44.lectura.214845.xlsx</t>
  </si>
  <si>
    <t>REPORT_SCAN956b6b59</t>
  </si>
  <si>
    <t>9</t>
  </si>
  <si>
    <t>FW-FRP-16-DN400-DN10-1213</t>
  </si>
  <si>
    <t>Fatal (Fibra de vidrio)</t>
  </si>
  <si>
    <t>1_general_Images/REPORT_SCAN956b6b59.firma.205535.png</t>
  </si>
  <si>
    <t>1_general_Files_/REPORT_SCAN956b6b59.lectura.214905.xlsx</t>
  </si>
  <si>
    <t>REPORT_SCAN10a88c33</t>
  </si>
  <si>
    <t>10</t>
  </si>
  <si>
    <t>FW-FRP—16-DN400-DN10-1214</t>
  </si>
  <si>
    <t>1MHz</t>
  </si>
  <si>
    <t>2847</t>
  </si>
  <si>
    <t>1_general_Images/REPORT_SCAN10a88c33.firma.142848.png</t>
  </si>
  <si>
    <t>1_general_Files_/REPORT_SCAN10a88c33.lectura.214926.xlsx</t>
  </si>
  <si>
    <t>REPORT_SCAN1f436d9e</t>
  </si>
  <si>
    <t>800008077</t>
  </si>
  <si>
    <t>ORIENTE</t>
  </si>
  <si>
    <t>GUALANDAY</t>
  </si>
  <si>
    <t>TG-7602 TRAMPA DE DESPACHO GUALANDAY- NEIVA L8/6</t>
  </si>
  <si>
    <t>VT,ACFM,UT-A,UT-C,PAUT,CMAT</t>
  </si>
  <si>
    <t>API 5LX60</t>
  </si>
  <si>
    <t>M06310180018R</t>
  </si>
  <si>
    <t>20/04/2026</t>
  </si>
  <si>
    <t>DUAL</t>
  </si>
  <si>
    <t>7.5 MHz</t>
  </si>
  <si>
    <t>6 mm</t>
  </si>
  <si>
    <t>5A METRIC BLOCK</t>
  </si>
  <si>
    <t>ACERO A CARBONO</t>
  </si>
  <si>
    <t>P-OPE-AP-04</t>
  </si>
  <si>
    <t>5936 m/s</t>
  </si>
  <si>
    <t>1_general_Images/REPORT_SCAN1f436d9e.firma.221444.png</t>
  </si>
  <si>
    <t>ROMARIO ALEXANDER SALAMANCA CRUZ</t>
  </si>
  <si>
    <t>INSPECTOR MECANICO</t>
  </si>
  <si>
    <t>https://docs.google.com/spreadsheets/d/1JG9NvjSqMRkH0K2DYp0OHU1SNbtQDzjW/edit?usp=drivesdk&amp;ouid=114509209988000595237&amp;rtpof=true&amp;sd=true</t>
  </si>
  <si>
    <t>REPORT_SCANa4b3825d</t>
  </si>
  <si>
    <t>11</t>
  </si>
  <si>
    <t>FW-FRP-30-DN750-PN10-1215</t>
  </si>
  <si>
    <t>Smartot</t>
  </si>
  <si>
    <t>1_general_Images/REPORT_SCANa4b3825d.firma.005155.png</t>
  </si>
  <si>
    <t>1_general_Files_/REPORT_SCANa4b3825d.lectura.214956.xlsx</t>
  </si>
  <si>
    <t>REPORT_SCANbb9e5fd9</t>
  </si>
  <si>
    <t>FW-FRP-16"-DN400-PN10-1004</t>
  </si>
  <si>
    <t>FIBRA DE VIDRIO</t>
  </si>
  <si>
    <t>ESCALERILLA</t>
  </si>
  <si>
    <t>2772</t>
  </si>
  <si>
    <t>1_general_Images/REPORT_SCANbb9e5fd9.firma.152532.png</t>
  </si>
  <si>
    <t>JULIAN RICARO RIVERA NUNCIRA</t>
  </si>
  <si>
    <t>PROFESIONAL EN ENTRENAMIENTO</t>
  </si>
  <si>
    <t>1_general_Files_/REPORT_SCANbb9e5fd9.lectura.152532.xls</t>
  </si>
  <si>
    <t>REPORT_SCAN52b609a0</t>
  </si>
  <si>
    <t>FW-FRP-16"-DN400-PN10-1005</t>
  </si>
  <si>
    <t>1_general_Images/REPORT_SCAN52b609a0.firma.153844.png</t>
  </si>
  <si>
    <t>1_general_Files_/REPORT_SCAN52b609a0.lectura.153844.xls</t>
  </si>
  <si>
    <t>REPORT_SCANefea59e8</t>
  </si>
  <si>
    <t>FW-FRP-16"-DN400-PN10-1009</t>
  </si>
  <si>
    <t>1_general_Images/REPORT_SCANefea59e8.firma.154926.png</t>
  </si>
  <si>
    <t>1_general_Files_/REPORT_SCANefea59e8.lectura.164723.xls</t>
  </si>
  <si>
    <t>REPORT_SCAN9d4f3177</t>
  </si>
  <si>
    <t>TG-7601 TRAMPA DE RECIBO SALGAR-GUAANDAY L12</t>
  </si>
  <si>
    <t>1050</t>
  </si>
  <si>
    <t>UT-MEDICION DE ESPESORES</t>
  </si>
  <si>
    <t>1_general_Images/REPORT_SCAN9d4f3177.firma.160341.png</t>
  </si>
  <si>
    <t>https://docs.google.com/spreadsheets/d/1NAiXm6QicStv8o78mUcJ5_wkEkf8FBDd/edit?usp=drivesdk&amp;ouid=114509209988000595237&amp;rtpof=true&amp;sd=true</t>
  </si>
  <si>
    <t>REPORT_SCAN751b3aeb</t>
  </si>
  <si>
    <t>FW-FRP-16"-DN400-PN10-1010</t>
  </si>
  <si>
    <t>1_general_Images/REPORT_SCAN751b3aeb.firma.163543.png</t>
  </si>
  <si>
    <t>1_general_Files_/REPORT_SCAN751b3aeb.lectura.164710.xls</t>
  </si>
  <si>
    <t>REPORT_SCAN7ae4f57a</t>
  </si>
  <si>
    <t>FW-FRP-16"-NNNN-PN10-2003</t>
  </si>
  <si>
    <t>2837</t>
  </si>
  <si>
    <t>1_general_Images/REPORT_SCAN7ae4f57a.firma.164642.png</t>
  </si>
  <si>
    <t>1_general_Files_/REPORT_SCAN7ae4f57a.lectura.164642.xls</t>
  </si>
  <si>
    <t>REPORT_SCAN4c3ab3b7</t>
  </si>
  <si>
    <t>12</t>
  </si>
  <si>
    <t>RW-FRP-16-DM400-PNG-0107</t>
  </si>
  <si>
    <t>FRP Fibra de vidrio)</t>
  </si>
  <si>
    <t>1_general_Images/REPORT_SCAN4c3ab3b7.firma.165316.png</t>
  </si>
  <si>
    <t>1_general_Files_/REPORT_SCAN4c3ab3b7.lectura.215040.xlsx</t>
  </si>
  <si>
    <t>REPORT_SCAN94b45a38</t>
  </si>
  <si>
    <t>FW-FRP-16"-NNNN-PN10-2004</t>
  </si>
  <si>
    <t>1MKz</t>
  </si>
  <si>
    <t>1_general_Images/REPORT_SCAN94b45a38.firma.165923.png</t>
  </si>
  <si>
    <t>1_general_Files_/REPORT_SCAN94b45a38.lectura.165923.xls</t>
  </si>
  <si>
    <t>REPORT_SCAN1176f8c8</t>
  </si>
  <si>
    <t>FW-FRP-16"-NNNN-PN10-2005</t>
  </si>
  <si>
    <t>1_general_Images/REPORT_SCAN1176f8c8.firma.170645.png</t>
  </si>
  <si>
    <t>1_general_Files_/REPORT_SCAN1176f8c8.lectura.170645.xls</t>
  </si>
  <si>
    <t>REPORT_SCAN66070f00</t>
  </si>
  <si>
    <t>13</t>
  </si>
  <si>
    <t>RW-FRP-16-DN400-PN6-0107</t>
  </si>
  <si>
    <t>2857</t>
  </si>
  <si>
    <t>1_general_Images/REPORT_SCAN66070f00.firma.012808.png</t>
  </si>
  <si>
    <t>1_general_Files_/REPORT_SCAN66070f00.lectura.012808.xlsx</t>
  </si>
  <si>
    <t>REPORT_SCANdf60317c</t>
  </si>
  <si>
    <t>14</t>
  </si>
  <si>
    <t>RW-FRP-16-DN400-PN6-0108</t>
  </si>
  <si>
    <t>1_general_Images/REPORT_SCANdf60317c.firma.013341.png</t>
  </si>
  <si>
    <t>1_general_Files_/REPORT_SCANdf60317c.lectura.215122.xlsx</t>
  </si>
  <si>
    <t>REPORT_SCANdab5149e</t>
  </si>
  <si>
    <t>15</t>
  </si>
  <si>
    <t>RW-FRP-16-DN400-PN6-0109</t>
  </si>
  <si>
    <t>1_general_Images/REPORT_SCANdab5149e.firma.013808.png</t>
  </si>
  <si>
    <t>1_general_Files_/REPORT_SCANdab5149e.lectura.215142.xlsx</t>
  </si>
  <si>
    <t>REPORT_SCAN050c4563</t>
  </si>
  <si>
    <t>FW-FRP-16"-NNNN-PN10-2006</t>
  </si>
  <si>
    <t>1_general_Images/REPORT_SCAN050c4563.firma.143953.png</t>
  </si>
  <si>
    <t>1_general_Files_/REPORT_SCAN050c4563.lectura.143953.xls</t>
  </si>
  <si>
    <t>REPORT_SCANf9797762</t>
  </si>
  <si>
    <t>FW-FRP-16"-NNNN-PN10-2007</t>
  </si>
  <si>
    <t>1_general_Images/REPORT_SCANf9797762.firma.144633.png</t>
  </si>
  <si>
    <t>1_general_Files_/REPORT_SCANf9797762.lectura.144633.xls</t>
  </si>
  <si>
    <t>REPORT_SCAN32d81cbf</t>
  </si>
  <si>
    <t>FW-FRP-16"-NNNN-PN10-2010</t>
  </si>
  <si>
    <t>1_general_Images/REPORT_SCAN32d81cbf.firma.150001.png</t>
  </si>
  <si>
    <t>1_general_Files_/REPORT_SCAN32d81cbf.lectura.150001.xls</t>
  </si>
  <si>
    <t>REPORT_SCANf91c04ac</t>
  </si>
  <si>
    <t>RW-FRP30-DN750-PN6-0110</t>
  </si>
  <si>
    <t>2831</t>
  </si>
  <si>
    <t>1_general_Images/REPORT_SCANf91c04ac.firma.164901.png</t>
  </si>
  <si>
    <t>1_general_Files_/REPORT_SCANf91c04ac.lectura.215216.xlsx</t>
  </si>
  <si>
    <t>REPORT_SCAN501e3aeb</t>
  </si>
  <si>
    <t>FW-FRP-16"-DN400-PN10-1001</t>
  </si>
  <si>
    <t>2MHz</t>
  </si>
  <si>
    <t>2533</t>
  </si>
  <si>
    <t>1_general_Images/REPORT_SCAN501e3aeb.firma.203052.png</t>
  </si>
  <si>
    <t>1_general_Files_/REPORT_SCAN501e3aeb.lectura.203052.1.xls</t>
  </si>
  <si>
    <t>REPORT_SCANe4ad7a73</t>
  </si>
  <si>
    <t>FW-FRP-16"-DN400-PN10-1002</t>
  </si>
  <si>
    <t>1_general_Images/REPORT_SCANe4ad7a73.firma.204322.png</t>
  </si>
  <si>
    <t>1_general_Files_/REPORT_SCANe4ad7a73.lectura.204322.1.xls</t>
  </si>
  <si>
    <t>REPORT_SCAN461cb1f7</t>
  </si>
  <si>
    <t>FW-FRP-16"-DN400-PN10-1006</t>
  </si>
  <si>
    <t>1_general_Images/REPORT_SCAN461cb1f7.firma.210417.png</t>
  </si>
  <si>
    <t>1_general_Files_/REPORT_SCAN461cb1f7.lectura.211935.1.xls</t>
  </si>
  <si>
    <t>REPORT_SCAN9f28359a</t>
  </si>
  <si>
    <t>17</t>
  </si>
  <si>
    <t>FW-FRP-16"-DN400-PN10-1007</t>
  </si>
  <si>
    <t>1_general_Images/REPORT_SCAN9f28359a.firma.212235.png</t>
  </si>
  <si>
    <t>1_general_Files_/REPORT_SCAN9f28359a.lectura.212235.1.xls</t>
  </si>
  <si>
    <t>REPORT_SCAN6ee5e288</t>
  </si>
  <si>
    <t>FW-FRP-30-DN750-PN6-0407</t>
  </si>
  <si>
    <t>2781</t>
  </si>
  <si>
    <t>1_general_Images/REPORT_SCAN6ee5e288.firma.142251.png</t>
  </si>
  <si>
    <t>1_general_Files_/REPORT_SCAN6ee5e288.lectura.215439.xlsx</t>
  </si>
  <si>
    <t>REPORT_SCANc622fe53</t>
  </si>
  <si>
    <t>18</t>
  </si>
  <si>
    <t>RW-FRP-30-DN750-PN6-0201</t>
  </si>
  <si>
    <t>1_general_Images/REPORT_SCANc622fe53.firma.215955.png</t>
  </si>
  <si>
    <t>1_general_Files_/REPORT_SCANc622fe53.lectura.220143.xlsx</t>
  </si>
  <si>
    <t>REPORT_SCAN3a259b3a</t>
  </si>
  <si>
    <t>BAKER HUGHES</t>
  </si>
  <si>
    <t>Prueba_nueva_informacion</t>
  </si>
  <si>
    <t>1_general_Images/REPORT_SCAN3a259b3a.firma.191216.png</t>
  </si>
  <si>
    <t>Diego Alejandro Hernandez Blanco</t>
  </si>
  <si>
    <t>Ingeniero de Desarrollo</t>
  </si>
  <si>
    <t>REPORT_SCAN35fdfb62</t>
  </si>
  <si>
    <t>19</t>
  </si>
  <si>
    <t>FW-FRP-30DN750-PN6-1011</t>
  </si>
  <si>
    <t>Medicion de espesores</t>
  </si>
  <si>
    <t>2756</t>
  </si>
  <si>
    <t>1_general_Images/REPORT_SCAN35fdfb62.firma.201049.png</t>
  </si>
  <si>
    <t>1_general_Files_/REPORT_SCAN35fdfb62.lectura.201500.xlsx</t>
  </si>
  <si>
    <t>REPORT_SCAN5e93f51b</t>
  </si>
  <si>
    <t>RW-FRP-DN750-PN6-0202</t>
  </si>
  <si>
    <t>8/26/2026</t>
  </si>
  <si>
    <t>ESCALERRILLA</t>
  </si>
  <si>
    <t>2727</t>
  </si>
  <si>
    <t>1_general_Images/REPORT_SCAN5e93f51b.firma.232549.png</t>
  </si>
  <si>
    <t>1_general_Files_/REPORT_SCAN5e93f51b.lectura.201023.xlsx</t>
  </si>
  <si>
    <t>REPORT_SCAN8d23f065</t>
  </si>
  <si>
    <t>FW-FRP-16-DN400-PN6-1201</t>
  </si>
  <si>
    <t>SCALERILLA</t>
  </si>
  <si>
    <t>2712</t>
  </si>
  <si>
    <t>1_general_Images/REPORT_SCAN8d23f065.firma.165935.png</t>
  </si>
  <si>
    <t>PROFESIONA EN ENTRENAMIENTO</t>
  </si>
  <si>
    <t>1_general_Files_/REPORT_SCAN8d23f065.lectura.201206.xlsx</t>
  </si>
  <si>
    <t>REPORT_SCAN76c789fc</t>
  </si>
  <si>
    <t>FW-FRP-16-DN400-PN6-1204</t>
  </si>
  <si>
    <t>2832</t>
  </si>
  <si>
    <t>1_general_Images/REPORT_SCAN76c789fc.firma.170615.png</t>
  </si>
  <si>
    <t>1_general_Files_/REPORT_SCAN76c789fc.lectura.201525.xlsx</t>
  </si>
  <si>
    <t>REPORT_SCAN22a5c561</t>
  </si>
  <si>
    <t>FW-FRP-14-DN400-PN6-1204</t>
  </si>
  <si>
    <t>FIBRA DE VIRIO</t>
  </si>
  <si>
    <t>2629</t>
  </si>
  <si>
    <t>1_general_Images/REPORT_SCAN22a5c561.firma.170947.png</t>
  </si>
  <si>
    <t>1_general_Files_/REPORT_SCAN22a5c561.lectura.170947.xlsx</t>
  </si>
  <si>
    <t>REPORT_SCAN4f05635f</t>
  </si>
  <si>
    <t>Tanque 03-T-022</t>
  </si>
  <si>
    <t>14/05/2026</t>
  </si>
  <si>
    <t>2749</t>
  </si>
  <si>
    <t>1_general_Images/REPORT_SCAN4f05635f.firma.212228.png</t>
  </si>
  <si>
    <t>1_general_Files_/REPORT_SCAN4f05635f.lectura.213735.xlsx</t>
  </si>
  <si>
    <t>REPORT_SCAN79868e2e</t>
  </si>
  <si>
    <t>Tanque 03-T-023</t>
  </si>
  <si>
    <t>Pintura</t>
  </si>
  <si>
    <t>1_general_Images/REPORT_SCAN79868e2e.firma.213619.png</t>
  </si>
  <si>
    <t>1_general_Files_/REPORT_SCAN79868e2e.lectura.213756.xlsx</t>
  </si>
  <si>
    <t>REPORT_SCAN24445409</t>
  </si>
  <si>
    <t>22</t>
  </si>
  <si>
    <t>Línea 60"</t>
  </si>
  <si>
    <t>1_general_Images/REPORT_SCAN24445409.firma.214647.png</t>
  </si>
  <si>
    <t>1_general_Files_/REPORT_SCAN24445409.lectura.214854.xlsx</t>
  </si>
  <si>
    <t>REPORT_SCAN7cb41477</t>
  </si>
  <si>
    <t>FW-FRP-16-DN400-PN6-1206</t>
  </si>
  <si>
    <t>1_general_Images/REPORT_SCAN7cb41477.firma.134317.png</t>
  </si>
  <si>
    <t>1_general_Files_/REPORT_SCAN7cb41477.lectura.134317.xlsx</t>
  </si>
  <si>
    <t>REPORT_SCANadace40a</t>
  </si>
  <si>
    <t>FW-FRP-16-DN400-PN6-1207</t>
  </si>
  <si>
    <t>FIBRAD E VIDRIO</t>
  </si>
  <si>
    <t>SCALERRILA</t>
  </si>
  <si>
    <t>1_general_Images/REPORT_SCANadace40a.firma.134735.png</t>
  </si>
  <si>
    <t>1_general_Files_/REPORT_SCANadace40a.lectura.134735.xlsx</t>
  </si>
  <si>
    <t>REPORT_SCANf4170335</t>
  </si>
  <si>
    <t>FW-FRP-16-DN400-P6-1208</t>
  </si>
  <si>
    <t>21MHz</t>
  </si>
  <si>
    <t>2671</t>
  </si>
  <si>
    <t>1_general_Images/REPORT_SCANf4170335.firma.135241.png</t>
  </si>
  <si>
    <t>1_general_Files_/REPORT_SCANf4170335.lectura.135241.xlsx</t>
  </si>
  <si>
    <t>REPORT_SCAN61ef3ec8</t>
  </si>
  <si>
    <t>FW-FRP-16-DN400-PN6-1209</t>
  </si>
  <si>
    <t>1_general_Images/REPORT_SCAN61ef3ec8.firma.135655.png</t>
  </si>
  <si>
    <t>1_general_Files_/REPORT_SCAN61ef3ec8.lectura.135655.xlsx</t>
  </si>
  <si>
    <t>REPORT_SCAN0bb62339</t>
  </si>
  <si>
    <t>MPV INTEG Filtro AMF 03-F-002.32</t>
  </si>
  <si>
    <t>ASME B36.4 /ASTM E 798</t>
  </si>
  <si>
    <t>ACERO AL CARBNO</t>
  </si>
  <si>
    <t>151</t>
  </si>
  <si>
    <t>3.8</t>
  </si>
  <si>
    <t>1_general_Images/REPORT_SCAN0bb62339.firma.140327.png</t>
  </si>
  <si>
    <t>1_general_Files_/REPORT_SCAN0bb62339.lectura.140327.xlsx</t>
  </si>
  <si>
    <t>https://docs.google.com/spreadsheets/d/13ovnaZmRKX-TE4JNiW6O5VRxv3kPR_RC/edit?usp=drivesdk&amp;ouid=114509209988000595237&amp;rtpof=true&amp;sd=true</t>
  </si>
  <si>
    <t>REPORT_SCANe48fbd25</t>
  </si>
  <si>
    <t>MPV INTEG Filtro AMF 03-F-002.34</t>
  </si>
  <si>
    <t>ASME B36.4 /ASTM E 799</t>
  </si>
  <si>
    <t>152</t>
  </si>
  <si>
    <t>6038</t>
  </si>
  <si>
    <t>1_general_Images/REPORT_SCANe48fbd25.firma.140647.png</t>
  </si>
  <si>
    <t>PROFESIONA EL ENTRENAMIENTO</t>
  </si>
  <si>
    <t>1_general_Files_/REPORT_SCANe48fbd25.lectura.140647.xlsx</t>
  </si>
  <si>
    <t>https://docs.google.com/spreadsheets/d/11c1iiP-DE5xkj191sbzzM-HH4gX9Wybq/edit?usp=drivesdk&amp;ouid=114509209988000595237&amp;rtpof=true&amp;sd=true</t>
  </si>
  <si>
    <t>REPORT_SCANc10e7570</t>
  </si>
  <si>
    <t>MPV INTEG Filtro AMF 03-F-002.38</t>
  </si>
  <si>
    <t>ASME B36.4 /ASTM E 800</t>
  </si>
  <si>
    <t>153</t>
  </si>
  <si>
    <t>5873</t>
  </si>
  <si>
    <t>1_general_Images/REPORT_SCANc10e7570.firma.140952.png</t>
  </si>
  <si>
    <t>1_general_Files_/REPORT_SCANc10e7570.lectura.140952.xlsx</t>
  </si>
  <si>
    <t>https://docs.google.com/spreadsheets/d/1enprO7X56MAYorG3ZdKqQBE3JhKSx_6O/edit?usp=drivesdk&amp;ouid=114509209988000595237&amp;rtpof=true&amp;sd=true</t>
  </si>
  <si>
    <t>REPORT_SCAN59a6701b</t>
  </si>
  <si>
    <t>MPV INTEG Filtro AMF 03-F-002.48</t>
  </si>
  <si>
    <t>ASME B36.4 /ASTM E 801</t>
  </si>
  <si>
    <t>154</t>
  </si>
  <si>
    <t>1_general_Images/REPORT_SCAN59a6701b.firma.141247.png</t>
  </si>
  <si>
    <t>1_general_Files_/REPORT_SCAN59a6701b.lectura.141247.xlsx</t>
  </si>
  <si>
    <t>https://docs.google.com/spreadsheets/d/1ysIqAT2SSz_CuUCnozSiHTP1o3MjHdT7/edit?usp=drivesdk&amp;ouid=114509209988000595237&amp;rtpof=true&amp;sd=true</t>
  </si>
  <si>
    <t>REPORT_SCANac75be1f</t>
  </si>
  <si>
    <t>MPV TQ Aire Comp HIDROPOB 05-T-019</t>
  </si>
  <si>
    <t>ASME B36.4 /ASTM E 802</t>
  </si>
  <si>
    <t>155</t>
  </si>
  <si>
    <t>5896</t>
  </si>
  <si>
    <t>1_general_Images/REPORT_SCANac75be1f.firma.141711.png</t>
  </si>
  <si>
    <t>1_general_Files_/REPORT_SCANac75be1f.lectura.141711.xlsx</t>
  </si>
  <si>
    <t>https://docs.google.com/spreadsheets/d/1Mzn5AHInZGuGFQGIRrKgBaSUhSMCaSB9/edit?usp=drivesdk&amp;ouid=114509209988000595237&amp;rtpof=true&amp;sd=true</t>
  </si>
  <si>
    <t>REPORT_SCANa734b956</t>
  </si>
  <si>
    <t>RW-FRP-30-DN750-PN6-0202</t>
  </si>
  <si>
    <t>1_general_Images/REPORT_SCANa734b956.firma.142627.png</t>
  </si>
  <si>
    <t>1_general_Files_/REPORT_SCANa734b956.lectura.142627.xlsx</t>
  </si>
  <si>
    <t>REPORT_SCANc49da5c0</t>
  </si>
  <si>
    <t>23</t>
  </si>
  <si>
    <t>DR-FRP-20-DN500-PN10403</t>
  </si>
  <si>
    <t>26</t>
  </si>
  <si>
    <t>2723</t>
  </si>
  <si>
    <t>1_general_Images/REPORT_SCANc49da5c0.firma.200818.png</t>
  </si>
  <si>
    <t>1_general_Files_/REPORT_SCANc49da5c0.lectura.201142.xlsx</t>
  </si>
  <si>
    <t>REPORT_SCAN541d9a86</t>
  </si>
  <si>
    <t>C2476</t>
  </si>
  <si>
    <t>01</t>
  </si>
  <si>
    <t>RUBIALES</t>
  </si>
  <si>
    <t>02 - T - 002 FRP.</t>
  </si>
  <si>
    <t>2 mHz</t>
  </si>
  <si>
    <t>FRP</t>
  </si>
  <si>
    <t>SCAN - A</t>
  </si>
  <si>
    <t>2774</t>
  </si>
  <si>
    <t>1_general_Images/REPORT_SCAN541d9a86.firma.173550.png</t>
  </si>
  <si>
    <t>Diana Vega</t>
  </si>
  <si>
    <t>Inspector mecánico.</t>
  </si>
  <si>
    <t>1_general_Files_/REPORT_SCAN541d9a86.lectura.220133.xlsx</t>
  </si>
  <si>
    <t>REPORT_SCAN73aca863</t>
  </si>
  <si>
    <t>MPV TQ FIBRATORE 06-T-015</t>
  </si>
  <si>
    <t>2855</t>
  </si>
  <si>
    <t>1_general_Images/REPORT_SCAN73aca863.firma.183622.png</t>
  </si>
  <si>
    <t>1_general_Files_/REPORT_SCAN73aca863.lectura.183753.xlsx</t>
  </si>
  <si>
    <t>REPORT_SCAN1ee6c350</t>
  </si>
  <si>
    <t>SSAARA</t>
  </si>
  <si>
    <t>MPV TQ FIBRATORE 03-T-001</t>
  </si>
  <si>
    <t>FIBRE DE VIDRIO</t>
  </si>
  <si>
    <t>1MHZ</t>
  </si>
  <si>
    <t>2948</t>
  </si>
  <si>
    <t>1_general_Images/REPORT_SCAN1ee6c350.firma.184228.png</t>
  </si>
  <si>
    <t>1_general_Files_/REPORT_SCAN1ee6c350.lectura.184228.xlsx</t>
  </si>
  <si>
    <t>REPORT_SCANf1188163</t>
  </si>
  <si>
    <t>MPV TQ FIBRATORE 03-T-016</t>
  </si>
  <si>
    <t>26/8/2025</t>
  </si>
  <si>
    <t>2843</t>
  </si>
  <si>
    <t>1_general_Images/REPORT_SCANf1188163.firma.184739.png</t>
  </si>
  <si>
    <t>1_general_Files_/REPORT_SCANf1188163.lectura.184739.xlsx</t>
  </si>
  <si>
    <t>REPORT_SCANe4264bc3</t>
  </si>
  <si>
    <t>MPT TQ FIBRATORE 05-T-003</t>
  </si>
  <si>
    <t>2829</t>
  </si>
  <si>
    <t>1_general_Images/REPORT_SCANe4264bc3.firma.185349.png</t>
  </si>
  <si>
    <t>1_general_Files_/REPORT_SCANe4264bc3.lectura.185349.xlsx</t>
  </si>
  <si>
    <t>REPORT_SCANe247a375</t>
  </si>
  <si>
    <t>02</t>
  </si>
  <si>
    <t>07 - DF - 001 INOX. STEEL</t>
  </si>
  <si>
    <t>ACERO INOXIDABLE</t>
  </si>
  <si>
    <t>7.5 mHz</t>
  </si>
  <si>
    <t>Escalerilla.</t>
  </si>
  <si>
    <t>Acero Inoxidable.</t>
  </si>
  <si>
    <t>5900</t>
  </si>
  <si>
    <t>1_general_Images/REPORT_SCANe247a375.firma.185624.png</t>
  </si>
  <si>
    <t>Diana Vega.</t>
  </si>
  <si>
    <t>1_general_Files_/REPORT_SCANe247a375.lectura.220216.xlsx</t>
  </si>
  <si>
    <t>REPORT_SCAN6e44caee</t>
  </si>
  <si>
    <t>MPV TE FIBRATORE 05-T-010</t>
  </si>
  <si>
    <t>1_general_Images/REPORT_SCAN6e44caee.firma.185755.png</t>
  </si>
  <si>
    <t>1_general_Files_/REPORT_SCAN6e44caee.lectura.185755.xlsx</t>
  </si>
  <si>
    <t>REPORT_SCAN88e5638c</t>
  </si>
  <si>
    <t>MPV TQ FIBRATORE 06-T-001</t>
  </si>
  <si>
    <t>2862</t>
  </si>
  <si>
    <t>1_general_Images/REPORT_SCAN88e5638c.firma.190430.png</t>
  </si>
  <si>
    <t>1_general_Files_/REPORT_SCAN88e5638c.lectura.190430.xlsx</t>
  </si>
  <si>
    <t>REPORT_SCAN29a25249</t>
  </si>
  <si>
    <t>MPV TQ FIBRATORE 06-T-012</t>
  </si>
  <si>
    <t>ASTM E 1067</t>
  </si>
  <si>
    <t>2802</t>
  </si>
  <si>
    <t>1_general_Images/REPORT_SCAN29a25249.firma.190945.png</t>
  </si>
  <si>
    <t>1_general_Files_/REPORT_SCAN29a25249.lectura.190945.xlsx</t>
  </si>
  <si>
    <t>REPORT_SCAN8523d3c6</t>
  </si>
  <si>
    <t>MPV TQ FIBRATORE 06-T-013</t>
  </si>
  <si>
    <t>1_general_Images/REPORT_SCAN8523d3c6.firma.191324.png</t>
  </si>
  <si>
    <t>1_general_Files_/REPORT_SCAN8523d3c6.lectura.191324.xlsx</t>
  </si>
  <si>
    <t>REPORT_SCANdf155cc3</t>
  </si>
  <si>
    <t>MPV TQ FIBRATORE 06-T-014</t>
  </si>
  <si>
    <t>1_general_Images/REPORT_SCANdf155cc3.firma.191854.png</t>
  </si>
  <si>
    <t>1_general_Files_/REPORT_SCANdf155cc3.lectura.191854.xlsx</t>
  </si>
  <si>
    <t>REPORT_SCAN1f88d790</t>
  </si>
  <si>
    <t>MPV TQ FIBRATORE 06-T-017</t>
  </si>
  <si>
    <t>1_general_Images/REPORT_SCAN1f88d790.firma.192255.png</t>
  </si>
  <si>
    <t>1_general_Files_/REPORT_SCAN1f88d790.lectura.192255.xlsx</t>
  </si>
  <si>
    <t>REPORT_SCANc38533d4</t>
  </si>
  <si>
    <t>MPV TQ FIBRATORE 06-T-020</t>
  </si>
  <si>
    <t>2746</t>
  </si>
  <si>
    <t>1_general_Images/REPORT_SCANc38533d4.firma.192645.png</t>
  </si>
  <si>
    <t>1_general_Files_/REPORT_SCANc38533d4.lectura.192645.xlsx</t>
  </si>
  <si>
    <t>REPORT_SCAN1ba7615c</t>
  </si>
  <si>
    <t>06-T-021 FRP.</t>
  </si>
  <si>
    <t>226/8/2025</t>
  </si>
  <si>
    <t>1_general_Images/REPORT_SCAN1ba7615c.firma.221252.png</t>
  </si>
  <si>
    <t>Diana Vega S</t>
  </si>
  <si>
    <t>1_general_Files_/REPORT_SCAN1ba7615c.lectura.221252.xlsx</t>
  </si>
  <si>
    <t>REPORT_SCAN2d7b3846</t>
  </si>
  <si>
    <t>MPV TQ FIBRATORE 07-T-018</t>
  </si>
  <si>
    <t>SCNA A</t>
  </si>
  <si>
    <t>2755</t>
  </si>
  <si>
    <t>1_general_Images/REPORT_SCAN2d7b3846.firma.193333.png</t>
  </si>
  <si>
    <t>1_general_Files_/REPORT_SCAN2d7b3846.lectura.193333.xlsx</t>
  </si>
  <si>
    <t>REPORT_SCANe25dd713</t>
  </si>
  <si>
    <t>FW-FRP-30-DN750-PN6-1011</t>
  </si>
  <si>
    <t>2730</t>
  </si>
  <si>
    <t>1_general_Images/REPORT_SCANe25dd713.firma.193745.png</t>
  </si>
  <si>
    <t>1_general_Files_/REPORT_SCANe25dd713.lectura.193745.xlsx</t>
  </si>
  <si>
    <t>REPORT_SCAN38999f50</t>
  </si>
  <si>
    <t>2015</t>
  </si>
  <si>
    <t>16/8/2025</t>
  </si>
  <si>
    <t>FIBRA DE VIFRIO</t>
  </si>
  <si>
    <t>1_general_Images/REPORT_SCAN38999f50.firma.194103.png</t>
  </si>
  <si>
    <t>1_general_Files_/REPORT_SCAN38999f50.lectura.194103.xlsx</t>
  </si>
  <si>
    <t>REPORT_SCAN786eb1ae</t>
  </si>
  <si>
    <t>CP-FRP-16-DN400-PN6-2022</t>
  </si>
  <si>
    <t>ASTM 1067</t>
  </si>
  <si>
    <t>26/8/2026</t>
  </si>
  <si>
    <t>1_general_Images/REPORT_SCAN786eb1ae.firma.194651.png</t>
  </si>
  <si>
    <t>1_general_Files_/REPORT_SCAN786eb1ae.lectura.194651.xlsx</t>
  </si>
  <si>
    <t>REPORT_SCAN3196612b</t>
  </si>
  <si>
    <t>CP-FRP-DN400-PN6.1</t>
  </si>
  <si>
    <t>1_general_Images/REPORT_SCAN3196612b.firma.195151.png</t>
  </si>
  <si>
    <t>1_general_Files_/REPORT_SCAN3196612b.lectura.195151.1.xlsx</t>
  </si>
  <si>
    <t>REPORT_SCAN77f92055</t>
  </si>
  <si>
    <t>CP-FRP-DN400-PN6.2</t>
  </si>
  <si>
    <t>FIBRA ED VIDRIO</t>
  </si>
  <si>
    <t>1_general_Images/REPORT_SCAN77f92055.firma.195434.png</t>
  </si>
  <si>
    <t>PROFESIONALE EN ENTRENAMIENTO</t>
  </si>
  <si>
    <t>1_general_Files_/REPORT_SCAN77f92055.lectura.195434.2.xlsx</t>
  </si>
  <si>
    <t>REPORT_SCANf238c56e</t>
  </si>
  <si>
    <t>CP-FRP-DN400-PN6.3</t>
  </si>
  <si>
    <t>1_general_Images/REPORT_SCANf238c56e.firma.195714.png</t>
  </si>
  <si>
    <t>1_general_Files_/REPORT_SCANf238c56e.lectura.195715.3.xlsx</t>
  </si>
  <si>
    <t>REPORT_SCAN84444071</t>
  </si>
  <si>
    <t>CP-FRP-DN400-PN6.4</t>
  </si>
  <si>
    <t>1_general_Images/REPORT_SCAN84444071.firma.195933.png</t>
  </si>
  <si>
    <t>1_general_Files_/REPORT_SCAN84444071.lectura.195933.4xlsx.xlsx</t>
  </si>
  <si>
    <t>REPORT_SCAN1af23d4f</t>
  </si>
  <si>
    <t>IA-C.S.-3/4-SCH80-2320</t>
  </si>
  <si>
    <t>LÍNEA SALIDA COMPRESOR 05-CP-001A/B</t>
  </si>
  <si>
    <t>Scan - A.</t>
  </si>
  <si>
    <t>1_general_Images/REPORT_SCAN1af23d4f.firma.222036.png</t>
  </si>
  <si>
    <t>1_general_Files_/REPORT_SCAN1af23d4f.lectura.222036.xlsx</t>
  </si>
  <si>
    <t>REPORT_SCAN7ca89b47</t>
  </si>
  <si>
    <t>IA C.S. -3/4-SCH80-2322</t>
  </si>
  <si>
    <t>Línea de compresores a tanque de aire.</t>
  </si>
  <si>
    <t>CARBON STEEL</t>
  </si>
  <si>
    <t>MALO</t>
  </si>
  <si>
    <t>1 1/2"</t>
  </si>
  <si>
    <t>Scan - A</t>
  </si>
  <si>
    <t>1_general_Images/REPORT_SCAN7ca89b47.firma.222342.png</t>
  </si>
  <si>
    <t>1_general_Files_/REPORT_SCAN7ca89b47.lectura.222342.xlsx</t>
  </si>
  <si>
    <t>REPORT_SCANc270f5c0</t>
  </si>
  <si>
    <t>IA.C.S. -3/4-SCH80-2323</t>
  </si>
  <si>
    <t>Linea de compresores de aire a cabezal.</t>
  </si>
  <si>
    <t>Carbon steel</t>
  </si>
  <si>
    <t>2"</t>
  </si>
  <si>
    <t>1_general_Images/REPORT_SCANc270f5c0.firma.222705.png</t>
  </si>
  <si>
    <t>1_general_Files_/REPORT_SCANc270f5c0.lectura.222705.xlsx</t>
  </si>
  <si>
    <t>REPORT_SCAN3efbd41c</t>
  </si>
  <si>
    <t>24</t>
  </si>
  <si>
    <t>IA-C-S-2--SCH80-2324</t>
  </si>
  <si>
    <t>7.5</t>
  </si>
  <si>
    <t>Escalerilla de 5 pasos</t>
  </si>
  <si>
    <t>5956</t>
  </si>
  <si>
    <t>1_general_Images/REPORT_SCAN3efbd41c.firma.002252.png</t>
  </si>
  <si>
    <t>1_general_Files_/REPORT_SCAN3efbd41c.lectura.235813.xlsx</t>
  </si>
  <si>
    <t>REPORT_SCAN94bb4bb5</t>
  </si>
  <si>
    <t>25</t>
  </si>
  <si>
    <t>IA-C-S-2-SCH80-2325</t>
  </si>
  <si>
    <t>1_general_Images/REPORT_SCAN94bb4bb5.firma.003047.png</t>
  </si>
  <si>
    <t>REPORT_SCANb2a62cd3</t>
  </si>
  <si>
    <t>IA-CS-2-SCH80-2334</t>
  </si>
  <si>
    <t>9/04/2025</t>
  </si>
  <si>
    <t>5929</t>
  </si>
  <si>
    <t>1_general_Images/REPORT_SCANb2a62cd3.firma.235947.png</t>
  </si>
  <si>
    <t>1_general_Files_/REPORT_SCANb2a62cd3.lectura.221703.000113.xlsx</t>
  </si>
  <si>
    <t>REPORT_SCAN963ed28d</t>
  </si>
  <si>
    <t>IA-CS-1SCH80-0510.1</t>
  </si>
  <si>
    <t>6mm</t>
  </si>
  <si>
    <t>1_general_Images/REPORT_SCAN963ed28d.firma.004309.png</t>
  </si>
  <si>
    <t>1_general_Files_/REPORT_SCAN963ed28d.lectura.010114.1.xlsx</t>
  </si>
  <si>
    <t>REPORT_SCAN9cc6994d</t>
  </si>
  <si>
    <t>IA-CS-1SCH80-0510.3</t>
  </si>
  <si>
    <t>1_general_Images/REPORT_SCAN9cc6994d.firma.004844.png</t>
  </si>
  <si>
    <t>1_general_Files_/REPORT_SCAN9cc6994d.lectura.010128.3.xlsx</t>
  </si>
  <si>
    <t>REPORT_SCAN486bccdc</t>
  </si>
  <si>
    <t>IA-CS-1SCH80-0510.5</t>
  </si>
  <si>
    <t>7 5</t>
  </si>
  <si>
    <t>1_general_Images/REPORT_SCAN486bccdc.firma.005950.png</t>
  </si>
  <si>
    <t>1_general_Files_/REPORT_SCAN486bccdc.lectura.010148.5.xlsx</t>
  </si>
  <si>
    <t>REPORT_SCANd18bfa5c</t>
  </si>
  <si>
    <t>30</t>
  </si>
  <si>
    <t>IA-CS-1SCH80-0510.7</t>
  </si>
  <si>
    <t>1_general_Images/REPORT_SCANd18bfa5c.firma.010034.png</t>
  </si>
  <si>
    <t>1_general_Files_/REPORT_SCANd18bfa5c.lectura.010206.7.xlsx</t>
  </si>
  <si>
    <t>REPORT_SCAN997cf47a</t>
  </si>
  <si>
    <t>Llanos</t>
  </si>
  <si>
    <t>Bateria 4</t>
  </si>
  <si>
    <t>410-FLTR-460 CRAWLER</t>
  </si>
  <si>
    <t>Medición de espesores Crawler</t>
  </si>
  <si>
    <t>API 653</t>
  </si>
  <si>
    <t>Thornerix</t>
  </si>
  <si>
    <t>THX-0102.1</t>
  </si>
  <si>
    <t>1.ACP</t>
  </si>
  <si>
    <t>ME</t>
  </si>
  <si>
    <t>1_general_Images/REPORT_SCAN997cf47a.firma.141634.png</t>
  </si>
  <si>
    <t>Ivan Leonardo Hernandez Suarez</t>
  </si>
  <si>
    <t>https://docs.google.com/spreadsheets/d/1IsuPOq8ojfBNYpItA5QLK0XrMG-O1pjF/edit?usp=drivesdk&amp;ouid=114509209988000595237&amp;rtpof=true&amp;sd=true</t>
  </si>
  <si>
    <t>REPORT_SCAN66b5346a</t>
  </si>
  <si>
    <t>410-FLTR-560 CRAWLER</t>
  </si>
  <si>
    <t>Medición de espesores en cuerpo del filtro crawler</t>
  </si>
  <si>
    <t>Thornetix</t>
  </si>
  <si>
    <t>13/04/2026</t>
  </si>
  <si>
    <t>1_general_Images/REPORT_SCAN66b5346a.firma.150823.png</t>
  </si>
  <si>
    <t>https://docs.google.com/spreadsheets/d/1rwMZ_BAZFlLapijA7ODA_AiVWdNM-q2R/edit?usp=drivesdk&amp;ouid=114509209988000595237&amp;rtpof=true&amp;sd=true</t>
  </si>
  <si>
    <t>REPORT_SCAN57e2ff22</t>
  </si>
  <si>
    <t>Batería 4</t>
  </si>
  <si>
    <t>410-FLTR-560 UT ME</t>
  </si>
  <si>
    <t>ASME SA-516 Gr.</t>
  </si>
  <si>
    <t>82</t>
  </si>
  <si>
    <t>M06310180007R</t>
  </si>
  <si>
    <t>3 mm</t>
  </si>
  <si>
    <t>Pulso Eco</t>
  </si>
  <si>
    <t>5882 m/s</t>
  </si>
  <si>
    <t>1_general_Images/REPORT_SCAN57e2ff22.firma.170010.png</t>
  </si>
  <si>
    <t>Osttmar David Espinosa Alfonso</t>
  </si>
  <si>
    <t>1_general_Files_/REPORT_SCAN57e2ff22.lectura.174906.xlsx</t>
  </si>
  <si>
    <t>https://docs.google.com/spreadsheets/d/1khJ_WF6Ch8gL6bCqvqNS3agmoijeChvd/edit?usp=drivesdk&amp;ouid=114509209988000595237&amp;rtpof=true&amp;sd=true</t>
  </si>
  <si>
    <t>REPORT_SCANebc63d6c</t>
  </si>
  <si>
    <t>CMA frontera</t>
  </si>
  <si>
    <t>321-DEC-425F CRAWLER</t>
  </si>
  <si>
    <t>Medicion de espesores en cuerpo del tanque</t>
  </si>
  <si>
    <t>THORNETIX</t>
  </si>
  <si>
    <t>1_general_Images/REPORT_SCANebc63d6c.firma.192842.png</t>
  </si>
  <si>
    <t>Unable to load image data. Image may be missing or upload size may be too large for this device. The image may still be in the camera roll on the device.#filename=321-DEC-425F%2520CRAWLER%2520FORMATO.xlsx</t>
  </si>
  <si>
    <t>https://docs.google.com/spreadsheets/d/1jz36n7sxnfZ8gRhIU3h19NBiFibgP8ks/edit?usp=drivesdk&amp;ouid=114509209988000595237&amp;rtpof=true&amp;sd=true</t>
  </si>
  <si>
    <t>REPORT_SCAN9672b919</t>
  </si>
  <si>
    <t>410-FLTR-460 UT ME</t>
  </si>
  <si>
    <t>Medición de espesores UT ME</t>
  </si>
  <si>
    <t>Pulso eco</t>
  </si>
  <si>
    <t>5882</t>
  </si>
  <si>
    <t>1_general_Images/REPORT_SCAN9672b919.firma.194149.png</t>
  </si>
  <si>
    <t>1_general_Files_/REPORT_SCAN9672b919.lectura.222740.xlsx</t>
  </si>
  <si>
    <t>REPORT_SCAN1ccf396b</t>
  </si>
  <si>
    <t>410-DEC-570 CRAWLER</t>
  </si>
  <si>
    <t>Medición de espesores en paredes de tanque decantador</t>
  </si>
  <si>
    <t>ASTM A-36</t>
  </si>
  <si>
    <t>CDS10</t>
  </si>
  <si>
    <t>1_general_Images/REPORT_SCAN1ccf396b.firma.205939.png</t>
  </si>
  <si>
    <t>1_general_Files_/REPORT_SCAN1ccf396b.lectura.214425.xlsx</t>
  </si>
  <si>
    <t>REPORT_SCANdc7ebee6</t>
  </si>
  <si>
    <t>CMA Quifa</t>
  </si>
  <si>
    <t>321-DEC-425J UT ME</t>
  </si>
  <si>
    <t>14.69</t>
  </si>
  <si>
    <t>1_general_Images/REPORT_SCANdc7ebee6.firma.222933.png</t>
  </si>
  <si>
    <t>1_general_Files_/REPORT_SCANdc7ebee6.lectura.222933.xlsx</t>
  </si>
  <si>
    <t>REPORT_SCAN4b9b28fc</t>
  </si>
  <si>
    <t>321-DEC-425F UT ME</t>
  </si>
  <si>
    <t>1_general_Images/REPORT_SCAN4b9b28fc.firma.235704.png</t>
  </si>
  <si>
    <t>1_general_Files_/REPORT_SCAN4b9b28fc.lectura.235704.xlsx</t>
  </si>
  <si>
    <t>REPORT_SCAN924c7298</t>
  </si>
  <si>
    <t>410-DEC-570 UT ME</t>
  </si>
  <si>
    <t>A-36</t>
  </si>
  <si>
    <t>API 650</t>
  </si>
  <si>
    <t>M06310180012R</t>
  </si>
  <si>
    <t>P-OPE-C-58</t>
  </si>
  <si>
    <t>1_general_Images/REPORT_SCAN924c7298.firma.004954.png</t>
  </si>
  <si>
    <t>Juan David Mora</t>
  </si>
  <si>
    <t>Ingeniero Inspector</t>
  </si>
  <si>
    <t>1_general_Files_/REPORT_SCAN924c7298.lectura.004954.xlsx</t>
  </si>
  <si>
    <t>https://docs.google.com/spreadsheets/d/1pleFjjVDfi_tigbyZxNuESpJjzPH0TGN/edit?usp=drivesdk&amp;ouid=114509209988000595237&amp;rtpof=true&amp;sd=true</t>
  </si>
  <si>
    <t>REPORT_SCANc805d86c</t>
  </si>
  <si>
    <t>CMA Frontera</t>
  </si>
  <si>
    <t>321-DEC-425J CRAWLER</t>
  </si>
  <si>
    <t>Medición de espesores en cuerpo del decantador</t>
  </si>
  <si>
    <t>1_general_Images/REPORT_SCANc805d86c.firma.154935.png</t>
  </si>
  <si>
    <t>1_general_Files_/REPORT_SCANc805d86c.lectura.155352.xlsx</t>
  </si>
  <si>
    <t>CML</t>
  </si>
  <si>
    <t>med13</t>
  </si>
  <si>
    <t>med14</t>
  </si>
  <si>
    <t>med15</t>
  </si>
  <si>
    <t>med16</t>
  </si>
  <si>
    <t>783697ea</t>
  </si>
  <si>
    <t>7aedbdd7</t>
  </si>
  <si>
    <t>Tramo recto</t>
  </si>
  <si>
    <t>0.510</t>
  </si>
  <si>
    <t>0.485</t>
  </si>
  <si>
    <t>fe73a5e0</t>
  </si>
  <si>
    <t>1.1</t>
  </si>
  <si>
    <t>0.337</t>
  </si>
  <si>
    <t>e7cddd38</t>
  </si>
  <si>
    <t>.2</t>
  </si>
  <si>
    <t>edcbd12d</t>
  </si>
  <si>
    <t>1.3</t>
  </si>
  <si>
    <t>Codo 90°</t>
  </si>
  <si>
    <t>0.342</t>
  </si>
  <si>
    <t>0.302</t>
  </si>
  <si>
    <t>0.330</t>
  </si>
  <si>
    <t>0.345</t>
  </si>
  <si>
    <t>6fbbaa1f</t>
  </si>
  <si>
    <t>0.355</t>
  </si>
  <si>
    <t>0.322</t>
  </si>
  <si>
    <t>0.341</t>
  </si>
  <si>
    <t>8c04f706</t>
  </si>
  <si>
    <t>0.333</t>
  </si>
  <si>
    <t>0.339</t>
  </si>
  <si>
    <t>0.32</t>
  </si>
  <si>
    <t>0.344</t>
  </si>
  <si>
    <t>81f4ba50</t>
  </si>
  <si>
    <t>1.4</t>
  </si>
  <si>
    <t>0ca49fd2</t>
  </si>
  <si>
    <t>0.511</t>
  </si>
  <si>
    <t>0.516</t>
  </si>
  <si>
    <t>0.492</t>
  </si>
  <si>
    <t>0.496</t>
  </si>
  <si>
    <t>3ed674ce</t>
  </si>
  <si>
    <t>0.481</t>
  </si>
  <si>
    <t>0.509</t>
  </si>
  <si>
    <t>0.5</t>
  </si>
  <si>
    <t>0.504</t>
  </si>
  <si>
    <t>8c0dadca</t>
  </si>
  <si>
    <t>0.473</t>
  </si>
  <si>
    <t>0.476</t>
  </si>
  <si>
    <t>0.465</t>
  </si>
  <si>
    <t>bf239ff9</t>
  </si>
  <si>
    <t>0.256</t>
  </si>
  <si>
    <t>0.254</t>
  </si>
  <si>
    <t>0.257</t>
  </si>
  <si>
    <t>0.259</t>
  </si>
  <si>
    <t>1cc191ea</t>
  </si>
  <si>
    <t>0.501</t>
  </si>
  <si>
    <t>0.505</t>
  </si>
  <si>
    <t>eb600dfb</t>
  </si>
  <si>
    <t>0.49</t>
  </si>
  <si>
    <t>0.489</t>
  </si>
  <si>
    <t>0.498</t>
  </si>
  <si>
    <t>0.495</t>
  </si>
  <si>
    <t>6378c803</t>
  </si>
  <si>
    <t>0.486</t>
  </si>
  <si>
    <t>0.475</t>
  </si>
  <si>
    <t>0.488</t>
  </si>
  <si>
    <t>a84591be</t>
  </si>
  <si>
    <t>e546c740</t>
  </si>
  <si>
    <t>0.503</t>
  </si>
  <si>
    <t>0.51</t>
  </si>
  <si>
    <t>67418cef</t>
  </si>
  <si>
    <t>0.497</t>
  </si>
  <si>
    <t>0.506</t>
  </si>
  <si>
    <t>0.507</t>
  </si>
  <si>
    <t>147918bc</t>
  </si>
  <si>
    <t>0.327</t>
  </si>
  <si>
    <t>0.308</t>
  </si>
  <si>
    <t>0.292</t>
  </si>
  <si>
    <t>259f19c6</t>
  </si>
  <si>
    <t>0.331</t>
  </si>
  <si>
    <t>0.34</t>
  </si>
  <si>
    <t>0.334</t>
  </si>
  <si>
    <t>0.318</t>
  </si>
  <si>
    <t>272649cb</t>
  </si>
  <si>
    <t>0.494</t>
  </si>
  <si>
    <t>9c4ad2aa</t>
  </si>
  <si>
    <t>0.229</t>
  </si>
  <si>
    <t>0.207</t>
  </si>
  <si>
    <t>0.206</t>
  </si>
  <si>
    <t>0.219</t>
  </si>
  <si>
    <t>627bf2bf</t>
  </si>
  <si>
    <t>0.336</t>
  </si>
  <si>
    <t>0.289</t>
  </si>
  <si>
    <t>0.288</t>
  </si>
  <si>
    <t>0.36</t>
  </si>
  <si>
    <t>d0e58c5f</t>
  </si>
  <si>
    <t>0.328</t>
  </si>
  <si>
    <t>0.29</t>
  </si>
  <si>
    <t>0.285</t>
  </si>
  <si>
    <t>cc5d2d85</t>
  </si>
  <si>
    <t>0.294</t>
  </si>
  <si>
    <t>0.28</t>
  </si>
  <si>
    <t>0.321</t>
  </si>
  <si>
    <t>07e8bddc</t>
  </si>
  <si>
    <t>0.298</t>
  </si>
  <si>
    <t>0.306</t>
  </si>
  <si>
    <t>0.309</t>
  </si>
  <si>
    <t>0.303</t>
  </si>
  <si>
    <t>f859afeb</t>
  </si>
  <si>
    <t>0.315</t>
  </si>
  <si>
    <t>0.307</t>
  </si>
  <si>
    <t>94a7eec0</t>
  </si>
  <si>
    <t>Tee reductora</t>
  </si>
  <si>
    <t>0.47</t>
  </si>
  <si>
    <t>0.56</t>
  </si>
  <si>
    <t>0.444</t>
  </si>
  <si>
    <t>5cda7277</t>
  </si>
  <si>
    <t>0.469</t>
  </si>
  <si>
    <t>0.536</t>
  </si>
  <si>
    <t>0.439</t>
  </si>
  <si>
    <t>1f53a3b6</t>
  </si>
  <si>
    <t>0.363</t>
  </si>
  <si>
    <t>0.368</t>
  </si>
  <si>
    <t>c604e260</t>
  </si>
  <si>
    <t>0.434</t>
  </si>
  <si>
    <t>0.424</t>
  </si>
  <si>
    <t>0.427</t>
  </si>
  <si>
    <t>66eecc64</t>
  </si>
  <si>
    <t>0.317</t>
  </si>
  <si>
    <t>0.305</t>
  </si>
  <si>
    <t>0f726564</t>
  </si>
  <si>
    <t>0.313</t>
  </si>
  <si>
    <t>3b77359d</t>
  </si>
  <si>
    <t>0.296</t>
  </si>
  <si>
    <t>0.312</t>
  </si>
  <si>
    <t>91d58a87</t>
  </si>
  <si>
    <t>0.293</t>
  </si>
  <si>
    <t>0.332</t>
  </si>
  <si>
    <t>3ea92ee6</t>
  </si>
  <si>
    <t>0.276</t>
  </si>
  <si>
    <t>0.329</t>
  </si>
  <si>
    <t>43fd5aa1</t>
  </si>
  <si>
    <t>0.253</t>
  </si>
  <si>
    <t>0.238</t>
  </si>
  <si>
    <t>0.235</t>
  </si>
  <si>
    <t>e4866953</t>
  </si>
  <si>
    <t>0.25</t>
  </si>
  <si>
    <t>0.248</t>
  </si>
  <si>
    <t>0.244</t>
  </si>
  <si>
    <t>0.243</t>
  </si>
  <si>
    <t>c056d1ae</t>
  </si>
  <si>
    <t>dc3e81ad</t>
  </si>
  <si>
    <t>0.323</t>
  </si>
  <si>
    <t>0.367</t>
  </si>
  <si>
    <t>0.348</t>
  </si>
  <si>
    <t>841d3cb5</t>
  </si>
  <si>
    <t>0.295</t>
  </si>
  <si>
    <t>0.31</t>
  </si>
  <si>
    <t>54f0a618</t>
  </si>
  <si>
    <t>0.349</t>
  </si>
  <si>
    <t>638a5a2f</t>
  </si>
  <si>
    <t>0.3</t>
  </si>
  <si>
    <t>0.275</t>
  </si>
  <si>
    <t>0.273</t>
  </si>
  <si>
    <t>47328915</t>
  </si>
  <si>
    <t>0.297</t>
  </si>
  <si>
    <t>0.286</t>
  </si>
  <si>
    <t>aa4a4afe</t>
  </si>
  <si>
    <t>0.343</t>
  </si>
  <si>
    <t>0.311</t>
  </si>
  <si>
    <t>b238b2bd</t>
  </si>
  <si>
    <t>1ec4cf44</t>
  </si>
  <si>
    <t>Reducción Concentrica</t>
  </si>
  <si>
    <t>0.373</t>
  </si>
  <si>
    <t>0.357</t>
  </si>
  <si>
    <t>0.372</t>
  </si>
  <si>
    <t>35750343</t>
  </si>
  <si>
    <t>0.408</t>
  </si>
  <si>
    <t>0.402</t>
  </si>
  <si>
    <t>0.403</t>
  </si>
  <si>
    <t>0.412</t>
  </si>
  <si>
    <t>fa6eec06</t>
  </si>
  <si>
    <t>119 E</t>
  </si>
  <si>
    <t>0.418</t>
  </si>
  <si>
    <t>0.414</t>
  </si>
  <si>
    <t>0.42</t>
  </si>
  <si>
    <t>0.405</t>
  </si>
  <si>
    <t>2c4fb0c3</t>
  </si>
  <si>
    <t>120E</t>
  </si>
  <si>
    <t>7fceb2d4</t>
  </si>
  <si>
    <t>121E</t>
  </si>
  <si>
    <t>49d46322</t>
  </si>
  <si>
    <t>122E</t>
  </si>
  <si>
    <t>a6ab50e3</t>
  </si>
  <si>
    <t>123E</t>
  </si>
  <si>
    <t>0.525</t>
  </si>
  <si>
    <t>0.512</t>
  </si>
  <si>
    <t>0.479</t>
  </si>
  <si>
    <t>2cdd1d41</t>
  </si>
  <si>
    <t>124E</t>
  </si>
  <si>
    <t>0.534</t>
  </si>
  <si>
    <t>0.493</t>
  </si>
  <si>
    <t>866f2d7f</t>
  </si>
  <si>
    <t>125E</t>
  </si>
  <si>
    <t>0.478</t>
  </si>
  <si>
    <t>0.527</t>
  </si>
  <si>
    <t>523a6d72</t>
  </si>
  <si>
    <t>126E</t>
  </si>
  <si>
    <t>0.428</t>
  </si>
  <si>
    <t>0.431</t>
  </si>
  <si>
    <t>0.441</t>
  </si>
  <si>
    <t>74d3a650</t>
  </si>
  <si>
    <t>127E</t>
  </si>
  <si>
    <t>0.429</t>
  </si>
  <si>
    <t>0.43</t>
  </si>
  <si>
    <t>a3ea1988</t>
  </si>
  <si>
    <t>128E</t>
  </si>
  <si>
    <t>Tee recta</t>
  </si>
  <si>
    <t>0.454</t>
  </si>
  <si>
    <t>0.449</t>
  </si>
  <si>
    <t>0.531</t>
  </si>
  <si>
    <t>0.456</t>
  </si>
  <si>
    <t>c115dcb6</t>
  </si>
  <si>
    <t>129E</t>
  </si>
  <si>
    <t>0.517</t>
  </si>
  <si>
    <t>0.436</t>
  </si>
  <si>
    <t>4775ebd7</t>
  </si>
  <si>
    <t>130E</t>
  </si>
  <si>
    <t>0.53</t>
  </si>
  <si>
    <t>0.528</t>
  </si>
  <si>
    <t>0.523</t>
  </si>
  <si>
    <t>f58b0e51</t>
  </si>
  <si>
    <t>131E</t>
  </si>
  <si>
    <t>0.461</t>
  </si>
  <si>
    <t>0.443</t>
  </si>
  <si>
    <t>0.46</t>
  </si>
  <si>
    <t>5b2ec29f</t>
  </si>
  <si>
    <t>132E</t>
  </si>
  <si>
    <t>0.452</t>
  </si>
  <si>
    <t>0.535</t>
  </si>
  <si>
    <t>b9fbca91</t>
  </si>
  <si>
    <t>133E</t>
  </si>
  <si>
    <t>0.447</t>
  </si>
  <si>
    <t>0.457</t>
  </si>
  <si>
    <t>8bb213c3</t>
  </si>
  <si>
    <t>134E</t>
  </si>
  <si>
    <t>0.442</t>
  </si>
  <si>
    <t>0.445</t>
  </si>
  <si>
    <t>86fbfac6</t>
  </si>
  <si>
    <t>135E</t>
  </si>
  <si>
    <t>0.551</t>
  </si>
  <si>
    <t>0.575</t>
  </si>
  <si>
    <t>0.582</t>
  </si>
  <si>
    <t>bdf017fd</t>
  </si>
  <si>
    <t>136E</t>
  </si>
  <si>
    <t>0.433</t>
  </si>
  <si>
    <t>3b358afd</t>
  </si>
  <si>
    <t>137E</t>
  </si>
  <si>
    <t>0.432</t>
  </si>
  <si>
    <t>342df2c7</t>
  </si>
  <si>
    <t>138E</t>
  </si>
  <si>
    <t>0.514</t>
  </si>
  <si>
    <t>11b444bc</t>
  </si>
  <si>
    <t>139E</t>
  </si>
  <si>
    <t>0.515</t>
  </si>
  <si>
    <t>0.483</t>
  </si>
  <si>
    <t>0.45</t>
  </si>
  <si>
    <t>0.544</t>
  </si>
  <si>
    <t>2a885218</t>
  </si>
  <si>
    <t>140E</t>
  </si>
  <si>
    <t>0.482</t>
  </si>
  <si>
    <t>0.459</t>
  </si>
  <si>
    <t>0.533</t>
  </si>
  <si>
    <t>e9abbfdf</t>
  </si>
  <si>
    <t>141E</t>
  </si>
  <si>
    <t>275ad862</t>
  </si>
  <si>
    <t>142E</t>
  </si>
  <si>
    <t>0.314</t>
  </si>
  <si>
    <t>54fafa6c</t>
  </si>
  <si>
    <t>143E</t>
  </si>
  <si>
    <t>0.356</t>
  </si>
  <si>
    <t>0.538</t>
  </si>
  <si>
    <t>0.545</t>
  </si>
  <si>
    <t>d43b388f</t>
  </si>
  <si>
    <t>144E</t>
  </si>
  <si>
    <t>0.413</t>
  </si>
  <si>
    <t>0.421</t>
  </si>
  <si>
    <t>0.407</t>
  </si>
  <si>
    <t>f2116f59</t>
  </si>
  <si>
    <t>156E</t>
  </si>
  <si>
    <t>7caef877</t>
  </si>
  <si>
    <t>157E</t>
  </si>
  <si>
    <t>fadec172</t>
  </si>
  <si>
    <t>158E</t>
  </si>
  <si>
    <t>0.453</t>
  </si>
  <si>
    <t>15f55d96</t>
  </si>
  <si>
    <t>159E</t>
  </si>
  <si>
    <t>0.554</t>
  </si>
  <si>
    <t>0.566</t>
  </si>
  <si>
    <t>0.587</t>
  </si>
  <si>
    <t>0.572</t>
  </si>
  <si>
    <t>e983aaf5</t>
  </si>
  <si>
    <t>160E</t>
  </si>
  <si>
    <t>0.502</t>
  </si>
  <si>
    <t>0.537</t>
  </si>
  <si>
    <t>46bfb08b</t>
  </si>
  <si>
    <t>161E</t>
  </si>
  <si>
    <t>cd36b884</t>
  </si>
  <si>
    <t>162E</t>
  </si>
  <si>
    <t>8bc3d134</t>
  </si>
  <si>
    <t>163E</t>
  </si>
  <si>
    <t>0.518</t>
  </si>
  <si>
    <t>0.55</t>
  </si>
  <si>
    <t>12ed8f39</t>
  </si>
  <si>
    <t>164E</t>
  </si>
  <si>
    <t>0.548</t>
  </si>
  <si>
    <t>584c54f6</t>
  </si>
  <si>
    <t>165E</t>
  </si>
  <si>
    <t>Codo 45°</t>
  </si>
  <si>
    <t>0.526</t>
  </si>
  <si>
    <t>f588e252</t>
  </si>
  <si>
    <t>166E</t>
  </si>
  <si>
    <t>9fd8cffb</t>
  </si>
  <si>
    <t>167E</t>
  </si>
  <si>
    <t>610fc67c</t>
  </si>
  <si>
    <t>168E</t>
  </si>
  <si>
    <t>0.508</t>
  </si>
  <si>
    <t>a3540a5c</t>
  </si>
  <si>
    <t>168.1E</t>
  </si>
  <si>
    <t>50a3b221</t>
  </si>
  <si>
    <t>168.2E</t>
  </si>
  <si>
    <t>ca703c2d</t>
  </si>
  <si>
    <t>168.3E</t>
  </si>
  <si>
    <t>fbb0e4dd</t>
  </si>
  <si>
    <t>0.338</t>
  </si>
  <si>
    <t>d29145ca</t>
  </si>
  <si>
    <t>9aed3f5b</t>
  </si>
  <si>
    <t>168.4E</t>
  </si>
  <si>
    <t>0.335</t>
  </si>
  <si>
    <t>37dad7a9</t>
  </si>
  <si>
    <t>169E</t>
  </si>
  <si>
    <t>0a8cc56a</t>
  </si>
  <si>
    <t>170E</t>
  </si>
  <si>
    <t>24a401e0</t>
  </si>
  <si>
    <t>171E</t>
  </si>
  <si>
    <t>671f35da</t>
  </si>
  <si>
    <t>172E</t>
  </si>
  <si>
    <t>0.52</t>
  </si>
  <si>
    <t>0.578</t>
  </si>
  <si>
    <t>62523761</t>
  </si>
  <si>
    <t>173E</t>
  </si>
  <si>
    <t>3e7a31cc</t>
  </si>
  <si>
    <t>174E</t>
  </si>
  <si>
    <t>0.583</t>
  </si>
  <si>
    <t>0.561</t>
  </si>
  <si>
    <t>f3a263e7</t>
  </si>
  <si>
    <t>175E</t>
  </si>
  <si>
    <t>0.477</t>
  </si>
  <si>
    <t>0.623</t>
  </si>
  <si>
    <t>6783c4ba</t>
  </si>
  <si>
    <t>176E</t>
  </si>
  <si>
    <t>0.499</t>
  </si>
  <si>
    <t>c9448cbb</t>
  </si>
  <si>
    <t>177E</t>
  </si>
  <si>
    <t>0bc15d7b</t>
  </si>
  <si>
    <t>178E</t>
  </si>
  <si>
    <t>60e42fe8</t>
  </si>
  <si>
    <t>178.1E</t>
  </si>
  <si>
    <t>0da70109</t>
  </si>
  <si>
    <t>179E</t>
  </si>
  <si>
    <t>f32cb0cb</t>
  </si>
  <si>
    <t>180E</t>
  </si>
  <si>
    <t>0.404</t>
  </si>
  <si>
    <t>d8f1b14c</t>
  </si>
  <si>
    <t>181E</t>
  </si>
  <si>
    <t>0.519</t>
  </si>
  <si>
    <t>0.543</t>
  </si>
  <si>
    <t>96f854a4</t>
  </si>
  <si>
    <t>182E</t>
  </si>
  <si>
    <t>0.569</t>
  </si>
  <si>
    <t>0d28f629</t>
  </si>
  <si>
    <t>183E</t>
  </si>
  <si>
    <t>0.471</t>
  </si>
  <si>
    <t>0.455</t>
  </si>
  <si>
    <t>0.567</t>
  </si>
  <si>
    <t>4d15083f</t>
  </si>
  <si>
    <t>184E</t>
  </si>
  <si>
    <t>86b19640</t>
  </si>
  <si>
    <t>184.1E</t>
  </si>
  <si>
    <t>608f6f1d</t>
  </si>
  <si>
    <t>185E</t>
  </si>
  <si>
    <t>a318d3a8</t>
  </si>
  <si>
    <t>186E</t>
  </si>
  <si>
    <t>8d74c00b</t>
  </si>
  <si>
    <t>187E</t>
  </si>
  <si>
    <t>0.411</t>
  </si>
  <si>
    <t>0.401</t>
  </si>
  <si>
    <t>b39b528b</t>
  </si>
  <si>
    <t>188E</t>
  </si>
  <si>
    <t>0.467</t>
  </si>
  <si>
    <t>0.448</t>
  </si>
  <si>
    <t>b0bbe8ac</t>
  </si>
  <si>
    <t>189E</t>
  </si>
  <si>
    <t>0.463</t>
  </si>
  <si>
    <t>9c76e131</t>
  </si>
  <si>
    <t>190E</t>
  </si>
  <si>
    <t>467d8ea8</t>
  </si>
  <si>
    <t>191E</t>
  </si>
  <si>
    <t>0.491</t>
  </si>
  <si>
    <t>b4b0029c</t>
  </si>
  <si>
    <t>102</t>
  </si>
  <si>
    <t>0.301</t>
  </si>
  <si>
    <t>ce185e6b</t>
  </si>
  <si>
    <t>103</t>
  </si>
  <si>
    <t>0.263</t>
  </si>
  <si>
    <t>0.268</t>
  </si>
  <si>
    <t>4a1a41ad</t>
  </si>
  <si>
    <t>104</t>
  </si>
  <si>
    <t>0.224</t>
  </si>
  <si>
    <t>0.222</t>
  </si>
  <si>
    <t>0.226</t>
  </si>
  <si>
    <t>0.221</t>
  </si>
  <si>
    <t>b6fd5156</t>
  </si>
  <si>
    <t>105</t>
  </si>
  <si>
    <t>0.223</t>
  </si>
  <si>
    <t>0.225</t>
  </si>
  <si>
    <t>001425c8</t>
  </si>
  <si>
    <t>106</t>
  </si>
  <si>
    <t>0.388</t>
  </si>
  <si>
    <t>0.38</t>
  </si>
  <si>
    <t>0.395</t>
  </si>
  <si>
    <t>0.381</t>
  </si>
  <si>
    <t>4ba1e3c1</t>
  </si>
  <si>
    <t>0.397</t>
  </si>
  <si>
    <t>0.399</t>
  </si>
  <si>
    <t>0.361</t>
  </si>
  <si>
    <t>e705b1a9</t>
  </si>
  <si>
    <t>0.351</t>
  </si>
  <si>
    <t>86bd2dce</t>
  </si>
  <si>
    <t>0.398</t>
  </si>
  <si>
    <t>9060fde0</t>
  </si>
  <si>
    <t>107</t>
  </si>
  <si>
    <t>0.425</t>
  </si>
  <si>
    <t>073c71b8</t>
  </si>
  <si>
    <t>108</t>
  </si>
  <si>
    <t>0.227</t>
  </si>
  <si>
    <t>63cbba2d</t>
  </si>
  <si>
    <t>109</t>
  </si>
  <si>
    <t>b2145712</t>
  </si>
  <si>
    <t>110</t>
  </si>
  <si>
    <t>0.347</t>
  </si>
  <si>
    <t>897316b9</t>
  </si>
  <si>
    <t>0.304</t>
  </si>
  <si>
    <t>0.365</t>
  </si>
  <si>
    <t>0.33</t>
  </si>
  <si>
    <t>a3f58dc4</t>
  </si>
  <si>
    <t>0.326</t>
  </si>
  <si>
    <t>7ac58050</t>
  </si>
  <si>
    <t>de0ce2ce</t>
  </si>
  <si>
    <t>111</t>
  </si>
  <si>
    <t>7598c75e</t>
  </si>
  <si>
    <t>112</t>
  </si>
  <si>
    <t>a0b50aea</t>
  </si>
  <si>
    <t>113</t>
  </si>
  <si>
    <t>0.316</t>
  </si>
  <si>
    <t>0.325</t>
  </si>
  <si>
    <t>97782df3</t>
  </si>
  <si>
    <t>19988259</t>
  </si>
  <si>
    <t>0.319</t>
  </si>
  <si>
    <t>760392f8</t>
  </si>
  <si>
    <t>116</t>
  </si>
  <si>
    <t>96d87c50</t>
  </si>
  <si>
    <t>117</t>
  </si>
  <si>
    <t>0.299</t>
  </si>
  <si>
    <t>e21334f0</t>
  </si>
  <si>
    <t>118</t>
  </si>
  <si>
    <t>0.258</t>
  </si>
  <si>
    <t>0.255</t>
  </si>
  <si>
    <t>4ba92cd4</t>
  </si>
  <si>
    <t>8938ec32</t>
  </si>
  <si>
    <t>0.281</t>
  </si>
  <si>
    <t>0.252</t>
  </si>
  <si>
    <t>76399957</t>
  </si>
  <si>
    <t>119</t>
  </si>
  <si>
    <t>0.283</t>
  </si>
  <si>
    <t>0.282</t>
  </si>
  <si>
    <t>05ee7621</t>
  </si>
  <si>
    <t>120</t>
  </si>
  <si>
    <t>0.358</t>
  </si>
  <si>
    <t>0.346</t>
  </si>
  <si>
    <t>03e7b977</t>
  </si>
  <si>
    <t>0.366</t>
  </si>
  <si>
    <t>e05ddce6</t>
  </si>
  <si>
    <t>0.261</t>
  </si>
  <si>
    <t>0.271</t>
  </si>
  <si>
    <t>b5ede91f</t>
  </si>
  <si>
    <t>0.362</t>
  </si>
  <si>
    <t>cca3f8a1</t>
  </si>
  <si>
    <t>121</t>
  </si>
  <si>
    <t>b9fb4957</t>
  </si>
  <si>
    <t>122</t>
  </si>
  <si>
    <t>b185b9e1</t>
  </si>
  <si>
    <t>123</t>
  </si>
  <si>
    <t>0.249</t>
  </si>
  <si>
    <t>0.277</t>
  </si>
  <si>
    <t>0.247</t>
  </si>
  <si>
    <t>30bbe69c</t>
  </si>
  <si>
    <t>0.279</t>
  </si>
  <si>
    <t>b1296498</t>
  </si>
  <si>
    <t>91125f5e</t>
  </si>
  <si>
    <t>124</t>
  </si>
  <si>
    <t>0.262</t>
  </si>
  <si>
    <t>9156b1f7</t>
  </si>
  <si>
    <t>774ac5e7</t>
  </si>
  <si>
    <t>0.272</t>
  </si>
  <si>
    <t>eb8cef92</t>
  </si>
  <si>
    <t>125</t>
  </si>
  <si>
    <t>a4b7425d</t>
  </si>
  <si>
    <t>126</t>
  </si>
  <si>
    <t>64d74ee3</t>
  </si>
  <si>
    <t>127</t>
  </si>
  <si>
    <t>b22a4166</t>
  </si>
  <si>
    <t>128</t>
  </si>
  <si>
    <t>76207940</t>
  </si>
  <si>
    <t>129</t>
  </si>
  <si>
    <t>0.27</t>
  </si>
  <si>
    <t>0.278</t>
  </si>
  <si>
    <t>e76b4196</t>
  </si>
  <si>
    <t>0.265</t>
  </si>
  <si>
    <t>058e5c7c</t>
  </si>
  <si>
    <t>0.274</t>
  </si>
  <si>
    <t>c260c404</t>
  </si>
  <si>
    <t>130</t>
  </si>
  <si>
    <t>0.291</t>
  </si>
  <si>
    <t>0.284</t>
  </si>
  <si>
    <t>c96829d7</t>
  </si>
  <si>
    <t>131</t>
  </si>
  <si>
    <t>45d27e7e</t>
  </si>
  <si>
    <t>132</t>
  </si>
  <si>
    <t>0.44</t>
  </si>
  <si>
    <t>0.419</t>
  </si>
  <si>
    <t>d45bc410</t>
  </si>
  <si>
    <t>133</t>
  </si>
  <si>
    <t>0.48</t>
  </si>
  <si>
    <t>1f21a897</t>
  </si>
  <si>
    <t>134</t>
  </si>
  <si>
    <t>0.267</t>
  </si>
  <si>
    <t>fd338bea</t>
  </si>
  <si>
    <t>48106025</t>
  </si>
  <si>
    <t>0.264</t>
  </si>
  <si>
    <t>ffa96b34</t>
  </si>
  <si>
    <t>135</t>
  </si>
  <si>
    <t>61cca626</t>
  </si>
  <si>
    <t>136</t>
  </si>
  <si>
    <t>5262318c</t>
  </si>
  <si>
    <t>137</t>
  </si>
  <si>
    <t>4cdc709d</t>
  </si>
  <si>
    <t>0.364</t>
  </si>
  <si>
    <t>4ea1bc11</t>
  </si>
  <si>
    <t>6c148635</t>
  </si>
  <si>
    <t>0.353</t>
  </si>
  <si>
    <t>25942dcc</t>
  </si>
  <si>
    <t>138</t>
  </si>
  <si>
    <t>f913d531</t>
  </si>
  <si>
    <t>139</t>
  </si>
  <si>
    <t>0.269</t>
  </si>
  <si>
    <t>bd5fb5ce</t>
  </si>
  <si>
    <t>140</t>
  </si>
  <si>
    <t>d220caba</t>
  </si>
  <si>
    <t>fe9239ba</t>
  </si>
  <si>
    <t>0.266</t>
  </si>
  <si>
    <t>a8d97e29</t>
  </si>
  <si>
    <t>141</t>
  </si>
  <si>
    <t>627d24f6</t>
  </si>
  <si>
    <t>142</t>
  </si>
  <si>
    <t>0.417</t>
  </si>
  <si>
    <t>4863baa4</t>
  </si>
  <si>
    <t>143</t>
  </si>
  <si>
    <t>0.246</t>
  </si>
  <si>
    <t>0.245</t>
  </si>
  <si>
    <t>b629abb4</t>
  </si>
  <si>
    <t>144</t>
  </si>
  <si>
    <t>bce04fe6</t>
  </si>
  <si>
    <t>145</t>
  </si>
  <si>
    <t>b27547cf</t>
  </si>
  <si>
    <t>146</t>
  </si>
  <si>
    <t>cb9e11f9</t>
  </si>
  <si>
    <t>33ae3a8c</t>
  </si>
  <si>
    <t>156</t>
  </si>
  <si>
    <t>0.387</t>
  </si>
  <si>
    <t>0.324</t>
  </si>
  <si>
    <t>5a880d3e</t>
  </si>
  <si>
    <t>157</t>
  </si>
  <si>
    <t>86a75771</t>
  </si>
  <si>
    <t>158</t>
  </si>
  <si>
    <t>fd456414</t>
  </si>
  <si>
    <t>6c24decf</t>
  </si>
  <si>
    <t>61aeb3cd</t>
  </si>
  <si>
    <t>77b69435</t>
  </si>
  <si>
    <t>21e299b3</t>
  </si>
  <si>
    <t>eb077ad1</t>
  </si>
  <si>
    <t>dc5eacf2</t>
  </si>
  <si>
    <t>c0536714</t>
  </si>
  <si>
    <t>ee924bf4</t>
  </si>
  <si>
    <t>0e8738e9</t>
  </si>
  <si>
    <t>cce5eb1c</t>
  </si>
  <si>
    <t>e1e9c007</t>
  </si>
  <si>
    <t>04481fae</t>
  </si>
  <si>
    <t>95d2e74b</t>
  </si>
  <si>
    <t>f72ab156</t>
  </si>
  <si>
    <t>fd5fd7d2</t>
  </si>
  <si>
    <t>aff4d177</t>
  </si>
  <si>
    <t>035cacc7</t>
  </si>
  <si>
    <t>438ea559</t>
  </si>
  <si>
    <t>55da87be</t>
  </si>
  <si>
    <t>95200bd2</t>
  </si>
  <si>
    <t>2698b0b4</t>
  </si>
  <si>
    <t>ad577b07</t>
  </si>
  <si>
    <t>17a069cf</t>
  </si>
  <si>
    <t>9bf7eddb</t>
  </si>
  <si>
    <t>984c4c03</t>
  </si>
  <si>
    <t>cab8ba34</t>
  </si>
  <si>
    <t>ccf4d46d</t>
  </si>
  <si>
    <t>c7737cef</t>
  </si>
  <si>
    <t>114bf1b9</t>
  </si>
  <si>
    <t>998c8999</t>
  </si>
  <si>
    <t>9da2e89b</t>
  </si>
  <si>
    <t>17d1256f</t>
  </si>
  <si>
    <t>18cbc785</t>
  </si>
  <si>
    <t>9fb4e23d</t>
  </si>
  <si>
    <t>87b3fe7d</t>
  </si>
  <si>
    <t>24f8fe9b</t>
  </si>
  <si>
    <t>e8bbac3e</t>
  </si>
  <si>
    <t>779df29c</t>
  </si>
  <si>
    <t>07985f46</t>
  </si>
  <si>
    <t>a30eef6f</t>
  </si>
  <si>
    <t>4f82c87d</t>
  </si>
  <si>
    <t>0c993371</t>
  </si>
  <si>
    <t>d18f47e0</t>
  </si>
  <si>
    <t>11aa2b3e</t>
  </si>
  <si>
    <t>dd28b231</t>
  </si>
  <si>
    <t>45111a66</t>
  </si>
  <si>
    <t>021db9f4</t>
  </si>
  <si>
    <t>20194605</t>
  </si>
  <si>
    <t>04cbc74f</t>
  </si>
  <si>
    <t>0d926ddc</t>
  </si>
  <si>
    <t>32ac91e4</t>
  </si>
  <si>
    <t>96df3a77</t>
  </si>
  <si>
    <t>c5bc4916</t>
  </si>
  <si>
    <t>f218d807</t>
  </si>
  <si>
    <t>22b17d1c</t>
  </si>
  <si>
    <t>07608bbd</t>
  </si>
  <si>
    <t>0e9b00ea</t>
  </si>
  <si>
    <t>d1de3051</t>
  </si>
  <si>
    <t>a8b2c774</t>
  </si>
  <si>
    <t>38da8d10</t>
  </si>
  <si>
    <t>62216954</t>
  </si>
  <si>
    <t>343c9ffa</t>
  </si>
  <si>
    <t>7c805e52</t>
  </si>
  <si>
    <t>4458f0c9</t>
  </si>
  <si>
    <t>107ac158</t>
  </si>
  <si>
    <t>eaab24ac</t>
  </si>
  <si>
    <t>523b016e</t>
  </si>
  <si>
    <t>f65db221</t>
  </si>
  <si>
    <t>20020143</t>
  </si>
  <si>
    <t>2a79ee8b</t>
  </si>
  <si>
    <t>ed493bb7</t>
  </si>
  <si>
    <t>82195f63</t>
  </si>
  <si>
    <t>f3c9737c</t>
  </si>
  <si>
    <t>2970a3c4</t>
  </si>
  <si>
    <t>c77d7568</t>
  </si>
  <si>
    <t>5bc08b6e</t>
  </si>
  <si>
    <t>eab87c43</t>
  </si>
  <si>
    <t>e3194655</t>
  </si>
  <si>
    <t>59d3ec0c</t>
  </si>
  <si>
    <t>e84d9f74</t>
  </si>
  <si>
    <t>f8937eaa</t>
  </si>
  <si>
    <t>1d5004ce</t>
  </si>
  <si>
    <t>ce3f5a7a</t>
  </si>
  <si>
    <t>f6d130f5</t>
  </si>
  <si>
    <t>2a1f625f</t>
  </si>
  <si>
    <t>258a182e</t>
  </si>
  <si>
    <t>6d233d44</t>
  </si>
  <si>
    <t>cc17148a</t>
  </si>
  <si>
    <t>7d28bb7e</t>
  </si>
  <si>
    <t>caebf65e</t>
  </si>
  <si>
    <t>5f44213c</t>
  </si>
  <si>
    <t>1bbba9ed</t>
  </si>
  <si>
    <t>eb0af7ce</t>
  </si>
  <si>
    <t>1cc6c477</t>
  </si>
  <si>
    <t>5ccf24e1</t>
  </si>
  <si>
    <t>b6efa335</t>
  </si>
  <si>
    <t>fabe2ccf</t>
  </si>
  <si>
    <t>4c3c38ff</t>
  </si>
  <si>
    <t>126bc6db</t>
  </si>
  <si>
    <t>e6ed8eac</t>
  </si>
  <si>
    <t>4868b09f</t>
  </si>
  <si>
    <t>f9fd36ec</t>
  </si>
  <si>
    <t>67be6d62</t>
  </si>
  <si>
    <t>71eeb0cf</t>
  </si>
  <si>
    <t>23c8922e</t>
  </si>
  <si>
    <t>0b06fe3f</t>
  </si>
  <si>
    <t>9a651b57</t>
  </si>
  <si>
    <t>7a320ad6</t>
  </si>
  <si>
    <t>a94337f5</t>
  </si>
  <si>
    <t>7acb6d3c</t>
  </si>
  <si>
    <t>0637faa7</t>
  </si>
  <si>
    <t>775f3e63</t>
  </si>
  <si>
    <t>a8fd8fdc</t>
  </si>
  <si>
    <t>48d8b312</t>
  </si>
  <si>
    <t>bf5f5510</t>
  </si>
  <si>
    <t>676c7a8c</t>
  </si>
  <si>
    <t>75fd5bff</t>
  </si>
  <si>
    <t>768a54a4</t>
  </si>
  <si>
    <t>452bba34</t>
  </si>
  <si>
    <t>e00923be</t>
  </si>
  <si>
    <t>dcbd1b32</t>
  </si>
  <si>
    <t>4423a174</t>
  </si>
  <si>
    <t>826ed8a9</t>
  </si>
  <si>
    <t>49777424</t>
  </si>
  <si>
    <t>d1cf6456</t>
  </si>
  <si>
    <t>ff2cfc70</t>
  </si>
  <si>
    <t>21b3a5d8</t>
  </si>
  <si>
    <t>aca4c753</t>
  </si>
  <si>
    <t>4ee0c9a0</t>
  </si>
  <si>
    <t>28005f47</t>
  </si>
  <si>
    <t>2a76fa89</t>
  </si>
  <si>
    <t>b50c7426</t>
  </si>
  <si>
    <t>48b85f99</t>
  </si>
  <si>
    <t>f713691e</t>
  </si>
  <si>
    <t>b01872d4</t>
  </si>
  <si>
    <t>5808d9d3</t>
  </si>
  <si>
    <t>2f144b56</t>
  </si>
  <si>
    <t>f5c33f63</t>
  </si>
  <si>
    <t>ccb68e8c</t>
  </si>
  <si>
    <t>af3403ec</t>
  </si>
  <si>
    <t>2aa14740</t>
  </si>
  <si>
    <t>be8ed450</t>
  </si>
  <si>
    <t>e92fae7b</t>
  </si>
  <si>
    <t>aea7019d</t>
  </si>
  <si>
    <t>c81fa9a2</t>
  </si>
  <si>
    <t>a27c8ade</t>
  </si>
  <si>
    <t>ecfdee95</t>
  </si>
  <si>
    <t>73c8dd57</t>
  </si>
  <si>
    <t>3092e41c</t>
  </si>
  <si>
    <t>9ffd8403</t>
  </si>
  <si>
    <t>ab8072be</t>
  </si>
  <si>
    <t>0cc7be8f</t>
  </si>
  <si>
    <t>e1388198</t>
  </si>
  <si>
    <t>ded8a0f3</t>
  </si>
  <si>
    <t>5027abd9</t>
  </si>
  <si>
    <t>b7de99fc</t>
  </si>
  <si>
    <t>1954690e</t>
  </si>
  <si>
    <t>147256c0</t>
  </si>
  <si>
    <t>3878715b</t>
  </si>
  <si>
    <t>f52bbe51</t>
  </si>
  <si>
    <t>176b3878</t>
  </si>
  <si>
    <t>b2515386</t>
  </si>
  <si>
    <t>044b2be4</t>
  </si>
  <si>
    <t>64dce27b</t>
  </si>
  <si>
    <t>1d25c70e</t>
  </si>
  <si>
    <t>f3ca4634</t>
  </si>
  <si>
    <t>5d74bc67</t>
  </si>
  <si>
    <t>82e9ff17</t>
  </si>
  <si>
    <t>357d8d79</t>
  </si>
  <si>
    <t>fc2dac44</t>
  </si>
  <si>
    <t>9e017f22</t>
  </si>
  <si>
    <t>6cf7f319</t>
  </si>
  <si>
    <t>359d1b5c</t>
  </si>
  <si>
    <t>d5aea182</t>
  </si>
  <si>
    <t>c289ba4f</t>
  </si>
  <si>
    <t>830d51a6</t>
  </si>
  <si>
    <t>f0b4767b</t>
  </si>
  <si>
    <t>aaa80c30</t>
  </si>
  <si>
    <t>ed6b3798</t>
  </si>
  <si>
    <t>d66572ec</t>
  </si>
  <si>
    <t>632f9c79</t>
  </si>
  <si>
    <t>4464c1a5</t>
  </si>
  <si>
    <t>ada9a296</t>
  </si>
  <si>
    <t>3ffb120e</t>
  </si>
  <si>
    <t>d4326c48</t>
  </si>
  <si>
    <t>22b6d958</t>
  </si>
  <si>
    <t>8f2b5474</t>
  </si>
  <si>
    <t>1b41c4bf</t>
  </si>
  <si>
    <t>e1379f3e</t>
  </si>
  <si>
    <t>92a5a2aa</t>
  </si>
  <si>
    <t>e74c5acc</t>
  </si>
  <si>
    <t>9f1147fd</t>
  </si>
  <si>
    <t>ecfa9adf</t>
  </si>
  <si>
    <t>33c7a1f9</t>
  </si>
  <si>
    <t>105b1a94</t>
  </si>
  <si>
    <t>4b5bc608</t>
  </si>
  <si>
    <t>f9957926</t>
  </si>
  <si>
    <t>473c84e4</t>
  </si>
  <si>
    <t>5a229ccd</t>
  </si>
  <si>
    <t>f83b5e52</t>
  </si>
  <si>
    <t>9c1e4dbc</t>
  </si>
  <si>
    <t>b7027f8f</t>
  </si>
  <si>
    <t>08f7ffc7</t>
  </si>
  <si>
    <t>43a7aa23</t>
  </si>
  <si>
    <t>c3c6c03f</t>
  </si>
  <si>
    <t>45b8e2bc</t>
  </si>
  <si>
    <t>7d3fd052</t>
  </si>
  <si>
    <t>c862ce50</t>
  </si>
  <si>
    <t>c2f3cc42</t>
  </si>
  <si>
    <t>c2a37ec5</t>
  </si>
  <si>
    <t>6228ef7c</t>
  </si>
  <si>
    <t>2e3fe68e</t>
  </si>
  <si>
    <t>39d0cdcb</t>
  </si>
  <si>
    <t>a999c311</t>
  </si>
  <si>
    <t>629efaae</t>
  </si>
  <si>
    <t>fcd4a19a</t>
  </si>
  <si>
    <t>4a6546d2</t>
  </si>
  <si>
    <t>0d6f24c3</t>
  </si>
  <si>
    <t>40f7726b</t>
  </si>
  <si>
    <t>e64142f1</t>
  </si>
  <si>
    <t>6a2877ea</t>
  </si>
  <si>
    <t>de36e173</t>
  </si>
  <si>
    <t>a94be8c3</t>
  </si>
  <si>
    <t>c5b2e724</t>
  </si>
  <si>
    <t>187a827a</t>
  </si>
  <si>
    <t>81cdb5e2</t>
  </si>
  <si>
    <t>5d16728c</t>
  </si>
  <si>
    <t>daa2bd5c</t>
  </si>
  <si>
    <t>d0ec16ef</t>
  </si>
  <si>
    <t>d3bb90fd</t>
  </si>
  <si>
    <t>55d3f794</t>
  </si>
  <si>
    <t>793a1d95</t>
  </si>
  <si>
    <t>d280f834</t>
  </si>
  <si>
    <t>e0cd316a</t>
  </si>
  <si>
    <t>b3d830e1</t>
  </si>
  <si>
    <t>6a602fcd</t>
  </si>
  <si>
    <t>e079abe5</t>
  </si>
  <si>
    <t>d1509d5c</t>
  </si>
  <si>
    <t>b49680f9</t>
  </si>
  <si>
    <t>598bc8de</t>
  </si>
  <si>
    <t>acb86e2d</t>
  </si>
  <si>
    <t>c3aa158a</t>
  </si>
  <si>
    <t>aaf8dac7</t>
  </si>
  <si>
    <t>bebfe933</t>
  </si>
  <si>
    <t>356aec38</t>
  </si>
  <si>
    <t>55615bb8</t>
  </si>
  <si>
    <t>c13711dd</t>
  </si>
  <si>
    <t>d4872437</t>
  </si>
  <si>
    <t>a9c0d105</t>
  </si>
  <si>
    <t>a7613e4e</t>
  </si>
  <si>
    <t>c5c748dd</t>
  </si>
  <si>
    <t>b88476d8</t>
  </si>
  <si>
    <t>e0231884</t>
  </si>
  <si>
    <t>5aeb06c1</t>
  </si>
  <si>
    <t>b45ef42e</t>
  </si>
  <si>
    <t>9feb80ec</t>
  </si>
  <si>
    <t>ac0a203e</t>
  </si>
  <si>
    <t>c865c0c5</t>
  </si>
  <si>
    <t>139d2398</t>
  </si>
  <si>
    <t>dbf76db4</t>
  </si>
  <si>
    <t>d8c1acad</t>
  </si>
  <si>
    <t>867cc722</t>
  </si>
  <si>
    <t>67e62b4b</t>
  </si>
  <si>
    <t>b466a3bb</t>
  </si>
  <si>
    <t>50e893bd</t>
  </si>
  <si>
    <t>b5decac5</t>
  </si>
  <si>
    <t>9adbf6d4</t>
  </si>
  <si>
    <t>c7f22151</t>
  </si>
  <si>
    <t>a751d052</t>
  </si>
  <si>
    <t>9b90fb42</t>
  </si>
  <si>
    <t>0a9695f9</t>
  </si>
  <si>
    <t>a4050fd9</t>
  </si>
  <si>
    <t>9976ad41</t>
  </si>
  <si>
    <t>e47bcec7</t>
  </si>
  <si>
    <t>8ed11b91</t>
  </si>
  <si>
    <t>d82ab38a</t>
  </si>
  <si>
    <t>316acf6c</t>
  </si>
  <si>
    <t>b0e38eb0</t>
  </si>
  <si>
    <t>ebe6c2c7</t>
  </si>
  <si>
    <t>251ce893</t>
  </si>
  <si>
    <t>8f45be0d</t>
  </si>
  <si>
    <t>70b3cf0a</t>
  </si>
  <si>
    <t>70d933f8</t>
  </si>
  <si>
    <t>23424c74</t>
  </si>
  <si>
    <t>5e9b6638</t>
  </si>
  <si>
    <t>4d2c1ffc</t>
  </si>
  <si>
    <t>81f5d92d</t>
  </si>
  <si>
    <t>1ba87b68</t>
  </si>
  <si>
    <t>94e2df8d</t>
  </si>
  <si>
    <t>3d60c5ef</t>
  </si>
  <si>
    <t>3a9f6d69</t>
  </si>
  <si>
    <t>59dc926e</t>
  </si>
  <si>
    <t>0ae144e9</t>
  </si>
  <si>
    <t>121eb70d</t>
  </si>
  <si>
    <t>80624221</t>
  </si>
  <si>
    <t>83a23f46</t>
  </si>
  <si>
    <t>d6c85260</t>
  </si>
  <si>
    <t>3946c87c</t>
  </si>
  <si>
    <t>735c85dc</t>
  </si>
  <si>
    <t>59cf2d03</t>
  </si>
  <si>
    <t>ab2877ee</t>
  </si>
  <si>
    <t>51251420</t>
  </si>
  <si>
    <t>74268f67</t>
  </si>
  <si>
    <t>39444a47</t>
  </si>
  <si>
    <t>ca2c69fa</t>
  </si>
  <si>
    <t>6e6e615b</t>
  </si>
  <si>
    <t>14418253</t>
  </si>
  <si>
    <t>0389646e</t>
  </si>
  <si>
    <t>710c4aa6</t>
  </si>
  <si>
    <t>4661ec44</t>
  </si>
  <si>
    <t>b014f75d</t>
  </si>
  <si>
    <t>b3fc5692</t>
  </si>
  <si>
    <t>f892436e</t>
  </si>
  <si>
    <t>56174f38</t>
  </si>
  <si>
    <t>67eabf66</t>
  </si>
  <si>
    <t>c7a73773</t>
  </si>
  <si>
    <t>03a69306</t>
  </si>
  <si>
    <t>171e3ee0</t>
  </si>
  <si>
    <t>b5c177c9</t>
  </si>
  <si>
    <t>1cf1ec63</t>
  </si>
  <si>
    <t>36f114c8</t>
  </si>
  <si>
    <t>a6737a47</t>
  </si>
  <si>
    <t>c39ec9ad</t>
  </si>
  <si>
    <t>c642d98e</t>
  </si>
  <si>
    <t>38ba81cb</t>
  </si>
  <si>
    <t>0d57048f</t>
  </si>
  <si>
    <t>28090541</t>
  </si>
  <si>
    <t>f8dd936c</t>
  </si>
  <si>
    <t>210d3a93</t>
  </si>
  <si>
    <t>e5593935</t>
  </si>
  <si>
    <t>98fe927c</t>
  </si>
  <si>
    <t>a8d28382</t>
  </si>
  <si>
    <t>cd84a823</t>
  </si>
  <si>
    <t>2a033d31</t>
  </si>
  <si>
    <t>d4f28ae0</t>
  </si>
  <si>
    <t>9d482194</t>
  </si>
  <si>
    <t>c8fa7c81</t>
  </si>
  <si>
    <t>28fcc713</t>
  </si>
  <si>
    <t>b8ac9b95</t>
  </si>
  <si>
    <t>e164ba7e</t>
  </si>
  <si>
    <t>861456c4</t>
  </si>
  <si>
    <t>c56d374a</t>
  </si>
  <si>
    <t>7295187e</t>
  </si>
  <si>
    <t>138c3fde</t>
  </si>
  <si>
    <t>f2c4efcb</t>
  </si>
  <si>
    <t>5936605c</t>
  </si>
  <si>
    <t>f193376c</t>
  </si>
  <si>
    <t>2ea52f7b</t>
  </si>
  <si>
    <t>9642177c</t>
  </si>
  <si>
    <t>81eae088</t>
  </si>
  <si>
    <t>b5492411</t>
  </si>
  <si>
    <t>af70101d</t>
  </si>
  <si>
    <t>b1c990e3</t>
  </si>
  <si>
    <t>865fe7d3</t>
  </si>
  <si>
    <t>28056c1b</t>
  </si>
  <si>
    <t>ff1897d4</t>
  </si>
  <si>
    <t>265e93ec</t>
  </si>
  <si>
    <t>ab053b39</t>
  </si>
  <si>
    <t>998b55e8</t>
  </si>
  <si>
    <t>da53105f</t>
  </si>
  <si>
    <t>63098271</t>
  </si>
  <si>
    <t>34599a4b</t>
  </si>
  <si>
    <t>c1b250dc</t>
  </si>
  <si>
    <t>2ea95d78</t>
  </si>
  <si>
    <t>6417c0e7</t>
  </si>
  <si>
    <t>1f888e51</t>
  </si>
  <si>
    <t>4160a5e2</t>
  </si>
  <si>
    <t>5d009647</t>
  </si>
  <si>
    <t>fe4e87b3</t>
  </si>
  <si>
    <t>8412a57a</t>
  </si>
  <si>
    <t>7b1db990</t>
  </si>
  <si>
    <t>c96e2ed1</t>
  </si>
  <si>
    <t>8977625e</t>
  </si>
  <si>
    <t>bd0783e0</t>
  </si>
  <si>
    <t>943bec23</t>
  </si>
  <si>
    <t>d5927ac0</t>
  </si>
  <si>
    <t>130d4793</t>
  </si>
  <si>
    <t>c1c15c2d</t>
  </si>
  <si>
    <t>3e576ac5</t>
  </si>
  <si>
    <t>8a5ef944</t>
  </si>
  <si>
    <t>91a3d626</t>
  </si>
  <si>
    <t>6e70018f</t>
  </si>
  <si>
    <t>e9042c3c</t>
  </si>
  <si>
    <t>af1f87da</t>
  </si>
  <si>
    <t>cb3c0589</t>
  </si>
  <si>
    <t>33b90e0d</t>
  </si>
  <si>
    <t>a9915541</t>
  </si>
  <si>
    <t>90de88b1</t>
  </si>
  <si>
    <t>69f53c0e</t>
  </si>
  <si>
    <t>ab482c98</t>
  </si>
  <si>
    <t>f1aba2ec</t>
  </si>
  <si>
    <t>057ba322</t>
  </si>
  <si>
    <t>0cc652bb</t>
  </si>
  <si>
    <t>d4577786</t>
  </si>
  <si>
    <t>29a3380f</t>
  </si>
  <si>
    <t>d66959f3</t>
  </si>
  <si>
    <t>c1479f3d</t>
  </si>
  <si>
    <t>22d7b70d</t>
  </si>
  <si>
    <t>a759fd19</t>
  </si>
  <si>
    <t>84bd8d05</t>
  </si>
  <si>
    <t>b4a3c2ca</t>
  </si>
  <si>
    <t>4a95c021</t>
  </si>
  <si>
    <t>1fbee12d</t>
  </si>
  <si>
    <t>acc87055</t>
  </si>
  <si>
    <t>7e48bac2</t>
  </si>
  <si>
    <t>ebf7d50b</t>
  </si>
  <si>
    <t>5e485d47</t>
  </si>
  <si>
    <t>a855f028</t>
  </si>
  <si>
    <t>7ef1c47f</t>
  </si>
  <si>
    <t>962f17ab</t>
  </si>
  <si>
    <t>a1562fff</t>
  </si>
  <si>
    <t>8d6d73ed</t>
  </si>
  <si>
    <t>12770383</t>
  </si>
  <si>
    <t>c424bff3</t>
  </si>
  <si>
    <t>ff92e7df</t>
  </si>
  <si>
    <t>ceeb3b7a</t>
  </si>
  <si>
    <t>dfdd3b89</t>
  </si>
  <si>
    <t>a520742d</t>
  </si>
  <si>
    <t>45c85bca</t>
  </si>
  <si>
    <t>67f2bee9</t>
  </si>
  <si>
    <t>b775cafd</t>
  </si>
  <si>
    <t>46c5fc6f</t>
  </si>
  <si>
    <t>e3ac08bf</t>
  </si>
  <si>
    <t>a79e4a19</t>
  </si>
  <si>
    <t>3b23e0a8</t>
  </si>
  <si>
    <t>51b352e0</t>
  </si>
  <si>
    <t>518e09a9</t>
  </si>
  <si>
    <t>f236689e</t>
  </si>
  <si>
    <t>f62009fa</t>
  </si>
  <si>
    <t>cdabb3de</t>
  </si>
  <si>
    <t>60af769a</t>
  </si>
  <si>
    <t>ec8dc95d</t>
  </si>
  <si>
    <t>27b8a05b</t>
  </si>
  <si>
    <t>e053a248</t>
  </si>
  <si>
    <t>1c4751cb</t>
  </si>
  <si>
    <t>35064f95</t>
  </si>
  <si>
    <t>fc6cbbb6</t>
  </si>
  <si>
    <t>4e5d2674</t>
  </si>
  <si>
    <t>b215c86f</t>
  </si>
  <si>
    <t>9b25b550</t>
  </si>
  <si>
    <t>3302dbab</t>
  </si>
  <si>
    <t>5ee1a372</t>
  </si>
  <si>
    <t>4c05ad21</t>
  </si>
  <si>
    <t>bf8a056b</t>
  </si>
  <si>
    <t>109a6dad</t>
  </si>
  <si>
    <t>4bf9b798</t>
  </si>
  <si>
    <t>70d6933f</t>
  </si>
  <si>
    <t>b95b8f57</t>
  </si>
  <si>
    <t>c63ebf5f</t>
  </si>
  <si>
    <t>e8a2379c</t>
  </si>
  <si>
    <t>d4f58849</t>
  </si>
  <si>
    <t>1b516e96</t>
  </si>
  <si>
    <t>9b0c8758</t>
  </si>
  <si>
    <t>005a1302</t>
  </si>
  <si>
    <t>49e839bd</t>
  </si>
  <si>
    <t>09675d37</t>
  </si>
  <si>
    <t>89b7da64</t>
  </si>
  <si>
    <t>d372ec34</t>
  </si>
  <si>
    <t>b890ed43</t>
  </si>
  <si>
    <t>78aae011</t>
  </si>
  <si>
    <t>4e7f80c5</t>
  </si>
  <si>
    <t>e3b22425</t>
  </si>
  <si>
    <t>5d230c02</t>
  </si>
  <si>
    <t>edbc0058</t>
  </si>
  <si>
    <t>9fb6638f</t>
  </si>
  <si>
    <t>9711d061</t>
  </si>
  <si>
    <t>4b0ebdaa</t>
  </si>
  <si>
    <t>57fcb3db</t>
  </si>
  <si>
    <t>627034f2</t>
  </si>
  <si>
    <t>6784e2c9</t>
  </si>
  <si>
    <t>18064e9b</t>
  </si>
  <si>
    <t>14cb9ef0</t>
  </si>
  <si>
    <t>ee8c5dc9</t>
  </si>
  <si>
    <t>51592845</t>
  </si>
  <si>
    <t>e5aefada</t>
  </si>
  <si>
    <t>60ad5f26</t>
  </si>
  <si>
    <t>a86e6aaa</t>
  </si>
  <si>
    <t>0fde1e80</t>
  </si>
  <si>
    <t>be1659bd</t>
  </si>
  <si>
    <t>29e1587e</t>
  </si>
  <si>
    <t>2edab6e7</t>
  </si>
  <si>
    <t>57bc544e</t>
  </si>
  <si>
    <t>762c59e7</t>
  </si>
  <si>
    <t>952462b7</t>
  </si>
  <si>
    <t>ddf1ec73</t>
  </si>
  <si>
    <t>0d5ce289</t>
  </si>
  <si>
    <t>b6a423c4</t>
  </si>
  <si>
    <t>d6575e2a</t>
  </si>
  <si>
    <t>cc208e88</t>
  </si>
  <si>
    <t>d49f35f0</t>
  </si>
  <si>
    <t>92ddb15e</t>
  </si>
  <si>
    <t>80dbfe83</t>
  </si>
  <si>
    <t>7a5649a5</t>
  </si>
  <si>
    <t>21b5f0b0</t>
  </si>
  <si>
    <t>d7920175</t>
  </si>
  <si>
    <t>f8dbb065</t>
  </si>
  <si>
    <t>11ae481f</t>
  </si>
  <si>
    <t>2579bcae</t>
  </si>
  <si>
    <t>9e0932d6</t>
  </si>
  <si>
    <t>00fe9f3f</t>
  </si>
  <si>
    <t>15df3159</t>
  </si>
  <si>
    <t>c9d99f0e</t>
  </si>
  <si>
    <t>57e1d399</t>
  </si>
  <si>
    <t>48de7ce2</t>
  </si>
  <si>
    <t>da024478</t>
  </si>
  <si>
    <t>1bc0b77e</t>
  </si>
  <si>
    <t>f5a7e14c</t>
  </si>
  <si>
    <t>d6f7a55a</t>
  </si>
  <si>
    <t>b385d50f</t>
  </si>
  <si>
    <t>97a044e8</t>
  </si>
  <si>
    <t>a32883ea</t>
  </si>
  <si>
    <t>75d2ed95</t>
  </si>
  <si>
    <t>fe068a68</t>
  </si>
  <si>
    <t>40eb6587</t>
  </si>
  <si>
    <t>f6a6ca93</t>
  </si>
  <si>
    <t>18f3da22</t>
  </si>
  <si>
    <t>2b13fabe</t>
  </si>
  <si>
    <t>0ba79871</t>
  </si>
  <si>
    <t>ded295f6</t>
  </si>
  <si>
    <t>7e07c515</t>
  </si>
  <si>
    <t>157094a0</t>
  </si>
  <si>
    <t>4bb6d62a</t>
  </si>
  <si>
    <t>6dd82f14</t>
  </si>
  <si>
    <t>c1b91fee</t>
  </si>
  <si>
    <t>55cd231d</t>
  </si>
  <si>
    <t>35add0d7</t>
  </si>
  <si>
    <t>37f0da66</t>
  </si>
  <si>
    <t>8344b38d</t>
  </si>
  <si>
    <t>e68e25a0</t>
  </si>
  <si>
    <t>e9c3913a</t>
  </si>
  <si>
    <t>d63ea38a</t>
  </si>
  <si>
    <t>cb7af0ce</t>
  </si>
  <si>
    <t>e1fba7e2</t>
  </si>
  <si>
    <t>d9e467df</t>
  </si>
  <si>
    <t>847790f6</t>
  </si>
  <si>
    <t>dfa0f9cc</t>
  </si>
  <si>
    <t>987b0b6f</t>
  </si>
  <si>
    <t>05eb6fe7</t>
  </si>
  <si>
    <t>35c62257</t>
  </si>
  <si>
    <t>e8b68f51</t>
  </si>
  <si>
    <t>9d95fb14</t>
  </si>
  <si>
    <t>25e5ed20</t>
  </si>
  <si>
    <t>9d49d128</t>
  </si>
  <si>
    <t>405a399f</t>
  </si>
  <si>
    <t>9e7dcd34</t>
  </si>
  <si>
    <t>5ea8acbe</t>
  </si>
  <si>
    <t>266bdc1a</t>
  </si>
  <si>
    <t>40197277</t>
  </si>
  <si>
    <t>72d53ddf</t>
  </si>
  <si>
    <t>1422830f</t>
  </si>
  <si>
    <t>8982aa5f</t>
  </si>
  <si>
    <t>0a7b3987</t>
  </si>
  <si>
    <t>709d27bb</t>
  </si>
  <si>
    <t>f95f2506</t>
  </si>
  <si>
    <t>dd00ea36</t>
  </si>
  <si>
    <t>9fb68ffb</t>
  </si>
  <si>
    <t>c35fa03f</t>
  </si>
  <si>
    <t>6a639f43</t>
  </si>
  <si>
    <t>a90d5c84</t>
  </si>
  <si>
    <t>55953ba4</t>
  </si>
  <si>
    <t>1acf1832</t>
  </si>
  <si>
    <t>9daba2cb</t>
  </si>
  <si>
    <t>ebb9e318</t>
  </si>
  <si>
    <t>98d689af</t>
  </si>
  <si>
    <t>8b75e621</t>
  </si>
  <si>
    <t>af8f9550</t>
  </si>
  <si>
    <t>9433aa65</t>
  </si>
  <si>
    <t>54632b59</t>
  </si>
  <si>
    <t>19d32862</t>
  </si>
  <si>
    <t>461ccd7e</t>
  </si>
  <si>
    <t>7aedbdd9</t>
  </si>
  <si>
    <t>d92554f5</t>
  </si>
  <si>
    <t>7aedbdd10</t>
  </si>
  <si>
    <t>c163e3c0</t>
  </si>
  <si>
    <t>7aedbdd11</t>
  </si>
  <si>
    <t>1f8a401b</t>
  </si>
  <si>
    <t>7aedbdd12</t>
  </si>
  <si>
    <t>557e60c0</t>
  </si>
  <si>
    <t>7aedbdd13</t>
  </si>
  <si>
    <t>fcd623fe</t>
  </si>
  <si>
    <t>7aedbdd14</t>
  </si>
  <si>
    <t>a406a838</t>
  </si>
  <si>
    <t>7aedbdd15</t>
  </si>
  <si>
    <t>12b0568b</t>
  </si>
  <si>
    <t>7aedbdd16</t>
  </si>
  <si>
    <t>7ac1d731</t>
  </si>
  <si>
    <t>7aedbdd17</t>
  </si>
  <si>
    <t>2229ec3e</t>
  </si>
  <si>
    <t>7aedbdd18</t>
  </si>
  <si>
    <t>5b46a28d</t>
  </si>
  <si>
    <t>7aedbdd19</t>
  </si>
  <si>
    <t>baa9acbf</t>
  </si>
  <si>
    <t>7aedbdd20</t>
  </si>
  <si>
    <t>d6e1bdf1</t>
  </si>
  <si>
    <t>7aedbdd21</t>
  </si>
  <si>
    <t>91898cc3</t>
  </si>
  <si>
    <t>7aedbdd22</t>
  </si>
  <si>
    <t>1ee93477</t>
  </si>
  <si>
    <t>7aedbdd23</t>
  </si>
  <si>
    <t>4ac78a33</t>
  </si>
  <si>
    <t>7aedbdd24</t>
  </si>
  <si>
    <t>6680db8f</t>
  </si>
  <si>
    <t>7aedbdd25</t>
  </si>
  <si>
    <t>e0dec2b1</t>
  </si>
  <si>
    <t>7aedbdd26</t>
  </si>
  <si>
    <t>20823c8d</t>
  </si>
  <si>
    <t>7aedbdd27</t>
  </si>
  <si>
    <t>7be42e69</t>
  </si>
  <si>
    <t>7aedbdd28</t>
  </si>
  <si>
    <t>15d913ea</t>
  </si>
  <si>
    <t>7aedbdd29</t>
  </si>
  <si>
    <t>d118071d</t>
  </si>
  <si>
    <t>7aedbdd30</t>
  </si>
  <si>
    <t>b6f60f93</t>
  </si>
  <si>
    <t>7aedbdd31</t>
  </si>
  <si>
    <t>3508c7c9</t>
  </si>
  <si>
    <t>7aedbdd32</t>
  </si>
  <si>
    <t>af8ae0cb</t>
  </si>
  <si>
    <t>7aedbdd33</t>
  </si>
  <si>
    <t>16d546dd</t>
  </si>
  <si>
    <t>7aedbdd34</t>
  </si>
  <si>
    <t>c6c2f8b0</t>
  </si>
  <si>
    <t>7aedbdd35</t>
  </si>
  <si>
    <t>02052ffc</t>
  </si>
  <si>
    <t>7aedbdd36</t>
  </si>
  <si>
    <t>24a0c819</t>
  </si>
  <si>
    <t>7aedbdd37</t>
  </si>
  <si>
    <t>ba1b5db2</t>
  </si>
  <si>
    <t>7aedbdd38</t>
  </si>
  <si>
    <t>daa897b0</t>
  </si>
  <si>
    <t>7aedbdd39</t>
  </si>
  <si>
    <t>b46ddd06</t>
  </si>
  <si>
    <t>7aedbdd40</t>
  </si>
  <si>
    <t>2f76cd5b</t>
  </si>
  <si>
    <t>7aedbdd41</t>
  </si>
  <si>
    <t>9fcfc1cd</t>
  </si>
  <si>
    <t>7aedbdd42</t>
  </si>
  <si>
    <t>90186752</t>
  </si>
  <si>
    <t>7aedbdd43</t>
  </si>
  <si>
    <t>aab75347</t>
  </si>
  <si>
    <t>7aedbdd44</t>
  </si>
  <si>
    <t>06ae8bb9</t>
  </si>
  <si>
    <t>7aedbdd45</t>
  </si>
  <si>
    <t>0f176e44</t>
  </si>
  <si>
    <t>7aedbdd46</t>
  </si>
  <si>
    <t>dbb60e9d</t>
  </si>
  <si>
    <t>7aedbdd47</t>
  </si>
  <si>
    <t>565f0b2c</t>
  </si>
  <si>
    <t>7aedbdd48</t>
  </si>
  <si>
    <t>de380ba8</t>
  </si>
  <si>
    <t>7aedbdd49</t>
  </si>
  <si>
    <t>89d98b7e</t>
  </si>
  <si>
    <t>7aedbdd50</t>
  </si>
  <si>
    <t>be6f1a76</t>
  </si>
  <si>
    <t>7aedbdd51</t>
  </si>
  <si>
    <t>810c017b</t>
  </si>
  <si>
    <t>7aedbdd52</t>
  </si>
  <si>
    <t>12948138</t>
  </si>
  <si>
    <t>7aedbdd53</t>
  </si>
  <si>
    <t>aa976ac5</t>
  </si>
  <si>
    <t>7aedbdd54</t>
  </si>
  <si>
    <t>b1532790</t>
  </si>
  <si>
    <t>7aedbdd55</t>
  </si>
  <si>
    <t>1fc6ff42</t>
  </si>
  <si>
    <t>7aedbdd56</t>
  </si>
  <si>
    <t>d78e759d</t>
  </si>
  <si>
    <t>7aedbdd57</t>
  </si>
  <si>
    <t>e5b307cf</t>
  </si>
  <si>
    <t>7aedbdd58</t>
  </si>
  <si>
    <t>ad5c5dd0</t>
  </si>
  <si>
    <t>7aedbdd59</t>
  </si>
  <si>
    <t>e51ccce6</t>
  </si>
  <si>
    <t>7aedbdd60</t>
  </si>
  <si>
    <t>b49bcd2d</t>
  </si>
  <si>
    <t>7aedbdd61</t>
  </si>
  <si>
    <t>4297c61a</t>
  </si>
  <si>
    <t>7aedbdd62</t>
  </si>
  <si>
    <t>be2d3c1a</t>
  </si>
  <si>
    <t>7aedbdd63</t>
  </si>
  <si>
    <t>5e2ff2d9</t>
  </si>
  <si>
    <t>7aedbdd64</t>
  </si>
  <si>
    <t>b29b4df7</t>
  </si>
  <si>
    <t>7aedbdd65</t>
  </si>
  <si>
    <t>5fbf4782</t>
  </si>
  <si>
    <t>7aedbdd66</t>
  </si>
  <si>
    <t>3dc4a6f4</t>
  </si>
  <si>
    <t>7aedbdd67</t>
  </si>
  <si>
    <t>04df162c</t>
  </si>
  <si>
    <t>7aedbdd68</t>
  </si>
  <si>
    <t>f9f65ae6</t>
  </si>
  <si>
    <t>7aedbdd69</t>
  </si>
  <si>
    <t>4a60c53b</t>
  </si>
  <si>
    <t>7aedbdd70</t>
  </si>
  <si>
    <t>fcf89078</t>
  </si>
  <si>
    <t>7aedbdd71</t>
  </si>
  <si>
    <t>1a203d54</t>
  </si>
  <si>
    <t>7aedbdd72</t>
  </si>
  <si>
    <t>457a5acc</t>
  </si>
  <si>
    <t>7aedbdd73</t>
  </si>
  <si>
    <t>29e4943f</t>
  </si>
  <si>
    <t>7aedbdd74</t>
  </si>
  <si>
    <t>abadb54f</t>
  </si>
  <si>
    <t>7aedbdd75</t>
  </si>
  <si>
    <t>d5c6e374</t>
  </si>
  <si>
    <t>7aedbdd76</t>
  </si>
  <si>
    <t>a35aae54</t>
  </si>
  <si>
    <t>7aedbdd77</t>
  </si>
  <si>
    <t>18b0d85c</t>
  </si>
  <si>
    <t>7aedbdd78</t>
  </si>
  <si>
    <t>bc4a2b27</t>
  </si>
  <si>
    <t>7aedbdd79</t>
  </si>
  <si>
    <t>0abf2218</t>
  </si>
  <si>
    <t>7aedbdd80</t>
  </si>
  <si>
    <t>f9108ef4</t>
  </si>
  <si>
    <t>7aedbdd81</t>
  </si>
  <si>
    <t>4ad9c664</t>
  </si>
  <si>
    <t>7aedbdd82</t>
  </si>
  <si>
    <t>84d27a71</t>
  </si>
  <si>
    <t>7aedbdd83</t>
  </si>
  <si>
    <t>a57c845e</t>
  </si>
  <si>
    <t>7aedbdd84</t>
  </si>
  <si>
    <t>306970eb</t>
  </si>
  <si>
    <t>7aedbdd85</t>
  </si>
  <si>
    <t>5946694d</t>
  </si>
  <si>
    <t>7aedbdd86</t>
  </si>
  <si>
    <t>d5a787b6</t>
  </si>
  <si>
    <t>7aedbdd87</t>
  </si>
  <si>
    <t>d9a356dd</t>
  </si>
  <si>
    <t>7aedbdd88</t>
  </si>
  <si>
    <t>a292583e</t>
  </si>
  <si>
    <t>7aedbdd89</t>
  </si>
  <si>
    <t>96c62fad</t>
  </si>
  <si>
    <t>7aedbdd90</t>
  </si>
  <si>
    <t>7aaad086</t>
  </si>
  <si>
    <t>7aedbdd91</t>
  </si>
  <si>
    <t>3743adfd</t>
  </si>
  <si>
    <t>7aedbdd92</t>
  </si>
  <si>
    <t>383d92cd</t>
  </si>
  <si>
    <t>7aedbdd93</t>
  </si>
  <si>
    <t>f1ad83cb</t>
  </si>
  <si>
    <t>7aedbdd94</t>
  </si>
  <si>
    <t>ca0a2d6f</t>
  </si>
  <si>
    <t>7aedbdd95</t>
  </si>
  <si>
    <t>fc891e56</t>
  </si>
  <si>
    <t>7aedbdd96</t>
  </si>
  <si>
    <t>01458cf9</t>
  </si>
  <si>
    <t>7aedbdd97</t>
  </si>
  <si>
    <t>6f7d8e9a</t>
  </si>
  <si>
    <t>7aedbdd98</t>
  </si>
  <si>
    <t>3e4897c2</t>
  </si>
  <si>
    <t>7aedbdd99</t>
  </si>
  <si>
    <t>39395318</t>
  </si>
  <si>
    <t>7aedbdd100</t>
  </si>
  <si>
    <t>35f2cc9b</t>
  </si>
  <si>
    <t>7aedbdd101</t>
  </si>
  <si>
    <t>9b6fb918</t>
  </si>
  <si>
    <t>7aedbdd102</t>
  </si>
  <si>
    <t>04e651fe</t>
  </si>
  <si>
    <t>7aedbdd103</t>
  </si>
  <si>
    <t>c2f34bf4</t>
  </si>
  <si>
    <t>7aedbdd104</t>
  </si>
  <si>
    <t>dc7e2db7</t>
  </si>
  <si>
    <t>7aedbdd105</t>
  </si>
  <si>
    <t>8729a98d</t>
  </si>
  <si>
    <t>7aedbdd106</t>
  </si>
  <si>
    <t>aa6afe93</t>
  </si>
  <si>
    <t>7aedbdd107</t>
  </si>
  <si>
    <t>b102b26f</t>
  </si>
  <si>
    <t>7aedbdd108</t>
  </si>
  <si>
    <t>07117a5b</t>
  </si>
  <si>
    <t>7aedbdd109</t>
  </si>
  <si>
    <t>12152a70</t>
  </si>
  <si>
    <t>7aedbdd110</t>
  </si>
  <si>
    <t>25e9a75a</t>
  </si>
  <si>
    <t>7aedbdd111</t>
  </si>
  <si>
    <t>3dd2150b</t>
  </si>
  <si>
    <t>7aedbdd112</t>
  </si>
  <si>
    <t>693f71c8</t>
  </si>
  <si>
    <t>7aedbdd113</t>
  </si>
  <si>
    <t>e1afe8d6</t>
  </si>
  <si>
    <t>7aedbdd114</t>
  </si>
  <si>
    <t>947c080b</t>
  </si>
  <si>
    <t>7aedbdd115</t>
  </si>
  <si>
    <t>ea3bf7ad</t>
  </si>
  <si>
    <t>7aedbdd116</t>
  </si>
  <si>
    <t>90f95168</t>
  </si>
  <si>
    <t>7aedbdd117</t>
  </si>
  <si>
    <t>1f5b7833</t>
  </si>
  <si>
    <t>7aedbdd118</t>
  </si>
  <si>
    <t>60c00779</t>
  </si>
  <si>
    <t>7aedbdd119</t>
  </si>
  <si>
    <t>847e9f2c</t>
  </si>
  <si>
    <t>7aedbdd120</t>
  </si>
  <si>
    <t>4c659d50</t>
  </si>
  <si>
    <t>7aedbdd121</t>
  </si>
  <si>
    <t>196cd979</t>
  </si>
  <si>
    <t>7aedbdd122</t>
  </si>
  <si>
    <t>a09315d7</t>
  </si>
  <si>
    <t>7aedbdd123</t>
  </si>
  <si>
    <t>c4c900d0</t>
  </si>
  <si>
    <t>7aedbdd124</t>
  </si>
  <si>
    <t>a4998020</t>
  </si>
  <si>
    <t>7aedbdd125</t>
  </si>
  <si>
    <t>1ef4e830</t>
  </si>
  <si>
    <t>7aedbdd126</t>
  </si>
  <si>
    <t>8db580d0</t>
  </si>
  <si>
    <t>7aedbdd127</t>
  </si>
  <si>
    <t>c4e2d9c4</t>
  </si>
  <si>
    <t>7aedbdd128</t>
  </si>
  <si>
    <t>36254a08</t>
  </si>
  <si>
    <t>7aedbdd129</t>
  </si>
  <si>
    <t>b69f84ba</t>
  </si>
  <si>
    <t>7aedbdd130</t>
  </si>
  <si>
    <t>37b54b82</t>
  </si>
  <si>
    <t>7aedbdd131</t>
  </si>
  <si>
    <t>03f650ba</t>
  </si>
  <si>
    <t>7aedbdd132</t>
  </si>
  <si>
    <t>2e8a386f</t>
  </si>
  <si>
    <t>7aedbdd133</t>
  </si>
  <si>
    <t>8c04e580</t>
  </si>
  <si>
    <t>7aedbdd134</t>
  </si>
  <si>
    <t>0a52372e</t>
  </si>
  <si>
    <t>7aedbdd135</t>
  </si>
  <si>
    <t>3a860a1c</t>
  </si>
  <si>
    <t>7aedbdd136</t>
  </si>
  <si>
    <t>56ed5f62</t>
  </si>
  <si>
    <t>7aedbdd137</t>
  </si>
  <si>
    <t>bbe0b4b3</t>
  </si>
  <si>
    <t>7aedbdd138</t>
  </si>
  <si>
    <t>3b520f96</t>
  </si>
  <si>
    <t>7aedbdd139</t>
  </si>
  <si>
    <t>839eeddb</t>
  </si>
  <si>
    <t>7aedbdd140</t>
  </si>
  <si>
    <t>cf67aa60</t>
  </si>
  <si>
    <t>7aedbdd141</t>
  </si>
  <si>
    <t>8ec3b346</t>
  </si>
  <si>
    <t>7aedbdd142</t>
  </si>
  <si>
    <t>37a20d53</t>
  </si>
  <si>
    <t>7aedbdd143</t>
  </si>
  <si>
    <t>a6d5d294</t>
  </si>
  <si>
    <t>7aedbdd144</t>
  </si>
  <si>
    <t>7e39cece</t>
  </si>
  <si>
    <t>7aedbdd145</t>
  </si>
  <si>
    <t>4a683133</t>
  </si>
  <si>
    <t>7aedbdd146</t>
  </si>
  <si>
    <t>975f4a07</t>
  </si>
  <si>
    <t>7aedbdd147</t>
  </si>
  <si>
    <t>125a72d3</t>
  </si>
  <si>
    <t>7aedbdd148</t>
  </si>
  <si>
    <t>3a2c73f3</t>
  </si>
  <si>
    <t>7aedbdd149</t>
  </si>
  <si>
    <t>ff8d27ba</t>
  </si>
  <si>
    <t>7aedbdd150</t>
  </si>
  <si>
    <t>a750beba</t>
  </si>
  <si>
    <t>7aedbdd151</t>
  </si>
  <si>
    <t>5f785322</t>
  </si>
  <si>
    <t>7aedbdd152</t>
  </si>
  <si>
    <t>1dbe9097</t>
  </si>
  <si>
    <t>7aedbdd153</t>
  </si>
  <si>
    <t>c6f68045</t>
  </si>
  <si>
    <t>7aedbdd154</t>
  </si>
  <si>
    <t>50a755af</t>
  </si>
  <si>
    <t>7aedbdd155</t>
  </si>
  <si>
    <t>f881c0af</t>
  </si>
  <si>
    <t>7aedbdd156</t>
  </si>
  <si>
    <t>093196b3</t>
  </si>
  <si>
    <t>7aedbdd157</t>
  </si>
  <si>
    <t>bda51aa7</t>
  </si>
  <si>
    <t>7aedbdd158</t>
  </si>
  <si>
    <t>d47a638b</t>
  </si>
  <si>
    <t>7aedbdd159</t>
  </si>
  <si>
    <t>ea0613ae</t>
  </si>
  <si>
    <t>7aedbdd160</t>
  </si>
  <si>
    <t>bf07b3fd</t>
  </si>
  <si>
    <t>7aedbdd161</t>
  </si>
  <si>
    <t>3c0f5142</t>
  </si>
  <si>
    <t>7aedbdd162</t>
  </si>
  <si>
    <t>33332658</t>
  </si>
  <si>
    <t>7aedbdd163</t>
  </si>
  <si>
    <t>05f37dcf</t>
  </si>
  <si>
    <t>7aedbdd164</t>
  </si>
  <si>
    <t>3750902b</t>
  </si>
  <si>
    <t>7aedbdd165</t>
  </si>
  <si>
    <t>112d1f8b</t>
  </si>
  <si>
    <t>7aedbdd166</t>
  </si>
  <si>
    <t>a472ce57</t>
  </si>
  <si>
    <t>7aedbdd167</t>
  </si>
  <si>
    <t>5eeb704f</t>
  </si>
  <si>
    <t>7aedbdd168</t>
  </si>
  <si>
    <t>601156c3</t>
  </si>
  <si>
    <t>7aedbdd169</t>
  </si>
  <si>
    <t>27af2896</t>
  </si>
  <si>
    <t>7aedbdd170</t>
  </si>
  <si>
    <t>7b0c812e</t>
  </si>
  <si>
    <t>7aedbdd171</t>
  </si>
  <si>
    <t>4e0acedf</t>
  </si>
  <si>
    <t>7aedbdd172</t>
  </si>
  <si>
    <t>5cfad273</t>
  </si>
  <si>
    <t>7aedbdd173</t>
  </si>
  <si>
    <t>fafc9f1a</t>
  </si>
  <si>
    <t>7aedbdd174</t>
  </si>
  <si>
    <t>ca571ee6</t>
  </si>
  <si>
    <t>7aedbdd175</t>
  </si>
  <si>
    <t>2fe3405a</t>
  </si>
  <si>
    <t>7aedbdd176</t>
  </si>
  <si>
    <t>979e99ef</t>
  </si>
  <si>
    <t>7aedbdd177</t>
  </si>
  <si>
    <t>a65c7a8a</t>
  </si>
  <si>
    <t>7aedbdd178</t>
  </si>
  <si>
    <t>e43d7616</t>
  </si>
  <si>
    <t>7aedbdd179</t>
  </si>
  <si>
    <t>4fadbc10</t>
  </si>
  <si>
    <t>7aedbdd180</t>
  </si>
  <si>
    <t>5d3abd05</t>
  </si>
  <si>
    <t>7aedbdd181</t>
  </si>
  <si>
    <t>dab7a480</t>
  </si>
  <si>
    <t>7aedbdd182</t>
  </si>
  <si>
    <t>fbfbe422</t>
  </si>
  <si>
    <t>7aedbdd183</t>
  </si>
  <si>
    <t>c8569cd9</t>
  </si>
  <si>
    <t>7aedbdd184</t>
  </si>
  <si>
    <t>d863e7cc</t>
  </si>
  <si>
    <t>7aedbdd185</t>
  </si>
  <si>
    <t>4eaaea80</t>
  </si>
  <si>
    <t>7aedbdd186</t>
  </si>
  <si>
    <t>c2c7e832</t>
  </si>
  <si>
    <t>7aedbdd187</t>
  </si>
  <si>
    <t>c7996567</t>
  </si>
  <si>
    <t>7aedbdd188</t>
  </si>
  <si>
    <t>31cc3ec9</t>
  </si>
  <si>
    <t>7aedbdd189</t>
  </si>
  <si>
    <t>2b2cc3e6</t>
  </si>
  <si>
    <t>7aedbdd190</t>
  </si>
  <si>
    <t>13ba1df8</t>
  </si>
  <si>
    <t>7aedbdd191</t>
  </si>
  <si>
    <t>5d2c0992</t>
  </si>
  <si>
    <t>7aedbdd192</t>
  </si>
  <si>
    <t>3b12000d</t>
  </si>
  <si>
    <t>7aedbdd193</t>
  </si>
  <si>
    <t>6e285bff</t>
  </si>
  <si>
    <t>7aedbdd194</t>
  </si>
  <si>
    <t>876e3b25</t>
  </si>
  <si>
    <t>7aedbdd195</t>
  </si>
  <si>
    <t>d9dfe819</t>
  </si>
  <si>
    <t>7aedbdd196</t>
  </si>
  <si>
    <t>989ba7a6</t>
  </si>
  <si>
    <t>7aedbdd197</t>
  </si>
  <si>
    <t>bc51cda9</t>
  </si>
  <si>
    <t>7aedbdd198</t>
  </si>
  <si>
    <t>4828c952</t>
  </si>
  <si>
    <t>7aedbdd199</t>
  </si>
  <si>
    <t>6639f838</t>
  </si>
  <si>
    <t>7aedbdd200</t>
  </si>
  <si>
    <t>6afcfba2</t>
  </si>
  <si>
    <t>7aedbdd201</t>
  </si>
  <si>
    <t>7a4145f1</t>
  </si>
  <si>
    <t>7aedbdd202</t>
  </si>
  <si>
    <t>3781e8e4</t>
  </si>
  <si>
    <t>7aedbdd203</t>
  </si>
  <si>
    <t>5875bf7b</t>
  </si>
  <si>
    <t>7aedbdd204</t>
  </si>
  <si>
    <t>b1d102c4</t>
  </si>
  <si>
    <t>7aedbdd205</t>
  </si>
  <si>
    <t>c9f3e5fd</t>
  </si>
  <si>
    <t>7aedbdd206</t>
  </si>
  <si>
    <t>84b83622</t>
  </si>
  <si>
    <t>7aedbdd207</t>
  </si>
  <si>
    <t>b635bb81</t>
  </si>
  <si>
    <t>7aedbdd208</t>
  </si>
  <si>
    <t>a65ae35f</t>
  </si>
  <si>
    <t>7aedbdd209</t>
  </si>
  <si>
    <t>5304ad11</t>
  </si>
  <si>
    <t>7aedbdd210</t>
  </si>
  <si>
    <t>de55a3e5</t>
  </si>
  <si>
    <t>7aedbdd211</t>
  </si>
  <si>
    <t>0d9575c6</t>
  </si>
  <si>
    <t>7aedbdd212</t>
  </si>
  <si>
    <t>ec0f363e</t>
  </si>
  <si>
    <t>7aedbdd213</t>
  </si>
  <si>
    <t>37eef5fb</t>
  </si>
  <si>
    <t>7aedbdd214</t>
  </si>
  <si>
    <t>fbf5ce24</t>
  </si>
  <si>
    <t>7aedbdd215</t>
  </si>
  <si>
    <t>04c4be7f</t>
  </si>
  <si>
    <t>7aedbdd216</t>
  </si>
  <si>
    <t>e6a7c3ac</t>
  </si>
  <si>
    <t>7aedbdd217</t>
  </si>
  <si>
    <t>43401b5c</t>
  </si>
  <si>
    <t>7aedbdd218</t>
  </si>
  <si>
    <t>bf511449</t>
  </si>
  <si>
    <t>7aedbdd219</t>
  </si>
  <si>
    <t>d86e857e</t>
  </si>
  <si>
    <t>7aedbdd220</t>
  </si>
  <si>
    <t>66bcb86b</t>
  </si>
  <si>
    <t>7aedbdd221</t>
  </si>
  <si>
    <t>0e891f3b</t>
  </si>
  <si>
    <t>7aedbdd222</t>
  </si>
  <si>
    <t>43c75110</t>
  </si>
  <si>
    <t>7aedbdd223</t>
  </si>
  <si>
    <t>ab008944</t>
  </si>
  <si>
    <t>7aedbdd224</t>
  </si>
  <si>
    <t>7209a80d</t>
  </si>
  <si>
    <t>7aedbdd225</t>
  </si>
  <si>
    <t>b531c1bc</t>
  </si>
  <si>
    <t>7aedbdd226</t>
  </si>
  <si>
    <t>8093846c</t>
  </si>
  <si>
    <t>7aedbdd227</t>
  </si>
  <si>
    <t>0fb05545</t>
  </si>
  <si>
    <t>7aedbdd228</t>
  </si>
  <si>
    <t>c70a39a2</t>
  </si>
  <si>
    <t>7aedbdd229</t>
  </si>
  <si>
    <t>01e0a891</t>
  </si>
  <si>
    <t>7aedbdd230</t>
  </si>
  <si>
    <t>d08d32aa</t>
  </si>
  <si>
    <t>7aedbdd231</t>
  </si>
  <si>
    <t>4a1e79b9</t>
  </si>
  <si>
    <t>7aedbdd232</t>
  </si>
  <si>
    <t>3ada7932</t>
  </si>
  <si>
    <t>7aedbdd233</t>
  </si>
  <si>
    <t>e4d4cfba</t>
  </si>
  <si>
    <t>7aedbdd234</t>
  </si>
  <si>
    <t>cd96bedb</t>
  </si>
  <si>
    <t>7aedbdd235</t>
  </si>
  <si>
    <t>d047b8e5</t>
  </si>
  <si>
    <t>7aedbdd236</t>
  </si>
  <si>
    <t>eba50c14</t>
  </si>
  <si>
    <t>7aedbdd237</t>
  </si>
  <si>
    <t>2a241ee3</t>
  </si>
  <si>
    <t>7aedbdd238</t>
  </si>
  <si>
    <t>a4ed361f</t>
  </si>
  <si>
    <t>7aedbdd239</t>
  </si>
  <si>
    <t>14678b78</t>
  </si>
  <si>
    <t>7aedbdd240</t>
  </si>
  <si>
    <t>ad06f93f</t>
  </si>
  <si>
    <t>7aedbdd241</t>
  </si>
  <si>
    <t>aedcac13</t>
  </si>
  <si>
    <t>7aedbdd242</t>
  </si>
  <si>
    <t>4762608b</t>
  </si>
  <si>
    <t>7aedbdd243</t>
  </si>
  <si>
    <t>e8afbae9</t>
  </si>
  <si>
    <t>7aedbdd244</t>
  </si>
  <si>
    <t>2061c77f</t>
  </si>
  <si>
    <t>7aedbdd245</t>
  </si>
  <si>
    <t>a922a867</t>
  </si>
  <si>
    <t>7aedbdd246</t>
  </si>
  <si>
    <t>3529e7bf</t>
  </si>
  <si>
    <t>7aedbdd247</t>
  </si>
  <si>
    <t>9706b115</t>
  </si>
  <si>
    <t>7aedbdd248</t>
  </si>
  <si>
    <t>a397ae27</t>
  </si>
  <si>
    <t>7aedbdd249</t>
  </si>
  <si>
    <t>780fc0e5</t>
  </si>
  <si>
    <t>7aedbdd250</t>
  </si>
  <si>
    <t>549d5009</t>
  </si>
  <si>
    <t>7aedbdd251</t>
  </si>
  <si>
    <t>96bb5c48</t>
  </si>
  <si>
    <t>7aedbdd252</t>
  </si>
  <si>
    <t>9744db00</t>
  </si>
  <si>
    <t>7aedbdd253</t>
  </si>
  <si>
    <t>1e08ace2</t>
  </si>
  <si>
    <t>7aedbdd254</t>
  </si>
  <si>
    <t>cf9a8001</t>
  </si>
  <si>
    <t>7aedbdd255</t>
  </si>
  <si>
    <t>88e729d2</t>
  </si>
  <si>
    <t>7aedbdd256</t>
  </si>
  <si>
    <t>3d911520</t>
  </si>
  <si>
    <t>7aedbdd257</t>
  </si>
  <si>
    <t>2b0c35d9</t>
  </si>
  <si>
    <t>7aedbdd258</t>
  </si>
  <si>
    <t>508c372c</t>
  </si>
  <si>
    <t>7aedbdd259</t>
  </si>
  <si>
    <t>dbd52d14</t>
  </si>
  <si>
    <t>7aedbdd260</t>
  </si>
  <si>
    <t>099c61eb</t>
  </si>
  <si>
    <t>7aedbdd261</t>
  </si>
  <si>
    <t>e87fc859</t>
  </si>
  <si>
    <t>7aedbdd262</t>
  </si>
  <si>
    <t>b94f52b6</t>
  </si>
  <si>
    <t>7aedbdd263</t>
  </si>
  <si>
    <t>be57d94b</t>
  </si>
  <si>
    <t>7aedbdd264</t>
  </si>
  <si>
    <t>291c278f</t>
  </si>
  <si>
    <t>7aedbdd265</t>
  </si>
  <si>
    <t>ac021290</t>
  </si>
  <si>
    <t>7aedbdd266</t>
  </si>
  <si>
    <t>58d70c59</t>
  </si>
  <si>
    <t>7aedbdd267</t>
  </si>
  <si>
    <t>e05bbe45</t>
  </si>
  <si>
    <t>7aedbdd268</t>
  </si>
  <si>
    <t>2305dcb6</t>
  </si>
  <si>
    <t>7aedbdd269</t>
  </si>
  <si>
    <t>ce8b6b14</t>
  </si>
  <si>
    <t>7aedbdd270</t>
  </si>
  <si>
    <t>44bcbe89</t>
  </si>
  <si>
    <t>7aedbdd271</t>
  </si>
  <si>
    <t>3ab85983</t>
  </si>
  <si>
    <t>7aedbdd272</t>
  </si>
  <si>
    <t>9a00df3e</t>
  </si>
  <si>
    <t>7aedbdd273</t>
  </si>
  <si>
    <t>a29db217</t>
  </si>
  <si>
    <t>7aedbdd274</t>
  </si>
  <si>
    <t>1ff3f9d0</t>
  </si>
  <si>
    <t>7aedbdd275</t>
  </si>
  <si>
    <t>4c0bb911</t>
  </si>
  <si>
    <t>7aedbdd276</t>
  </si>
  <si>
    <t>edcead51</t>
  </si>
  <si>
    <t>7aedbdd277</t>
  </si>
  <si>
    <t>7aedbdd278</t>
  </si>
  <si>
    <t>86c1033a</t>
  </si>
  <si>
    <t>7aedbdd279</t>
  </si>
  <si>
    <t>dd7845a7</t>
  </si>
  <si>
    <t>7aedbdd280</t>
  </si>
  <si>
    <t>dbd146e3</t>
  </si>
  <si>
    <t>7aedbdd281</t>
  </si>
  <si>
    <t>f617e7c7</t>
  </si>
  <si>
    <t>7aedbdd282</t>
  </si>
  <si>
    <t>5b2d348a</t>
  </si>
  <si>
    <t>7aedbdd283</t>
  </si>
  <si>
    <t>bd551835</t>
  </si>
  <si>
    <t>7aedbdd284</t>
  </si>
  <si>
    <t>75ea0ed7</t>
  </si>
  <si>
    <t>7aedbdd285</t>
  </si>
  <si>
    <t>11892c85</t>
  </si>
  <si>
    <t>7aedbdd286</t>
  </si>
  <si>
    <t>58671422</t>
  </si>
  <si>
    <t>7aedbdd287</t>
  </si>
  <si>
    <t>2ae3d6a2</t>
  </si>
  <si>
    <t>7aedbdd288</t>
  </si>
  <si>
    <t>9b712034</t>
  </si>
  <si>
    <t>7aedbdd289</t>
  </si>
  <si>
    <t>002c26c5</t>
  </si>
  <si>
    <t>7aedbdd290</t>
  </si>
  <si>
    <t>00e675f9</t>
  </si>
  <si>
    <t>7aedbdd291</t>
  </si>
  <si>
    <t>56c0e018</t>
  </si>
  <si>
    <t>7aedbdd292</t>
  </si>
  <si>
    <t>8d355b55</t>
  </si>
  <si>
    <t>7aedbdd293</t>
  </si>
  <si>
    <t>4714cd7c</t>
  </si>
  <si>
    <t>7aedbdd294</t>
  </si>
  <si>
    <t>b5b45271</t>
  </si>
  <si>
    <t>7aedbdd295</t>
  </si>
  <si>
    <t>6cd8d12a</t>
  </si>
  <si>
    <t>7aedbdd296</t>
  </si>
  <si>
    <t>8d15e77b</t>
  </si>
  <si>
    <t>7aedbdd297</t>
  </si>
  <si>
    <t>b1a2832b</t>
  </si>
  <si>
    <t>7aedbdd298</t>
  </si>
  <si>
    <t>cabbe91e</t>
  </si>
  <si>
    <t>7aedbdd299</t>
  </si>
  <si>
    <t>1fe847bb</t>
  </si>
  <si>
    <t>7aedbdd300</t>
  </si>
  <si>
    <t>2e81f035</t>
  </si>
  <si>
    <t>7aedbdd301</t>
  </si>
  <si>
    <t>3383884d</t>
  </si>
  <si>
    <t>7aedbdd302</t>
  </si>
  <si>
    <t>56d79026</t>
  </si>
  <si>
    <t>7aedbdd303</t>
  </si>
  <si>
    <t>a7795337</t>
  </si>
  <si>
    <t>7aedbdd304</t>
  </si>
  <si>
    <t>dbccd963</t>
  </si>
  <si>
    <t>7aedbdd305</t>
  </si>
  <si>
    <t>4ed8e964</t>
  </si>
  <si>
    <t>7aedbdd306</t>
  </si>
  <si>
    <t>4ca9a81d</t>
  </si>
  <si>
    <t>7aedbdd307</t>
  </si>
  <si>
    <t>4ae9376d</t>
  </si>
  <si>
    <t>7aedbdd308</t>
  </si>
  <si>
    <t>2426cbf8</t>
  </si>
  <si>
    <t>7aedbdd309</t>
  </si>
  <si>
    <t>f4bdcb9d</t>
  </si>
  <si>
    <t>7aedbdd310</t>
  </si>
  <si>
    <t>ef8f7e45</t>
  </si>
  <si>
    <t>7aedbdd311</t>
  </si>
  <si>
    <t>f8e82f22</t>
  </si>
  <si>
    <t>7aedbdd312</t>
  </si>
  <si>
    <t>039dc91a</t>
  </si>
  <si>
    <t>7aedbdd313</t>
  </si>
  <si>
    <t>0f90bc64</t>
  </si>
  <si>
    <t>7aedbdd314</t>
  </si>
  <si>
    <t>892cfcc2</t>
  </si>
  <si>
    <t>7aedbdd315</t>
  </si>
  <si>
    <t>9b841085</t>
  </si>
  <si>
    <t>7aedbdd316</t>
  </si>
  <si>
    <t>d8599466</t>
  </si>
  <si>
    <t>7aedbdd317</t>
  </si>
  <si>
    <t>f503dcfd</t>
  </si>
  <si>
    <t>7aedbdd318</t>
  </si>
  <si>
    <t>acc544d2</t>
  </si>
  <si>
    <t>7aedbdd319</t>
  </si>
  <si>
    <t>fa30b41e</t>
  </si>
  <si>
    <t>7aedbdd320</t>
  </si>
  <si>
    <t>ee66f911</t>
  </si>
  <si>
    <t>7aedbdd321</t>
  </si>
  <si>
    <t>157cef6f</t>
  </si>
  <si>
    <t>7aedbdd322</t>
  </si>
  <si>
    <t>d1afd2f4</t>
  </si>
  <si>
    <t>7aedbdd323</t>
  </si>
  <si>
    <t>834b51d9</t>
  </si>
  <si>
    <t>7aedbdd324</t>
  </si>
  <si>
    <t>d0910f27</t>
  </si>
  <si>
    <t>7aedbdd325</t>
  </si>
  <si>
    <t>07ba1577</t>
  </si>
  <si>
    <t>7aedbdd326</t>
  </si>
  <si>
    <t>4e504f7b</t>
  </si>
  <si>
    <t>7aedbdd327</t>
  </si>
  <si>
    <t>aa28235b</t>
  </si>
  <si>
    <t>7aedbdd328</t>
  </si>
  <si>
    <t>06daf84b</t>
  </si>
  <si>
    <t>7aedbdd329</t>
  </si>
  <si>
    <t>404130de</t>
  </si>
  <si>
    <t>7aedbdd330</t>
  </si>
  <si>
    <t>ecb5426d</t>
  </si>
  <si>
    <t>7aedbdd331</t>
  </si>
  <si>
    <t>846f62d8</t>
  </si>
  <si>
    <t>7aedbdd332</t>
  </si>
  <si>
    <t>c70b4d81</t>
  </si>
  <si>
    <t>7aedbdd333</t>
  </si>
  <si>
    <t>ce439961</t>
  </si>
  <si>
    <t>7aedbdd334</t>
  </si>
  <si>
    <t>21fba0cf</t>
  </si>
  <si>
    <t>7aedbdd335</t>
  </si>
  <si>
    <t>6736ca81</t>
  </si>
  <si>
    <t>7aedbdd336</t>
  </si>
  <si>
    <t>3fa409bd</t>
  </si>
  <si>
    <t>7aedbdd337</t>
  </si>
  <si>
    <t>9b971b96</t>
  </si>
  <si>
    <t>7aedbdd338</t>
  </si>
  <si>
    <t>351d3c05</t>
  </si>
  <si>
    <t>7aedbdd339</t>
  </si>
  <si>
    <t>886fb238</t>
  </si>
  <si>
    <t>7aedbdd341</t>
  </si>
  <si>
    <t>97318b16</t>
  </si>
  <si>
    <t>7aedbdd342</t>
  </si>
  <si>
    <t>0d7c6440</t>
  </si>
  <si>
    <t>7aedbdd343</t>
  </si>
  <si>
    <t>0e99f706</t>
  </si>
  <si>
    <t>7aedbdd344</t>
  </si>
  <si>
    <t>17fc3db8</t>
  </si>
  <si>
    <t>7aedbdd345</t>
  </si>
  <si>
    <t>53bcca28</t>
  </si>
  <si>
    <t>7aedbdd346</t>
  </si>
  <si>
    <t>27442924</t>
  </si>
  <si>
    <t>7aedbdd347</t>
  </si>
  <si>
    <t>f555d1b1</t>
  </si>
  <si>
    <t>7aedbdd348</t>
  </si>
  <si>
    <t>46ee7d94</t>
  </si>
  <si>
    <t>7aedbdd349</t>
  </si>
  <si>
    <t>b4f0dade</t>
  </si>
  <si>
    <t>7aedbdd350</t>
  </si>
  <si>
    <t>f97ad344</t>
  </si>
  <si>
    <t>7aedbdd351</t>
  </si>
  <si>
    <t>5e31cb5a</t>
  </si>
  <si>
    <t>7aedbdd352</t>
  </si>
  <si>
    <t>07e9229f</t>
  </si>
  <si>
    <t>7aedbdd353</t>
  </si>
  <si>
    <t>fbcd2fb7</t>
  </si>
  <si>
    <t>7aedbdd354</t>
  </si>
  <si>
    <t>2a4842ed</t>
  </si>
  <si>
    <t>7aedbdd355</t>
  </si>
  <si>
    <t>757e9e01</t>
  </si>
  <si>
    <t>7aedbdd356</t>
  </si>
  <si>
    <t>5b3c6c41</t>
  </si>
  <si>
    <t>7aedbdd357</t>
  </si>
  <si>
    <t>7b6e98d6</t>
  </si>
  <si>
    <t>7aedbdd358</t>
  </si>
  <si>
    <t>da2b636b</t>
  </si>
  <si>
    <t>7aedbdd359</t>
  </si>
  <si>
    <t>c01261b2</t>
  </si>
  <si>
    <t>7aedbdd360</t>
  </si>
  <si>
    <t>2ee4eb37</t>
  </si>
  <si>
    <t>7aedbdd361</t>
  </si>
  <si>
    <t>a9bf2eb3</t>
  </si>
  <si>
    <t>7aedbdd362</t>
  </si>
  <si>
    <t>2d5ac2aa</t>
  </si>
  <si>
    <t>7aedbdd363</t>
  </si>
  <si>
    <t>bcf28aeb</t>
  </si>
  <si>
    <t>7aedbdd364</t>
  </si>
  <si>
    <t>ca578f8e</t>
  </si>
  <si>
    <t>7aedbdd365</t>
  </si>
  <si>
    <t>6d3909cd</t>
  </si>
  <si>
    <t>7aedbdd366</t>
  </si>
  <si>
    <t>a0586ca8</t>
  </si>
  <si>
    <t>7aedbdd367</t>
  </si>
  <si>
    <t>8cc80d74</t>
  </si>
  <si>
    <t>7aedbdd368</t>
  </si>
  <si>
    <t>798c85eb</t>
  </si>
  <si>
    <t>7aedbdd369</t>
  </si>
  <si>
    <t>b0e84343</t>
  </si>
  <si>
    <t>7aedbdd370</t>
  </si>
  <si>
    <t>1dc4c76c</t>
  </si>
  <si>
    <t>7aedbdd371</t>
  </si>
  <si>
    <t>118c0ed0</t>
  </si>
  <si>
    <t>7aedbdd372</t>
  </si>
  <si>
    <t>d438044f</t>
  </si>
  <si>
    <t>7aedbdd373</t>
  </si>
  <si>
    <t>6f76b182</t>
  </si>
  <si>
    <t>7aedbdd374</t>
  </si>
  <si>
    <t>de42b93c</t>
  </si>
  <si>
    <t>7aedbdd375</t>
  </si>
  <si>
    <t>e914f897</t>
  </si>
  <si>
    <t>7aedbdd376</t>
  </si>
  <si>
    <t>d2010ef0</t>
  </si>
  <si>
    <t>7aedbdd377</t>
  </si>
  <si>
    <t>8e2604eb</t>
  </si>
  <si>
    <t>7aedbdd378</t>
  </si>
  <si>
    <t>75952108</t>
  </si>
  <si>
    <t>7aedbdd379</t>
  </si>
  <si>
    <t>993b1f1a</t>
  </si>
  <si>
    <t>7aedbdd380</t>
  </si>
  <si>
    <t>3a2c2254</t>
  </si>
  <si>
    <t>7aedbdd381</t>
  </si>
  <si>
    <t>2af32a80</t>
  </si>
  <si>
    <t>7aedbdd382</t>
  </si>
  <si>
    <t>89398701</t>
  </si>
  <si>
    <t>7aedbdd383</t>
  </si>
  <si>
    <t>ffa752c3</t>
  </si>
  <si>
    <t>7aedbdd384</t>
  </si>
  <si>
    <t>7aedbdd385</t>
  </si>
  <si>
    <t>29b28dd2</t>
  </si>
  <si>
    <t>7aedbdd386</t>
  </si>
  <si>
    <t>95e365a4</t>
  </si>
  <si>
    <t>7aedbdd387</t>
  </si>
  <si>
    <t>48976a52</t>
  </si>
  <si>
    <t>7aedbdd389</t>
  </si>
  <si>
    <t>b8f7ed6c</t>
  </si>
  <si>
    <t>7aedbdd390</t>
  </si>
  <si>
    <t>d17a08b4</t>
  </si>
  <si>
    <t>7aedbdd391</t>
  </si>
  <si>
    <t>02d2e534</t>
  </si>
  <si>
    <t>7aedbdd392</t>
  </si>
  <si>
    <t>a46162f7</t>
  </si>
  <si>
    <t>7aedbdd393</t>
  </si>
  <si>
    <t>de22aa12</t>
  </si>
  <si>
    <t>7aedbdd394</t>
  </si>
  <si>
    <t>1dcb6de5</t>
  </si>
  <si>
    <t>7aedbdd395</t>
  </si>
  <si>
    <t>f535888a</t>
  </si>
  <si>
    <t>7aedbdd396</t>
  </si>
  <si>
    <t>5552ef4d</t>
  </si>
  <si>
    <t>7aedbdd397</t>
  </si>
  <si>
    <t>e63d6b31</t>
  </si>
  <si>
    <t>7aedbdd398</t>
  </si>
  <si>
    <t>6b59f9be</t>
  </si>
  <si>
    <t>7aedbdd399</t>
  </si>
  <si>
    <t>8836a883</t>
  </si>
  <si>
    <t>7aedbdd400</t>
  </si>
  <si>
    <t>e7c4435b</t>
  </si>
  <si>
    <t>7aedbdd401</t>
  </si>
  <si>
    <t>97a8d6a1</t>
  </si>
  <si>
    <t>7aedbdd402</t>
  </si>
  <si>
    <t>ea71c8d8</t>
  </si>
  <si>
    <t>7aedbdd403</t>
  </si>
  <si>
    <t>4bfe357c</t>
  </si>
  <si>
    <t>7aedbdd404</t>
  </si>
  <si>
    <t>b27084b9</t>
  </si>
  <si>
    <t>7aedbdd405</t>
  </si>
  <si>
    <t>5ee01d33</t>
  </si>
  <si>
    <t>7aedbdd406</t>
  </si>
  <si>
    <t>9dc86383</t>
  </si>
  <si>
    <t>7aedbdd407</t>
  </si>
  <si>
    <t>2bb7214b</t>
  </si>
  <si>
    <t>7aedbdd408</t>
  </si>
  <si>
    <t>ab5b0ff5</t>
  </si>
  <si>
    <t>7aedbdd409</t>
  </si>
  <si>
    <t>20f28bd4</t>
  </si>
  <si>
    <t>7aedbdd410</t>
  </si>
  <si>
    <t>df77539b</t>
  </si>
  <si>
    <t>7aedbdd411</t>
  </si>
  <si>
    <t>9abb97b1</t>
  </si>
  <si>
    <t>7aedbdd412</t>
  </si>
  <si>
    <t>222f2e00</t>
  </si>
  <si>
    <t>7aedbdd413</t>
  </si>
  <si>
    <t>4c949237</t>
  </si>
  <si>
    <t>7aedbdd414</t>
  </si>
  <si>
    <t>b00d0cd4</t>
  </si>
  <si>
    <t>7aedbdd415</t>
  </si>
  <si>
    <t>37e74d75</t>
  </si>
  <si>
    <t>7aedbdd416</t>
  </si>
  <si>
    <t>37cd1938</t>
  </si>
  <si>
    <t>7aedbdd417</t>
  </si>
  <si>
    <t>685e4d1b</t>
  </si>
  <si>
    <t>7aedbdd418</t>
  </si>
  <si>
    <t>791cf727</t>
  </si>
  <si>
    <t>7aedbdd419</t>
  </si>
  <si>
    <t>4754bf91</t>
  </si>
  <si>
    <t>7aedbdd420</t>
  </si>
  <si>
    <t>27b3421b</t>
  </si>
  <si>
    <t>7aedbdd421</t>
  </si>
  <si>
    <t>4f656881</t>
  </si>
  <si>
    <t>7aedbdd422</t>
  </si>
  <si>
    <t>c03aa40d</t>
  </si>
  <si>
    <t>7aedbdd423</t>
  </si>
  <si>
    <t>7df2a6b8</t>
  </si>
  <si>
    <t>7aedbdd424</t>
  </si>
  <si>
    <t>fdb979e7</t>
  </si>
  <si>
    <t>7aedbdd425</t>
  </si>
  <si>
    <t>588be819</t>
  </si>
  <si>
    <t>7aedbdd426</t>
  </si>
  <si>
    <t>f2303cff</t>
  </si>
  <si>
    <t>7aedbdd427</t>
  </si>
  <si>
    <t>c1aab20a</t>
  </si>
  <si>
    <t>7aedbdd428</t>
  </si>
  <si>
    <t>c89b2531</t>
  </si>
  <si>
    <t>7aedbdd429</t>
  </si>
  <si>
    <t>4715defb</t>
  </si>
  <si>
    <t>7aedbdd430</t>
  </si>
  <si>
    <t>844202a2</t>
  </si>
  <si>
    <t>7aedbdd431</t>
  </si>
  <si>
    <t>213417da</t>
  </si>
  <si>
    <t>7aedbdd432</t>
  </si>
  <si>
    <t>64eabf86</t>
  </si>
  <si>
    <t>7aedbdd433</t>
  </si>
  <si>
    <t>aa145933</t>
  </si>
  <si>
    <t>7aedbdd434</t>
  </si>
  <si>
    <t>b8f7431c</t>
  </si>
  <si>
    <t>7aedbdd435</t>
  </si>
  <si>
    <t>8b21aef8</t>
  </si>
  <si>
    <t>7aedbdd436</t>
  </si>
  <si>
    <t>c2dd5fb0</t>
  </si>
  <si>
    <t>7aedbdd437</t>
  </si>
  <si>
    <t>a4f9f99e</t>
  </si>
  <si>
    <t>7aedbdd438</t>
  </si>
  <si>
    <t>23b3c0ff</t>
  </si>
  <si>
    <t>7aedbdd439</t>
  </si>
  <si>
    <t>203d4a4c</t>
  </si>
  <si>
    <t>7aedbdd440</t>
  </si>
  <si>
    <t>c3511510</t>
  </si>
  <si>
    <t>7aedbdd441</t>
  </si>
  <si>
    <t>df6985a7</t>
  </si>
  <si>
    <t>7aedbdd442</t>
  </si>
  <si>
    <t>ec96a5d8</t>
  </si>
  <si>
    <t>7aedbdd443</t>
  </si>
  <si>
    <t>c09a5da8</t>
  </si>
  <si>
    <t>7aedbdd444</t>
  </si>
  <si>
    <t>f4c6cb8e</t>
  </si>
  <si>
    <t>7aedbdd445</t>
  </si>
  <si>
    <t>30e242e7</t>
  </si>
  <si>
    <t>7aedbdd446</t>
  </si>
  <si>
    <t>a9e540c6</t>
  </si>
  <si>
    <t>7aedbdd447</t>
  </si>
  <si>
    <t>9b8d5c8b</t>
  </si>
  <si>
    <t>7aedbdd448</t>
  </si>
  <si>
    <t>c8103f6a</t>
  </si>
  <si>
    <t>7aedbdd449</t>
  </si>
  <si>
    <t>5a3a3f30</t>
  </si>
  <si>
    <t>7aedbdd450</t>
  </si>
  <si>
    <t>d855ec93</t>
  </si>
  <si>
    <t>7aedbdd451</t>
  </si>
  <si>
    <t>72e880e3</t>
  </si>
  <si>
    <t>7aedbdd452</t>
  </si>
  <si>
    <t>089eb953</t>
  </si>
  <si>
    <t>7aedbdd453</t>
  </si>
  <si>
    <t>68cea6cc</t>
  </si>
  <si>
    <t>7aedbdd454</t>
  </si>
  <si>
    <t>fc4ce8d6</t>
  </si>
  <si>
    <t>7aedbdd455</t>
  </si>
  <si>
    <t>d5255a37</t>
  </si>
  <si>
    <t>7aedbdd456</t>
  </si>
  <si>
    <t>3ca30061</t>
  </si>
  <si>
    <t>7aedbdd457</t>
  </si>
  <si>
    <t>b76039a5</t>
  </si>
  <si>
    <t>7aedbdd458</t>
  </si>
  <si>
    <t>62c4661c</t>
  </si>
  <si>
    <t>7aedbdd459</t>
  </si>
  <si>
    <t>5101db8a</t>
  </si>
  <si>
    <t>7aedbdd460</t>
  </si>
  <si>
    <t>b37c2231</t>
  </si>
  <si>
    <t>7aedbdd461</t>
  </si>
  <si>
    <t>61a35f92</t>
  </si>
  <si>
    <t>7aedbdd462</t>
  </si>
  <si>
    <t>680a2633</t>
  </si>
  <si>
    <t>7aedbdd463</t>
  </si>
  <si>
    <t>aa5ba449</t>
  </si>
  <si>
    <t>7aedbdd464</t>
  </si>
  <si>
    <t>0219c63e</t>
  </si>
  <si>
    <t>7aedbdd465</t>
  </si>
  <si>
    <t>1d2585cb</t>
  </si>
  <si>
    <t>7aedbdd466</t>
  </si>
  <si>
    <t>2444ded6</t>
  </si>
  <si>
    <t>7aedbdd467</t>
  </si>
  <si>
    <t>34d41e6f</t>
  </si>
  <si>
    <t>7aedbdd468</t>
  </si>
  <si>
    <t>89203b85</t>
  </si>
  <si>
    <t>7aedbdd469</t>
  </si>
  <si>
    <t>a66828d7</t>
  </si>
  <si>
    <t>7aedbdd470</t>
  </si>
  <si>
    <t>c20f43de</t>
  </si>
  <si>
    <t>7aedbdd471</t>
  </si>
  <si>
    <t>49341c19</t>
  </si>
  <si>
    <t>7aedbdd472</t>
  </si>
  <si>
    <t>c922b405</t>
  </si>
  <si>
    <t>7aedbdd473</t>
  </si>
  <si>
    <t>4d677725</t>
  </si>
  <si>
    <t>7aedbdd474</t>
  </si>
  <si>
    <t>1151fa96</t>
  </si>
  <si>
    <t>7aedbdd475</t>
  </si>
  <si>
    <t>a63678cf</t>
  </si>
  <si>
    <t>7aedbdd476</t>
  </si>
  <si>
    <t>dd6787b4</t>
  </si>
  <si>
    <t>7aedbdd477</t>
  </si>
  <si>
    <t>8d6d3774</t>
  </si>
  <si>
    <t>7aedbdd478</t>
  </si>
  <si>
    <t>479d5079</t>
  </si>
  <si>
    <t>7aedbdd479</t>
  </si>
  <si>
    <t>1cacc01e</t>
  </si>
  <si>
    <t>7aedbdd480</t>
  </si>
  <si>
    <t>154fe182</t>
  </si>
  <si>
    <t>7aedbdd481</t>
  </si>
  <si>
    <t>89462095</t>
  </si>
  <si>
    <t>7aedbdd482</t>
  </si>
  <si>
    <t>89fcde4c</t>
  </si>
  <si>
    <t>7aedbdd483</t>
  </si>
  <si>
    <t>6bdbd000</t>
  </si>
  <si>
    <t>7aedbdd484</t>
  </si>
  <si>
    <t>41e29ee1</t>
  </si>
  <si>
    <t>7aedbdd485</t>
  </si>
  <si>
    <t>2844132c</t>
  </si>
  <si>
    <t>7aedbdd486</t>
  </si>
  <si>
    <t>441c1310</t>
  </si>
  <si>
    <t>7aedbdd487</t>
  </si>
  <si>
    <t>00ca0ecf</t>
  </si>
  <si>
    <t>7aedbdd488</t>
  </si>
  <si>
    <t>a8d0a4a0</t>
  </si>
  <si>
    <t>7aedbdd489</t>
  </si>
  <si>
    <t>f9524ac1</t>
  </si>
  <si>
    <t>7aedbdd490</t>
  </si>
  <si>
    <t>af4997b6</t>
  </si>
  <si>
    <t>7aedbdd491</t>
  </si>
  <si>
    <t>00a7d626</t>
  </si>
  <si>
    <t>7aedbdd492</t>
  </si>
  <si>
    <t>fc4d927a</t>
  </si>
  <si>
    <t>7aedbdd493</t>
  </si>
  <si>
    <t>4fae28ad</t>
  </si>
  <si>
    <t>7aedbdd494</t>
  </si>
  <si>
    <t>19ca99e2</t>
  </si>
  <si>
    <t>7aedbdd495</t>
  </si>
  <si>
    <t>e330c812</t>
  </si>
  <si>
    <t>7aedbdd496</t>
  </si>
  <si>
    <t>98fa2bc5</t>
  </si>
  <si>
    <t>7aedbdd497</t>
  </si>
  <si>
    <t>0051dbb8</t>
  </si>
  <si>
    <t>7aedbdd498</t>
  </si>
  <si>
    <t>461d7f34</t>
  </si>
  <si>
    <t>7aedbdd499</t>
  </si>
  <si>
    <t>10b6922a</t>
  </si>
  <si>
    <t>7aedbdd500</t>
  </si>
  <si>
    <t>5899c524</t>
  </si>
  <si>
    <t>7aedbdd501</t>
  </si>
  <si>
    <t>8af25474</t>
  </si>
  <si>
    <t>7aedbdd502</t>
  </si>
  <si>
    <t>c0de2268</t>
  </si>
  <si>
    <t>7aedbdd503</t>
  </si>
  <si>
    <t>754a9689</t>
  </si>
  <si>
    <t>7aedbdd504</t>
  </si>
  <si>
    <t>f1d076a5</t>
  </si>
  <si>
    <t>7aedbdd505</t>
  </si>
  <si>
    <t>d6ddc739</t>
  </si>
  <si>
    <t>7aedbdd506</t>
  </si>
  <si>
    <t>9f0e8165</t>
  </si>
  <si>
    <t>7aedbdd507</t>
  </si>
  <si>
    <t>54cab636</t>
  </si>
  <si>
    <t>7aedbdd508</t>
  </si>
  <si>
    <t>b0be9875</t>
  </si>
  <si>
    <t>7aedbdd509</t>
  </si>
  <si>
    <t>f2db8c9f</t>
  </si>
  <si>
    <t>7aedbdd510</t>
  </si>
  <si>
    <t>abc6ad77</t>
  </si>
  <si>
    <t>7aedbdd511</t>
  </si>
  <si>
    <t>86bdde50</t>
  </si>
  <si>
    <t>7aedbdd512</t>
  </si>
  <si>
    <t>67f89377</t>
  </si>
  <si>
    <t>7aedbdd513</t>
  </si>
  <si>
    <t>d2cf2968</t>
  </si>
  <si>
    <t>7aedbdd514</t>
  </si>
  <si>
    <t>8ed4de1e</t>
  </si>
  <si>
    <t>7aedbdd515</t>
  </si>
  <si>
    <t>63b7c080</t>
  </si>
  <si>
    <t>7aedbdd516</t>
  </si>
  <si>
    <t>acda4b6a</t>
  </si>
  <si>
    <t>7aedbdd517</t>
  </si>
  <si>
    <t>de2796f6</t>
  </si>
  <si>
    <t>7aedbdd518</t>
  </si>
  <si>
    <t>9b237c95</t>
  </si>
  <si>
    <t>7aedbdd519</t>
  </si>
  <si>
    <t>3b61ef5f</t>
  </si>
  <si>
    <t>7aedbdd520</t>
  </si>
  <si>
    <t>6a4e14cc</t>
  </si>
  <si>
    <t>7aedbdd521</t>
  </si>
  <si>
    <t>cded179e</t>
  </si>
  <si>
    <t>7aedbdd522</t>
  </si>
  <si>
    <t>ee678c7d</t>
  </si>
  <si>
    <t>7aedbdd523</t>
  </si>
  <si>
    <t>bba21e47</t>
  </si>
  <si>
    <t>7aedbdd524</t>
  </si>
  <si>
    <t>3f281870</t>
  </si>
  <si>
    <t>7aedbdd525</t>
  </si>
  <si>
    <t>b7bf07b8</t>
  </si>
  <si>
    <t>7aedbdd526</t>
  </si>
  <si>
    <t>174006ef</t>
  </si>
  <si>
    <t>7aedbdd527</t>
  </si>
  <si>
    <t>4fd4a04d</t>
  </si>
  <si>
    <t>7aedbdd528</t>
  </si>
  <si>
    <t>aaf8db8e</t>
  </si>
  <si>
    <t>7aedbdd529</t>
  </si>
  <si>
    <t>3063fc19</t>
  </si>
  <si>
    <t>7aedbdd530</t>
  </si>
  <si>
    <t>82228398</t>
  </si>
  <si>
    <t>7aedbdd531</t>
  </si>
  <si>
    <t>6bf3a1f9</t>
  </si>
  <si>
    <t>7aedbdd532</t>
  </si>
  <si>
    <t>d4341170</t>
  </si>
  <si>
    <t>7aedbdd533</t>
  </si>
  <si>
    <t>fcb93dab</t>
  </si>
  <si>
    <t>7aedbdd534</t>
  </si>
  <si>
    <t>eadb6066</t>
  </si>
  <si>
    <t>7aedbdd535</t>
  </si>
  <si>
    <t>74be0e7e</t>
  </si>
  <si>
    <t>7aedbdd536</t>
  </si>
  <si>
    <t>17b13418</t>
  </si>
  <si>
    <t>7aedbdd537</t>
  </si>
  <si>
    <t>b90a4842</t>
  </si>
  <si>
    <t>7aedbdd538</t>
  </si>
  <si>
    <t>4a739e3a</t>
  </si>
  <si>
    <t>7aedbdd539</t>
  </si>
  <si>
    <t>3fb262d8</t>
  </si>
  <si>
    <t>7aedbdd540</t>
  </si>
  <si>
    <t>e456655d</t>
  </si>
  <si>
    <t>7aedbdd541</t>
  </si>
  <si>
    <t>00e354c0</t>
  </si>
  <si>
    <t>7aedbdd542</t>
  </si>
  <si>
    <t>a27c5013</t>
  </si>
  <si>
    <t>7aedbdd543</t>
  </si>
  <si>
    <t>81f68f65</t>
  </si>
  <si>
    <t>7aedbdd544</t>
  </si>
  <si>
    <t>40ea3cf9</t>
  </si>
  <si>
    <t>7aedbdd545</t>
  </si>
  <si>
    <t>2db02d27</t>
  </si>
  <si>
    <t>7aedbdd546</t>
  </si>
  <si>
    <t>28576825</t>
  </si>
  <si>
    <t>7aedbdd547</t>
  </si>
  <si>
    <t>e5fc496a</t>
  </si>
  <si>
    <t>7aedbdd548</t>
  </si>
  <si>
    <t>ba39a08c</t>
  </si>
  <si>
    <t>7aedbdd549</t>
  </si>
  <si>
    <t>5ffa4033</t>
  </si>
  <si>
    <t>7aedbdd550</t>
  </si>
  <si>
    <t>7c34897c</t>
  </si>
  <si>
    <t>7aedbdd551</t>
  </si>
  <si>
    <t>9aa3b0c5</t>
  </si>
  <si>
    <t>7aedbdd552</t>
  </si>
  <si>
    <t>b185fe08</t>
  </si>
  <si>
    <t>7aedbdd553</t>
  </si>
  <si>
    <t>56a91acc</t>
  </si>
  <si>
    <t>7aedbdd554</t>
  </si>
  <si>
    <t>e9275720</t>
  </si>
  <si>
    <t>7aedbdd555</t>
  </si>
  <si>
    <t>59479dfd</t>
  </si>
  <si>
    <t>7aedbdd556</t>
  </si>
  <si>
    <t>12efd4bb</t>
  </si>
  <si>
    <t>7aedbdd557</t>
  </si>
  <si>
    <t>e3a16a7b</t>
  </si>
  <si>
    <t>7aedbdd558</t>
  </si>
  <si>
    <t>7928f318</t>
  </si>
  <si>
    <t>7aedbdd559</t>
  </si>
  <si>
    <t>60570ff2</t>
  </si>
  <si>
    <t>7aedbdd560</t>
  </si>
  <si>
    <t>ff9262fd</t>
  </si>
  <si>
    <t>7aedbdd561</t>
  </si>
  <si>
    <t>576a41a8</t>
  </si>
  <si>
    <t>7aedbdd562</t>
  </si>
  <si>
    <t>5c9a981f</t>
  </si>
  <si>
    <t>7aedbdd563</t>
  </si>
  <si>
    <t>46a91872</t>
  </si>
  <si>
    <t>7aedbdd564</t>
  </si>
  <si>
    <t>38a33316</t>
  </si>
  <si>
    <t>7aedbdd565</t>
  </si>
  <si>
    <t>3efa39e0</t>
  </si>
  <si>
    <t>7aedbdd566</t>
  </si>
  <si>
    <t>fbad8e23</t>
  </si>
  <si>
    <t>7aedbdd567</t>
  </si>
  <si>
    <t>e47251d7</t>
  </si>
  <si>
    <t>7aedbdd568</t>
  </si>
  <si>
    <t>9b5e59c8</t>
  </si>
  <si>
    <t>7aedbdd569</t>
  </si>
  <si>
    <t>ac8fcde2</t>
  </si>
  <si>
    <t>7aedbdd570</t>
  </si>
  <si>
    <t>eca54458</t>
  </si>
  <si>
    <t>7aedbdd571</t>
  </si>
  <si>
    <t>8e4ef032</t>
  </si>
  <si>
    <t>7aedbdd572</t>
  </si>
  <si>
    <t>b01faa60</t>
  </si>
  <si>
    <t>7aedbdd573</t>
  </si>
  <si>
    <t>a7fad33c</t>
  </si>
  <si>
    <t>7aedbdd574</t>
  </si>
  <si>
    <t>4b08a4f9</t>
  </si>
  <si>
    <t>7aedbdd575</t>
  </si>
  <si>
    <t>635e194c</t>
  </si>
  <si>
    <t>7aedbdd576</t>
  </si>
  <si>
    <t>12eb0a4a</t>
  </si>
  <si>
    <t>7aedbdd577</t>
  </si>
  <si>
    <t>529309bf</t>
  </si>
  <si>
    <t>7aedbdd578</t>
  </si>
  <si>
    <t>fd668f39</t>
  </si>
  <si>
    <t>7aedbdd579</t>
  </si>
  <si>
    <t>a3784c65</t>
  </si>
  <si>
    <t>7aedbdd580</t>
  </si>
  <si>
    <t>8424e3c1</t>
  </si>
  <si>
    <t>7aedbdd582</t>
  </si>
  <si>
    <t>61448ad3</t>
  </si>
  <si>
    <t>7aedbdd583</t>
  </si>
  <si>
    <t>7e947ed4</t>
  </si>
  <si>
    <t>7aedbdd584</t>
  </si>
  <si>
    <t>919772f3</t>
  </si>
  <si>
    <t>7aedbdd585</t>
  </si>
  <si>
    <t>5559420d</t>
  </si>
  <si>
    <t>7aedbdd586</t>
  </si>
  <si>
    <t>875133c9</t>
  </si>
  <si>
    <t>7aedbdd587</t>
  </si>
  <si>
    <t>a8bcd42e</t>
  </si>
  <si>
    <t>7aedbdd588</t>
  </si>
  <si>
    <t>fe3b6a53</t>
  </si>
  <si>
    <t>7aedbdd589</t>
  </si>
  <si>
    <t>320cca81</t>
  </si>
  <si>
    <t>7aedbdd590</t>
  </si>
  <si>
    <t>efa108b1</t>
  </si>
  <si>
    <t>7aedbdd591</t>
  </si>
  <si>
    <t>b6cdfdb8</t>
  </si>
  <si>
    <t>7aedbdd592</t>
  </si>
  <si>
    <t>870f548b</t>
  </si>
  <si>
    <t>7aedbdd593</t>
  </si>
  <si>
    <t>a4ad786a</t>
  </si>
  <si>
    <t>7aedbdd594</t>
  </si>
  <si>
    <t>9586bb68</t>
  </si>
  <si>
    <t>7aedbdd595</t>
  </si>
  <si>
    <t>5c8da06e</t>
  </si>
  <si>
    <t>7aedbdd596</t>
  </si>
  <si>
    <t>550e5cb1</t>
  </si>
  <si>
    <t>7aedbdd597</t>
  </si>
  <si>
    <t>c391040e</t>
  </si>
  <si>
    <t>7aedbdd598</t>
  </si>
  <si>
    <t>fad3c771</t>
  </si>
  <si>
    <t>7aedbdd599</t>
  </si>
  <si>
    <t>2f07203f</t>
  </si>
  <si>
    <t>7aedbdd600</t>
  </si>
  <si>
    <t>5a8afa87</t>
  </si>
  <si>
    <t>7aedbdd601</t>
  </si>
  <si>
    <t>cff64d56</t>
  </si>
  <si>
    <t>7aedbdd602</t>
  </si>
  <si>
    <t>26b231c5</t>
  </si>
  <si>
    <t>7aedbdd603</t>
  </si>
  <si>
    <t>c1c82028</t>
  </si>
  <si>
    <t>7aedbdd604</t>
  </si>
  <si>
    <t>385fb8d5</t>
  </si>
  <si>
    <t>7aedbdd605</t>
  </si>
  <si>
    <t>c3183a70</t>
  </si>
  <si>
    <t>7aedbdd606</t>
  </si>
  <si>
    <t>1be569b3</t>
  </si>
  <si>
    <t>7aedbdd607</t>
  </si>
  <si>
    <t>2ed2ff65</t>
  </si>
  <si>
    <t>7aedbdd608</t>
  </si>
  <si>
    <t>ceca2597</t>
  </si>
  <si>
    <t>7aedbdd609</t>
  </si>
  <si>
    <t>98c7e067</t>
  </si>
  <si>
    <t>7aedbdd610</t>
  </si>
  <si>
    <t>3c981ea6</t>
  </si>
  <si>
    <t>7aedbdd611</t>
  </si>
  <si>
    <t>3e5182c4</t>
  </si>
  <si>
    <t>7aedbdd612</t>
  </si>
  <si>
    <t>7fa2335e</t>
  </si>
  <si>
    <t>7aedbdd613</t>
  </si>
  <si>
    <t>1d9a89ef</t>
  </si>
  <si>
    <t>7aedbdd614</t>
  </si>
  <si>
    <t>8c164606</t>
  </si>
  <si>
    <t>7aedbdd615</t>
  </si>
  <si>
    <t>a32d4637</t>
  </si>
  <si>
    <t>7aedbdd616</t>
  </si>
  <si>
    <t>19720410</t>
  </si>
  <si>
    <t>7aedbdd617</t>
  </si>
  <si>
    <t>4a801897</t>
  </si>
  <si>
    <t>7aedbdd618</t>
  </si>
  <si>
    <t>11b6c29e</t>
  </si>
  <si>
    <t>7aedbdd619</t>
  </si>
  <si>
    <t>1330d1d3</t>
  </si>
  <si>
    <t>7aedbdd620</t>
  </si>
  <si>
    <t>fd4e8d3c</t>
  </si>
  <si>
    <t>7aedbdd621</t>
  </si>
  <si>
    <t>894b0d03</t>
  </si>
  <si>
    <t>7aedbdd622</t>
  </si>
  <si>
    <t>3f263647</t>
  </si>
  <si>
    <t>7aedbdd623</t>
  </si>
  <si>
    <t>a983e689</t>
  </si>
  <si>
    <t>7aedbdd624</t>
  </si>
  <si>
    <t>f3e83dc6</t>
  </si>
  <si>
    <t>7aedbdd625</t>
  </si>
  <si>
    <t>3f417a6a</t>
  </si>
  <si>
    <t>7aedbdd626</t>
  </si>
  <si>
    <t>1206c400</t>
  </si>
  <si>
    <t>7aedbdd627</t>
  </si>
  <si>
    <t>a147ad9d</t>
  </si>
  <si>
    <t>7aedbdd628</t>
  </si>
  <si>
    <t>24f28202</t>
  </si>
  <si>
    <t>7aedbdd629</t>
  </si>
  <si>
    <t>ff44d611</t>
  </si>
  <si>
    <t>7aedbdd630</t>
  </si>
  <si>
    <t>b4cc773d</t>
  </si>
  <si>
    <t>7aedbdd631</t>
  </si>
  <si>
    <t>e07a67d3</t>
  </si>
  <si>
    <t>7aedbdd632</t>
  </si>
  <si>
    <t>7f50847e</t>
  </si>
  <si>
    <t>7aedbdd633</t>
  </si>
  <si>
    <t>272c3c1d</t>
  </si>
  <si>
    <t>7aedbdd634</t>
  </si>
  <si>
    <t>f24ebf34</t>
  </si>
  <si>
    <t>7aedbdd635</t>
  </si>
  <si>
    <t>55869373</t>
  </si>
  <si>
    <t>7aedbdd636</t>
  </si>
  <si>
    <t>7044cb63</t>
  </si>
  <si>
    <t>7aedbdd637</t>
  </si>
  <si>
    <t>bf68b747</t>
  </si>
  <si>
    <t>7aedbdd638</t>
  </si>
  <si>
    <t>417dc182</t>
  </si>
  <si>
    <t>7aedbdd639</t>
  </si>
  <si>
    <t>164ed260</t>
  </si>
  <si>
    <t>7aedbdd640</t>
  </si>
  <si>
    <t>0658bfce</t>
  </si>
  <si>
    <t>7aedbdd641</t>
  </si>
  <si>
    <t>3bca0241</t>
  </si>
  <si>
    <t>7aedbdd642</t>
  </si>
  <si>
    <t>b09583a9</t>
  </si>
  <si>
    <t>7aedbdd643</t>
  </si>
  <si>
    <t>4fc9025d</t>
  </si>
  <si>
    <t>7aedbdd644</t>
  </si>
  <si>
    <t>78ec0565</t>
  </si>
  <si>
    <t>7aedbdd645</t>
  </si>
  <si>
    <t>aa982f30</t>
  </si>
  <si>
    <t>7aedbdd646</t>
  </si>
  <si>
    <t>3a90ae12</t>
  </si>
  <si>
    <t>7aedbdd647</t>
  </si>
  <si>
    <t>6bd7518f</t>
  </si>
  <si>
    <t>7aedbdd648</t>
  </si>
  <si>
    <t>c8d95cd8</t>
  </si>
  <si>
    <t>7aedbdd649</t>
  </si>
  <si>
    <t>9ff12c91</t>
  </si>
  <si>
    <t>7aedbdd650</t>
  </si>
  <si>
    <t>94bce39e</t>
  </si>
  <si>
    <t>7aedbdd651</t>
  </si>
  <si>
    <t>d3582c53</t>
  </si>
  <si>
    <t>7aedbdd652</t>
  </si>
  <si>
    <t>9a9cff72</t>
  </si>
  <si>
    <t>7aedbdd653</t>
  </si>
  <si>
    <t>a7a3bf99</t>
  </si>
  <si>
    <t>7aedbdd654</t>
  </si>
  <si>
    <t>a1a72568</t>
  </si>
  <si>
    <t>7aedbdd655</t>
  </si>
  <si>
    <t>cc65f989</t>
  </si>
  <si>
    <t>7aedbdd656</t>
  </si>
  <si>
    <t>b52e4be0</t>
  </si>
  <si>
    <t>7aedbdd657</t>
  </si>
  <si>
    <t>9a4635a4</t>
  </si>
  <si>
    <t>7aedbdd658</t>
  </si>
  <si>
    <t>f12f6784</t>
  </si>
  <si>
    <t>7aedbdd659</t>
  </si>
  <si>
    <t>59c2df06</t>
  </si>
  <si>
    <t>7aedbdd660</t>
  </si>
  <si>
    <t>7db13475</t>
  </si>
  <si>
    <t>7aedbdd661</t>
  </si>
  <si>
    <t>f10a3f38</t>
  </si>
  <si>
    <t>7aedbdd662</t>
  </si>
  <si>
    <t>c2ecd43e</t>
  </si>
  <si>
    <t>7aedbdd663</t>
  </si>
  <si>
    <t>90e80ee4</t>
  </si>
  <si>
    <t>7aedbdd664</t>
  </si>
  <si>
    <t>ffc5efca</t>
  </si>
  <si>
    <t>7aedbdd665</t>
  </si>
  <si>
    <t>ba30a5cc</t>
  </si>
  <si>
    <t>7aedbdd666</t>
  </si>
  <si>
    <t>77109782</t>
  </si>
  <si>
    <t>7aedbdd667</t>
  </si>
  <si>
    <t>0fc23fcb</t>
  </si>
  <si>
    <t>7aedbdd668</t>
  </si>
  <si>
    <t>e5a49906</t>
  </si>
  <si>
    <t>7aedbdd669</t>
  </si>
  <si>
    <t>f91f97b3</t>
  </si>
  <si>
    <t>7aedbdd670</t>
  </si>
  <si>
    <t>1493dcf6</t>
  </si>
  <si>
    <t>7aedbdd671</t>
  </si>
  <si>
    <t>11a49915</t>
  </si>
  <si>
    <t>7aedbdd672</t>
  </si>
  <si>
    <t>08ee4b24</t>
  </si>
  <si>
    <t>7aedbdd673</t>
  </si>
  <si>
    <t>ccffec47</t>
  </si>
  <si>
    <t>7aedbdd674</t>
  </si>
  <si>
    <t>0484006e</t>
  </si>
  <si>
    <t>7aedbdd675</t>
  </si>
  <si>
    <t>66739c30</t>
  </si>
  <si>
    <t>7aedbdd676</t>
  </si>
  <si>
    <t>d51e971b</t>
  </si>
  <si>
    <t>7aedbdd677</t>
  </si>
  <si>
    <t>a6bf2bf2</t>
  </si>
  <si>
    <t>7aedbdd678</t>
  </si>
  <si>
    <t>9d25f648</t>
  </si>
  <si>
    <t>7aedbdd679</t>
  </si>
  <si>
    <t>22c19d10</t>
  </si>
  <si>
    <t>7aedbdd680</t>
  </si>
  <si>
    <t>2cabdc35</t>
  </si>
  <si>
    <t>7aedbdd681</t>
  </si>
  <si>
    <t>57a5f812</t>
  </si>
  <si>
    <t>7aedbdd682</t>
  </si>
  <si>
    <t>991294b2</t>
  </si>
  <si>
    <t>7aedbdd683</t>
  </si>
  <si>
    <t>5a18ccaf</t>
  </si>
  <si>
    <t>7aedbdd684</t>
  </si>
  <si>
    <t>0e835ee1</t>
  </si>
  <si>
    <t>7aedbdd685</t>
  </si>
  <si>
    <t>e1058c4e</t>
  </si>
  <si>
    <t>7aedbdd686</t>
  </si>
  <si>
    <t>79ab7f71</t>
  </si>
  <si>
    <t>7aedbdd687</t>
  </si>
  <si>
    <t>23a22900</t>
  </si>
  <si>
    <t>7aedbdd688</t>
  </si>
  <si>
    <t>e791c0e3</t>
  </si>
  <si>
    <t>7aedbdd689</t>
  </si>
  <si>
    <t>2f1f1c93</t>
  </si>
  <si>
    <t>7aedbdd690</t>
  </si>
  <si>
    <t>d5611b72</t>
  </si>
  <si>
    <t>7aedbdd691</t>
  </si>
  <si>
    <t>57a281f4</t>
  </si>
  <si>
    <t>7aedbdd692</t>
  </si>
  <si>
    <t>96d5c00b</t>
  </si>
  <si>
    <t>7aedbdd693</t>
  </si>
  <si>
    <t>7f93a26a</t>
  </si>
  <si>
    <t>7aedbdd694</t>
  </si>
  <si>
    <t>b0bb701c</t>
  </si>
  <si>
    <t>7aedbdd695</t>
  </si>
  <si>
    <t>d578b515</t>
  </si>
  <si>
    <t>7aedbdd696</t>
  </si>
  <si>
    <t>73a333f1</t>
  </si>
  <si>
    <t>7aedbdd697</t>
  </si>
  <si>
    <t>d8310165</t>
  </si>
  <si>
    <t>7aedbdd698</t>
  </si>
  <si>
    <t>cf728f90</t>
  </si>
  <si>
    <t>7aedbdd699</t>
  </si>
  <si>
    <t>4ffa4ddd</t>
  </si>
  <si>
    <t>7aedbdd700</t>
  </si>
  <si>
    <t>845fa993</t>
  </si>
  <si>
    <t>7aedbdd701</t>
  </si>
  <si>
    <t>9a71b457</t>
  </si>
  <si>
    <t>7aedbdd702</t>
  </si>
  <si>
    <t>c3b6d546</t>
  </si>
  <si>
    <t>7aedbdd703</t>
  </si>
  <si>
    <t>8fc46d2b</t>
  </si>
  <si>
    <t>7aedbdd704</t>
  </si>
  <si>
    <t>780218d3</t>
  </si>
  <si>
    <t>7aedbdd705</t>
  </si>
  <si>
    <t>5aacf565</t>
  </si>
  <si>
    <t>7aedbdd706</t>
  </si>
  <si>
    <t>89daa56a</t>
  </si>
  <si>
    <t>7aedbdd707</t>
  </si>
  <si>
    <t>1835d1fa</t>
  </si>
  <si>
    <t>7aedbdd708</t>
  </si>
  <si>
    <t>dcf77297</t>
  </si>
  <si>
    <t>7aedbdd709</t>
  </si>
  <si>
    <t>45683a53</t>
  </si>
  <si>
    <t>7aedbdd710</t>
  </si>
  <si>
    <t>721c59f0</t>
  </si>
  <si>
    <t>7aedbdd711</t>
  </si>
  <si>
    <t>0b608343</t>
  </si>
  <si>
    <t>7aedbdd712</t>
  </si>
  <si>
    <t>8b118ad0</t>
  </si>
  <si>
    <t>7aedbdd713</t>
  </si>
  <si>
    <t>65feb934</t>
  </si>
  <si>
    <t>7aedbdd714</t>
  </si>
  <si>
    <t>3496a53e</t>
  </si>
  <si>
    <t>7aedbdd715</t>
  </si>
  <si>
    <t>12386cd3</t>
  </si>
  <si>
    <t>7aedbdd716</t>
  </si>
  <si>
    <t>1d903165</t>
  </si>
  <si>
    <t>7aedbdd717</t>
  </si>
  <si>
    <t>5af115d2</t>
  </si>
  <si>
    <t>7aedbdd718</t>
  </si>
  <si>
    <t>f8d095ed</t>
  </si>
  <si>
    <t>7aedbdd719</t>
  </si>
  <si>
    <t>42e0db03</t>
  </si>
  <si>
    <t>7aedbdd720</t>
  </si>
  <si>
    <t>a61eed03</t>
  </si>
  <si>
    <t>7aedbdd721</t>
  </si>
  <si>
    <t>02c163e8</t>
  </si>
  <si>
    <t>7aedbdd722</t>
  </si>
  <si>
    <t>65c7abfd</t>
  </si>
  <si>
    <t>7aedbdd723</t>
  </si>
  <si>
    <t>9ce3e9cf</t>
  </si>
  <si>
    <t>7aedbdd724</t>
  </si>
  <si>
    <t>27b9e615</t>
  </si>
  <si>
    <t>7aedbdd725</t>
  </si>
  <si>
    <t>aa3183fc</t>
  </si>
  <si>
    <t>7aedbdd726</t>
  </si>
  <si>
    <t>07b39af6</t>
  </si>
  <si>
    <t>7aedbdd727</t>
  </si>
  <si>
    <t>eff1c7a4</t>
  </si>
  <si>
    <t>7aedbdd728</t>
  </si>
  <si>
    <t>26a1f9b2</t>
  </si>
  <si>
    <t>7aedbdd729</t>
  </si>
  <si>
    <t>8874bf76</t>
  </si>
  <si>
    <t>7aedbdd730</t>
  </si>
  <si>
    <t>4e1f58e7</t>
  </si>
  <si>
    <t>7aedbdd731</t>
  </si>
  <si>
    <t>7df4dc3b</t>
  </si>
  <si>
    <t>7aedbdd732</t>
  </si>
  <si>
    <t>fe56d015</t>
  </si>
  <si>
    <t>7aedbdd733</t>
  </si>
  <si>
    <t>e1a01e61</t>
  </si>
  <si>
    <t>7aedbdd734</t>
  </si>
  <si>
    <t>fddf3992</t>
  </si>
  <si>
    <t>7aedbdd735</t>
  </si>
  <si>
    <t>882f2e8f</t>
  </si>
  <si>
    <t>7aedbdd736</t>
  </si>
  <si>
    <t>3b0cc9c0</t>
  </si>
  <si>
    <t>7aedbdd737</t>
  </si>
  <si>
    <t>1eadd330</t>
  </si>
  <si>
    <t>7aedbdd738</t>
  </si>
  <si>
    <t>a664a168</t>
  </si>
  <si>
    <t>7aedbdd739</t>
  </si>
  <si>
    <t>8c2b9ee7</t>
  </si>
  <si>
    <t>7aedbdd740</t>
  </si>
  <si>
    <t>961caaff</t>
  </si>
  <si>
    <t>7aedbdd741</t>
  </si>
  <si>
    <t>afee1b58</t>
  </si>
  <si>
    <t>7aedbdd742</t>
  </si>
  <si>
    <t>e205f7c7</t>
  </si>
  <si>
    <t>7aedbdd743</t>
  </si>
  <si>
    <t>ee2bb4c4</t>
  </si>
  <si>
    <t>7aedbdd744</t>
  </si>
  <si>
    <t>84d7dc13</t>
  </si>
  <si>
    <t>7aedbdd745</t>
  </si>
  <si>
    <t>40b03a73</t>
  </si>
  <si>
    <t>7aedbdd746</t>
  </si>
  <si>
    <t>69bc618a</t>
  </si>
  <si>
    <t>7aedbdd747</t>
  </si>
  <si>
    <t>c77464fb</t>
  </si>
  <si>
    <t>7aedbdd748</t>
  </si>
  <si>
    <t>41bc4939</t>
  </si>
  <si>
    <t>7aedbdd749</t>
  </si>
  <si>
    <t>5c4c950a</t>
  </si>
  <si>
    <t>7aedbdd750</t>
  </si>
  <si>
    <t>8e32579c</t>
  </si>
  <si>
    <t>7aedbdd751</t>
  </si>
  <si>
    <t>ce08f747</t>
  </si>
  <si>
    <t>7aedbdd752</t>
  </si>
  <si>
    <t>8abfcff1</t>
  </si>
  <si>
    <t>7aedbdd753</t>
  </si>
  <si>
    <t>495c64d3</t>
  </si>
  <si>
    <t>7aedbdd754</t>
  </si>
  <si>
    <t>63997c6a</t>
  </si>
  <si>
    <t>7aedbdd755</t>
  </si>
  <si>
    <t>65bdd3e9</t>
  </si>
  <si>
    <t>7aedbdd756</t>
  </si>
  <si>
    <t>4ef32c83</t>
  </si>
  <si>
    <t>7aedbdd757</t>
  </si>
  <si>
    <t>05902ef4</t>
  </si>
  <si>
    <t>7aedbdd758</t>
  </si>
  <si>
    <t>b4fdbe16</t>
  </si>
  <si>
    <t>7aedbdd759</t>
  </si>
  <si>
    <t>c6430a33</t>
  </si>
  <si>
    <t>7aedbdd760</t>
  </si>
  <si>
    <t>f5fa5370</t>
  </si>
  <si>
    <t>7aedbdd761</t>
  </si>
  <si>
    <t>effbd451</t>
  </si>
  <si>
    <t>7aedbdd762</t>
  </si>
  <si>
    <t>6993c173</t>
  </si>
  <si>
    <t>7aedbdd763</t>
  </si>
  <si>
    <t>6fbbcf1c</t>
  </si>
  <si>
    <t>7aedbdd764</t>
  </si>
  <si>
    <t>5a5926d8</t>
  </si>
  <si>
    <t>7aedbdd765</t>
  </si>
  <si>
    <t>e7a7fd71</t>
  </si>
  <si>
    <t>7aedbdd766</t>
  </si>
  <si>
    <t>e4c95bbd</t>
  </si>
  <si>
    <t>7aedbdd767</t>
  </si>
  <si>
    <t>eecf5561</t>
  </si>
  <si>
    <t>7aedbdd768</t>
  </si>
  <si>
    <t>9c93f542</t>
  </si>
  <si>
    <t>7aedbdd769</t>
  </si>
  <si>
    <t>810e67ac</t>
  </si>
  <si>
    <t>7aedbdd770</t>
  </si>
  <si>
    <t>7f24a642</t>
  </si>
  <si>
    <t>7aedbdd771</t>
  </si>
  <si>
    <t>d0994c89</t>
  </si>
  <si>
    <t>REPORT_SCAN85befb0a</t>
  </si>
  <si>
    <t>5d83c1de</t>
  </si>
  <si>
    <t>d921cdf9</t>
  </si>
  <si>
    <t>f1d452f0</t>
  </si>
  <si>
    <t>68</t>
  </si>
  <si>
    <t>866ee807</t>
  </si>
  <si>
    <t>bbcfd989</t>
  </si>
  <si>
    <t>7df2c8f1</t>
  </si>
  <si>
    <t>51f17ea6</t>
  </si>
  <si>
    <t>7ea6e969</t>
  </si>
  <si>
    <t>0111f369</t>
  </si>
  <si>
    <t>f56773c2</t>
  </si>
  <si>
    <t>98ece6dd</t>
  </si>
  <si>
    <t>9c49ecc8</t>
  </si>
  <si>
    <t>b754de2e</t>
  </si>
  <si>
    <t>4d95995c</t>
  </si>
  <si>
    <t>43355ecd</t>
  </si>
  <si>
    <t>c77b1ec3</t>
  </si>
  <si>
    <t>6a4a78c2</t>
  </si>
  <si>
    <t>1b75507a</t>
  </si>
  <si>
    <t>e707f30d</t>
  </si>
  <si>
    <t>7502422d</t>
  </si>
  <si>
    <t>a003aec4</t>
  </si>
  <si>
    <t>75bfd8a2</t>
  </si>
  <si>
    <t>1/8</t>
  </si>
  <si>
    <t>32a8e69a</t>
  </si>
  <si>
    <t>1 1/2</t>
  </si>
  <si>
    <t>ebb47763</t>
  </si>
  <si>
    <t>b39cbd1f</t>
  </si>
  <si>
    <t>db1607ad</t>
  </si>
  <si>
    <t>bf3e1ddb</t>
  </si>
  <si>
    <t>61d837b0</t>
  </si>
  <si>
    <t>3/8</t>
  </si>
  <si>
    <t>52ea7529</t>
  </si>
  <si>
    <t>382757af</t>
  </si>
  <si>
    <t>1/4</t>
  </si>
  <si>
    <t>20eeb023</t>
  </si>
  <si>
    <t>c7e811ff</t>
  </si>
  <si>
    <t>6fa25cbe</t>
  </si>
  <si>
    <t>252f1e5d</t>
  </si>
  <si>
    <t>39e4d5b5</t>
  </si>
  <si>
    <t>28788312</t>
  </si>
  <si>
    <t>b8a7417f</t>
  </si>
  <si>
    <t>d833e3bb</t>
  </si>
  <si>
    <t>657a502d</t>
  </si>
  <si>
    <t>2782aff4</t>
  </si>
  <si>
    <t>6ab535b8</t>
  </si>
  <si>
    <t>38b6a5dc</t>
  </si>
  <si>
    <t>REPORT_SCAN851f143d</t>
  </si>
  <si>
    <t>1/2</t>
  </si>
  <si>
    <t>1.2</t>
  </si>
  <si>
    <t>93e49d95</t>
  </si>
  <si>
    <t>Centro de tapa</t>
  </si>
  <si>
    <t>Tapa</t>
  </si>
  <si>
    <t>45.91</t>
  </si>
  <si>
    <t>45.49</t>
  </si>
  <si>
    <t>45.79</t>
  </si>
  <si>
    <t>46.14</t>
  </si>
  <si>
    <t>5f201044</t>
  </si>
  <si>
    <t>Reducción cuerpo menor</t>
  </si>
  <si>
    <t>Reducción Excentrica</t>
  </si>
  <si>
    <t>29.10</t>
  </si>
  <si>
    <t>28.94</t>
  </si>
  <si>
    <t>28.28</t>
  </si>
  <si>
    <t>28.39</t>
  </si>
  <si>
    <t>c303b912</t>
  </si>
  <si>
    <t>Cuerpo mayor</t>
  </si>
  <si>
    <t>44.74</t>
  </si>
  <si>
    <t>44.07</t>
  </si>
  <si>
    <t>44.15</t>
  </si>
  <si>
    <t>44.42</t>
  </si>
  <si>
    <t>57610ae0</t>
  </si>
  <si>
    <t>44.22</t>
  </si>
  <si>
    <t>44.83</t>
  </si>
  <si>
    <t>43.74</t>
  </si>
  <si>
    <t>45.14</t>
  </si>
  <si>
    <t>71effcaf</t>
  </si>
  <si>
    <t>44.44</t>
  </si>
  <si>
    <t>44.35</t>
  </si>
  <si>
    <t>44.25</t>
  </si>
  <si>
    <t>43.94</t>
  </si>
  <si>
    <t>55dcda93</t>
  </si>
  <si>
    <t>Cuerpo menor</t>
  </si>
  <si>
    <t>27.19</t>
  </si>
  <si>
    <t>29.09</t>
  </si>
  <si>
    <t>27.87</t>
  </si>
  <si>
    <t>27.93</t>
  </si>
  <si>
    <t>a40e2f5e</t>
  </si>
  <si>
    <t>27.26</t>
  </si>
  <si>
    <t>27.38</t>
  </si>
  <si>
    <t>29.15</t>
  </si>
  <si>
    <t>28.20</t>
  </si>
  <si>
    <t>c6ef2061</t>
  </si>
  <si>
    <t>44.62</t>
  </si>
  <si>
    <t>43.92</t>
  </si>
  <si>
    <t>43.62</t>
  </si>
  <si>
    <t>44.12</t>
  </si>
  <si>
    <t>d947c2fc</t>
  </si>
  <si>
    <t>Reducción cuerpo mayor</t>
  </si>
  <si>
    <t>28.91</t>
  </si>
  <si>
    <t>29.66</t>
  </si>
  <si>
    <t>28.93</t>
  </si>
  <si>
    <t>28.14</t>
  </si>
  <si>
    <t>5a0e00cc</t>
  </si>
  <si>
    <t>29.36</t>
  </si>
  <si>
    <t>27.65</t>
  </si>
  <si>
    <t>29.25</t>
  </si>
  <si>
    <t>29.32</t>
  </si>
  <si>
    <t>84aa6b66</t>
  </si>
  <si>
    <t>N4</t>
  </si>
  <si>
    <t>8.91</t>
  </si>
  <si>
    <t>8.53</t>
  </si>
  <si>
    <t>7.41</t>
  </si>
  <si>
    <t>8.96</t>
  </si>
  <si>
    <t>8.28</t>
  </si>
  <si>
    <t>8.35</t>
  </si>
  <si>
    <t>7.51</t>
  </si>
  <si>
    <t>8.58</t>
  </si>
  <si>
    <t>8.43</t>
  </si>
  <si>
    <t>8.07</t>
  </si>
  <si>
    <t>8.30</t>
  </si>
  <si>
    <t>bdb206c3</t>
  </si>
  <si>
    <t>Tapa perimetral</t>
  </si>
  <si>
    <t>45.74</t>
  </si>
  <si>
    <t>44.88</t>
  </si>
  <si>
    <t>45.81</t>
  </si>
  <si>
    <t>45.59</t>
  </si>
  <si>
    <t>7bcfa76d</t>
  </si>
  <si>
    <t>Tapa centro</t>
  </si>
  <si>
    <t>45.68</t>
  </si>
  <si>
    <t>45.22</t>
  </si>
  <si>
    <t>45.54</t>
  </si>
  <si>
    <t>46.02</t>
  </si>
  <si>
    <t>903ba301</t>
  </si>
  <si>
    <t>perímetro tapa</t>
  </si>
  <si>
    <t>45.82</t>
  </si>
  <si>
    <t>44.93</t>
  </si>
  <si>
    <t>45.93</t>
  </si>
  <si>
    <t>45.67</t>
  </si>
  <si>
    <t>a975681b</t>
  </si>
  <si>
    <t>45.31</t>
  </si>
  <si>
    <t>44.08</t>
  </si>
  <si>
    <t>45.03</t>
  </si>
  <si>
    <t>bcdc4bed</t>
  </si>
  <si>
    <t>cuerpo mayor</t>
  </si>
  <si>
    <t>44.17</t>
  </si>
  <si>
    <t>46.43</t>
  </si>
  <si>
    <t>45.72</t>
  </si>
  <si>
    <t>44.46</t>
  </si>
  <si>
    <t>382bc8a4</t>
  </si>
  <si>
    <t>43.61</t>
  </si>
  <si>
    <t>44.18</t>
  </si>
  <si>
    <t>43.98</t>
  </si>
  <si>
    <t>c246728b</t>
  </si>
  <si>
    <t>44.24</t>
  </si>
  <si>
    <t>43.87</t>
  </si>
  <si>
    <t>45.15</t>
  </si>
  <si>
    <t>9269e9eb</t>
  </si>
  <si>
    <t>Reducción</t>
  </si>
  <si>
    <t>28.35</t>
  </si>
  <si>
    <t>28.65</t>
  </si>
  <si>
    <t>28.86</t>
  </si>
  <si>
    <t>28.68</t>
  </si>
  <si>
    <t>06c7eafd</t>
  </si>
  <si>
    <t>reducción menor</t>
  </si>
  <si>
    <t>29.53</t>
  </si>
  <si>
    <t>28.53</t>
  </si>
  <si>
    <t>29.23</t>
  </si>
  <si>
    <t>28.43</t>
  </si>
  <si>
    <t>b55a5bd4</t>
  </si>
  <si>
    <t>28.51</t>
  </si>
  <si>
    <t>28.85</t>
  </si>
  <si>
    <t>28.21</t>
  </si>
  <si>
    <t>27.89</t>
  </si>
  <si>
    <t>7477f050</t>
  </si>
  <si>
    <t>28.55</t>
  </si>
  <si>
    <t>27.79</t>
  </si>
  <si>
    <t>28.13</t>
  </si>
  <si>
    <t>28.19</t>
  </si>
  <si>
    <t>79fb89d7</t>
  </si>
  <si>
    <t>Centro de la tapa</t>
  </si>
  <si>
    <t>65.90</t>
  </si>
  <si>
    <t>65.45</t>
  </si>
  <si>
    <t>65.73</t>
  </si>
  <si>
    <t>65.88</t>
  </si>
  <si>
    <t>7ddf228f</t>
  </si>
  <si>
    <t>Perímetro de la tapa</t>
  </si>
  <si>
    <t>65.67</t>
  </si>
  <si>
    <t>66.30</t>
  </si>
  <si>
    <t>65.28</t>
  </si>
  <si>
    <t>32558127</t>
  </si>
  <si>
    <t>9.52</t>
  </si>
  <si>
    <t>9.74</t>
  </si>
  <si>
    <t>9.27</t>
  </si>
  <si>
    <t>9.31</t>
  </si>
  <si>
    <t>c1ac5091</t>
  </si>
  <si>
    <t>9.48</t>
  </si>
  <si>
    <t>9.53</t>
  </si>
  <si>
    <t>9.25</t>
  </si>
  <si>
    <t>9.51</t>
  </si>
  <si>
    <t>a84d3d94</t>
  </si>
  <si>
    <t>9.54</t>
  </si>
  <si>
    <t>9.45</t>
  </si>
  <si>
    <t>4d07510c</t>
  </si>
  <si>
    <t>9.41</t>
  </si>
  <si>
    <t>9.56</t>
  </si>
  <si>
    <t>9.61</t>
  </si>
  <si>
    <t>9.22</t>
  </si>
  <si>
    <t>21521eb3</t>
  </si>
  <si>
    <t>17.43</t>
  </si>
  <si>
    <t>17.39</t>
  </si>
  <si>
    <t>17.48</t>
  </si>
  <si>
    <t>18.21</t>
  </si>
  <si>
    <t>e978d586</t>
  </si>
  <si>
    <t>12.28</t>
  </si>
  <si>
    <t>12.48</t>
  </si>
  <si>
    <t>13.86</t>
  </si>
  <si>
    <t>14.50</t>
  </si>
  <si>
    <t>a360fcab</t>
  </si>
  <si>
    <t>9.66</t>
  </si>
  <si>
    <t>9.44</t>
  </si>
  <si>
    <t>9.30</t>
  </si>
  <si>
    <t>4b64b04b</t>
  </si>
  <si>
    <t>9.65</t>
  </si>
  <si>
    <t>9.33</t>
  </si>
  <si>
    <t>dd90e9e2</t>
  </si>
  <si>
    <t>9.42</t>
  </si>
  <si>
    <t>9.34</t>
  </si>
  <si>
    <t>27123b17</t>
  </si>
  <si>
    <t>9.36</t>
  </si>
  <si>
    <t>bc7ff942</t>
  </si>
  <si>
    <t>Boquilla N1</t>
  </si>
  <si>
    <t>7.91</t>
  </si>
  <si>
    <t>7.50</t>
  </si>
  <si>
    <t>8.79</t>
  </si>
  <si>
    <t>8.71</t>
  </si>
  <si>
    <t>a46d5b6f</t>
  </si>
  <si>
    <t>14.59</t>
  </si>
  <si>
    <t>14.68</t>
  </si>
  <si>
    <t>14.13</t>
  </si>
  <si>
    <t>14.34</t>
  </si>
  <si>
    <t>ce838b67</t>
  </si>
  <si>
    <t>14.33</t>
  </si>
  <si>
    <t>14.24</t>
  </si>
  <si>
    <t>14.20</t>
  </si>
  <si>
    <t>14.35</t>
  </si>
  <si>
    <t>676b6ba5</t>
  </si>
  <si>
    <t>14.18</t>
  </si>
  <si>
    <t>14.21</t>
  </si>
  <si>
    <t>14.22</t>
  </si>
  <si>
    <t>14.37</t>
  </si>
  <si>
    <t>559983c4</t>
  </si>
  <si>
    <t>14.14</t>
  </si>
  <si>
    <t>14.03</t>
  </si>
  <si>
    <t>5727f30f</t>
  </si>
  <si>
    <t>13.26</t>
  </si>
  <si>
    <t>13.36</t>
  </si>
  <si>
    <t>12.87</t>
  </si>
  <si>
    <t>13.28</t>
  </si>
  <si>
    <t>1c1f778b</t>
  </si>
  <si>
    <t>15.61</t>
  </si>
  <si>
    <t>14.40</t>
  </si>
  <si>
    <t>14.79</t>
  </si>
  <si>
    <t>15.07</t>
  </si>
  <si>
    <t>38193d7c</t>
  </si>
  <si>
    <t>15.26</t>
  </si>
  <si>
    <t>13.79</t>
  </si>
  <si>
    <t>14.30</t>
  </si>
  <si>
    <t>1fb0e7b2</t>
  </si>
  <si>
    <t>15.23</t>
  </si>
  <si>
    <t>14.12</t>
  </si>
  <si>
    <t>14.27</t>
  </si>
  <si>
    <t>4809ef36</t>
  </si>
  <si>
    <t>Cuerpo Menor</t>
  </si>
  <si>
    <t>14.19</t>
  </si>
  <si>
    <t>13.99</t>
  </si>
  <si>
    <t>14.16</t>
  </si>
  <si>
    <t>14.80</t>
  </si>
  <si>
    <t>f7be7a32</t>
  </si>
  <si>
    <t>76.00</t>
  </si>
  <si>
    <t>75.06</t>
  </si>
  <si>
    <t>75.14</t>
  </si>
  <si>
    <t>75.05</t>
  </si>
  <si>
    <t>a7bbf51d</t>
  </si>
  <si>
    <t>Perímetro de tapa</t>
  </si>
  <si>
    <t>75.57</t>
  </si>
  <si>
    <t>75.16</t>
  </si>
  <si>
    <t>75.33</t>
  </si>
  <si>
    <t>75.32</t>
  </si>
  <si>
    <t>16859fcc</t>
  </si>
  <si>
    <t>Prueba</t>
  </si>
  <si>
    <t>2 1/2</t>
  </si>
  <si>
    <t>0bf963ae</t>
  </si>
  <si>
    <t>0,681 in</t>
  </si>
  <si>
    <t>0,671 in</t>
  </si>
  <si>
    <t>0,665 in</t>
  </si>
  <si>
    <t>0,645 in</t>
  </si>
  <si>
    <t>ababff1e</t>
  </si>
  <si>
    <t>0,712 in</t>
  </si>
  <si>
    <t>0,690 in</t>
  </si>
  <si>
    <t>0,685 in</t>
  </si>
  <si>
    <t>0,678 in</t>
  </si>
  <si>
    <t>0,694 in</t>
  </si>
  <si>
    <t>0,726 in</t>
  </si>
  <si>
    <t>0,698 in</t>
  </si>
  <si>
    <t>0,696 in</t>
  </si>
  <si>
    <t>0,704 in</t>
  </si>
  <si>
    <t>0,722 in</t>
  </si>
  <si>
    <t>0ee075c5</t>
  </si>
  <si>
    <t>0,646 in</t>
  </si>
  <si>
    <t>0,687 in</t>
  </si>
  <si>
    <t>0,649 in</t>
  </si>
  <si>
    <t>0,662 in</t>
  </si>
  <si>
    <t>38b11347</t>
  </si>
  <si>
    <t>2-Cuerpo Menor</t>
  </si>
  <si>
    <t>11,15</t>
  </si>
  <si>
    <t>10,83</t>
  </si>
  <si>
    <t>11,42</t>
  </si>
  <si>
    <t>11,62</t>
  </si>
  <si>
    <t>12874c41</t>
  </si>
  <si>
    <t>1-Cuerpo Menor</t>
  </si>
  <si>
    <t>11,03</t>
  </si>
  <si>
    <t>11,07</t>
  </si>
  <si>
    <t>11,55</t>
  </si>
  <si>
    <t>99edb15f</t>
  </si>
  <si>
    <t>5-Cuerpo Mayor</t>
  </si>
  <si>
    <t>13,33</t>
  </si>
  <si>
    <t>12,29</t>
  </si>
  <si>
    <t>12,35</t>
  </si>
  <si>
    <t>12,52</t>
  </si>
  <si>
    <t>adeeeeb4</t>
  </si>
  <si>
    <t>6-Cuerpo Mayor</t>
  </si>
  <si>
    <t>12,79</t>
  </si>
  <si>
    <t>12,41</t>
  </si>
  <si>
    <t>12,36</t>
  </si>
  <si>
    <t>12,39</t>
  </si>
  <si>
    <t>a03dfe62</t>
  </si>
  <si>
    <t>4-Cuerpo Mayor</t>
  </si>
  <si>
    <t>10,07</t>
  </si>
  <si>
    <t>9,96</t>
  </si>
  <si>
    <t>8,92</t>
  </si>
  <si>
    <t>9,52</t>
  </si>
  <si>
    <t>a56860af</t>
  </si>
  <si>
    <t>10-Cuerpo Mayor</t>
  </si>
  <si>
    <t>12,86</t>
  </si>
  <si>
    <t>12,40</t>
  </si>
  <si>
    <t>12,26</t>
  </si>
  <si>
    <t>12,17</t>
  </si>
  <si>
    <t>4a5d4e96</t>
  </si>
  <si>
    <t>3-Cuerpo Menor</t>
  </si>
  <si>
    <t>9,12</t>
  </si>
  <si>
    <t>9,39</t>
  </si>
  <si>
    <t>9,46</t>
  </si>
  <si>
    <t>8,80</t>
  </si>
  <si>
    <t>9d93b122</t>
  </si>
  <si>
    <t>11-Cuerpo Mayor</t>
  </si>
  <si>
    <t>13,27</t>
  </si>
  <si>
    <t>12,67</t>
  </si>
  <si>
    <t>12,69</t>
  </si>
  <si>
    <t>12,62</t>
  </si>
  <si>
    <t>85367c17</t>
  </si>
  <si>
    <t>12-Cuerpo Mayor</t>
  </si>
  <si>
    <t>12,60</t>
  </si>
  <si>
    <t>12,51</t>
  </si>
  <si>
    <t>12,65</t>
  </si>
  <si>
    <t>412a156b</t>
  </si>
  <si>
    <t>13-Tapa Perimetro</t>
  </si>
  <si>
    <t>N/D</t>
  </si>
  <si>
    <t>17db232d</t>
  </si>
  <si>
    <t>8-9, N1</t>
  </si>
  <si>
    <t>12,03</t>
  </si>
  <si>
    <t>11,96</t>
  </si>
  <si>
    <t>11,86</t>
  </si>
  <si>
    <t>10,94</t>
  </si>
  <si>
    <t>11,83</t>
  </si>
  <si>
    <t>10,26</t>
  </si>
  <si>
    <t>11,98</t>
  </si>
  <si>
    <t>11,27</t>
  </si>
  <si>
    <t>f8336dc6</t>
  </si>
  <si>
    <t>13-Tapa Centro</t>
  </si>
  <si>
    <t>57,59</t>
  </si>
  <si>
    <t>57,60</t>
  </si>
  <si>
    <t>57,27</t>
  </si>
  <si>
    <t>26f16c99</t>
  </si>
  <si>
    <t>14-N2-Drenage</t>
  </si>
  <si>
    <t>3,95</t>
  </si>
  <si>
    <t>3,88</t>
  </si>
  <si>
    <t>4,17</t>
  </si>
  <si>
    <t>3,75</t>
  </si>
  <si>
    <t>085bbf96</t>
  </si>
  <si>
    <t>16-N2-Drenage</t>
  </si>
  <si>
    <t>3,92</t>
  </si>
  <si>
    <t>4,14</t>
  </si>
  <si>
    <t>3,94</t>
  </si>
  <si>
    <t>3,78</t>
  </si>
  <si>
    <t>441aa29f</t>
  </si>
  <si>
    <t>18-N4-BY PASS</t>
  </si>
  <si>
    <t>1 1/4</t>
  </si>
  <si>
    <t>4,20</t>
  </si>
  <si>
    <t>4,42</t>
  </si>
  <si>
    <t>4,18</t>
  </si>
  <si>
    <t>4c568c3a</t>
  </si>
  <si>
    <t>17-N2-drenage</t>
  </si>
  <si>
    <t>4,12</t>
  </si>
  <si>
    <t>b4a09b2c</t>
  </si>
  <si>
    <t>15-N2-Drenage</t>
  </si>
  <si>
    <t>3,76</t>
  </si>
  <si>
    <t>4,22</t>
  </si>
  <si>
    <t>3,79</t>
  </si>
  <si>
    <t>b98d6eb9</t>
  </si>
  <si>
    <t>REPORT_SCANa82b5e6e</t>
  </si>
  <si>
    <t>fec98ebe</t>
  </si>
  <si>
    <t>1-Cuerpo menor</t>
  </si>
  <si>
    <t>1399aab4</t>
  </si>
  <si>
    <t>1-2, Cuerpo menor</t>
  </si>
  <si>
    <t>f8aa6514</t>
  </si>
  <si>
    <t>1-3, Cuerpo menor</t>
  </si>
  <si>
    <t>bf52c728</t>
  </si>
  <si>
    <t>1-4, Cuerpo menor</t>
  </si>
  <si>
    <t>107f53af</t>
  </si>
  <si>
    <t>1-5, Cuerpo menor</t>
  </si>
  <si>
    <t>8fa23e1c</t>
  </si>
  <si>
    <t>2, RED 12"</t>
  </si>
  <si>
    <t>13f99456</t>
  </si>
  <si>
    <t>2-1, RED 14"</t>
  </si>
  <si>
    <t>710da1e7</t>
  </si>
  <si>
    <t>3, cuerpo mayor</t>
  </si>
  <si>
    <t>0a701b76</t>
  </si>
  <si>
    <t>3-1, Cuerpo mayor</t>
  </si>
  <si>
    <t>b5777453</t>
  </si>
  <si>
    <t>3-2, Cuerpo mayor</t>
  </si>
  <si>
    <t>02fd0400</t>
  </si>
  <si>
    <t>3-3, Cuerpo mayor</t>
  </si>
  <si>
    <t>d9084a4a</t>
  </si>
  <si>
    <t>3-4, cuerpo mayor</t>
  </si>
  <si>
    <t>c17ce852</t>
  </si>
  <si>
    <t>4, tapa</t>
  </si>
  <si>
    <t>9de3c8de</t>
  </si>
  <si>
    <t>5-N1-Futura conexión</t>
  </si>
  <si>
    <t>7173edd1</t>
  </si>
  <si>
    <t>6-N2-By pass</t>
  </si>
  <si>
    <t>d8d71b43</t>
  </si>
  <si>
    <t>7-N3-By pass</t>
  </si>
  <si>
    <t>a299e9a5</t>
  </si>
  <si>
    <t>8-N8-Drenaje</t>
  </si>
  <si>
    <t>81bda419</t>
  </si>
  <si>
    <t>9-N7-Balance</t>
  </si>
  <si>
    <t>ce665509</t>
  </si>
  <si>
    <t>10-N7-Balance</t>
  </si>
  <si>
    <t>3c551fde</t>
  </si>
  <si>
    <t>11-N7-Balance</t>
  </si>
  <si>
    <t>4d6201b7</t>
  </si>
  <si>
    <t>2a281c08</t>
  </si>
  <si>
    <t>1-2</t>
  </si>
  <si>
    <t>a909f252</t>
  </si>
  <si>
    <t>1-3</t>
  </si>
  <si>
    <t>cf5ea0e8</t>
  </si>
  <si>
    <t>2-Cuerpo Mayor</t>
  </si>
  <si>
    <t>ee127b0f</t>
  </si>
  <si>
    <t>2-1, Cuerpo Mayor</t>
  </si>
  <si>
    <t>d4a754bc</t>
  </si>
  <si>
    <t>2-2, Cuerpo Mayor</t>
  </si>
  <si>
    <t>b1e23a08</t>
  </si>
  <si>
    <t>2-3, Cuerpo Mayor</t>
  </si>
  <si>
    <t>c85e11df</t>
  </si>
  <si>
    <t>2-4, Cuerpo Mayor</t>
  </si>
  <si>
    <t>49adea07</t>
  </si>
  <si>
    <t>1bfc515e</t>
  </si>
  <si>
    <t>3-1</t>
  </si>
  <si>
    <t>bbde3f68</t>
  </si>
  <si>
    <t>4, Cuerpo Menor</t>
  </si>
  <si>
    <t>9e63226a</t>
  </si>
  <si>
    <t>4-1, Cuerpo Menor</t>
  </si>
  <si>
    <t>6a33b960</t>
  </si>
  <si>
    <t>4-2, Cuerpo Menor</t>
  </si>
  <si>
    <t>469dee25</t>
  </si>
  <si>
    <t>4-3, Cuerpo Menor</t>
  </si>
  <si>
    <t>df179e72</t>
  </si>
  <si>
    <t>4-4, Cuerpo Menor</t>
  </si>
  <si>
    <t>4605f0bb</t>
  </si>
  <si>
    <t>5-N1</t>
  </si>
  <si>
    <t>0785a24a</t>
  </si>
  <si>
    <t>5-N1-2</t>
  </si>
  <si>
    <t>62752252</t>
  </si>
  <si>
    <t>6-N1-3</t>
  </si>
  <si>
    <t>a1e71c3d</t>
  </si>
  <si>
    <t>7-N1-4</t>
  </si>
  <si>
    <t>de80239a</t>
  </si>
  <si>
    <t>8-N3, Medidor de presión</t>
  </si>
  <si>
    <t>3/4</t>
  </si>
  <si>
    <t>7525f5a8</t>
  </si>
  <si>
    <t>9-N4, Drenaje</t>
  </si>
  <si>
    <t>052aaacb</t>
  </si>
  <si>
    <t>10-N6, By pass</t>
  </si>
  <si>
    <t>a91555c5</t>
  </si>
  <si>
    <t>11-N7, By pass</t>
  </si>
  <si>
    <t>1d66d453</t>
  </si>
  <si>
    <t>Cuerpo</t>
  </si>
  <si>
    <t>34</t>
  </si>
  <si>
    <t>5f612571</t>
  </si>
  <si>
    <t>Cap 1</t>
  </si>
  <si>
    <t>Cap</t>
  </si>
  <si>
    <t>c246fc24</t>
  </si>
  <si>
    <t>Cap2</t>
  </si>
  <si>
    <t>fe027813</t>
  </si>
  <si>
    <t>N1</t>
  </si>
  <si>
    <t>cefda3fc</t>
  </si>
  <si>
    <t>Brida</t>
  </si>
  <si>
    <t>7d97235a</t>
  </si>
  <si>
    <t>e7afb45e</t>
  </si>
  <si>
    <t>a585991e</t>
  </si>
  <si>
    <t>268b27ac</t>
  </si>
  <si>
    <t>e72e5f63</t>
  </si>
  <si>
    <t>420f99fe</t>
  </si>
  <si>
    <t>e1b493c6</t>
  </si>
  <si>
    <t>2d229794</t>
  </si>
  <si>
    <t>91374eec</t>
  </si>
  <si>
    <t>45b37bc7</t>
  </si>
  <si>
    <t>25a43597</t>
  </si>
  <si>
    <t>078fc16a</t>
  </si>
  <si>
    <t>c65922be</t>
  </si>
  <si>
    <t>6ca4a933</t>
  </si>
  <si>
    <t>518409b2</t>
  </si>
  <si>
    <t>0f3ebda6</t>
  </si>
  <si>
    <t>8722b95f</t>
  </si>
  <si>
    <t>ad62f5ed</t>
  </si>
  <si>
    <t>cc22ca83</t>
  </si>
  <si>
    <t>486643fe</t>
  </si>
  <si>
    <t>d43b97b7</t>
  </si>
  <si>
    <t>cf847d56</t>
  </si>
  <si>
    <t>b16e8959</t>
  </si>
  <si>
    <t>dafd3071</t>
  </si>
  <si>
    <t>f84c27e1</t>
  </si>
  <si>
    <t>c3cff7f3</t>
  </si>
  <si>
    <t>e4466212</t>
  </si>
  <si>
    <t>7c8864a4</t>
  </si>
  <si>
    <t>4034fd09</t>
  </si>
  <si>
    <t>5c8c10f7</t>
  </si>
  <si>
    <t>008481b7</t>
  </si>
  <si>
    <t>24979609</t>
  </si>
  <si>
    <t>08a9fb1f</t>
  </si>
  <si>
    <t>1e203e9b</t>
  </si>
  <si>
    <t>edd78b17</t>
  </si>
  <si>
    <t>6860ac1b</t>
  </si>
  <si>
    <t>35974ab7</t>
  </si>
  <si>
    <t>01f8ea17</t>
  </si>
  <si>
    <t>efa29a8f</t>
  </si>
  <si>
    <t>d9d495e3</t>
  </si>
  <si>
    <t>cd7188fb</t>
  </si>
  <si>
    <t>93b03d10</t>
  </si>
  <si>
    <t>0b9190c3</t>
  </si>
  <si>
    <t>17606645</t>
  </si>
  <si>
    <t>c131c4fe</t>
  </si>
  <si>
    <t>e8eba504</t>
  </si>
  <si>
    <t>b69dbf20</t>
  </si>
  <si>
    <t>35d24375</t>
  </si>
  <si>
    <t>c8190805</t>
  </si>
  <si>
    <t>a0ade852</t>
  </si>
  <si>
    <t>3b9412ce</t>
  </si>
  <si>
    <t>581172f4</t>
  </si>
  <si>
    <t>7173d95e</t>
  </si>
  <si>
    <t>b3836f78</t>
  </si>
  <si>
    <t>8996c3a6</t>
  </si>
  <si>
    <t>674f207d</t>
  </si>
  <si>
    <t>1c8fa449</t>
  </si>
  <si>
    <t>54139fce</t>
  </si>
  <si>
    <t>0e7ee4af</t>
  </si>
  <si>
    <t>1 / CAP 1</t>
  </si>
  <si>
    <t>4d1b4f64</t>
  </si>
  <si>
    <t>2/CAP 1</t>
  </si>
  <si>
    <t>462931ad</t>
  </si>
  <si>
    <t>1/CAP 2</t>
  </si>
  <si>
    <t>c88a113b</t>
  </si>
  <si>
    <t>2/ CAP2</t>
  </si>
  <si>
    <t>644528ff</t>
  </si>
  <si>
    <t>1/N1</t>
  </si>
  <si>
    <t>a270a373</t>
  </si>
  <si>
    <t>2/N1</t>
  </si>
  <si>
    <t>3add2d3b</t>
  </si>
  <si>
    <t>9428a31c</t>
  </si>
  <si>
    <t>7ccf1a3d</t>
  </si>
  <si>
    <t>1/N1-A</t>
  </si>
  <si>
    <t>79cfdf45</t>
  </si>
  <si>
    <t>2/N1-A</t>
  </si>
  <si>
    <t>7b2b33e5</t>
  </si>
  <si>
    <t>9d95ae3a</t>
  </si>
  <si>
    <t>1/N2</t>
  </si>
  <si>
    <t>60b7e8e0</t>
  </si>
  <si>
    <t>2/N2</t>
  </si>
  <si>
    <t>f9b88768</t>
  </si>
  <si>
    <t>16d8e56b</t>
  </si>
  <si>
    <t>f24ab7c2</t>
  </si>
  <si>
    <t>1/N3</t>
  </si>
  <si>
    <t>9d043c01</t>
  </si>
  <si>
    <t>2/N3</t>
  </si>
  <si>
    <t>2d7fd0d3</t>
  </si>
  <si>
    <t>8092c144</t>
  </si>
  <si>
    <t>e637bcc3</t>
  </si>
  <si>
    <t>1/N3-A</t>
  </si>
  <si>
    <t>73dc96b3</t>
  </si>
  <si>
    <t>2/N3-A</t>
  </si>
  <si>
    <t>f8247602</t>
  </si>
  <si>
    <t>1/N3A</t>
  </si>
  <si>
    <t>efae9ef0</t>
  </si>
  <si>
    <t>1/N4</t>
  </si>
  <si>
    <t>8814f472</t>
  </si>
  <si>
    <t>2/N4</t>
  </si>
  <si>
    <t>b0438760</t>
  </si>
  <si>
    <t>39fd85f3</t>
  </si>
  <si>
    <t>d1a91964</t>
  </si>
  <si>
    <t>1/N4-A</t>
  </si>
  <si>
    <t>68b50bea</t>
  </si>
  <si>
    <t>2/N4-A</t>
  </si>
  <si>
    <t>e085db94</t>
  </si>
  <si>
    <t>14d5ec56</t>
  </si>
  <si>
    <t>1/N6</t>
  </si>
  <si>
    <t>1c18da78</t>
  </si>
  <si>
    <t>c389f348</t>
  </si>
  <si>
    <t>a736b6eb</t>
  </si>
  <si>
    <t>1/N7</t>
  </si>
  <si>
    <t>e2135ee7</t>
  </si>
  <si>
    <t>9a1ae927</t>
  </si>
  <si>
    <t>cabbf561</t>
  </si>
  <si>
    <t>1/N8</t>
  </si>
  <si>
    <t>986e15a5</t>
  </si>
  <si>
    <t>bf1443fa</t>
  </si>
  <si>
    <t>1/N10</t>
  </si>
  <si>
    <t>a388db30</t>
  </si>
  <si>
    <t>cb7c39f2</t>
  </si>
  <si>
    <t>1/CAP 1</t>
  </si>
  <si>
    <t>66767024</t>
  </si>
  <si>
    <t>72a1c852</t>
  </si>
  <si>
    <t>64b5480c</t>
  </si>
  <si>
    <t>2/CAP 2</t>
  </si>
  <si>
    <t>565c13b1</t>
  </si>
  <si>
    <t>96bbcbda</t>
  </si>
  <si>
    <t>9159552c</t>
  </si>
  <si>
    <t>8e9076fd</t>
  </si>
  <si>
    <t>22c36736</t>
  </si>
  <si>
    <t>30a862a1</t>
  </si>
  <si>
    <t>cde77139</t>
  </si>
  <si>
    <t>b86283f8</t>
  </si>
  <si>
    <t>1/N9</t>
  </si>
  <si>
    <t>86391c40</t>
  </si>
  <si>
    <t>2/N9</t>
  </si>
  <si>
    <t>f68dd4de</t>
  </si>
  <si>
    <t>4535e8ea</t>
  </si>
  <si>
    <t>7aa3a335</t>
  </si>
  <si>
    <t>1/N5</t>
  </si>
  <si>
    <t>565abde7</t>
  </si>
  <si>
    <t>2/N5</t>
  </si>
  <si>
    <t>b730571a</t>
  </si>
  <si>
    <t>40539dbe</t>
  </si>
  <si>
    <t>4d26d4c0</t>
  </si>
  <si>
    <t>1/N5.1</t>
  </si>
  <si>
    <t>c4cb4f36</t>
  </si>
  <si>
    <t>2/N5.1</t>
  </si>
  <si>
    <t>ca28fd74</t>
  </si>
  <si>
    <t>7ad90799</t>
  </si>
  <si>
    <t>c43f799e</t>
  </si>
  <si>
    <t>1/N11</t>
  </si>
  <si>
    <t>fa9b2bbc</t>
  </si>
  <si>
    <t>d7385968</t>
  </si>
  <si>
    <t>1e4480c2</t>
  </si>
  <si>
    <t>ba1552f5</t>
  </si>
  <si>
    <t>3abcb8d6</t>
  </si>
  <si>
    <t>a4482f56</t>
  </si>
  <si>
    <t>984cc3ca</t>
  </si>
  <si>
    <t>4c342670</t>
  </si>
  <si>
    <t>462b39e7</t>
  </si>
  <si>
    <t>3def6a88</t>
  </si>
  <si>
    <t>f47ae898</t>
  </si>
  <si>
    <t>a1e0d906</t>
  </si>
  <si>
    <t>c71aa819</t>
  </si>
  <si>
    <t>1e0500c6</t>
  </si>
  <si>
    <t>fea9cea9</t>
  </si>
  <si>
    <t>72c82f0e</t>
  </si>
  <si>
    <t>33ed799d</t>
  </si>
  <si>
    <t>0dd9885e</t>
  </si>
  <si>
    <t>81ccc539</t>
  </si>
  <si>
    <t>20265648</t>
  </si>
  <si>
    <t>2695243c</t>
  </si>
  <si>
    <t>c59fc4e6</t>
  </si>
  <si>
    <t>c948721c</t>
  </si>
  <si>
    <t>0290eaef</t>
  </si>
  <si>
    <t>ce46bd42</t>
  </si>
  <si>
    <t>a72ed268</t>
  </si>
  <si>
    <t>6be83037</t>
  </si>
  <si>
    <t>ab7c35c7</t>
  </si>
  <si>
    <t>4f264cea</t>
  </si>
  <si>
    <t>4d107aa8</t>
  </si>
  <si>
    <t>c4c12af6</t>
  </si>
  <si>
    <t>1e84b1a0</t>
  </si>
  <si>
    <t>f9372e9a</t>
  </si>
  <si>
    <t>8cb7a415</t>
  </si>
  <si>
    <t>f016a599</t>
  </si>
  <si>
    <t>5790a715</t>
  </si>
  <si>
    <t>477a6e3b</t>
  </si>
  <si>
    <t>da1352cf</t>
  </si>
  <si>
    <t>617c5b5a</t>
  </si>
  <si>
    <t>ff5bccde</t>
  </si>
  <si>
    <t>c63dd050</t>
  </si>
  <si>
    <t>a9876578</t>
  </si>
  <si>
    <t>749216d2</t>
  </si>
  <si>
    <t>1fe6b1ea</t>
  </si>
  <si>
    <t>c00741b4</t>
  </si>
  <si>
    <t>e65dbe29</t>
  </si>
  <si>
    <t>a5e5ac34</t>
  </si>
  <si>
    <t>b1f316de</t>
  </si>
  <si>
    <t>ca591ced</t>
  </si>
  <si>
    <t>6357912f</t>
  </si>
  <si>
    <t>e115f340</t>
  </si>
  <si>
    <t>92d14a2a</t>
  </si>
  <si>
    <t>90e553da</t>
  </si>
  <si>
    <t>453a5863</t>
  </si>
  <si>
    <t>15a41725</t>
  </si>
  <si>
    <t>2304eb41</t>
  </si>
  <si>
    <t>2/N7</t>
  </si>
  <si>
    <t>8d53fe92</t>
  </si>
  <si>
    <t>bc839ab7</t>
  </si>
  <si>
    <t>20831f1a</t>
  </si>
  <si>
    <t>d34c7bc1</t>
  </si>
  <si>
    <t>bf331c71</t>
  </si>
  <si>
    <t>6a0e2363</t>
  </si>
  <si>
    <t>57f45944</t>
  </si>
  <si>
    <t>5ee08233</t>
  </si>
  <si>
    <t>4c98f06e</t>
  </si>
  <si>
    <t>65e5ca2f</t>
  </si>
  <si>
    <t>d4e2925a</t>
  </si>
  <si>
    <t>d877a92c</t>
  </si>
  <si>
    <t>c5bd8b6f</t>
  </si>
  <si>
    <t>c1894d94</t>
  </si>
  <si>
    <t>8c08caeb</t>
  </si>
  <si>
    <t>1/CUERPO</t>
  </si>
  <si>
    <t>61e9ed7c</t>
  </si>
  <si>
    <t>2/CUERPO</t>
  </si>
  <si>
    <t>0f77e8c3</t>
  </si>
  <si>
    <t>3/CUERPO</t>
  </si>
  <si>
    <t>fe285468</t>
  </si>
  <si>
    <t>4/CUERPO</t>
  </si>
  <si>
    <t>94ef1b5a</t>
  </si>
  <si>
    <t>c578d304</t>
  </si>
  <si>
    <t>665ce6f9</t>
  </si>
  <si>
    <t>ebf8b11a</t>
  </si>
  <si>
    <t>4548286c</t>
  </si>
  <si>
    <t>00bc5d63</t>
  </si>
  <si>
    <t>98ecc195</t>
  </si>
  <si>
    <t>09151cbb</t>
  </si>
  <si>
    <t>f3334514</t>
  </si>
  <si>
    <t>6949280f</t>
  </si>
  <si>
    <t>a19c2151</t>
  </si>
  <si>
    <t>2f2042c2</t>
  </si>
  <si>
    <t>c36f3cb3</t>
  </si>
  <si>
    <t>fec27191</t>
  </si>
  <si>
    <t>8d6f8774</t>
  </si>
  <si>
    <t>9edec715</t>
  </si>
  <si>
    <t>7415292f</t>
  </si>
  <si>
    <t>1c8f2538</t>
  </si>
  <si>
    <t>b9a601b4</t>
  </si>
  <si>
    <t>5e89df1a</t>
  </si>
  <si>
    <t>0a8a92e7</t>
  </si>
  <si>
    <t>0c858a1e</t>
  </si>
  <si>
    <t>fe4ac1eb</t>
  </si>
  <si>
    <t>8d942e1c</t>
  </si>
  <si>
    <t>d2b7907c</t>
  </si>
  <si>
    <t>89b599da</t>
  </si>
  <si>
    <t>86d668a0</t>
  </si>
  <si>
    <t>c488d03e</t>
  </si>
  <si>
    <t>e51874a9</t>
  </si>
  <si>
    <t>1e128e1f</t>
  </si>
  <si>
    <t>c37ba3d5</t>
  </si>
  <si>
    <t>e5fdf7f0</t>
  </si>
  <si>
    <t>beb1009f</t>
  </si>
  <si>
    <t>5a151613</t>
  </si>
  <si>
    <t>c85270a4</t>
  </si>
  <si>
    <t>db2c0daa</t>
  </si>
  <si>
    <t>2/N6</t>
  </si>
  <si>
    <t>7bdf0735</t>
  </si>
  <si>
    <t>b75607c3</t>
  </si>
  <si>
    <t>2120587a</t>
  </si>
  <si>
    <t>947c5eed</t>
  </si>
  <si>
    <t>da6f3a5d</t>
  </si>
  <si>
    <t>34e41fef</t>
  </si>
  <si>
    <t>1e21f438</t>
  </si>
  <si>
    <t>73fe7f85</t>
  </si>
  <si>
    <t>c877f8a5</t>
  </si>
  <si>
    <t>20531bf6</t>
  </si>
  <si>
    <t>3f61a532</t>
  </si>
  <si>
    <t>1c0f7601</t>
  </si>
  <si>
    <t>967c2629</t>
  </si>
  <si>
    <t>c21b2b7c</t>
  </si>
  <si>
    <t>05cefde7</t>
  </si>
  <si>
    <t>58d14c09</t>
  </si>
  <si>
    <t>5c9501c8</t>
  </si>
  <si>
    <t>330a9efa</t>
  </si>
  <si>
    <t>5aa2e7b8</t>
  </si>
  <si>
    <t>a2880816</t>
  </si>
  <si>
    <t>ab74601a</t>
  </si>
  <si>
    <t>6a659070</t>
  </si>
  <si>
    <t>723600ad</t>
  </si>
  <si>
    <t>5213a6f2</t>
  </si>
  <si>
    <t>2472447d</t>
  </si>
  <si>
    <t>36</t>
  </si>
  <si>
    <t>3b34680b</t>
  </si>
  <si>
    <t>e1139a0f</t>
  </si>
  <si>
    <t>fe08b77e</t>
  </si>
  <si>
    <t>60f2a176</t>
  </si>
  <si>
    <t>75701e1e</t>
  </si>
  <si>
    <t>08f9ba02</t>
  </si>
  <si>
    <t>2/CAp 2</t>
  </si>
  <si>
    <t>2f9b9b1e</t>
  </si>
  <si>
    <t>3c061f27</t>
  </si>
  <si>
    <t>bdf77de8</t>
  </si>
  <si>
    <t>1/N 11</t>
  </si>
  <si>
    <t>14b3c7ab</t>
  </si>
  <si>
    <t>1/ N 11</t>
  </si>
  <si>
    <t>868c3150</t>
  </si>
  <si>
    <t>747a6b08</t>
  </si>
  <si>
    <t>f9b71dae</t>
  </si>
  <si>
    <t>e73ec740</t>
  </si>
  <si>
    <t>71c38e46</t>
  </si>
  <si>
    <t>a5eb0203</t>
  </si>
  <si>
    <t>31f0a9f8</t>
  </si>
  <si>
    <t>ed9cdb04</t>
  </si>
  <si>
    <t>3d1805bf</t>
  </si>
  <si>
    <t>4ecd7253</t>
  </si>
  <si>
    <t>f6192e1e</t>
  </si>
  <si>
    <t>06ca22a5</t>
  </si>
  <si>
    <t>18bb33ca</t>
  </si>
  <si>
    <t>62a806d3</t>
  </si>
  <si>
    <t>30733cd5</t>
  </si>
  <si>
    <t>bf2de27a</t>
  </si>
  <si>
    <t>4030603e</t>
  </si>
  <si>
    <t>f7c38557</t>
  </si>
  <si>
    <t>2687a045</t>
  </si>
  <si>
    <t>08f3592e</t>
  </si>
  <si>
    <t>41a3b4d7</t>
  </si>
  <si>
    <t>843ae154</t>
  </si>
  <si>
    <t>1cb5c1d0</t>
  </si>
  <si>
    <t>edacc79f</t>
  </si>
  <si>
    <t>b5beddc7</t>
  </si>
  <si>
    <t>de6c6cff</t>
  </si>
  <si>
    <t>8d1ef72f</t>
  </si>
  <si>
    <t>770b3437</t>
  </si>
  <si>
    <t>11-Cab inferior</t>
  </si>
  <si>
    <t>ec2020a3</t>
  </si>
  <si>
    <t>11-Cap inferior</t>
  </si>
  <si>
    <t>2e289a7d</t>
  </si>
  <si>
    <t>bc557d42</t>
  </si>
  <si>
    <t>12-Cabeza superior</t>
  </si>
  <si>
    <t>3a2a1ec8</t>
  </si>
  <si>
    <t>85f98a68</t>
  </si>
  <si>
    <t>80038a67</t>
  </si>
  <si>
    <t>13-N1</t>
  </si>
  <si>
    <t>bd60c6b4</t>
  </si>
  <si>
    <t>14-N2</t>
  </si>
  <si>
    <t>e25b52c7</t>
  </si>
  <si>
    <t>15-N3</t>
  </si>
  <si>
    <t>cc28b005</t>
  </si>
  <si>
    <t>16-N4</t>
  </si>
  <si>
    <t>b0a18693</t>
  </si>
  <si>
    <t>17-N5</t>
  </si>
  <si>
    <t>68397aba</t>
  </si>
  <si>
    <t>5f55118b</t>
  </si>
  <si>
    <t>2/N11</t>
  </si>
  <si>
    <t>8334937b</t>
  </si>
  <si>
    <t>51796f3c</t>
  </si>
  <si>
    <t>bb3a756d</t>
  </si>
  <si>
    <t>04df0d3e</t>
  </si>
  <si>
    <t>aa4140c7</t>
  </si>
  <si>
    <t>79c96c8e</t>
  </si>
  <si>
    <t>0805fa61</t>
  </si>
  <si>
    <t>d5548822</t>
  </si>
  <si>
    <t>8553d506</t>
  </si>
  <si>
    <t>5d356976</t>
  </si>
  <si>
    <t>2bc6a954</t>
  </si>
  <si>
    <t>52</t>
  </si>
  <si>
    <t>b84994af</t>
  </si>
  <si>
    <t>7991185f</t>
  </si>
  <si>
    <t>dc9c03a1</t>
  </si>
  <si>
    <t>74219f3b</t>
  </si>
  <si>
    <t>df6c8d1b</t>
  </si>
  <si>
    <t>4f925428</t>
  </si>
  <si>
    <t>0bf0ee5e</t>
  </si>
  <si>
    <t>a91a52ed</t>
  </si>
  <si>
    <t>68f80149</t>
  </si>
  <si>
    <t>8ee945a5</t>
  </si>
  <si>
    <t>e4a7e59b</t>
  </si>
  <si>
    <t>4c1741e6</t>
  </si>
  <si>
    <t>3ac62aa3</t>
  </si>
  <si>
    <t>07e823e6</t>
  </si>
  <si>
    <t>26541349</t>
  </si>
  <si>
    <t>fee74d6b</t>
  </si>
  <si>
    <t>dad18d39</t>
  </si>
  <si>
    <t>9baacbd2</t>
  </si>
  <si>
    <t>11-Cap Inferior</t>
  </si>
  <si>
    <t>6b0a79e9</t>
  </si>
  <si>
    <t>492c3e09</t>
  </si>
  <si>
    <t>970048f2</t>
  </si>
  <si>
    <t>12-Cap Superior</t>
  </si>
  <si>
    <t>ac24aefe</t>
  </si>
  <si>
    <t>5d541481</t>
  </si>
  <si>
    <t>0e79d18e</t>
  </si>
  <si>
    <t>34a17eed</t>
  </si>
  <si>
    <t>0c9c33c7</t>
  </si>
  <si>
    <t>4775a1e5</t>
  </si>
  <si>
    <t>b863045b</t>
  </si>
  <si>
    <t>8aec5cd3</t>
  </si>
  <si>
    <t>940c78d9</t>
  </si>
  <si>
    <t>cedb6feb</t>
  </si>
  <si>
    <t>a3d7c379</t>
  </si>
  <si>
    <t>d6e89cf7</t>
  </si>
  <si>
    <t>31cb9967</t>
  </si>
  <si>
    <t>259e73f0</t>
  </si>
  <si>
    <t>26063517</t>
  </si>
  <si>
    <t>e3c7e880</t>
  </si>
  <si>
    <t>225a9660</t>
  </si>
  <si>
    <t>bdbb424e</t>
  </si>
  <si>
    <t>83d1bee1</t>
  </si>
  <si>
    <t>ee285139</t>
  </si>
  <si>
    <t>99458ffc</t>
  </si>
  <si>
    <t>73142fc7</t>
  </si>
  <si>
    <t>f7ac370a</t>
  </si>
  <si>
    <t>13b029bd</t>
  </si>
  <si>
    <t>1da9737f</t>
  </si>
  <si>
    <t>1b64d209</t>
  </si>
  <si>
    <t>cfc3ab86</t>
  </si>
  <si>
    <t>9807aca6</t>
  </si>
  <si>
    <t>34f388b1</t>
  </si>
  <si>
    <t>5a19b7f2</t>
  </si>
  <si>
    <t>e8907fbf</t>
  </si>
  <si>
    <t>11e2742e</t>
  </si>
  <si>
    <t>810234d8</t>
  </si>
  <si>
    <t>a5558c58</t>
  </si>
  <si>
    <t>1d34144e</t>
  </si>
  <si>
    <t>0a69cb5e</t>
  </si>
  <si>
    <t>afd9d922</t>
  </si>
  <si>
    <t>9556f4e9</t>
  </si>
  <si>
    <t>99bda8ac</t>
  </si>
  <si>
    <t>031a0b9d</t>
  </si>
  <si>
    <t>277442ab</t>
  </si>
  <si>
    <t>90dded4b</t>
  </si>
  <si>
    <t>91e65a7d</t>
  </si>
  <si>
    <t>dab510c1</t>
  </si>
  <si>
    <t>40c6ceaf</t>
  </si>
  <si>
    <t>ed68b1f3</t>
  </si>
  <si>
    <t>92f55c4f</t>
  </si>
  <si>
    <t>8dc6adc7</t>
  </si>
  <si>
    <t>751c2eba</t>
  </si>
  <si>
    <t>fc4e5bc8</t>
  </si>
  <si>
    <t>1517d4b9</t>
  </si>
  <si>
    <t>0df908ff</t>
  </si>
  <si>
    <t>4092d6f6</t>
  </si>
  <si>
    <t>2 - CUERPO MAYOR</t>
  </si>
  <si>
    <t>e44d88d8</t>
  </si>
  <si>
    <t>5-CUERPO MENOR</t>
  </si>
  <si>
    <t>d0b6e7c3</t>
  </si>
  <si>
    <t>6-BOQUILLA 1</t>
  </si>
  <si>
    <t>fc12344a</t>
  </si>
  <si>
    <t>77ca3ebe</t>
  </si>
  <si>
    <t>BOQUILLA 2</t>
  </si>
  <si>
    <t>5bda60df</t>
  </si>
  <si>
    <t>BOQUILLA 3</t>
  </si>
  <si>
    <t>2d5e7fee</t>
  </si>
  <si>
    <t>BOQUILLA 4</t>
  </si>
  <si>
    <t>7142db18</t>
  </si>
  <si>
    <t>10 BOQUILLA 5</t>
  </si>
  <si>
    <t>2926403b</t>
  </si>
  <si>
    <t>ae5611ae</t>
  </si>
  <si>
    <t>92955287</t>
  </si>
  <si>
    <t>9f073e88</t>
  </si>
  <si>
    <t>bf14bcea</t>
  </si>
  <si>
    <t>a51e634f</t>
  </si>
  <si>
    <t>dd9b681f</t>
  </si>
  <si>
    <t>dcfd2a11</t>
  </si>
  <si>
    <t>1ee0c45d</t>
  </si>
  <si>
    <t>6540c0d2</t>
  </si>
  <si>
    <t>bbb03880</t>
  </si>
  <si>
    <t>a7cf5d00</t>
  </si>
  <si>
    <t>52df52a5</t>
  </si>
  <si>
    <t>6e6bd825</t>
  </si>
  <si>
    <t>10456a35</t>
  </si>
  <si>
    <t>b85a2000</t>
  </si>
  <si>
    <t>8243d114</t>
  </si>
  <si>
    <t>8467384a</t>
  </si>
  <si>
    <t>86d954aa</t>
  </si>
  <si>
    <t>444c0149</t>
  </si>
  <si>
    <t>ad542e70</t>
  </si>
  <si>
    <t>5668f63a</t>
  </si>
  <si>
    <t>a43794db</t>
  </si>
  <si>
    <t>e704af37</t>
  </si>
  <si>
    <t>1be83603</t>
  </si>
  <si>
    <t>3775b85f</t>
  </si>
  <si>
    <t>23950c4a</t>
  </si>
  <si>
    <t>d20298f7</t>
  </si>
  <si>
    <t>5fedf876</t>
  </si>
  <si>
    <t>f5f2c657</t>
  </si>
  <si>
    <t>8496b03d</t>
  </si>
  <si>
    <t>e563e1bf</t>
  </si>
  <si>
    <t>72d7ba62</t>
  </si>
  <si>
    <t>188a9738</t>
  </si>
  <si>
    <t>839696c9</t>
  </si>
  <si>
    <t>1c111545</t>
  </si>
  <si>
    <t>193f04f7</t>
  </si>
  <si>
    <t>af23973d</t>
  </si>
  <si>
    <t>fdd47895</t>
  </si>
  <si>
    <t>2/N8</t>
  </si>
  <si>
    <t>185b9504</t>
  </si>
  <si>
    <t>6dcf3853</t>
  </si>
  <si>
    <t>5eb49856</t>
  </si>
  <si>
    <t>3d20c5f2</t>
  </si>
  <si>
    <t>395dc95c</t>
  </si>
  <si>
    <t>a708f57a</t>
  </si>
  <si>
    <t>99320ae5</t>
  </si>
  <si>
    <t>75fefa41</t>
  </si>
  <si>
    <t>f4056de2</t>
  </si>
  <si>
    <t>5ce32383</t>
  </si>
  <si>
    <t>718bdf3c</t>
  </si>
  <si>
    <t>f96c7f3d</t>
  </si>
  <si>
    <t>77aa7282</t>
  </si>
  <si>
    <t>82b68fb0</t>
  </si>
  <si>
    <t>61b7b585</t>
  </si>
  <si>
    <t>19f82f64</t>
  </si>
  <si>
    <t>7cb30eac</t>
  </si>
  <si>
    <t>36b365e5</t>
  </si>
  <si>
    <t>fe974785</t>
  </si>
  <si>
    <t>b40cf653</t>
  </si>
  <si>
    <t>ed273a45</t>
  </si>
  <si>
    <t>8e48ed36</t>
  </si>
  <si>
    <t>3a3493ef</t>
  </si>
  <si>
    <t>c89da96e</t>
  </si>
  <si>
    <t>9b6c32e6</t>
  </si>
  <si>
    <t>53d4dcfe</t>
  </si>
  <si>
    <t>094a10bd</t>
  </si>
  <si>
    <t>c1590841</t>
  </si>
  <si>
    <t>3402a77f</t>
  </si>
  <si>
    <t>95ec19a3</t>
  </si>
  <si>
    <t>2d61e304</t>
  </si>
  <si>
    <t>c4ee3c44</t>
  </si>
  <si>
    <t>d252393f</t>
  </si>
  <si>
    <t>a5b01315</t>
  </si>
  <si>
    <t>d1f3f637</t>
  </si>
  <si>
    <t>7697430b</t>
  </si>
  <si>
    <t>9bb3439c</t>
  </si>
  <si>
    <t>75f4fcbf</t>
  </si>
  <si>
    <t>eb620365</t>
  </si>
  <si>
    <t>93fde536</t>
  </si>
  <si>
    <t>be2ccefe</t>
  </si>
  <si>
    <t>025ec0b7</t>
  </si>
  <si>
    <t>4df628c7</t>
  </si>
  <si>
    <t>1eb134c9</t>
  </si>
  <si>
    <t>bd895fc2</t>
  </si>
  <si>
    <t>08c57334</t>
  </si>
  <si>
    <t>724c5576</t>
  </si>
  <si>
    <t>4693f04e</t>
  </si>
  <si>
    <t>26ae054a</t>
  </si>
  <si>
    <t>7ce51d5b</t>
  </si>
  <si>
    <t>b3fc0935</t>
  </si>
  <si>
    <t>b7866c7d</t>
  </si>
  <si>
    <t>6cc4a743</t>
  </si>
  <si>
    <t>0e4e422f</t>
  </si>
  <si>
    <t>dba6ac83</t>
  </si>
  <si>
    <t>99b59457</t>
  </si>
  <si>
    <t>4-CUERPO MAYOR</t>
  </si>
  <si>
    <t>d0939a7f</t>
  </si>
  <si>
    <t>1-CUERPO MENOR</t>
  </si>
  <si>
    <t>b150e710</t>
  </si>
  <si>
    <t>BOQUILLA 1</t>
  </si>
  <si>
    <t>5e7e407d</t>
  </si>
  <si>
    <t>6e9c08b7</t>
  </si>
  <si>
    <t>13-BOQUILLA 3</t>
  </si>
  <si>
    <t>b2933b3f</t>
  </si>
  <si>
    <t>cb5ec9b1</t>
  </si>
  <si>
    <t>07 BOQUILLA 4</t>
  </si>
  <si>
    <t>90346d2e</t>
  </si>
  <si>
    <t>08</t>
  </si>
  <si>
    <t>2d1ecef1</t>
  </si>
  <si>
    <t>BOQUILLA 5</t>
  </si>
  <si>
    <t>d6b8a538</t>
  </si>
  <si>
    <t>BOQUILLA 6</t>
  </si>
  <si>
    <t>327f5156</t>
  </si>
  <si>
    <t>3f8fc518</t>
  </si>
  <si>
    <t>a134125b</t>
  </si>
  <si>
    <t>e920eedf</t>
  </si>
  <si>
    <t>53d524ef</t>
  </si>
  <si>
    <t>50c6836e</t>
  </si>
  <si>
    <t>54157660</t>
  </si>
  <si>
    <t>3dc36574</t>
  </si>
  <si>
    <t>be48e527</t>
  </si>
  <si>
    <t>5d8c4693</t>
  </si>
  <si>
    <t>dcce1845</t>
  </si>
  <si>
    <t>8fcaf0a5</t>
  </si>
  <si>
    <t>cf31c5fd</t>
  </si>
  <si>
    <t>89b7f0c4</t>
  </si>
  <si>
    <t>51d28b1d</t>
  </si>
  <si>
    <t>e79a091e</t>
  </si>
  <si>
    <t>56331727</t>
  </si>
  <si>
    <t>4610a69f</t>
  </si>
  <si>
    <t>cb2d8306</t>
  </si>
  <si>
    <t>a3642ca2</t>
  </si>
  <si>
    <t>eb3692ef</t>
  </si>
  <si>
    <t>023d547b</t>
  </si>
  <si>
    <t>288aeff1</t>
  </si>
  <si>
    <t>a98bef5b</t>
  </si>
  <si>
    <t>dc68bb32</t>
  </si>
  <si>
    <t>L-001</t>
  </si>
  <si>
    <t>L-002</t>
  </si>
  <si>
    <t>L-003</t>
  </si>
  <si>
    <t>L-004</t>
  </si>
  <si>
    <t>L-005</t>
  </si>
  <si>
    <t>L-006</t>
  </si>
  <si>
    <t>L-007</t>
  </si>
  <si>
    <t>L-008</t>
  </si>
  <si>
    <t>L-009</t>
  </si>
  <si>
    <t>L-010</t>
  </si>
  <si>
    <t>3 1/2</t>
  </si>
  <si>
    <t>L-011</t>
  </si>
  <si>
    <t>L-012</t>
  </si>
  <si>
    <t>L-013</t>
  </si>
  <si>
    <t>L-014</t>
  </si>
  <si>
    <t>L-015</t>
  </si>
  <si>
    <t>RECTO</t>
  </si>
  <si>
    <t>L-016</t>
  </si>
  <si>
    <t>L-017</t>
  </si>
  <si>
    <t>L-018</t>
  </si>
  <si>
    <t>L-019</t>
  </si>
  <si>
    <t>L-020</t>
  </si>
  <si>
    <t>L-021</t>
  </si>
  <si>
    <t>REDUCCION</t>
  </si>
  <si>
    <t>L-022</t>
  </si>
  <si>
    <t>L-023</t>
  </si>
  <si>
    <t>L-024</t>
  </si>
  <si>
    <t>L-025</t>
  </si>
  <si>
    <t>L-026</t>
  </si>
  <si>
    <t>L-027</t>
  </si>
  <si>
    <t>L-028</t>
  </si>
  <si>
    <t>L-029</t>
  </si>
  <si>
    <t>L-030</t>
  </si>
  <si>
    <t>L-031</t>
  </si>
  <si>
    <t>L-032</t>
  </si>
  <si>
    <t>L-033</t>
  </si>
  <si>
    <t>L-034</t>
  </si>
  <si>
    <t>L-035</t>
  </si>
  <si>
    <t>L-036</t>
  </si>
  <si>
    <t>L-037</t>
  </si>
  <si>
    <t>L-038</t>
  </si>
  <si>
    <t>L-039</t>
  </si>
  <si>
    <t>REPORT_SCANee1af74c-1</t>
  </si>
  <si>
    <t>REPORT_SCANee1af74c-2</t>
  </si>
  <si>
    <t>REPORT_SCANee1af74c-3</t>
  </si>
  <si>
    <t>REPORT_SCANee1af74c-4</t>
  </si>
  <si>
    <t>REPORT_SCANee1af74c-5</t>
  </si>
  <si>
    <t>REPORT_SCANee1af74c-6</t>
  </si>
  <si>
    <t>REPORT_SCANee1af74c-7</t>
  </si>
  <si>
    <t>REPORT_SCANee1af74c-8</t>
  </si>
  <si>
    <t>REPORT_SCANee1af74c-9</t>
  </si>
  <si>
    <t>REPORT_SCAN4a15116c-1</t>
  </si>
  <si>
    <t>REPORT_SCAN4a15116c-2</t>
  </si>
  <si>
    <t>REPORT_SCAN4a15116c-3</t>
  </si>
  <si>
    <t>REPORT_SCAN4a15116c-4</t>
  </si>
  <si>
    <t>REPORT_SCAN4a15116c-5</t>
  </si>
  <si>
    <t>REPORT_SCAN4a15116c-6</t>
  </si>
  <si>
    <t>REPORT_SCAN4a15116c-7</t>
  </si>
  <si>
    <t>REPORT_SCAN4a15116c-8</t>
  </si>
  <si>
    <t>REPORT_SCAN4a15116c-9</t>
  </si>
  <si>
    <t>REPORT_SCAN9de4b382-1</t>
  </si>
  <si>
    <t>REPORT_SCAN9de4b382-2</t>
  </si>
  <si>
    <t>REPORT_SCAN9de4b382-3</t>
  </si>
  <si>
    <t>REPORT_SCAN9de4b382-4</t>
  </si>
  <si>
    <t>REPORT_SCAN8cca8b44-1</t>
  </si>
  <si>
    <t>REPORT_SCAN8cca8b44-2</t>
  </si>
  <si>
    <t>REPORT_SCAN8cca8b44-3</t>
  </si>
  <si>
    <t>REPORT_SCAN8cca8b44-4</t>
  </si>
  <si>
    <t>REPORT_SCAN956b6b59-1</t>
  </si>
  <si>
    <t>REPORT_SCAN956b6b59-2</t>
  </si>
  <si>
    <t>REPORT_SCAN956b6b59-3</t>
  </si>
  <si>
    <t>REPORT_SCAN956b6b59-4</t>
  </si>
  <si>
    <t>REPORT_SCAN10a88c33-1</t>
  </si>
  <si>
    <t>REPORT_SCAN10a88c33-2</t>
  </si>
  <si>
    <t>REPORT_SCAN10a88c33-3</t>
  </si>
  <si>
    <t>REPORT_SCAN10a88c33-4</t>
  </si>
  <si>
    <t>FRP-52-DN1250-N1-0111-1</t>
  </si>
  <si>
    <t>FRP-52-DN1250-N1-0111-2</t>
  </si>
  <si>
    <t>FRP-52-DN1250-N1-0111-3</t>
  </si>
  <si>
    <t>FRP-52-DN1250-N1-0111-4</t>
  </si>
  <si>
    <t>FRP-52-DN1250-N1-0111-5</t>
  </si>
  <si>
    <t>FRP-52-DN1250-N1-0111-6</t>
  </si>
  <si>
    <t>REPORT_SCAN31a09985-1</t>
  </si>
  <si>
    <t>REPORT_SCAN31a09985-2</t>
  </si>
  <si>
    <t>REPORT_SCAN31a09985-3</t>
  </si>
  <si>
    <t>REPORT_SCAN31a09985-4</t>
  </si>
  <si>
    <t>REPORT_SCAN31a09985-5</t>
  </si>
  <si>
    <t>REPORT_SCAN31a09985-6</t>
  </si>
  <si>
    <t>REPORT_SCAN061c0a5f-1</t>
  </si>
  <si>
    <t>REPORT_SCAN061c0a5f-2</t>
  </si>
  <si>
    <t>REPORT_SCAN061c0a5f-3</t>
  </si>
  <si>
    <t>REPORT_SCAN061c0a5f-4</t>
  </si>
  <si>
    <t>REPORT_SCAN061c0a5f-5</t>
  </si>
  <si>
    <t>REPORT_SCAN061c0a5f-6</t>
  </si>
  <si>
    <t>REPORT_SCANa4b3825d123</t>
  </si>
  <si>
    <t>REPORT_SCANa4b3825d124</t>
  </si>
  <si>
    <t>REPORT_SCANa4b3825d125</t>
  </si>
  <si>
    <t>REPORT_SCANa4b3825d126</t>
  </si>
  <si>
    <t>REPORT_SCANa4b3825d127</t>
  </si>
  <si>
    <t>REPORT_SCANa4b3825d128</t>
  </si>
  <si>
    <t>REPORT_SCANa4b3825d129</t>
  </si>
  <si>
    <t>REPORT_SCANa4b3825d130</t>
  </si>
  <si>
    <t>REPORT_SCANa4b3825d131</t>
  </si>
  <si>
    <t>REPORT_SCANa4b3825d132</t>
  </si>
  <si>
    <t>REPORT_SCANa4b3825d133</t>
  </si>
  <si>
    <t>REPORT_SCANa4b3825d134</t>
  </si>
  <si>
    <t>REPORT_SCANa4b3825d135</t>
  </si>
  <si>
    <t>REPORT_SCANa4b3825d136</t>
  </si>
  <si>
    <t>REPORT_SCANa4b3825d137</t>
  </si>
  <si>
    <t>REPORT_SCANa4b3825d138</t>
  </si>
  <si>
    <t>REPORT_SCANa4b3825d139</t>
  </si>
  <si>
    <t>REPORT_SCANa4b3825d140</t>
  </si>
  <si>
    <t>REPORT_SCANa4b3825d141</t>
  </si>
  <si>
    <t>REPORT_SCANbb9e5fd9142</t>
  </si>
  <si>
    <t>REPORT_SCANbb9e5fd9143</t>
  </si>
  <si>
    <t>REPORT_SCANbb9e5fd9144</t>
  </si>
  <si>
    <t>REPORT_SCANbb9e5fd9145</t>
  </si>
  <si>
    <t>REPORT_SCANbb9e5fd9146</t>
  </si>
  <si>
    <t>REPORT_SCANbb9e5fd9147</t>
  </si>
  <si>
    <t>REPORT_SCANbb9e5fd9148</t>
  </si>
  <si>
    <t>REDUCCION EXCENTRECA</t>
  </si>
  <si>
    <t>REPORT_SCANbb9e5fd9149</t>
  </si>
  <si>
    <t>REPORT_SCANefea59e8150</t>
  </si>
  <si>
    <t>REPORT_SCANefea59e8151</t>
  </si>
  <si>
    <t>REDUCCION CONCENTRECA</t>
  </si>
  <si>
    <t>REPORT_SCANefea59e8152</t>
  </si>
  <si>
    <t>REPORT_SCANefea59e8153</t>
  </si>
  <si>
    <t>REPORT_SCANefea59e8154</t>
  </si>
  <si>
    <t>REPORT_SCANefea59e8155</t>
  </si>
  <si>
    <t>REPORT_SCANefea59e8156</t>
  </si>
  <si>
    <t>REPORT_SCANefea59e8157</t>
  </si>
  <si>
    <t>REPORT_SCAN52b609a0158</t>
  </si>
  <si>
    <t>REPORT_SCAN52b609a0159</t>
  </si>
  <si>
    <t>REPORT_SCAN52b609a0160</t>
  </si>
  <si>
    <t>REPORT_SCAN52b609a0161</t>
  </si>
  <si>
    <t>REPORT_SCAN52b609a0162</t>
  </si>
  <si>
    <t>REPORT_SCAN52b609a0163</t>
  </si>
  <si>
    <t>REPORT_SCAN52b609a0164</t>
  </si>
  <si>
    <t>REPORT_SCAN52b609a0165</t>
  </si>
  <si>
    <t>REPORT_SCAN7ae4f57a231</t>
  </si>
  <si>
    <t>REPORT_SCAN7ae4f57a232</t>
  </si>
  <si>
    <t>REPORT_SCAN7ae4f57a233</t>
  </si>
  <si>
    <t>CODO</t>
  </si>
  <si>
    <t>REPORT_SCAN7ae4f57a234</t>
  </si>
  <si>
    <t>REPORT_SCAN7ae4f57a235</t>
  </si>
  <si>
    <t>REPORT_SCAN7ae4f57a236</t>
  </si>
  <si>
    <t>REPORT_SCAN94b45a38237</t>
  </si>
  <si>
    <t>REPORT_SCAN94b45a38238</t>
  </si>
  <si>
    <t>REPORT_SCAN94b45a38239</t>
  </si>
  <si>
    <t>REPORT_SCAN94b45a38240</t>
  </si>
  <si>
    <t>RECTO EXCENTRICA</t>
  </si>
  <si>
    <t>REPORT_SCAN94b45a38241</t>
  </si>
  <si>
    <t>REPORT_SCAN751b3aeb242</t>
  </si>
  <si>
    <t>REPORT_SCAN751b3aeb243</t>
  </si>
  <si>
    <t>REPORT_SCAN751b3aeb244</t>
  </si>
  <si>
    <t>REPORT_SCAN751b3aeb245</t>
  </si>
  <si>
    <t>REPORT_SCAN751b3aeb246</t>
  </si>
  <si>
    <t>REPORT_SCAN751b3aeb247</t>
  </si>
  <si>
    <t>REPORT_SCAN1176f8c8248</t>
  </si>
  <si>
    <t>REPORT_SCAN1176f8c8249</t>
  </si>
  <si>
    <t>REPORT_SCAN1176f8c8250</t>
  </si>
  <si>
    <t>REPORT_SCAN1176f8c8251</t>
  </si>
  <si>
    <t>REPORT_SCAN1176f8c8252</t>
  </si>
  <si>
    <t>REPORT_SCAN66070f00253</t>
  </si>
  <si>
    <t>REPORT_SCAN66070f00254</t>
  </si>
  <si>
    <t>REPORT_SCAN66070f00255</t>
  </si>
  <si>
    <t>REPORT_SCAN66070f00256</t>
  </si>
  <si>
    <t>REPORT_SCAN66070f00257</t>
  </si>
  <si>
    <t>CODO 90</t>
  </si>
  <si>
    <t>REPORT_SCAN66070f00258</t>
  </si>
  <si>
    <t>REPORT_SCAN66070f00259</t>
  </si>
  <si>
    <t>REPORT_SCAN66070f00260</t>
  </si>
  <si>
    <t>REPORT_SCAN66070f00261</t>
  </si>
  <si>
    <t>REPORT_SCANdf60317c262</t>
  </si>
  <si>
    <t>REPORT_SCANdf60317c263</t>
  </si>
  <si>
    <t>REPORT_SCANdf60317c264</t>
  </si>
  <si>
    <t>REPORT_SCANdf60317c265</t>
  </si>
  <si>
    <t>REPORT_SCANdf60317c266</t>
  </si>
  <si>
    <t>REPORT_SCANdf60317c267</t>
  </si>
  <si>
    <t>REPORT_SCANdf60317c268</t>
  </si>
  <si>
    <t>REPORT_SCANdf60317c269</t>
  </si>
  <si>
    <t>REPORT_SCANdf60317c270</t>
  </si>
  <si>
    <t>REPORT_SCAN4c3ab3b7271</t>
  </si>
  <si>
    <t>REPORT_SCAN4c3ab3b7272</t>
  </si>
  <si>
    <t>REPORT_SCAN4c3ab3b7273</t>
  </si>
  <si>
    <t>REPORT_SCAN4c3ab3b7274</t>
  </si>
  <si>
    <t>REPORT_SCAN4c3ab3b7275</t>
  </si>
  <si>
    <t>REPORT_SCAN4c3ab3b7276</t>
  </si>
  <si>
    <t>REPORT_SCAN4c3ab3b7277</t>
  </si>
  <si>
    <t>REPORT_SCAN4c3ab3b7278</t>
  </si>
  <si>
    <t>REPORT_SCAN4c3ab3b7279</t>
  </si>
  <si>
    <t>REC001</t>
  </si>
  <si>
    <t>REC002</t>
  </si>
  <si>
    <t>REC003</t>
  </si>
  <si>
    <t>REDUCCION CONCETRICA</t>
  </si>
  <si>
    <t>REC004</t>
  </si>
  <si>
    <t>REC005</t>
  </si>
  <si>
    <t>REC006</t>
  </si>
  <si>
    <t>REC007</t>
  </si>
  <si>
    <t>REC008</t>
  </si>
  <si>
    <t>REC009</t>
  </si>
  <si>
    <t>REC010</t>
  </si>
  <si>
    <t>REC011</t>
  </si>
  <si>
    <t>REC012</t>
  </si>
  <si>
    <t>REC013</t>
  </si>
  <si>
    <t>REC014</t>
  </si>
  <si>
    <t>REC015</t>
  </si>
  <si>
    <t>REC016</t>
  </si>
  <si>
    <t>REC017</t>
  </si>
  <si>
    <t>REC018</t>
  </si>
  <si>
    <t>REC019</t>
  </si>
  <si>
    <t>REC020</t>
  </si>
  <si>
    <t>REC021</t>
  </si>
  <si>
    <t>REC022</t>
  </si>
  <si>
    <t>REC023</t>
  </si>
  <si>
    <t>REC024</t>
  </si>
  <si>
    <t>REC025</t>
  </si>
  <si>
    <t>REC026</t>
  </si>
  <si>
    <t>REC027</t>
  </si>
  <si>
    <t>REC028</t>
  </si>
  <si>
    <t>REC029</t>
  </si>
  <si>
    <t>REC030</t>
  </si>
  <si>
    <t>REC031</t>
  </si>
  <si>
    <t>REC032</t>
  </si>
  <si>
    <t>REC033</t>
  </si>
  <si>
    <t>REC034</t>
  </si>
  <si>
    <t>REC035</t>
  </si>
  <si>
    <t>REC036</t>
  </si>
  <si>
    <t>REC037</t>
  </si>
  <si>
    <t>REC038</t>
  </si>
  <si>
    <t>REC039</t>
  </si>
  <si>
    <t>REC040</t>
  </si>
  <si>
    <t>REC041</t>
  </si>
  <si>
    <t>REC042</t>
  </si>
  <si>
    <t>REC043</t>
  </si>
  <si>
    <t>REC044</t>
  </si>
  <si>
    <t>REC045</t>
  </si>
  <si>
    <t>REC046</t>
  </si>
  <si>
    <t>REDUCCION EXCENTRICA</t>
  </si>
  <si>
    <t>REC047</t>
  </si>
  <si>
    <t>REC048</t>
  </si>
  <si>
    <t>REC049</t>
  </si>
  <si>
    <t>REC050</t>
  </si>
  <si>
    <t>REC051</t>
  </si>
  <si>
    <t>REC052</t>
  </si>
  <si>
    <t>REC053</t>
  </si>
  <si>
    <t>REC054</t>
  </si>
  <si>
    <t>REC055</t>
  </si>
  <si>
    <t>REC056</t>
  </si>
  <si>
    <t>REC057</t>
  </si>
  <si>
    <t>REC058</t>
  </si>
  <si>
    <t>REC059</t>
  </si>
  <si>
    <t>REC060</t>
  </si>
  <si>
    <t>REC061</t>
  </si>
  <si>
    <t>REC062</t>
  </si>
  <si>
    <t>SEQ001</t>
  </si>
  <si>
    <t>SEQ002</t>
  </si>
  <si>
    <t>SEQ003</t>
  </si>
  <si>
    <t>SEQ004</t>
  </si>
  <si>
    <t>SEQ005</t>
  </si>
  <si>
    <t>SEQ006</t>
  </si>
  <si>
    <t>SEQ007</t>
  </si>
  <si>
    <t>SEQ008</t>
  </si>
  <si>
    <t>SEQ009</t>
  </si>
  <si>
    <t>SEQ010</t>
  </si>
  <si>
    <t>SEQ011</t>
  </si>
  <si>
    <t>SEQ012</t>
  </si>
  <si>
    <t>SEQ013</t>
  </si>
  <si>
    <t>SEQ014</t>
  </si>
  <si>
    <t>SEQ015</t>
  </si>
  <si>
    <t>SEQ016</t>
  </si>
  <si>
    <t>SEQ017</t>
  </si>
  <si>
    <t>SEQ018</t>
  </si>
  <si>
    <t>SEQ019</t>
  </si>
  <si>
    <t>SEQ020</t>
  </si>
  <si>
    <t>SEQ021</t>
  </si>
  <si>
    <t>SEQ022</t>
  </si>
  <si>
    <t>SEQ023</t>
  </si>
  <si>
    <t>SEQ024</t>
  </si>
  <si>
    <t>SEQ025</t>
  </si>
  <si>
    <t>SEQ026</t>
  </si>
  <si>
    <t>SEQ027</t>
  </si>
  <si>
    <t>SEQ028</t>
  </si>
  <si>
    <t>SEQ029</t>
  </si>
  <si>
    <t>SEQ030</t>
  </si>
  <si>
    <t>SEQ031</t>
  </si>
  <si>
    <t>SEQ032</t>
  </si>
  <si>
    <t>SEQ033</t>
  </si>
  <si>
    <t>SEQ034</t>
  </si>
  <si>
    <t>SEQ035</t>
  </si>
  <si>
    <t>SEQ036</t>
  </si>
  <si>
    <t>SEQ037</t>
  </si>
  <si>
    <t>SEQ038</t>
  </si>
  <si>
    <t>SEQ039</t>
  </si>
  <si>
    <t>SEQ040</t>
  </si>
  <si>
    <t>SEQ041</t>
  </si>
  <si>
    <t>SEQ042</t>
  </si>
  <si>
    <t>SEQ043</t>
  </si>
  <si>
    <t>SEQ044</t>
  </si>
  <si>
    <t>SEQ045</t>
  </si>
  <si>
    <t>SEQ046</t>
  </si>
  <si>
    <t>SEQ047</t>
  </si>
  <si>
    <t>SEQ048</t>
  </si>
  <si>
    <t>SEQ049</t>
  </si>
  <si>
    <t>SEQ050</t>
  </si>
  <si>
    <t>SEQ051</t>
  </si>
  <si>
    <t>SEQ052</t>
  </si>
  <si>
    <t>SEQ053</t>
  </si>
  <si>
    <t>SEQ054</t>
  </si>
  <si>
    <t>SEQ055</t>
  </si>
  <si>
    <t>SEQ056</t>
  </si>
  <si>
    <t>SEQ057</t>
  </si>
  <si>
    <t>SEQ058</t>
  </si>
  <si>
    <t>SEQ059</t>
  </si>
  <si>
    <t>SEQ060</t>
  </si>
  <si>
    <t>SEQ061</t>
  </si>
  <si>
    <t>SEQ062</t>
  </si>
  <si>
    <t>SEQ063</t>
  </si>
  <si>
    <t>SEQ064</t>
  </si>
  <si>
    <t>SEQ065</t>
  </si>
  <si>
    <t>SEQ066</t>
  </si>
  <si>
    <t>SEQ067</t>
  </si>
  <si>
    <t>SEQ068</t>
  </si>
  <si>
    <t>SEQ069</t>
  </si>
  <si>
    <t>SEQ070</t>
  </si>
  <si>
    <t>SEQ071</t>
  </si>
  <si>
    <t>SEQ072</t>
  </si>
  <si>
    <t>SEQ073</t>
  </si>
  <si>
    <t>SEQ074</t>
  </si>
  <si>
    <t>SEQ075</t>
  </si>
  <si>
    <t>SEQ076</t>
  </si>
  <si>
    <t>SEQ077</t>
  </si>
  <si>
    <t>SEQ078</t>
  </si>
  <si>
    <t>SEQ079</t>
  </si>
  <si>
    <t>SEQ080</t>
  </si>
  <si>
    <t>SEQ081</t>
  </si>
  <si>
    <t>SEQ082</t>
  </si>
  <si>
    <t>SEQ083</t>
  </si>
  <si>
    <t>REC_2344</t>
  </si>
  <si>
    <t>cap 1</t>
  </si>
  <si>
    <t>REC_2345</t>
  </si>
  <si>
    <t>cap2</t>
  </si>
  <si>
    <t>REC_2346</t>
  </si>
  <si>
    <t>cuerpo</t>
  </si>
  <si>
    <t>REC_2347</t>
  </si>
  <si>
    <t>n1</t>
  </si>
  <si>
    <t>REC_2348</t>
  </si>
  <si>
    <t>n1-brida</t>
  </si>
  <si>
    <t>REC_2349</t>
  </si>
  <si>
    <t>n1-tapa</t>
  </si>
  <si>
    <t>REC_2350</t>
  </si>
  <si>
    <t>n1a</t>
  </si>
  <si>
    <t>REC_2351</t>
  </si>
  <si>
    <t>n1a-brida</t>
  </si>
  <si>
    <t>REC_2352</t>
  </si>
  <si>
    <t>n2</t>
  </si>
  <si>
    <t>REC_2353</t>
  </si>
  <si>
    <t>n2 brida</t>
  </si>
  <si>
    <t>REC_2354</t>
  </si>
  <si>
    <t>n2 tapa|</t>
  </si>
  <si>
    <t>REC_2355</t>
  </si>
  <si>
    <t>n3</t>
  </si>
  <si>
    <t>REC_2356</t>
  </si>
  <si>
    <t>n3-brida</t>
  </si>
  <si>
    <t>REC_2357</t>
  </si>
  <si>
    <t>n3-tapa</t>
  </si>
  <si>
    <t>REC_2358</t>
  </si>
  <si>
    <t>n3a</t>
  </si>
  <si>
    <t>REC_2359</t>
  </si>
  <si>
    <t>n3a-brida</t>
  </si>
  <si>
    <t>REC_2360</t>
  </si>
  <si>
    <t>n4</t>
  </si>
  <si>
    <t>REC_2361</t>
  </si>
  <si>
    <t>n4-brida</t>
  </si>
  <si>
    <t>REC_2362</t>
  </si>
  <si>
    <t>n4-tapa</t>
  </si>
  <si>
    <t>REC_2363</t>
  </si>
  <si>
    <t>n4a</t>
  </si>
  <si>
    <t>REC_2364</t>
  </si>
  <si>
    <t>n4a-brida</t>
  </si>
  <si>
    <t>REC_2365</t>
  </si>
  <si>
    <t>n5.cml1</t>
  </si>
  <si>
    <t>REC_2366</t>
  </si>
  <si>
    <t>n5.cml1-brida</t>
  </si>
  <si>
    <t>REC_2367</t>
  </si>
  <si>
    <t>n5.cml2</t>
  </si>
  <si>
    <t>REC_2368</t>
  </si>
  <si>
    <t>n5.cml2 brida 1</t>
  </si>
  <si>
    <t>REC_2369</t>
  </si>
  <si>
    <t>n5.cml2 brida 2</t>
  </si>
  <si>
    <t>REC_2370</t>
  </si>
  <si>
    <t>n6</t>
  </si>
  <si>
    <t>REC_2371</t>
  </si>
  <si>
    <t>n6-brida</t>
  </si>
  <si>
    <t>REC_2372</t>
  </si>
  <si>
    <t>n6-tapa</t>
  </si>
  <si>
    <t>REC_2373</t>
  </si>
  <si>
    <t>n7</t>
  </si>
  <si>
    <t>REC_2374</t>
  </si>
  <si>
    <t>n7.brida</t>
  </si>
  <si>
    <t>REC_2375</t>
  </si>
  <si>
    <t>n7-tapa</t>
  </si>
  <si>
    <t>REC_2376</t>
  </si>
  <si>
    <t>n8</t>
  </si>
  <si>
    <t>REC_2377</t>
  </si>
  <si>
    <t>n8-brida</t>
  </si>
  <si>
    <t>REC_2378</t>
  </si>
  <si>
    <t>n9</t>
  </si>
  <si>
    <t>REC_2379</t>
  </si>
  <si>
    <t>n9-brida</t>
  </si>
  <si>
    <t>REC_2380</t>
  </si>
  <si>
    <t>n9-tapa</t>
  </si>
  <si>
    <t>REC_2381</t>
  </si>
  <si>
    <t>n10</t>
  </si>
  <si>
    <t>REC_2382</t>
  </si>
  <si>
    <t>n10-brida|</t>
  </si>
  <si>
    <t>REC_2383</t>
  </si>
  <si>
    <t>n11</t>
  </si>
  <si>
    <t>REC_2384</t>
  </si>
  <si>
    <t>n11-brida</t>
  </si>
  <si>
    <t>REC_2385</t>
  </si>
  <si>
    <t>REC_2386</t>
  </si>
  <si>
    <t>REC_2387</t>
  </si>
  <si>
    <t>REC_2388</t>
  </si>
  <si>
    <t>REC_2389</t>
  </si>
  <si>
    <t>REC_2390</t>
  </si>
  <si>
    <t>REC_2391</t>
  </si>
  <si>
    <t>REC_2392</t>
  </si>
  <si>
    <t>REC_2393</t>
  </si>
  <si>
    <t>REC_2394</t>
  </si>
  <si>
    <t>REC_2395</t>
  </si>
  <si>
    <t>REC_2396</t>
  </si>
  <si>
    <t>REC_2397</t>
  </si>
  <si>
    <t>REC_2398</t>
  </si>
  <si>
    <t>REC_2399</t>
  </si>
  <si>
    <t>REC_2400</t>
  </si>
  <si>
    <t>REC_2401</t>
  </si>
  <si>
    <t>REC_2402</t>
  </si>
  <si>
    <t>REC_2403</t>
  </si>
  <si>
    <t>REC_2404</t>
  </si>
  <si>
    <t>REC_2405</t>
  </si>
  <si>
    <t>REC_2406</t>
  </si>
  <si>
    <t>REC_2407</t>
  </si>
  <si>
    <t>REC_2408</t>
  </si>
  <si>
    <t>REC_2409</t>
  </si>
  <si>
    <t>REC_2410</t>
  </si>
  <si>
    <t>REC_2411</t>
  </si>
  <si>
    <t>REC_2412</t>
  </si>
  <si>
    <t>REC_2413</t>
  </si>
  <si>
    <t>REC_2414</t>
  </si>
  <si>
    <t>REC_2415</t>
  </si>
  <si>
    <t>REC_2416</t>
  </si>
  <si>
    <t>REC_2417</t>
  </si>
  <si>
    <t>REC_2418</t>
  </si>
  <si>
    <t>REC_2419</t>
  </si>
  <si>
    <t>REC_2420</t>
  </si>
  <si>
    <t>REC_2421</t>
  </si>
  <si>
    <t>REC_2422</t>
  </si>
  <si>
    <t>REC_2423</t>
  </si>
  <si>
    <t>REC_2424</t>
  </si>
  <si>
    <t>REC_2425</t>
  </si>
  <si>
    <t>REC_2426</t>
  </si>
  <si>
    <t>REC_2427</t>
  </si>
  <si>
    <t>REC_2428</t>
  </si>
  <si>
    <t>REC_2429</t>
  </si>
  <si>
    <t>REC_2430</t>
  </si>
  <si>
    <t>REC_2431</t>
  </si>
  <si>
    <t>REC_2432</t>
  </si>
  <si>
    <t>REC_2433</t>
  </si>
  <si>
    <t>REC_2434</t>
  </si>
  <si>
    <t>REC_2435</t>
  </si>
  <si>
    <t>REC_2436</t>
  </si>
  <si>
    <t>REC_2437</t>
  </si>
  <si>
    <t>REC_2438</t>
  </si>
  <si>
    <t>REC_2439</t>
  </si>
  <si>
    <t>REC_2440</t>
  </si>
  <si>
    <t>REC_2441</t>
  </si>
  <si>
    <t>REC_2442</t>
  </si>
  <si>
    <t>REC_2443</t>
  </si>
  <si>
    <t>REC_2444</t>
  </si>
  <si>
    <t>REC_2445</t>
  </si>
  <si>
    <t>REC_2446</t>
  </si>
  <si>
    <t>REC_2447</t>
  </si>
  <si>
    <t>REC_2448</t>
  </si>
  <si>
    <t>REC_2449</t>
  </si>
  <si>
    <t>REC_2450</t>
  </si>
  <si>
    <t>REC_2451</t>
  </si>
  <si>
    <t>REC_2452</t>
  </si>
  <si>
    <t>REC_2453</t>
  </si>
  <si>
    <t>REC_2454</t>
  </si>
  <si>
    <t>REC_2455</t>
  </si>
  <si>
    <t>REC_2456</t>
  </si>
  <si>
    <t>REC_2457</t>
  </si>
  <si>
    <t>REC_2458</t>
  </si>
  <si>
    <t>REC_2459</t>
  </si>
  <si>
    <t>REC_2460</t>
  </si>
  <si>
    <t>REC_2461</t>
  </si>
  <si>
    <t>REC_2462</t>
  </si>
  <si>
    <t>REC_2463</t>
  </si>
  <si>
    <t>REC_2464</t>
  </si>
  <si>
    <t>REC_2465</t>
  </si>
  <si>
    <t>REC_2466</t>
  </si>
  <si>
    <t>REC_2467</t>
  </si>
  <si>
    <t>REC_2468</t>
  </si>
  <si>
    <t>REC_2469</t>
  </si>
  <si>
    <t>REC_2470</t>
  </si>
  <si>
    <t>REC_2471</t>
  </si>
  <si>
    <t>REC_2472</t>
  </si>
  <si>
    <t>REC_2473</t>
  </si>
  <si>
    <t>REC_2474</t>
  </si>
  <si>
    <t>REC_2475</t>
  </si>
  <si>
    <t>REC_2476</t>
  </si>
  <si>
    <t>REC_2477</t>
  </si>
  <si>
    <t>REC_2478</t>
  </si>
  <si>
    <t>REC_2479</t>
  </si>
  <si>
    <t>REC_2480</t>
  </si>
  <si>
    <t>REC_2481</t>
  </si>
  <si>
    <t>REC_2482</t>
  </si>
  <si>
    <t>REC_2483</t>
  </si>
  <si>
    <t>REC_2484</t>
  </si>
  <si>
    <t>REC_2485</t>
  </si>
  <si>
    <t>REC_2486</t>
  </si>
  <si>
    <t>REC_2487</t>
  </si>
  <si>
    <t>REC_2488</t>
  </si>
  <si>
    <t>REC_2489</t>
  </si>
  <si>
    <t>REC_2490</t>
  </si>
  <si>
    <t>REC_2491</t>
  </si>
  <si>
    <t>REC_2492</t>
  </si>
  <si>
    <t>REC_2493</t>
  </si>
  <si>
    <t>REC_2494</t>
  </si>
  <si>
    <t>REC_2495</t>
  </si>
  <si>
    <t>REC_2496</t>
  </si>
  <si>
    <t>REC_2497</t>
  </si>
  <si>
    <t>REC_2498</t>
  </si>
  <si>
    <t>REC_2499</t>
  </si>
  <si>
    <t>REC_2500</t>
  </si>
  <si>
    <t>REC_2501</t>
  </si>
  <si>
    <t>REC_2502</t>
  </si>
  <si>
    <t>REC_2503</t>
  </si>
  <si>
    <t>REC_2504</t>
  </si>
  <si>
    <t>bd35f449</t>
  </si>
  <si>
    <t>Eje 90</t>
  </si>
  <si>
    <t>0eb6890e</t>
  </si>
  <si>
    <t>Eje 270</t>
  </si>
  <si>
    <t>302d1c0c</t>
  </si>
  <si>
    <t>Eje 0</t>
  </si>
  <si>
    <t>2158b038</t>
  </si>
  <si>
    <t>Eje 180</t>
  </si>
  <si>
    <t>16055e8e</t>
  </si>
  <si>
    <t>54de5907</t>
  </si>
  <si>
    <t>e443fa7d</t>
  </si>
  <si>
    <t>2019f46c</t>
  </si>
  <si>
    <t>9d97abfb</t>
  </si>
  <si>
    <t>MH1</t>
  </si>
  <si>
    <t>05a89c06</t>
  </si>
  <si>
    <t>MH 1 Brida</t>
  </si>
  <si>
    <t>9ab15ac2</t>
  </si>
  <si>
    <t>c488016f</t>
  </si>
  <si>
    <t>N1 Brida</t>
  </si>
  <si>
    <t>f762db08</t>
  </si>
  <si>
    <t>N2</t>
  </si>
  <si>
    <t>172e1e49</t>
  </si>
  <si>
    <t>N2 Brida</t>
  </si>
  <si>
    <t>dbcda321</t>
  </si>
  <si>
    <t>MH3</t>
  </si>
  <si>
    <t>e1b18cbf</t>
  </si>
  <si>
    <t>MH3 Brida</t>
  </si>
  <si>
    <t>4fb93d17</t>
  </si>
  <si>
    <t>N3</t>
  </si>
  <si>
    <t>2110b293</t>
  </si>
  <si>
    <t>N3 Brida</t>
  </si>
  <si>
    <t>759b68a4</t>
  </si>
  <si>
    <t>7f053751</t>
  </si>
  <si>
    <t>N4 Brida</t>
  </si>
  <si>
    <t>fe1af1ab</t>
  </si>
  <si>
    <t>N5</t>
  </si>
  <si>
    <t>5ccdf53b</t>
  </si>
  <si>
    <t>N5 Brida</t>
  </si>
  <si>
    <t>1f42e8ab</t>
  </si>
  <si>
    <t>N6</t>
  </si>
  <si>
    <t>c1f3949e</t>
  </si>
  <si>
    <t>N6 Brida</t>
  </si>
  <si>
    <t>92578fd1</t>
  </si>
  <si>
    <t>Cap superior</t>
  </si>
  <si>
    <t>b088f092</t>
  </si>
  <si>
    <t>b6f0c7fe</t>
  </si>
  <si>
    <t>9a0ed1b0</t>
  </si>
  <si>
    <t>3fa69fbf</t>
  </si>
  <si>
    <t>6793898d</t>
  </si>
  <si>
    <t>a6329d82</t>
  </si>
  <si>
    <t>Cap Inferior</t>
  </si>
  <si>
    <t>b78089a7</t>
  </si>
  <si>
    <t>6006c7d5</t>
  </si>
  <si>
    <t>12808349</t>
  </si>
  <si>
    <t>5e5a85be</t>
  </si>
  <si>
    <t>MH3 Brida Ciega</t>
  </si>
  <si>
    <t>6a0a7839</t>
  </si>
  <si>
    <t>abc19ac0</t>
  </si>
  <si>
    <t>MH1 Brida</t>
  </si>
  <si>
    <t>0402306d</t>
  </si>
  <si>
    <t>551451aa</t>
  </si>
  <si>
    <t>ee7819a4</t>
  </si>
  <si>
    <t>3ea26f15</t>
  </si>
  <si>
    <t>98fe6ef7</t>
  </si>
  <si>
    <t>3d2c3a54</t>
  </si>
  <si>
    <t>146ae761</t>
  </si>
  <si>
    <t>addff3f9</t>
  </si>
  <si>
    <t>a6c5948c</t>
  </si>
  <si>
    <t>6b564cb8</t>
  </si>
  <si>
    <t>7bd51df1</t>
  </si>
  <si>
    <t>b3d8ba8d</t>
  </si>
  <si>
    <t>307905bb</t>
  </si>
  <si>
    <t>4a5e22e2</t>
  </si>
  <si>
    <t>Cap Superior</t>
  </si>
  <si>
    <t>240ba267</t>
  </si>
  <si>
    <t>d6255835</t>
  </si>
  <si>
    <t>acccedd6</t>
  </si>
  <si>
    <t>4b50d923</t>
  </si>
  <si>
    <t>8cdb8a65</t>
  </si>
  <si>
    <t>de6b977a</t>
  </si>
  <si>
    <t>237296bc</t>
  </si>
  <si>
    <t>771288f9</t>
  </si>
  <si>
    <t>ebe6b54a</t>
  </si>
  <si>
    <t>55c71bbd</t>
  </si>
  <si>
    <t>0053d7a9</t>
  </si>
  <si>
    <t>37854523</t>
  </si>
  <si>
    <t>MH1 Refuerzo</t>
  </si>
  <si>
    <t>b74807d3</t>
  </si>
  <si>
    <t>MH1 Niple</t>
  </si>
  <si>
    <t>f5baef87</t>
  </si>
  <si>
    <t>f6ec8b43</t>
  </si>
  <si>
    <t>MH1 Brida Ciega</t>
  </si>
  <si>
    <t>34f29e2c</t>
  </si>
  <si>
    <t>N1 Refuerzo</t>
  </si>
  <si>
    <t>8c02ac93</t>
  </si>
  <si>
    <t>N1 Niple</t>
  </si>
  <si>
    <t>c564e87f</t>
  </si>
  <si>
    <t>f4723680</t>
  </si>
  <si>
    <t>9669a8cd</t>
  </si>
  <si>
    <t>23b1675d</t>
  </si>
  <si>
    <t>23870d23</t>
  </si>
  <si>
    <t>ec063670</t>
  </si>
  <si>
    <t>Lamina 1</t>
  </si>
  <si>
    <t>a725ba28</t>
  </si>
  <si>
    <t>Lamina 2</t>
  </si>
  <si>
    <t>c645dcf8</t>
  </si>
  <si>
    <t>Lamina 3</t>
  </si>
  <si>
    <t>d14609a1</t>
  </si>
  <si>
    <t>Anillo 1</t>
  </si>
  <si>
    <t>7545e07a</t>
  </si>
  <si>
    <t>Anillo 2</t>
  </si>
  <si>
    <t>5bd314ca</t>
  </si>
  <si>
    <t>Anillo 3</t>
  </si>
  <si>
    <t>7d7ab861</t>
  </si>
  <si>
    <t>Anillo 4</t>
  </si>
  <si>
    <t>9f8b8aa4</t>
  </si>
  <si>
    <t>Cono 1</t>
  </si>
  <si>
    <t>22e416a6</t>
  </si>
  <si>
    <t>Cono 2</t>
  </si>
  <si>
    <t>798b53fc</t>
  </si>
  <si>
    <t>N6 Refuerzo</t>
  </si>
  <si>
    <t>f8d313c6</t>
  </si>
  <si>
    <t>N6 Niple</t>
  </si>
  <si>
    <t>5be28d4d</t>
  </si>
  <si>
    <t>e54bc451</t>
  </si>
  <si>
    <t>7bcaf36c</t>
  </si>
  <si>
    <t>25731d61</t>
  </si>
  <si>
    <t>1054be14</t>
  </si>
  <si>
    <t>MH1 Brida ciega</t>
  </si>
  <si>
    <t>ddbb6577</t>
  </si>
  <si>
    <t>e2b82406</t>
  </si>
  <si>
    <t>c535699f</t>
  </si>
  <si>
    <t>2337874f</t>
  </si>
  <si>
    <t>fa6bf6cf</t>
  </si>
  <si>
    <t>e3e03950</t>
  </si>
  <si>
    <t>N1 Codo</t>
  </si>
  <si>
    <t>e730a51b</t>
  </si>
  <si>
    <t>fe1910d4</t>
  </si>
  <si>
    <t>Lamina1 Techo</t>
  </si>
  <si>
    <t>1807d178</t>
  </si>
  <si>
    <t>Lamina2 Techo</t>
  </si>
  <si>
    <t>f6b29a67</t>
  </si>
  <si>
    <t>Lamina3 Techo</t>
  </si>
  <si>
    <t>d29088f8</t>
  </si>
  <si>
    <t>0e793c3c</t>
  </si>
  <si>
    <t>1e9447cb</t>
  </si>
  <si>
    <t>2e5d50aa</t>
  </si>
  <si>
    <t>69f8e31c</t>
  </si>
  <si>
    <t>1d4cfbf1</t>
  </si>
  <si>
    <t>fac8fa3f</t>
  </si>
  <si>
    <t>9ec2a229</t>
  </si>
  <si>
    <t>FNF4ZUNLDB</t>
  </si>
  <si>
    <t>410-FLTR-560</t>
  </si>
  <si>
    <t>AMB51KM9EQ</t>
  </si>
  <si>
    <t>B N1</t>
  </si>
  <si>
    <t>NIR12HXYCE</t>
  </si>
  <si>
    <t>9LALH3JPO0</t>
  </si>
  <si>
    <t>B MH1</t>
  </si>
  <si>
    <t>CRT8GCXZFG</t>
  </si>
  <si>
    <t>7VLWQXQMAN</t>
  </si>
  <si>
    <t>B N2</t>
  </si>
  <si>
    <t>XOMP9UUU68</t>
  </si>
  <si>
    <t>XS6Q7YJRE8</t>
  </si>
  <si>
    <t>B N6</t>
  </si>
  <si>
    <t>AAW2XYTMZC</t>
  </si>
  <si>
    <t>1ZABVL94RX</t>
  </si>
  <si>
    <t>N3 B</t>
  </si>
  <si>
    <t>F2AKBIJ08Z</t>
  </si>
  <si>
    <t>tank</t>
  </si>
  <si>
    <t>69KKUCMMBE</t>
  </si>
  <si>
    <t>6LNSYWR96I</t>
  </si>
  <si>
    <t>KZV0JQYAIQ</t>
  </si>
  <si>
    <t>PZICRS1GX5</t>
  </si>
  <si>
    <t>K35NXN8YEH</t>
  </si>
  <si>
    <t>TVHY21523D</t>
  </si>
  <si>
    <t>HC9HIJLYYQ</t>
  </si>
  <si>
    <t>0SQR05YQUS</t>
  </si>
  <si>
    <t>H5OFRF5J07</t>
  </si>
  <si>
    <t>M83ABK8OF9</t>
  </si>
  <si>
    <t>GKHNIAWW15</t>
  </si>
  <si>
    <t>B MH3</t>
  </si>
  <si>
    <t>499UYKYGAH</t>
  </si>
  <si>
    <t>BC MH3</t>
  </si>
  <si>
    <t>YAKAM3661E</t>
  </si>
  <si>
    <t>IH73G09HQN</t>
  </si>
  <si>
    <t>B N5</t>
  </si>
  <si>
    <t>C3SB70IS4J</t>
  </si>
  <si>
    <t>XHOHPAZ45X</t>
  </si>
  <si>
    <t>B N4</t>
  </si>
  <si>
    <t>HU1AGPXFH2</t>
  </si>
  <si>
    <t>410-FLTR-460</t>
  </si>
  <si>
    <t>Cap Sup</t>
  </si>
  <si>
    <t>RPL8T4QVZC</t>
  </si>
  <si>
    <t>WJP5P2GHHH</t>
  </si>
  <si>
    <t>CTXA0AVT5J</t>
  </si>
  <si>
    <t>CJE6JMV0AX</t>
  </si>
  <si>
    <t>5AN9IEJONJ</t>
  </si>
  <si>
    <t>JQYJ3S20QK</t>
  </si>
  <si>
    <t>YN6JZCQS46</t>
  </si>
  <si>
    <t>MZ7YBZAF0G</t>
  </si>
  <si>
    <t>MH1 N</t>
  </si>
  <si>
    <t>MAHZB3UDFH</t>
  </si>
  <si>
    <t>MH2 B</t>
  </si>
  <si>
    <t>00WRT4JM7H</t>
  </si>
  <si>
    <t>N2 N</t>
  </si>
  <si>
    <t>SUH2EX3A3J</t>
  </si>
  <si>
    <t>N2 B</t>
  </si>
  <si>
    <t>ROMPNYXPMJ</t>
  </si>
  <si>
    <t>N1 N</t>
  </si>
  <si>
    <t>WQE0R2457Z</t>
  </si>
  <si>
    <t>N1 B</t>
  </si>
  <si>
    <t>AX8WLZWF7X</t>
  </si>
  <si>
    <t>N6 N</t>
  </si>
  <si>
    <t>FEL5EQH088</t>
  </si>
  <si>
    <t>N6 B</t>
  </si>
  <si>
    <t>AM540LKGPF</t>
  </si>
  <si>
    <t>N3 N</t>
  </si>
  <si>
    <t>6TG81CZDQU</t>
  </si>
  <si>
    <t>1F0S2ISYLS</t>
  </si>
  <si>
    <t>Cap Inf</t>
  </si>
  <si>
    <t>6SHGDPXPLA</t>
  </si>
  <si>
    <t>D9XM4J83C4</t>
  </si>
  <si>
    <t>UL25ESRRGD</t>
  </si>
  <si>
    <t>AVF0C7TMNI</t>
  </si>
  <si>
    <t>MH3 N</t>
  </si>
  <si>
    <t>Z5HUS00P4A</t>
  </si>
  <si>
    <t>MH3 B</t>
  </si>
  <si>
    <t>9LXYAD6N6Q</t>
  </si>
  <si>
    <t>MH3 BC</t>
  </si>
  <si>
    <t>33IDBW6XXX</t>
  </si>
  <si>
    <t>N4 N</t>
  </si>
  <si>
    <t>4CPHCU71FM</t>
  </si>
  <si>
    <t>N4 B</t>
  </si>
  <si>
    <t>ZF1F9XWCVI</t>
  </si>
  <si>
    <t>N5 N</t>
  </si>
  <si>
    <t>U8TVKPMY5Q</t>
  </si>
  <si>
    <t>N5 B</t>
  </si>
  <si>
    <t>0JCLBC2TUF</t>
  </si>
  <si>
    <t>321-DEC-425F</t>
  </si>
  <si>
    <t>MH1 R</t>
  </si>
  <si>
    <t>W0WBXQBFRS</t>
  </si>
  <si>
    <t>2H2DNEQX80</t>
  </si>
  <si>
    <t>MH1 B</t>
  </si>
  <si>
    <t>U8XINXKJIX</t>
  </si>
  <si>
    <t>MH1 BC</t>
  </si>
  <si>
    <t>VQBGUJF8VY</t>
  </si>
  <si>
    <t>N1 R</t>
  </si>
  <si>
    <t>RBTWCXCP3R</t>
  </si>
  <si>
    <t>DZWUFYF653</t>
  </si>
  <si>
    <t>CWFCXQ5Z16</t>
  </si>
  <si>
    <t>1PCIRMTE5A</t>
  </si>
  <si>
    <t>T8HM655VRV</t>
  </si>
  <si>
    <t>N1 C</t>
  </si>
  <si>
    <t>4A8ZELLEMA</t>
  </si>
  <si>
    <t>R438A31N2J</t>
  </si>
  <si>
    <t>Techo Lamina 1</t>
  </si>
  <si>
    <t>T8LXPRK85L</t>
  </si>
  <si>
    <t>Techo Lamina 2</t>
  </si>
  <si>
    <t>BG586SKZ5B</t>
  </si>
  <si>
    <t>Techo Lamina 3</t>
  </si>
  <si>
    <t>9M7TR0MF6V</t>
  </si>
  <si>
    <t>X6OXCNRDJ5</t>
  </si>
  <si>
    <t>3DOUHE3IN5</t>
  </si>
  <si>
    <t>92RWHA5ZQ2</t>
  </si>
  <si>
    <t>L7TSVKCPYI</t>
  </si>
  <si>
    <t>Anillo 5</t>
  </si>
  <si>
    <t>K8MB7RJOAY</t>
  </si>
  <si>
    <t>Anillo 6</t>
  </si>
  <si>
    <t>82NS0ERYLG</t>
  </si>
  <si>
    <t>NJ84LNNLMF</t>
  </si>
  <si>
    <t>QF40F78DV1</t>
  </si>
  <si>
    <t>321-DEC-425J</t>
  </si>
  <si>
    <t>A6KEVFOE92</t>
  </si>
  <si>
    <t>C9YSX721U4</t>
  </si>
  <si>
    <t>9WRCW7CEFN</t>
  </si>
  <si>
    <t>MNIND19SS5</t>
  </si>
  <si>
    <t>PO99O00VSY</t>
  </si>
  <si>
    <t>AON7G4R20F</t>
  </si>
  <si>
    <t>BS2S2SMNN6</t>
  </si>
  <si>
    <t>4OXSUWR5UQ</t>
  </si>
  <si>
    <t>S9UNPKC788</t>
  </si>
  <si>
    <t>ECG46FEZBX</t>
  </si>
  <si>
    <t>ATE2G2DC6Z</t>
  </si>
  <si>
    <t>L 1</t>
  </si>
  <si>
    <t>O4FDZFE4D4</t>
  </si>
  <si>
    <t>L 2</t>
  </si>
  <si>
    <t>C4NBCMMI80</t>
  </si>
  <si>
    <t>L 3</t>
  </si>
  <si>
    <t>36WBG690YL</t>
  </si>
  <si>
    <t>MRPMQWYYER</t>
  </si>
  <si>
    <t>SHIQHG95RI</t>
  </si>
  <si>
    <t>1E5XPTC1GF</t>
  </si>
  <si>
    <t>BOLTRAZZBN</t>
  </si>
  <si>
    <t>CRG66ZZAPM</t>
  </si>
  <si>
    <t>S4DUAVDM8U</t>
  </si>
  <si>
    <t>N6 R</t>
  </si>
  <si>
    <t>DK9DYB3NGF</t>
  </si>
  <si>
    <t>KSP8EL39SA</t>
  </si>
  <si>
    <t>D3QVRFHSR4</t>
  </si>
  <si>
    <t>410-DEC-570</t>
  </si>
  <si>
    <t>Anillo 1 - Lámina 1</t>
  </si>
  <si>
    <t>B0HWU49QV4</t>
  </si>
  <si>
    <t>Anillo 1- Lámina 1</t>
  </si>
  <si>
    <t>2C8LHJ3V6C</t>
  </si>
  <si>
    <t>FN7227TT8J</t>
  </si>
  <si>
    <t>O9IILYJ0Q5</t>
  </si>
  <si>
    <t>SOAULTX55R</t>
  </si>
  <si>
    <t>62ROIJ8O1Z</t>
  </si>
  <si>
    <t>0J7WTTPBHT</t>
  </si>
  <si>
    <t>Techo - Lámina 1</t>
  </si>
  <si>
    <t>LGVPVU0I2B</t>
  </si>
  <si>
    <t>Techo - Lámina 2</t>
  </si>
  <si>
    <t>DM89OJS6TZ</t>
  </si>
  <si>
    <t>O99N3DPZ0W</t>
  </si>
  <si>
    <t>OPIGBYNF73</t>
  </si>
  <si>
    <t>70DY4R96K0</t>
  </si>
  <si>
    <t>XF6MZELK66</t>
  </si>
  <si>
    <t>CKODPAEC2V</t>
  </si>
  <si>
    <t>XDB57ZBYY3</t>
  </si>
  <si>
    <t>WQ2IU7KIN4</t>
  </si>
  <si>
    <t>N1 Codo 90°</t>
  </si>
  <si>
    <t>OYIQJ1JK9A</t>
  </si>
  <si>
    <t>LNYS4GAXTG</t>
  </si>
  <si>
    <t>N4 Refuerzo</t>
  </si>
  <si>
    <t>HJML8OAHWS</t>
  </si>
  <si>
    <t>N4 Niple</t>
  </si>
  <si>
    <t>VZCC6R6OTH</t>
  </si>
  <si>
    <t>PDVJTZ1M92</t>
  </si>
  <si>
    <t>N5 Refuerzo</t>
  </si>
  <si>
    <t>2E8XQX6OO5</t>
  </si>
  <si>
    <t>N5 Niple</t>
  </si>
  <si>
    <t>WG71MDA4OG</t>
  </si>
  <si>
    <t>O456Q9F8YM</t>
  </si>
  <si>
    <t>DGYDVHXENK</t>
  </si>
  <si>
    <t>YLX2MCE4ZJ</t>
  </si>
  <si>
    <t>ANILLO 1</t>
  </si>
  <si>
    <t>JMWV22JG6M</t>
  </si>
  <si>
    <t>40PWUNQL40</t>
  </si>
  <si>
    <t>JT4Q3UVCZR</t>
  </si>
  <si>
    <t>BZXM500CKB</t>
  </si>
  <si>
    <t>EYZLGSTWQF</t>
  </si>
  <si>
    <t>3ZVEJZ8AIZ</t>
  </si>
  <si>
    <t>M30Z0D914S</t>
  </si>
  <si>
    <t>E3V5FQFY3S</t>
  </si>
  <si>
    <t>0WKZN5V4XX</t>
  </si>
  <si>
    <t>E86AC7Y6H8</t>
  </si>
  <si>
    <t>0E9RPWBM9U</t>
  </si>
  <si>
    <t>QR8KG4RMG1</t>
  </si>
  <si>
    <t>EML36LPU2M</t>
  </si>
  <si>
    <t>Q5RUV84ZOS</t>
  </si>
  <si>
    <t>B2SK2ENVOM</t>
  </si>
  <si>
    <t>WVR1JWG883</t>
  </si>
  <si>
    <t>ANILLO 2</t>
  </si>
  <si>
    <t>IG81JAUSCT</t>
  </si>
  <si>
    <t>6VWMKP0LEP</t>
  </si>
  <si>
    <t>GIBW2QH1QI</t>
  </si>
  <si>
    <t>1NFBTSD81S</t>
  </si>
  <si>
    <t>HX0LQ62Y5D</t>
  </si>
  <si>
    <t>Q914M6Q5U9</t>
  </si>
  <si>
    <t>L2NFECJKU6</t>
  </si>
  <si>
    <t>LLNA1C47KN</t>
  </si>
  <si>
    <t>JRMPD7UXJF</t>
  </si>
  <si>
    <t>SSIPL5TDBI</t>
  </si>
  <si>
    <t>5HCNHQH67M</t>
  </si>
  <si>
    <t>QXXZIN9BYQ</t>
  </si>
  <si>
    <t>L58Q61M3I0</t>
  </si>
  <si>
    <t>O19E4A8YNY</t>
  </si>
  <si>
    <t>EP940QNKYS</t>
  </si>
  <si>
    <t>PYFIWI5E12</t>
  </si>
  <si>
    <t>ANILLO 3</t>
  </si>
  <si>
    <t>S370O55WJK</t>
  </si>
  <si>
    <t>5W3JGCDGCD</t>
  </si>
  <si>
    <t>TFIVYBNBC2</t>
  </si>
  <si>
    <t>1CRO6O27EH</t>
  </si>
  <si>
    <t>Z9MLP25AT8</t>
  </si>
  <si>
    <t>JMNRVK3PLC</t>
  </si>
  <si>
    <t>USQPGJAR8D</t>
  </si>
  <si>
    <t>YUGZDMXLDZ</t>
  </si>
  <si>
    <t>I4S5W5Q9HB</t>
  </si>
  <si>
    <t>KG36AWXCSW</t>
  </si>
  <si>
    <t>A12U6CNMAL</t>
  </si>
  <si>
    <t>72J95HY2BK</t>
  </si>
  <si>
    <t>DIIZXD4WUU</t>
  </si>
  <si>
    <t>NE3CLUQMCH</t>
  </si>
  <si>
    <t>823LE1OHFT</t>
  </si>
  <si>
    <t>TIY4JHNALL</t>
  </si>
  <si>
    <t>ANILLO 4</t>
  </si>
  <si>
    <t>DB94I2JT34</t>
  </si>
  <si>
    <t>H2CRT27T6D</t>
  </si>
  <si>
    <t>Y0SK5A3AF6</t>
  </si>
  <si>
    <t>4Z1QEPTL56</t>
  </si>
  <si>
    <t>RB3GUHQ1N0</t>
  </si>
  <si>
    <t>6PKGPGLQ2M</t>
  </si>
  <si>
    <t>N646CE8JYU</t>
  </si>
  <si>
    <t>U0RPY00C5W</t>
  </si>
  <si>
    <t>6PWTLVETXF</t>
  </si>
  <si>
    <t>UADT7OHDPI</t>
  </si>
  <si>
    <t>RZ4ORB4IHN</t>
  </si>
  <si>
    <t>ZEL7WV2BKS</t>
  </si>
  <si>
    <t>D5MSPL9FWW</t>
  </si>
  <si>
    <t>QZBJKFBUKO</t>
  </si>
  <si>
    <t>L5SQPBFFXK</t>
  </si>
  <si>
    <t>RWO0RJV0B0</t>
  </si>
  <si>
    <t>ANILLO 5</t>
  </si>
  <si>
    <t>Q9VLUYIUEV</t>
  </si>
  <si>
    <t>G2AM2PJHBR</t>
  </si>
  <si>
    <t>EOD1ZNLNS4</t>
  </si>
  <si>
    <t>5S4DRAWOEK</t>
  </si>
  <si>
    <t>PSJCVRL8NI</t>
  </si>
  <si>
    <t>6FXSCA8QSQ</t>
  </si>
  <si>
    <t>WOHZ1JZKVP</t>
  </si>
  <si>
    <t>E5P9A82VEW</t>
  </si>
  <si>
    <t>A35V8Z33QN</t>
  </si>
  <si>
    <t>E59H9OXO6Q</t>
  </si>
  <si>
    <t>QK7XTW8CWD</t>
  </si>
  <si>
    <t>9JLQLK2F9W</t>
  </si>
  <si>
    <t>LM6OZYPIV6</t>
  </si>
  <si>
    <t>KQICE54BAY</t>
  </si>
  <si>
    <t>QMK26VY7JP</t>
  </si>
  <si>
    <t>FMDU3OF919</t>
  </si>
  <si>
    <t>ANILLO 6</t>
  </si>
  <si>
    <t>LQ6MQ0Y9P8</t>
  </si>
  <si>
    <t>ZKDD6MJ08L</t>
  </si>
  <si>
    <t>2QS4PUOMK8</t>
  </si>
  <si>
    <t>4793U85C1R</t>
  </si>
  <si>
    <t>YNYGTXRUZ5</t>
  </si>
  <si>
    <t>NLV801A5J3</t>
  </si>
  <si>
    <t>HFBXFI5JU9</t>
  </si>
  <si>
    <t>X9DW7BOC9Y</t>
  </si>
  <si>
    <t>PJF60WNVU5</t>
  </si>
  <si>
    <t>XKGX2F8B9W</t>
  </si>
  <si>
    <t>VX0456SD6G</t>
  </si>
  <si>
    <t>118I6SLIH7</t>
  </si>
  <si>
    <t>8NWIKHRY77</t>
  </si>
  <si>
    <t>999BL4O164</t>
  </si>
  <si>
    <t>8SDC2XPNLY</t>
  </si>
  <si>
    <t>ECHEF87CIS</t>
  </si>
  <si>
    <t>GE5W48PVFL</t>
  </si>
  <si>
    <t>O4LK0RHPNK</t>
  </si>
  <si>
    <t>VS5WFL7ZND</t>
  </si>
  <si>
    <t>EVMYVOOSK3</t>
  </si>
  <si>
    <t>V8JVSWGII4</t>
  </si>
  <si>
    <t>K8JNIKKP07</t>
  </si>
  <si>
    <t>LFF6Z7UPH8</t>
  </si>
  <si>
    <t>Z1MNVXRA3I</t>
  </si>
  <si>
    <t>BFZSJMDUUG</t>
  </si>
  <si>
    <t>O4DN5X5CYZ</t>
  </si>
  <si>
    <t>87YJ7VNELI</t>
  </si>
  <si>
    <t>IRY77R0NLF</t>
  </si>
  <si>
    <t>4ZFFIHB59G</t>
  </si>
  <si>
    <t>0KWXB39P3U</t>
  </si>
  <si>
    <t>IIKNMY5Q06</t>
  </si>
  <si>
    <t>QSHNUNP5KE</t>
  </si>
  <si>
    <t>5R93U9HTMV</t>
  </si>
  <si>
    <t>P78MOMJJT4</t>
  </si>
  <si>
    <t>AP841QVLUC</t>
  </si>
  <si>
    <t>YIT3FCZERV</t>
  </si>
  <si>
    <t>P2Q14NWJZ1</t>
  </si>
  <si>
    <t>41QGA6BIXB</t>
  </si>
  <si>
    <t>N0DNU21XI9</t>
  </si>
  <si>
    <t>S83Q5OI90O</t>
  </si>
  <si>
    <t>0UJUWNNWUP</t>
  </si>
  <si>
    <t>VPUKNVPV40</t>
  </si>
  <si>
    <t>JT5CHQCTF1</t>
  </si>
  <si>
    <t>TRF8HKNFFC</t>
  </si>
  <si>
    <t>8VDRZ876LG</t>
  </si>
  <si>
    <t>NP0A4VA2MO</t>
  </si>
  <si>
    <t>JIY92250EU</t>
  </si>
  <si>
    <t>B85OWYR03T</t>
  </si>
  <si>
    <t>1IE715132J</t>
  </si>
  <si>
    <t>EJ60FLZTNT</t>
  </si>
  <si>
    <t>19DEI0LID4</t>
  </si>
  <si>
    <t>XHCGD40PJ3</t>
  </si>
  <si>
    <t>IADDEHJ0NM</t>
  </si>
  <si>
    <t>9GYRQ1QYQX</t>
  </si>
  <si>
    <t>OVCRA1QDS8</t>
  </si>
  <si>
    <t>265CWTJWFW</t>
  </si>
  <si>
    <t>RQ0YH2IMD4</t>
  </si>
  <si>
    <t>C9BIST51DY</t>
  </si>
  <si>
    <t>U6A0OQWU7J</t>
  </si>
  <si>
    <t>BJN69YYDZV</t>
  </si>
  <si>
    <t>UGCFIP4TQ2</t>
  </si>
  <si>
    <t>GWD8EISKN3</t>
  </si>
  <si>
    <t>I6CDIMEVJS</t>
  </si>
  <si>
    <t>RK6XUB68A6</t>
  </si>
  <si>
    <t>OQ29GFUED9</t>
  </si>
  <si>
    <t>9U5WZ37DI2</t>
  </si>
  <si>
    <t>FKT0FLOUKO</t>
  </si>
  <si>
    <t>8TFL8DXP3C</t>
  </si>
  <si>
    <t>LH8MQSO2NS</t>
  </si>
  <si>
    <t>KG7PIJCM02</t>
  </si>
  <si>
    <t>N9V4OOZCPL</t>
  </si>
  <si>
    <t>NU2NWDAB5X</t>
  </si>
  <si>
    <t>I835ZJNUDK</t>
  </si>
  <si>
    <t>5YCX5R19FJ</t>
  </si>
  <si>
    <t>8BL2XABALE</t>
  </si>
  <si>
    <t>GDUBF4GAE1</t>
  </si>
  <si>
    <t>M1ERGS078R</t>
  </si>
  <si>
    <t>Y2FA1KAMV4</t>
  </si>
  <si>
    <t>BTYXIDC9SW</t>
  </si>
  <si>
    <t>ZOVMQ1USY5</t>
  </si>
  <si>
    <t>4TQYDEWCVY</t>
  </si>
  <si>
    <t>0OWO1AVXMF</t>
  </si>
  <si>
    <t>6JTVEFUF69</t>
  </si>
  <si>
    <t>4ZU2D0CQCT</t>
  </si>
  <si>
    <t>58M8923A5X</t>
  </si>
  <si>
    <t>RHPWHHTGRY</t>
  </si>
  <si>
    <t>7EYGLKHX4X</t>
  </si>
  <si>
    <t>6H7M2G8NXY</t>
  </si>
  <si>
    <t>KOGGK70XF8</t>
  </si>
  <si>
    <t>56P97K7L29</t>
  </si>
  <si>
    <t>331EI3DQ52</t>
  </si>
  <si>
    <t>946WTCYP14</t>
  </si>
  <si>
    <t>79R5DFRZ18</t>
  </si>
  <si>
    <t>V72RRXWEM4</t>
  </si>
  <si>
    <t>IAG31K6ML3</t>
  </si>
  <si>
    <t>RSBYEPQCN4</t>
  </si>
  <si>
    <t>4O4DMN906W</t>
  </si>
  <si>
    <t>AGVHGVMOX8</t>
  </si>
  <si>
    <t>QJHXPDEV8M</t>
  </si>
  <si>
    <t>5WXU3P2L26</t>
  </si>
  <si>
    <t>UAOO2FJ3OR</t>
  </si>
  <si>
    <t>I8HQBMWFGD</t>
  </si>
  <si>
    <t>EHZZFPYMUP</t>
  </si>
  <si>
    <t>ZZR5L6CGFC</t>
  </si>
  <si>
    <t>S7GY3L84MY</t>
  </si>
  <si>
    <t>WKL70UG137</t>
  </si>
  <si>
    <t>Q7IUOSFYFN</t>
  </si>
  <si>
    <t>BNRLYDRDCJ</t>
  </si>
  <si>
    <t>LBF2B1CK72</t>
  </si>
  <si>
    <t>POE9SHQ8F5</t>
  </si>
  <si>
    <t>3CWCLC0SNM</t>
  </si>
  <si>
    <t>NPS (DN)</t>
  </si>
  <si>
    <t>NPS_in</t>
  </si>
  <si>
    <t>DN</t>
  </si>
  <si>
    <t>Ident</t>
  </si>
  <si>
    <t>Schedule</t>
  </si>
  <si>
    <t>d_ext_pulg</t>
  </si>
  <si>
    <t>d_ext_mm</t>
  </si>
  <si>
    <t>t_nominal_in</t>
  </si>
  <si>
    <t>thk_mm</t>
  </si>
  <si>
    <t>masa_lb_ft</t>
  </si>
  <si>
    <t>masa_kg_m</t>
  </si>
  <si>
    <t>1/8 (6)</t>
  </si>
  <si>
    <t>-</t>
  </si>
  <si>
    <t xml:space="preserve"> 10.3 </t>
  </si>
  <si>
    <t>0.049</t>
  </si>
  <si>
    <t xml:space="preserve"> 1.24 </t>
  </si>
  <si>
    <t>0.19</t>
  </si>
  <si>
    <t xml:space="preserve"> 0.28 </t>
  </si>
  <si>
    <t>0.057</t>
  </si>
  <si>
    <t xml:space="preserve"> 1.45 </t>
  </si>
  <si>
    <t>0.21</t>
  </si>
  <si>
    <t xml:space="preserve"> 0.32 </t>
  </si>
  <si>
    <t>STD</t>
  </si>
  <si>
    <t>0.068</t>
  </si>
  <si>
    <t xml:space="preserve"> 1.73 </t>
  </si>
  <si>
    <t>0.24</t>
  </si>
  <si>
    <t xml:space="preserve"> 0.37 </t>
  </si>
  <si>
    <t>XS</t>
  </si>
  <si>
    <t>0.095</t>
  </si>
  <si>
    <t xml:space="preserve"> 2.41 </t>
  </si>
  <si>
    <t xml:space="preserve"> 0.47 </t>
  </si>
  <si>
    <t>0.124</t>
  </si>
  <si>
    <t xml:space="preserve"> 3.15 </t>
  </si>
  <si>
    <t>0.37</t>
  </si>
  <si>
    <t xml:space="preserve"> 0.56 </t>
  </si>
  <si>
    <t>XXS</t>
  </si>
  <si>
    <t>0.190</t>
  </si>
  <si>
    <t xml:space="preserve"> 4.83 </t>
  </si>
  <si>
    <t xml:space="preserve"> 0.65 </t>
  </si>
  <si>
    <t>1/4 (8)</t>
  </si>
  <si>
    <t>0.540</t>
  </si>
  <si>
    <t xml:space="preserve"> 13.7 </t>
  </si>
  <si>
    <t>0.065</t>
  </si>
  <si>
    <t xml:space="preserve"> 1.65 </t>
  </si>
  <si>
    <t xml:space="preserve"> 0.49 </t>
  </si>
  <si>
    <t>0.073</t>
  </si>
  <si>
    <t xml:space="preserve"> 1.85 </t>
  </si>
  <si>
    <t xml:space="preserve"> 0.54 </t>
  </si>
  <si>
    <t>0.088</t>
  </si>
  <si>
    <t xml:space="preserve"> 2.24 </t>
  </si>
  <si>
    <t xml:space="preserve"> 0.63 </t>
  </si>
  <si>
    <t>0.119</t>
  </si>
  <si>
    <t xml:space="preserve"> 3.02 </t>
  </si>
  <si>
    <t>0.54</t>
  </si>
  <si>
    <t xml:space="preserve"> 0.80 </t>
  </si>
  <si>
    <t>0.145</t>
  </si>
  <si>
    <t xml:space="preserve"> 3.68 </t>
  </si>
  <si>
    <t>0.61</t>
  </si>
  <si>
    <t xml:space="preserve"> 0.91 </t>
  </si>
  <si>
    <t xml:space="preserve"> 6.05 </t>
  </si>
  <si>
    <t>0.77</t>
  </si>
  <si>
    <t xml:space="preserve"> 1.41 </t>
  </si>
  <si>
    <t>3/8 (10)</t>
  </si>
  <si>
    <t>0.675</t>
  </si>
  <si>
    <t xml:space="preserve"> 17.1 </t>
  </si>
  <si>
    <t xml:space="preserve"> 0.70 </t>
  </si>
  <si>
    <t>0.091</t>
  </si>
  <si>
    <t xml:space="preserve"> 2.31 </t>
  </si>
  <si>
    <t>0.57</t>
  </si>
  <si>
    <t xml:space="preserve"> 0.84 </t>
  </si>
  <si>
    <t>0.126</t>
  </si>
  <si>
    <t xml:space="preserve"> 3.20 </t>
  </si>
  <si>
    <t>0.74</t>
  </si>
  <si>
    <t xml:space="preserve"> 1.10 </t>
  </si>
  <si>
    <t>0.158</t>
  </si>
  <si>
    <t xml:space="preserve"> 4.01 </t>
  </si>
  <si>
    <t>0.87</t>
  </si>
  <si>
    <t xml:space="preserve"> 1.29 </t>
  </si>
  <si>
    <t xml:space="preserve"> 6.40 </t>
  </si>
  <si>
    <t>1.14</t>
  </si>
  <si>
    <t xml:space="preserve"> 1.69 </t>
  </si>
  <si>
    <t>1/2 (15)</t>
  </si>
  <si>
    <t>0.840</t>
  </si>
  <si>
    <t xml:space="preserve"> 21.3 </t>
  </si>
  <si>
    <t>0.083</t>
  </si>
  <si>
    <t xml:space="preserve"> 2.11 </t>
  </si>
  <si>
    <t>0.67</t>
  </si>
  <si>
    <t xml:space="preserve"> 1.00 </t>
  </si>
  <si>
    <t>0.76</t>
  </si>
  <si>
    <t xml:space="preserve"> 1.12 </t>
  </si>
  <si>
    <t>0.109</t>
  </si>
  <si>
    <t xml:space="preserve"> 2.77 </t>
  </si>
  <si>
    <t>0.85</t>
  </si>
  <si>
    <t xml:space="preserve"> 1.27 </t>
  </si>
  <si>
    <t>0.147</t>
  </si>
  <si>
    <t xml:space="preserve"> 3.73 </t>
  </si>
  <si>
    <t>1.09</t>
  </si>
  <si>
    <t xml:space="preserve"> 1.62 </t>
  </si>
  <si>
    <t>0.188</t>
  </si>
  <si>
    <t xml:space="preserve"> 4.78 </t>
  </si>
  <si>
    <t>1.31</t>
  </si>
  <si>
    <t xml:space="preserve"> 1.95 </t>
  </si>
  <si>
    <t xml:space="preserve"> 7.47 </t>
  </si>
  <si>
    <t>1.72</t>
  </si>
  <si>
    <t xml:space="preserve"> 2.55 </t>
  </si>
  <si>
    <t>3/4 (20)</t>
  </si>
  <si>
    <t xml:space="preserve"> 26.7 </t>
  </si>
  <si>
    <t>0.68</t>
  </si>
  <si>
    <t xml:space="preserve"> 1.02 </t>
  </si>
  <si>
    <t>0.86</t>
  </si>
  <si>
    <t xml:space="preserve"> 1.28 </t>
  </si>
  <si>
    <t>0.97</t>
  </si>
  <si>
    <t xml:space="preserve"> 1.44 </t>
  </si>
  <si>
    <t>0.113</t>
  </si>
  <si>
    <t xml:space="preserve"> 2.87 </t>
  </si>
  <si>
    <t>1.13</t>
  </si>
  <si>
    <t>0.154</t>
  </si>
  <si>
    <t xml:space="preserve"> 3.91 </t>
  </si>
  <si>
    <t>1.48</t>
  </si>
  <si>
    <t xml:space="preserve"> 2.20 </t>
  </si>
  <si>
    <t xml:space="preserve"> 5.56 </t>
  </si>
  <si>
    <t>1.95</t>
  </si>
  <si>
    <t xml:space="preserve"> 2.90 </t>
  </si>
  <si>
    <t xml:space="preserve"> 7.82 </t>
  </si>
  <si>
    <t>2.44</t>
  </si>
  <si>
    <t xml:space="preserve"> 3.64 </t>
  </si>
  <si>
    <t>1 (25)</t>
  </si>
  <si>
    <t xml:space="preserve"> 33.4 </t>
  </si>
  <si>
    <t>1.41</t>
  </si>
  <si>
    <t xml:space="preserve"> 2.09 </t>
  </si>
  <si>
    <t>0.114</t>
  </si>
  <si>
    <t>1.46</t>
  </si>
  <si>
    <t xml:space="preserve"> 2.18 </t>
  </si>
  <si>
    <t>0.133</t>
  </si>
  <si>
    <t xml:space="preserve"> 3.38 </t>
  </si>
  <si>
    <t>1.68</t>
  </si>
  <si>
    <t xml:space="preserve"> 2.50 </t>
  </si>
  <si>
    <t>0.179</t>
  </si>
  <si>
    <t xml:space="preserve"> 4.55 </t>
  </si>
  <si>
    <t>2.17</t>
  </si>
  <si>
    <t xml:space="preserve"> 3.24 </t>
  </si>
  <si>
    <t>0.250</t>
  </si>
  <si>
    <t xml:space="preserve"> 6.35 </t>
  </si>
  <si>
    <t>2.85</t>
  </si>
  <si>
    <t xml:space="preserve"> 4.24 </t>
  </si>
  <si>
    <t xml:space="preserve"> 9.09 </t>
  </si>
  <si>
    <t>3.66</t>
  </si>
  <si>
    <t xml:space="preserve"> 5.45 </t>
  </si>
  <si>
    <t>1 1/4 (32)</t>
  </si>
  <si>
    <t>32</t>
  </si>
  <si>
    <t xml:space="preserve"> 42.2 </t>
  </si>
  <si>
    <t>1.11</t>
  </si>
  <si>
    <t>1.81</t>
  </si>
  <si>
    <t xml:space="preserve"> 2.69 </t>
  </si>
  <si>
    <t>0.117</t>
  </si>
  <si>
    <t xml:space="preserve"> 2.97 </t>
  </si>
  <si>
    <t>1.93</t>
  </si>
  <si>
    <t>0.140</t>
  </si>
  <si>
    <t xml:space="preserve"> 3.56 </t>
  </si>
  <si>
    <t>2.27</t>
  </si>
  <si>
    <t xml:space="preserve"> 3.39 </t>
  </si>
  <si>
    <t>0.191</t>
  </si>
  <si>
    <t xml:space="preserve"> 4.85 </t>
  </si>
  <si>
    <t>3.00</t>
  </si>
  <si>
    <t xml:space="preserve"> 4.47 </t>
  </si>
  <si>
    <t>3.77</t>
  </si>
  <si>
    <t xml:space="preserve"> 5.61 </t>
  </si>
  <si>
    <t>0.382</t>
  </si>
  <si>
    <t xml:space="preserve"> 9.70 </t>
  </si>
  <si>
    <t>5.22</t>
  </si>
  <si>
    <t xml:space="preserve"> 7.77 </t>
  </si>
  <si>
    <t>1 1/2 (40)</t>
  </si>
  <si>
    <t>40</t>
  </si>
  <si>
    <t xml:space="preserve"> 48.3 </t>
  </si>
  <si>
    <t>1.28</t>
  </si>
  <si>
    <t xml:space="preserve"> 1.90 </t>
  </si>
  <si>
    <t>2.09</t>
  </si>
  <si>
    <t xml:space="preserve"> 3.11 </t>
  </si>
  <si>
    <t>0.125</t>
  </si>
  <si>
    <t xml:space="preserve"> 3.18 </t>
  </si>
  <si>
    <t>2.37</t>
  </si>
  <si>
    <t xml:space="preserve"> 3.53 </t>
  </si>
  <si>
    <t>2.72</t>
  </si>
  <si>
    <t xml:space="preserve"> 4.05 </t>
  </si>
  <si>
    <t>0.200</t>
  </si>
  <si>
    <t xml:space="preserve"> 5.08 </t>
  </si>
  <si>
    <t>3.63</t>
  </si>
  <si>
    <t xml:space="preserve"> 5.41 </t>
  </si>
  <si>
    <t xml:space="preserve"> 7.14 </t>
  </si>
  <si>
    <t>4.86</t>
  </si>
  <si>
    <t xml:space="preserve"> 7.25 </t>
  </si>
  <si>
    <t>0.400</t>
  </si>
  <si>
    <t xml:space="preserve"> 10.15 </t>
  </si>
  <si>
    <t>6.41</t>
  </si>
  <si>
    <t xml:space="preserve"> 9.55 </t>
  </si>
  <si>
    <t>2 (50)</t>
  </si>
  <si>
    <t>50</t>
  </si>
  <si>
    <t xml:space="preserve"> 60.3 </t>
  </si>
  <si>
    <t>1.61</t>
  </si>
  <si>
    <t xml:space="preserve"> 2.39 </t>
  </si>
  <si>
    <t>2.03</t>
  </si>
  <si>
    <t xml:space="preserve"> 3.03 </t>
  </si>
  <si>
    <t>2.64</t>
  </si>
  <si>
    <t xml:space="preserve"> 3.93 </t>
  </si>
  <si>
    <t>3.01</t>
  </si>
  <si>
    <t xml:space="preserve"> 4.48 </t>
  </si>
  <si>
    <t>0.141</t>
  </si>
  <si>
    <t xml:space="preserve"> 3.58 </t>
  </si>
  <si>
    <t>3.37</t>
  </si>
  <si>
    <t xml:space="preserve"> 5.01 </t>
  </si>
  <si>
    <t xml:space="preserve"> 5.44 </t>
  </si>
  <si>
    <t>0.172</t>
  </si>
  <si>
    <t xml:space="preserve"> 4.37 </t>
  </si>
  <si>
    <t>4.05</t>
  </si>
  <si>
    <t xml:space="preserve"> 6.03 </t>
  </si>
  <si>
    <t>4.40</t>
  </si>
  <si>
    <t xml:space="preserve"> 6.54 </t>
  </si>
  <si>
    <t>0.218</t>
  </si>
  <si>
    <t xml:space="preserve"> 5.54 </t>
  </si>
  <si>
    <t>5.03</t>
  </si>
  <si>
    <t xml:space="preserve"> 7.48 </t>
  </si>
  <si>
    <t>5.68</t>
  </si>
  <si>
    <t xml:space="preserve"> 8.45 </t>
  </si>
  <si>
    <t>6.29</t>
  </si>
  <si>
    <t xml:space="preserve"> 9.36 </t>
  </si>
  <si>
    <t xml:space="preserve"> 8.74 </t>
  </si>
  <si>
    <t>7.47</t>
  </si>
  <si>
    <t xml:space="preserve"> 11.11 </t>
  </si>
  <si>
    <t xml:space="preserve"> 11.07 </t>
  </si>
  <si>
    <t>9.04</t>
  </si>
  <si>
    <t xml:space="preserve"> 13.44 </t>
  </si>
  <si>
    <t>2 1/2 (65)</t>
  </si>
  <si>
    <t>65</t>
  </si>
  <si>
    <t xml:space="preserve"> 73.0 </t>
  </si>
  <si>
    <t>2.48</t>
  </si>
  <si>
    <t xml:space="preserve"> 3.69 </t>
  </si>
  <si>
    <t>3.22</t>
  </si>
  <si>
    <t xml:space="preserve"> 4.80 </t>
  </si>
  <si>
    <t>0.120</t>
  </si>
  <si>
    <t xml:space="preserve"> 3.05 </t>
  </si>
  <si>
    <t>3.53</t>
  </si>
  <si>
    <t xml:space="preserve"> 5.26 </t>
  </si>
  <si>
    <t>3.67</t>
  </si>
  <si>
    <t xml:space="preserve"> 5.48 </t>
  </si>
  <si>
    <t>4.12</t>
  </si>
  <si>
    <t xml:space="preserve"> 6.13 </t>
  </si>
  <si>
    <t>0.156</t>
  </si>
  <si>
    <t xml:space="preserve"> 3.96 </t>
  </si>
  <si>
    <t>4.53</t>
  </si>
  <si>
    <t xml:space="preserve"> 6.74 </t>
  </si>
  <si>
    <t>4.97</t>
  </si>
  <si>
    <t xml:space="preserve"> 7.40 </t>
  </si>
  <si>
    <t>5.40</t>
  </si>
  <si>
    <t xml:space="preserve"> 8.04 </t>
  </si>
  <si>
    <t>0.203</t>
  </si>
  <si>
    <t xml:space="preserve"> 5.16 </t>
  </si>
  <si>
    <t>5.80</t>
  </si>
  <si>
    <t xml:space="preserve"> 8.63 </t>
  </si>
  <si>
    <t>0.216</t>
  </si>
  <si>
    <t xml:space="preserve"> 5.49 </t>
  </si>
  <si>
    <t>6.14</t>
  </si>
  <si>
    <t xml:space="preserve"> 9.14 </t>
  </si>
  <si>
    <t>7.02</t>
  </si>
  <si>
    <t xml:space="preserve"> 10.44 </t>
  </si>
  <si>
    <t xml:space="preserve"> 7.01 </t>
  </si>
  <si>
    <t>7.67</t>
  </si>
  <si>
    <t xml:space="preserve"> 11.41 </t>
  </si>
  <si>
    <t>0.375</t>
  </si>
  <si>
    <t xml:space="preserve"> 9.53 </t>
  </si>
  <si>
    <t>10.02</t>
  </si>
  <si>
    <t xml:space="preserve"> 14.92 </t>
  </si>
  <si>
    <t>0.552</t>
  </si>
  <si>
    <t xml:space="preserve"> 14.02 </t>
  </si>
  <si>
    <t>13.71</t>
  </si>
  <si>
    <t xml:space="preserve"> 20.39 </t>
  </si>
  <si>
    <t>3 (80)</t>
  </si>
  <si>
    <t xml:space="preserve"> 88.9 </t>
  </si>
  <si>
    <t>3.03</t>
  </si>
  <si>
    <t xml:space="preserve"> 4.52 </t>
  </si>
  <si>
    <t>3.95</t>
  </si>
  <si>
    <t xml:space="preserve"> 5.88 </t>
  </si>
  <si>
    <t>4.34</t>
  </si>
  <si>
    <t xml:space="preserve"> 6.46 </t>
  </si>
  <si>
    <t>4.51</t>
  </si>
  <si>
    <t xml:space="preserve"> 6.72 </t>
  </si>
  <si>
    <t>5.06</t>
  </si>
  <si>
    <t xml:space="preserve"> 7.53 </t>
  </si>
  <si>
    <t>5.58</t>
  </si>
  <si>
    <t xml:space="preserve"> 8.30 </t>
  </si>
  <si>
    <t>6.12</t>
  </si>
  <si>
    <t xml:space="preserve"> 9.11 </t>
  </si>
  <si>
    <t>6.66</t>
  </si>
  <si>
    <t xml:space="preserve"> 9.92 </t>
  </si>
  <si>
    <t>7.58</t>
  </si>
  <si>
    <t xml:space="preserve"> 11.29 </t>
  </si>
  <si>
    <t>8.69</t>
  </si>
  <si>
    <t xml:space="preserve"> 12.93 </t>
  </si>
  <si>
    <t>9.67</t>
  </si>
  <si>
    <t xml:space="preserve"> 14.40 </t>
  </si>
  <si>
    <t>0.300</t>
  </si>
  <si>
    <t xml:space="preserve"> 7.62 </t>
  </si>
  <si>
    <t>10.26</t>
  </si>
  <si>
    <t xml:space="preserve"> 15.27 </t>
  </si>
  <si>
    <t>0.438</t>
  </si>
  <si>
    <t xml:space="preserve"> 11.13 </t>
  </si>
  <si>
    <t xml:space="preserve"> 21.35 </t>
  </si>
  <si>
    <t>0.600</t>
  </si>
  <si>
    <t xml:space="preserve"> 15.24 </t>
  </si>
  <si>
    <t>18.60</t>
  </si>
  <si>
    <t xml:space="preserve"> 27.68 </t>
  </si>
  <si>
    <t>3 1/2 (90)</t>
  </si>
  <si>
    <t>90</t>
  </si>
  <si>
    <t xml:space="preserve"> 101.6 </t>
  </si>
  <si>
    <t>3.48</t>
  </si>
  <si>
    <t xml:space="preserve"> 5.18 </t>
  </si>
  <si>
    <t xml:space="preserve"> 6.75 </t>
  </si>
  <si>
    <t>4.98</t>
  </si>
  <si>
    <t xml:space="preserve"> 7.41 </t>
  </si>
  <si>
    <t>5.18</t>
  </si>
  <si>
    <t xml:space="preserve"> 7.72 </t>
  </si>
  <si>
    <t>5.82</t>
  </si>
  <si>
    <t xml:space="preserve"> 8.65 </t>
  </si>
  <si>
    <t xml:space="preserve"> 9.54 </t>
  </si>
  <si>
    <t>7.04</t>
  </si>
  <si>
    <t xml:space="preserve"> 10.48 </t>
  </si>
  <si>
    <t>7.66</t>
  </si>
  <si>
    <t xml:space="preserve"> 5.74 </t>
  </si>
  <si>
    <t>9.12</t>
  </si>
  <si>
    <t xml:space="preserve"> 13.57 </t>
  </si>
  <si>
    <t>11.17</t>
  </si>
  <si>
    <t xml:space="preserve"> 16.63 </t>
  </si>
  <si>
    <t xml:space="preserve"> 8.08 </t>
  </si>
  <si>
    <t>12.52</t>
  </si>
  <si>
    <t xml:space="preserve"> 18.64 </t>
  </si>
  <si>
    <t>4 (100)</t>
  </si>
  <si>
    <t>100</t>
  </si>
  <si>
    <t xml:space="preserve"> 114.3 </t>
  </si>
  <si>
    <t>3.92</t>
  </si>
  <si>
    <t xml:space="preserve"> 5.84 </t>
  </si>
  <si>
    <t>5.12</t>
  </si>
  <si>
    <t>5.62</t>
  </si>
  <si>
    <t xml:space="preserve"> 8.37 </t>
  </si>
  <si>
    <t>5.85</t>
  </si>
  <si>
    <t xml:space="preserve"> 8.71 </t>
  </si>
  <si>
    <t>6.57</t>
  </si>
  <si>
    <t xml:space="preserve"> 9.78 </t>
  </si>
  <si>
    <t>7.24</t>
  </si>
  <si>
    <t xml:space="preserve"> 10.78 </t>
  </si>
  <si>
    <t>7.96</t>
  </si>
  <si>
    <t xml:space="preserve"> 11.85 </t>
  </si>
  <si>
    <t>8.67</t>
  </si>
  <si>
    <t xml:space="preserve"> 12.91 </t>
  </si>
  <si>
    <t>9.32</t>
  </si>
  <si>
    <t xml:space="preserve"> 13.89 </t>
  </si>
  <si>
    <t xml:space="preserve"> 14.91 </t>
  </si>
  <si>
    <t>0.237</t>
  </si>
  <si>
    <t xml:space="preserve"> 6.02 </t>
  </si>
  <si>
    <t>10.80</t>
  </si>
  <si>
    <t xml:space="preserve"> 16.08 </t>
  </si>
  <si>
    <t>11.36</t>
  </si>
  <si>
    <t xml:space="preserve"> 16.91 </t>
  </si>
  <si>
    <t>12.67</t>
  </si>
  <si>
    <t xml:space="preserve"> 18.87 </t>
  </si>
  <si>
    <t xml:space="preserve"> 7.92 </t>
  </si>
  <si>
    <t>13.97</t>
  </si>
  <si>
    <t xml:space="preserve"> 20.78 </t>
  </si>
  <si>
    <t xml:space="preserve"> 8.56 </t>
  </si>
  <si>
    <t>15.00</t>
  </si>
  <si>
    <t xml:space="preserve"> 22.32 </t>
  </si>
  <si>
    <t>19.02</t>
  </si>
  <si>
    <t xml:space="preserve"> 28.32 </t>
  </si>
  <si>
    <t xml:space="preserve"> 13.49 </t>
  </si>
  <si>
    <t>22.53</t>
  </si>
  <si>
    <t xml:space="preserve"> 33.54 </t>
  </si>
  <si>
    <t>0.674</t>
  </si>
  <si>
    <t xml:space="preserve"> 17.12 </t>
  </si>
  <si>
    <t>27.57</t>
  </si>
  <si>
    <t xml:space="preserve"> 41.03 </t>
  </si>
  <si>
    <t>5 (125)</t>
  </si>
  <si>
    <t xml:space="preserve"> 141.3 </t>
  </si>
  <si>
    <t xml:space="preserve"> 7.24 </t>
  </si>
  <si>
    <t>6.36</t>
  </si>
  <si>
    <t xml:space="preserve"> 9.46 </t>
  </si>
  <si>
    <t>7.27</t>
  </si>
  <si>
    <t xml:space="preserve"> 10.83 </t>
  </si>
  <si>
    <t>0.134</t>
  </si>
  <si>
    <t xml:space="preserve"> 3.40 </t>
  </si>
  <si>
    <t>7.78</t>
  </si>
  <si>
    <t xml:space="preserve"> 11.56 </t>
  </si>
  <si>
    <t>9.02</t>
  </si>
  <si>
    <t xml:space="preserve"> 13.41 </t>
  </si>
  <si>
    <t xml:space="preserve"> 16.09 </t>
  </si>
  <si>
    <t>12.51</t>
  </si>
  <si>
    <t xml:space="preserve"> 18.61 </t>
  </si>
  <si>
    <t xml:space="preserve"> 6.55 </t>
  </si>
  <si>
    <t>14.63</t>
  </si>
  <si>
    <t xml:space="preserve"> 21.77 </t>
  </si>
  <si>
    <t>15.87</t>
  </si>
  <si>
    <t xml:space="preserve"> 23.62 </t>
  </si>
  <si>
    <t>17.51</t>
  </si>
  <si>
    <t xml:space="preserve"> 26.05 </t>
  </si>
  <si>
    <t>19.19</t>
  </si>
  <si>
    <t xml:space="preserve"> 28.57 </t>
  </si>
  <si>
    <t>20.80</t>
  </si>
  <si>
    <t xml:space="preserve"> 30.97 </t>
  </si>
  <si>
    <t>0.500</t>
  </si>
  <si>
    <t xml:space="preserve"> 12.70 </t>
  </si>
  <si>
    <t>27.06</t>
  </si>
  <si>
    <t xml:space="preserve"> 40.28 </t>
  </si>
  <si>
    <t>0.625</t>
  </si>
  <si>
    <t xml:space="preserve"> 15.88 </t>
  </si>
  <si>
    <t>32.99</t>
  </si>
  <si>
    <t xml:space="preserve"> 49.12 </t>
  </si>
  <si>
    <t>0.750</t>
  </si>
  <si>
    <t xml:space="preserve"> 19.05 </t>
  </si>
  <si>
    <t>38.59</t>
  </si>
  <si>
    <t xml:space="preserve"> 57.43 </t>
  </si>
  <si>
    <t>6 (150)</t>
  </si>
  <si>
    <t xml:space="preserve"> 168.3 </t>
  </si>
  <si>
    <t>7.59</t>
  </si>
  <si>
    <t xml:space="preserve"> 11.31 </t>
  </si>
  <si>
    <t xml:space="preserve"> 12.95 </t>
  </si>
  <si>
    <t xml:space="preserve"> 13.83 </t>
  </si>
  <si>
    <t>9.77</t>
  </si>
  <si>
    <t xml:space="preserve"> 14.54 </t>
  </si>
  <si>
    <t>10.79</t>
  </si>
  <si>
    <t xml:space="preserve"> 16.05 </t>
  </si>
  <si>
    <t>11.87</t>
  </si>
  <si>
    <t xml:space="preserve"> 17.67 </t>
  </si>
  <si>
    <t>12.94</t>
  </si>
  <si>
    <t xml:space="preserve"> 19.28 </t>
  </si>
  <si>
    <t>13.94</t>
  </si>
  <si>
    <t xml:space="preserve"> 20.76 </t>
  </si>
  <si>
    <t xml:space="preserve"> 22.31 </t>
  </si>
  <si>
    <t>17.04</t>
  </si>
  <si>
    <t xml:space="preserve"> 25.36 </t>
  </si>
  <si>
    <t>0.280</t>
  </si>
  <si>
    <t xml:space="preserve"> 7.11 </t>
  </si>
  <si>
    <t>18.99</t>
  </si>
  <si>
    <t xml:space="preserve"> 28.26 </t>
  </si>
  <si>
    <t>21.06</t>
  </si>
  <si>
    <t xml:space="preserve"> 31.33 </t>
  </si>
  <si>
    <t>23.10</t>
  </si>
  <si>
    <t xml:space="preserve"> 34.39 </t>
  </si>
  <si>
    <t>25.05</t>
  </si>
  <si>
    <t xml:space="preserve"> 37.31 </t>
  </si>
  <si>
    <t xml:space="preserve"> 10.97 </t>
  </si>
  <si>
    <t>28.60</t>
  </si>
  <si>
    <t xml:space="preserve"> 42.56 </t>
  </si>
  <si>
    <t>32.74</t>
  </si>
  <si>
    <t xml:space="preserve"> 48.73 </t>
  </si>
  <si>
    <t>0.562</t>
  </si>
  <si>
    <t xml:space="preserve"> 14.27 </t>
  </si>
  <si>
    <t>36.43</t>
  </si>
  <si>
    <t xml:space="preserve"> 54.21 </t>
  </si>
  <si>
    <t>40.09</t>
  </si>
  <si>
    <t xml:space="preserve"> 59.69 </t>
  </si>
  <si>
    <t>0.719</t>
  </si>
  <si>
    <t xml:space="preserve"> 18.26 </t>
  </si>
  <si>
    <t>45.39</t>
  </si>
  <si>
    <t xml:space="preserve"> 67.57 </t>
  </si>
  <si>
    <t>47.10</t>
  </si>
  <si>
    <t xml:space="preserve"> 70.12 </t>
  </si>
  <si>
    <t>0.864</t>
  </si>
  <si>
    <t xml:space="preserve"> 21.95 </t>
  </si>
  <si>
    <t>53.21</t>
  </si>
  <si>
    <t xml:space="preserve"> 79.22 </t>
  </si>
  <si>
    <t>0.875</t>
  </si>
  <si>
    <t xml:space="preserve"> 22.23 </t>
  </si>
  <si>
    <t>53.78</t>
  </si>
  <si>
    <t xml:space="preserve"> 80.08 </t>
  </si>
  <si>
    <t>8 (200)</t>
  </si>
  <si>
    <t>200</t>
  </si>
  <si>
    <t xml:space="preserve"> 219.1 </t>
  </si>
  <si>
    <t>9.92</t>
  </si>
  <si>
    <t xml:space="preserve"> 14.78 </t>
  </si>
  <si>
    <t xml:space="preserve"> 16.93 </t>
  </si>
  <si>
    <t>0.148</t>
  </si>
  <si>
    <t xml:space="preserve"> 3.76 </t>
  </si>
  <si>
    <t>13.41</t>
  </si>
  <si>
    <t xml:space="preserve"> 19.97 </t>
  </si>
  <si>
    <t xml:space="preserve"> 21.01 </t>
  </si>
  <si>
    <t>16.96</t>
  </si>
  <si>
    <t xml:space="preserve"> 25.26 </t>
  </si>
  <si>
    <t>18.28</t>
  </si>
  <si>
    <t xml:space="preserve"> 27.22 </t>
  </si>
  <si>
    <t>19.68</t>
  </si>
  <si>
    <t xml:space="preserve"> 29.28 </t>
  </si>
  <si>
    <t>22.38</t>
  </si>
  <si>
    <t xml:space="preserve"> 33.32 </t>
  </si>
  <si>
    <t xml:space="preserve"> 7.04 </t>
  </si>
  <si>
    <t>24.72</t>
  </si>
  <si>
    <t xml:space="preserve"> 36.82 </t>
  </si>
  <si>
    <t>27.73</t>
  </si>
  <si>
    <t xml:space="preserve"> 41.25 </t>
  </si>
  <si>
    <t xml:space="preserve"> 8.18 </t>
  </si>
  <si>
    <t>28.58</t>
  </si>
  <si>
    <t xml:space="preserve"> 42.55 </t>
  </si>
  <si>
    <t>30.45</t>
  </si>
  <si>
    <t xml:space="preserve"> 45.34 </t>
  </si>
  <si>
    <t>33.07</t>
  </si>
  <si>
    <t xml:space="preserve"> 49.25 </t>
  </si>
  <si>
    <t>0.406</t>
  </si>
  <si>
    <t xml:space="preserve"> 10.31 </t>
  </si>
  <si>
    <t>35.67</t>
  </si>
  <si>
    <t xml:space="preserve"> 53.09 </t>
  </si>
  <si>
    <t>38.33</t>
  </si>
  <si>
    <t xml:space="preserve"> 57.08 </t>
  </si>
  <si>
    <t>43.43</t>
  </si>
  <si>
    <t xml:space="preserve"> 64.64 </t>
  </si>
  <si>
    <t>48.44</t>
  </si>
  <si>
    <t xml:space="preserve"> 72.08 </t>
  </si>
  <si>
    <t>0.594</t>
  </si>
  <si>
    <t xml:space="preserve"> 15.09 </t>
  </si>
  <si>
    <t>51.00</t>
  </si>
  <si>
    <t xml:space="preserve"> 75.92 </t>
  </si>
  <si>
    <t>53.45</t>
  </si>
  <si>
    <t xml:space="preserve"> 79.59 </t>
  </si>
  <si>
    <t>60.77</t>
  </si>
  <si>
    <t xml:space="preserve"> 90.44 </t>
  </si>
  <si>
    <t>63.14</t>
  </si>
  <si>
    <t xml:space="preserve"> 93.98 </t>
  </si>
  <si>
    <t>0.812</t>
  </si>
  <si>
    <t xml:space="preserve"> 20.62 </t>
  </si>
  <si>
    <t>67.82</t>
  </si>
  <si>
    <t xml:space="preserve"> 100.93 </t>
  </si>
  <si>
    <t>72.49</t>
  </si>
  <si>
    <t xml:space="preserve"> 107.93 </t>
  </si>
  <si>
    <t>0.906</t>
  </si>
  <si>
    <t xml:space="preserve"> 23.01 </t>
  </si>
  <si>
    <t>74.76</t>
  </si>
  <si>
    <t xml:space="preserve"> 111.27 </t>
  </si>
  <si>
    <t xml:space="preserve"> 25.40 </t>
  </si>
  <si>
    <t>81.51</t>
  </si>
  <si>
    <t xml:space="preserve"> 121.33 </t>
  </si>
  <si>
    <t>10 (250)</t>
  </si>
  <si>
    <t>250</t>
  </si>
  <si>
    <t xml:space="preserve"> 273.0 </t>
  </si>
  <si>
    <t>15.21</t>
  </si>
  <si>
    <t xml:space="preserve"> 22.61 </t>
  </si>
  <si>
    <t>17.67</t>
  </si>
  <si>
    <t xml:space="preserve"> 26.27 </t>
  </si>
  <si>
    <t>0.165</t>
  </si>
  <si>
    <t xml:space="preserve"> 4.19 </t>
  </si>
  <si>
    <t>18.67</t>
  </si>
  <si>
    <t xml:space="preserve"> 27.78 </t>
  </si>
  <si>
    <t>21.23</t>
  </si>
  <si>
    <t xml:space="preserve"> 31.62 </t>
  </si>
  <si>
    <t>22.89</t>
  </si>
  <si>
    <t xml:space="preserve"> 34.08 </t>
  </si>
  <si>
    <t>24.65</t>
  </si>
  <si>
    <t xml:space="preserve"> 36.67 </t>
  </si>
  <si>
    <t>28.06</t>
  </si>
  <si>
    <t xml:space="preserve"> 41.76 </t>
  </si>
  <si>
    <t xml:space="preserve"> 7.09 </t>
  </si>
  <si>
    <t>31.23</t>
  </si>
  <si>
    <t xml:space="preserve"> 46.49 </t>
  </si>
  <si>
    <t xml:space="preserve"> 7.80 </t>
  </si>
  <si>
    <t>34.27</t>
  </si>
  <si>
    <t xml:space="preserve"> 51.01 </t>
  </si>
  <si>
    <t>38.27</t>
  </si>
  <si>
    <t xml:space="preserve"> 56.96 </t>
  </si>
  <si>
    <t xml:space="preserve"> 9.27 </t>
  </si>
  <si>
    <t>40.52</t>
  </si>
  <si>
    <t xml:space="preserve"> 60.29 </t>
  </si>
  <si>
    <t>48.28</t>
  </si>
  <si>
    <t xml:space="preserve"> 71.88 </t>
  </si>
  <si>
    <t>54.79</t>
  </si>
  <si>
    <t xml:space="preserve"> 81.53 </t>
  </si>
  <si>
    <t>61.21</t>
  </si>
  <si>
    <t xml:space="preserve"> 91.05 </t>
  </si>
  <si>
    <t>64.49</t>
  </si>
  <si>
    <t xml:space="preserve"> 95.98 </t>
  </si>
  <si>
    <t>67.65</t>
  </si>
  <si>
    <t xml:space="preserve"> 100.69 </t>
  </si>
  <si>
    <t>77.10</t>
  </si>
  <si>
    <t xml:space="preserve"> 114.71 </t>
  </si>
  <si>
    <t>86.26</t>
  </si>
  <si>
    <t xml:space="preserve"> 128.34 </t>
  </si>
  <si>
    <t>0.844</t>
  </si>
  <si>
    <t xml:space="preserve"> 21.44 </t>
  </si>
  <si>
    <t>89.38</t>
  </si>
  <si>
    <t xml:space="preserve"> 133.01 </t>
  </si>
  <si>
    <t>92.37</t>
  </si>
  <si>
    <t xml:space="preserve"> 137.48 </t>
  </si>
  <si>
    <t>0.938</t>
  </si>
  <si>
    <t xml:space="preserve"> 23.83 </t>
  </si>
  <si>
    <t>98.39</t>
  </si>
  <si>
    <t xml:space="preserve"> 146.43 </t>
  </si>
  <si>
    <t>104.23</t>
  </si>
  <si>
    <t xml:space="preserve"> 155.10 </t>
  </si>
  <si>
    <t xml:space="preserve"> 28.58 </t>
  </si>
  <si>
    <t>115.75</t>
  </si>
  <si>
    <t xml:space="preserve"> 172.27 </t>
  </si>
  <si>
    <t xml:space="preserve"> 31.75 </t>
  </si>
  <si>
    <t>126.94</t>
  </si>
  <si>
    <t xml:space="preserve"> 188.90 </t>
  </si>
  <si>
    <t>12 (300)</t>
  </si>
  <si>
    <t xml:space="preserve"> 323.8 </t>
  </si>
  <si>
    <t>21.00</t>
  </si>
  <si>
    <t xml:space="preserve"> 31.24 </t>
  </si>
  <si>
    <t>23.13</t>
  </si>
  <si>
    <t xml:space="preserve"> 34.43 </t>
  </si>
  <si>
    <t>0.180</t>
  </si>
  <si>
    <t xml:space="preserve"> 4.57 </t>
  </si>
  <si>
    <t>24.19</t>
  </si>
  <si>
    <t xml:space="preserve"> 35.98 </t>
  </si>
  <si>
    <t>25.25</t>
  </si>
  <si>
    <t xml:space="preserve"> 37.61 </t>
  </si>
  <si>
    <t>27.23</t>
  </si>
  <si>
    <t xml:space="preserve"> 40.55 </t>
  </si>
  <si>
    <t>29.34</t>
  </si>
  <si>
    <t xml:space="preserve"> 43.64 </t>
  </si>
  <si>
    <t>33.41</t>
  </si>
  <si>
    <t xml:space="preserve"> 49.71 </t>
  </si>
  <si>
    <t>37.46</t>
  </si>
  <si>
    <t xml:space="preserve"> 55.76 </t>
  </si>
  <si>
    <t>41.48</t>
  </si>
  <si>
    <t xml:space="preserve"> 61.70 </t>
  </si>
  <si>
    <t xml:space="preserve"> 8.38 </t>
  </si>
  <si>
    <t>43.81</t>
  </si>
  <si>
    <t xml:space="preserve"> 65.19 </t>
  </si>
  <si>
    <t>45.62</t>
  </si>
  <si>
    <t xml:space="preserve"> 67.91 </t>
  </si>
  <si>
    <t>49.61</t>
  </si>
  <si>
    <t xml:space="preserve"> 73.86 </t>
  </si>
  <si>
    <t>53.57</t>
  </si>
  <si>
    <t xml:space="preserve"> 79.71 </t>
  </si>
  <si>
    <t>57.65</t>
  </si>
  <si>
    <t xml:space="preserve"> 85.82 </t>
  </si>
  <si>
    <t>65.48</t>
  </si>
  <si>
    <t xml:space="preserve"> 97.44 </t>
  </si>
  <si>
    <t>73.22</t>
  </si>
  <si>
    <t xml:space="preserve"> 108.93 </t>
  </si>
  <si>
    <t>81.01</t>
  </si>
  <si>
    <t xml:space="preserve"> 120.59 </t>
  </si>
  <si>
    <t>0.688</t>
  </si>
  <si>
    <t xml:space="preserve"> 17.48 </t>
  </si>
  <si>
    <t>88.71</t>
  </si>
  <si>
    <t xml:space="preserve"> 132.05 </t>
  </si>
  <si>
    <t>96.21</t>
  </si>
  <si>
    <t xml:space="preserve"> 143.17 </t>
  </si>
  <si>
    <t>103.63</t>
  </si>
  <si>
    <t xml:space="preserve"> 154.17 </t>
  </si>
  <si>
    <t>107.42</t>
  </si>
  <si>
    <t xml:space="preserve"> 159.87 </t>
  </si>
  <si>
    <t>111.08</t>
  </si>
  <si>
    <t xml:space="preserve"> 165.33 </t>
  </si>
  <si>
    <t>118.44</t>
  </si>
  <si>
    <t xml:space="preserve"> 176.29 </t>
  </si>
  <si>
    <t>125.61</t>
  </si>
  <si>
    <t xml:space="preserve"> 186.92 </t>
  </si>
  <si>
    <t xml:space="preserve"> 26.97 </t>
  </si>
  <si>
    <t>132.69</t>
  </si>
  <si>
    <t xml:space="preserve"> 197.43 </t>
  </si>
  <si>
    <t>139.81</t>
  </si>
  <si>
    <t xml:space="preserve"> 208.08 </t>
  </si>
  <si>
    <t>153.67</t>
  </si>
  <si>
    <t xml:space="preserve"> 228.68 </t>
  </si>
  <si>
    <t>160.42</t>
  </si>
  <si>
    <t xml:space="preserve"> 238.69 </t>
  </si>
  <si>
    <t>14 (350)</t>
  </si>
  <si>
    <t>350</t>
  </si>
  <si>
    <t>23.09</t>
  </si>
  <si>
    <t xml:space="preserve"> 34.34 </t>
  </si>
  <si>
    <t>27.76</t>
  </si>
  <si>
    <t xml:space="preserve"> 41.36 </t>
  </si>
  <si>
    <t>29.94</t>
  </si>
  <si>
    <t xml:space="preserve"> 44.59 </t>
  </si>
  <si>
    <t>0.210</t>
  </si>
  <si>
    <t xml:space="preserve"> 5.33 </t>
  </si>
  <si>
    <t>30.96</t>
  </si>
  <si>
    <t xml:space="preserve"> 46.04 </t>
  </si>
  <si>
    <t>32.26</t>
  </si>
  <si>
    <t xml:space="preserve"> 48.00 </t>
  </si>
  <si>
    <t>36.75</t>
  </si>
  <si>
    <t xml:space="preserve"> 54.69 </t>
  </si>
  <si>
    <t>41.21</t>
  </si>
  <si>
    <t xml:space="preserve"> 61.36 </t>
  </si>
  <si>
    <t>45.65</t>
  </si>
  <si>
    <t>50.22</t>
  </si>
  <si>
    <t xml:space="preserve"> 74.76 </t>
  </si>
  <si>
    <t>54.62</t>
  </si>
  <si>
    <t xml:space="preserve"> 81.33 </t>
  </si>
  <si>
    <t>59.00</t>
  </si>
  <si>
    <t xml:space="preserve"> 87.79 </t>
  </si>
  <si>
    <t>63.50</t>
  </si>
  <si>
    <t xml:space="preserve"> 94.55 </t>
  </si>
  <si>
    <t xml:space="preserve"> 11.91 </t>
  </si>
  <si>
    <t>67.84</t>
  </si>
  <si>
    <t xml:space="preserve"> 100.95 </t>
  </si>
  <si>
    <t>72.16</t>
  </si>
  <si>
    <t xml:space="preserve"> 107.40 </t>
  </si>
  <si>
    <t>80.73</t>
  </si>
  <si>
    <t xml:space="preserve"> 120.12 </t>
  </si>
  <si>
    <t>85.13</t>
  </si>
  <si>
    <t xml:space="preserve"> 126.72 </t>
  </si>
  <si>
    <t>89.36</t>
  </si>
  <si>
    <t xml:space="preserve"> 133.04 </t>
  </si>
  <si>
    <t>97.91</t>
  </si>
  <si>
    <t xml:space="preserve"> 145.76 </t>
  </si>
  <si>
    <t>106.23</t>
  </si>
  <si>
    <t xml:space="preserve"> 158.11 </t>
  </si>
  <si>
    <t>114.48</t>
  </si>
  <si>
    <t xml:space="preserve"> 170.34 </t>
  </si>
  <si>
    <t>122.77</t>
  </si>
  <si>
    <t xml:space="preserve"> 182.76 </t>
  </si>
  <si>
    <t>130.98</t>
  </si>
  <si>
    <t xml:space="preserve"> 194.98 </t>
  </si>
  <si>
    <t>138.97</t>
  </si>
  <si>
    <t xml:space="preserve"> 206.84 </t>
  </si>
  <si>
    <t>146.88</t>
  </si>
  <si>
    <t xml:space="preserve"> 218.58 </t>
  </si>
  <si>
    <t xml:space="preserve"> 27.79 </t>
  </si>
  <si>
    <t>150.93</t>
  </si>
  <si>
    <t xml:space="preserve"> 224.66 </t>
  </si>
  <si>
    <t>154.84</t>
  </si>
  <si>
    <t xml:space="preserve"> 230.49 </t>
  </si>
  <si>
    <t>170.37</t>
  </si>
  <si>
    <t xml:space="preserve"> 253.58 </t>
  </si>
  <si>
    <t xml:space="preserve"> 35.71 </t>
  </si>
  <si>
    <t>189.29</t>
  </si>
  <si>
    <t xml:space="preserve"> 281.72 </t>
  </si>
  <si>
    <t xml:space="preserve"> 50.80 </t>
  </si>
  <si>
    <t>256.56</t>
  </si>
  <si>
    <t xml:space="preserve"> 381.85 </t>
  </si>
  <si>
    <t xml:space="preserve"> 53.98 </t>
  </si>
  <si>
    <t>269.76</t>
  </si>
  <si>
    <t xml:space="preserve"> 401.52 </t>
  </si>
  <si>
    <t xml:space="preserve"> 55.88 </t>
  </si>
  <si>
    <t>277.51</t>
  </si>
  <si>
    <t xml:space="preserve"> 413.04 </t>
  </si>
  <si>
    <t xml:space="preserve"> 63.50 </t>
  </si>
  <si>
    <t>307.34</t>
  </si>
  <si>
    <t xml:space="preserve"> 457.43 </t>
  </si>
  <si>
    <t>16 (400)</t>
  </si>
  <si>
    <t>400</t>
  </si>
  <si>
    <t xml:space="preserve"> 406.4 </t>
  </si>
  <si>
    <t xml:space="preserve"> 41.56 </t>
  </si>
  <si>
    <t>31.78</t>
  </si>
  <si>
    <t xml:space="preserve"> 47.34 </t>
  </si>
  <si>
    <t>34.28</t>
  </si>
  <si>
    <t xml:space="preserve"> 51.06 </t>
  </si>
  <si>
    <t>36.95</t>
  </si>
  <si>
    <t xml:space="preserve"> 54.96 </t>
  </si>
  <si>
    <t>42.09</t>
  </si>
  <si>
    <t xml:space="preserve"> 62.65 </t>
  </si>
  <si>
    <t>47.22</t>
  </si>
  <si>
    <t xml:space="preserve"> 70.30 </t>
  </si>
  <si>
    <t>52.32</t>
  </si>
  <si>
    <t xml:space="preserve"> 77.83 </t>
  </si>
  <si>
    <t>57.57</t>
  </si>
  <si>
    <t xml:space="preserve"> 85.71 </t>
  </si>
  <si>
    <t>62.64</t>
  </si>
  <si>
    <t xml:space="preserve"> 93.27 </t>
  </si>
  <si>
    <t>67.68</t>
  </si>
  <si>
    <t xml:space="preserve"> 100.71 </t>
  </si>
  <si>
    <t>72.86</t>
  </si>
  <si>
    <t xml:space="preserve"> 108.49 </t>
  </si>
  <si>
    <t>77.87</t>
  </si>
  <si>
    <t xml:space="preserve"> 115.87 </t>
  </si>
  <si>
    <t>82.85</t>
  </si>
  <si>
    <t xml:space="preserve"> 123.31 </t>
  </si>
  <si>
    <t>92.75</t>
  </si>
  <si>
    <t xml:space="preserve"> 138.00 </t>
  </si>
  <si>
    <t>102.72</t>
  </si>
  <si>
    <t xml:space="preserve"> 152.94 </t>
  </si>
  <si>
    <t>0.656</t>
  </si>
  <si>
    <t xml:space="preserve"> 16.66 </t>
  </si>
  <si>
    <t>107.60</t>
  </si>
  <si>
    <t xml:space="preserve"> 160.13 </t>
  </si>
  <si>
    <t>112.62</t>
  </si>
  <si>
    <t xml:space="preserve"> 167.66 </t>
  </si>
  <si>
    <t>122.27</t>
  </si>
  <si>
    <t xml:space="preserve"> 181.98 </t>
  </si>
  <si>
    <t>131.84</t>
  </si>
  <si>
    <t xml:space="preserve"> 196.18 </t>
  </si>
  <si>
    <t>136.74</t>
  </si>
  <si>
    <t xml:space="preserve"> 203.54 </t>
  </si>
  <si>
    <t>141.48</t>
  </si>
  <si>
    <t xml:space="preserve"> 210.61 </t>
  </si>
  <si>
    <t>151.03</t>
  </si>
  <si>
    <t xml:space="preserve"> 224.83 </t>
  </si>
  <si>
    <t>160.35</t>
  </si>
  <si>
    <t xml:space="preserve"> 238.66 </t>
  </si>
  <si>
    <t xml:space="preserve"> 26.19 </t>
  </si>
  <si>
    <t>164.98</t>
  </si>
  <si>
    <t xml:space="preserve"> 245.57 </t>
  </si>
  <si>
    <t>169.59</t>
  </si>
  <si>
    <t xml:space="preserve"> 252.37 </t>
  </si>
  <si>
    <t>178.89</t>
  </si>
  <si>
    <t xml:space="preserve"> 266.30 </t>
  </si>
  <si>
    <t xml:space="preserve"> 30.18 </t>
  </si>
  <si>
    <t>188.11</t>
  </si>
  <si>
    <t xml:space="preserve"> 280.01 </t>
  </si>
  <si>
    <t xml:space="preserve"> 30.96 </t>
  </si>
  <si>
    <t>192.61</t>
  </si>
  <si>
    <t xml:space="preserve"> 286.66 </t>
  </si>
  <si>
    <t>197.10</t>
  </si>
  <si>
    <t xml:space="preserve"> 293.35 </t>
  </si>
  <si>
    <t xml:space="preserve"> 36.53 </t>
  </si>
  <si>
    <t>223.85</t>
  </si>
  <si>
    <t xml:space="preserve"> 333.21 </t>
  </si>
  <si>
    <t xml:space="preserve"> 40.49 </t>
  </si>
  <si>
    <t>245.48</t>
  </si>
  <si>
    <t xml:space="preserve"> 365.38 </t>
  </si>
  <si>
    <t>18 (450)</t>
  </si>
  <si>
    <t>450</t>
  </si>
  <si>
    <t>31.46</t>
  </si>
  <si>
    <t xml:space="preserve"> 46.79 </t>
  </si>
  <si>
    <t>35.80</t>
  </si>
  <si>
    <t xml:space="preserve"> 53.31 </t>
  </si>
  <si>
    <t>41.63</t>
  </si>
  <si>
    <t xml:space="preserve"> 61.90 </t>
  </si>
  <si>
    <t>47.44</t>
  </si>
  <si>
    <t xml:space="preserve"> 70.57 </t>
  </si>
  <si>
    <t>53.23</t>
  </si>
  <si>
    <t xml:space="preserve"> 79.21 </t>
  </si>
  <si>
    <t>58.99</t>
  </si>
  <si>
    <t xml:space="preserve"> 87.71 </t>
  </si>
  <si>
    <t>64.93</t>
  </si>
  <si>
    <t xml:space="preserve"> 96.62 </t>
  </si>
  <si>
    <t>70.65</t>
  </si>
  <si>
    <t xml:space="preserve"> 105.17 </t>
  </si>
  <si>
    <t>76.36</t>
  </si>
  <si>
    <t xml:space="preserve"> 113.58 </t>
  </si>
  <si>
    <t>82.23</t>
  </si>
  <si>
    <t xml:space="preserve"> 122.38 </t>
  </si>
  <si>
    <t>87.89</t>
  </si>
  <si>
    <t xml:space="preserve"> 130.73 </t>
  </si>
  <si>
    <t>93.54</t>
  </si>
  <si>
    <t xml:space="preserve"> 139.16 </t>
  </si>
  <si>
    <t>104.76</t>
  </si>
  <si>
    <t xml:space="preserve"> 155.81 </t>
  </si>
  <si>
    <t>116.09</t>
  </si>
  <si>
    <t xml:space="preserve"> 172.75 </t>
  </si>
  <si>
    <t>127.32</t>
  </si>
  <si>
    <t xml:space="preserve"> 189.47 </t>
  </si>
  <si>
    <t>138.30</t>
  </si>
  <si>
    <t xml:space="preserve"> 205.75 </t>
  </si>
  <si>
    <t>149.20</t>
  </si>
  <si>
    <t xml:space="preserve"> 221.91 </t>
  </si>
  <si>
    <t>160.18</t>
  </si>
  <si>
    <t xml:space="preserve"> 238.35 </t>
  </si>
  <si>
    <t>171.08</t>
  </si>
  <si>
    <t xml:space="preserve"> 254.57 </t>
  </si>
  <si>
    <t>181.73</t>
  </si>
  <si>
    <t xml:space="preserve"> 270.36 </t>
  </si>
  <si>
    <t>192.29</t>
  </si>
  <si>
    <t xml:space="preserve"> 286.02 </t>
  </si>
  <si>
    <t>202.94</t>
  </si>
  <si>
    <t xml:space="preserve"> 301.96 </t>
  </si>
  <si>
    <t xml:space="preserve"> 29.36 </t>
  </si>
  <si>
    <t>208.15</t>
  </si>
  <si>
    <t xml:space="preserve"> 309.64 </t>
  </si>
  <si>
    <t>213.51</t>
  </si>
  <si>
    <t xml:space="preserve"> 317.68 </t>
  </si>
  <si>
    <t>223.82</t>
  </si>
  <si>
    <t xml:space="preserve"> 332.97 </t>
  </si>
  <si>
    <t xml:space="preserve"> 34.93 </t>
  </si>
  <si>
    <t>244.37</t>
  </si>
  <si>
    <t xml:space="preserve"> 363.58 </t>
  </si>
  <si>
    <t xml:space="preserve"> 39.67 </t>
  </si>
  <si>
    <t>274.48</t>
  </si>
  <si>
    <t xml:space="preserve"> 408.28 </t>
  </si>
  <si>
    <t xml:space="preserve"> 45.24 </t>
  </si>
  <si>
    <t>308.79</t>
  </si>
  <si>
    <t xml:space="preserve"> 459.39 </t>
  </si>
  <si>
    <t>20 (500)</t>
  </si>
  <si>
    <t>500</t>
  </si>
  <si>
    <t>39.82</t>
  </si>
  <si>
    <t xml:space="preserve"> 59.32 </t>
  </si>
  <si>
    <t>46.31</t>
  </si>
  <si>
    <t xml:space="preserve"> 68.89 </t>
  </si>
  <si>
    <t>52.78</t>
  </si>
  <si>
    <t xml:space="preserve"> 78.56 </t>
  </si>
  <si>
    <t>59.23</t>
  </si>
  <si>
    <t xml:space="preserve"> 88.19 </t>
  </si>
  <si>
    <t>65.66</t>
  </si>
  <si>
    <t xml:space="preserve"> 97.68 </t>
  </si>
  <si>
    <t>72.28</t>
  </si>
  <si>
    <t xml:space="preserve"> 107.61 </t>
  </si>
  <si>
    <t>78.67</t>
  </si>
  <si>
    <t xml:space="preserve"> 117.15 </t>
  </si>
  <si>
    <t>85.04</t>
  </si>
  <si>
    <t xml:space="preserve"> 126.54 </t>
  </si>
  <si>
    <t>91.59</t>
  </si>
  <si>
    <t xml:space="preserve"> 136.38 </t>
  </si>
  <si>
    <t>97.92</t>
  </si>
  <si>
    <t xml:space="preserve"> 145.71 </t>
  </si>
  <si>
    <t xml:space="preserve"> 155.13 </t>
  </si>
  <si>
    <t>116.78</t>
  </si>
  <si>
    <t xml:space="preserve"> 173.75 </t>
  </si>
  <si>
    <t>123.23</t>
  </si>
  <si>
    <t xml:space="preserve"> 183.43 </t>
  </si>
  <si>
    <t>129.45</t>
  </si>
  <si>
    <t xml:space="preserve"> 192.73 </t>
  </si>
  <si>
    <t>142.03</t>
  </si>
  <si>
    <t xml:space="preserve"> 211.45 </t>
  </si>
  <si>
    <t>154.34</t>
  </si>
  <si>
    <t xml:space="preserve"> 229.71 </t>
  </si>
  <si>
    <t>166.56</t>
  </si>
  <si>
    <t xml:space="preserve"> 247.84 </t>
  </si>
  <si>
    <t xml:space="preserve"> 266.31 </t>
  </si>
  <si>
    <t>191.14</t>
  </si>
  <si>
    <t xml:space="preserve"> 284.54 </t>
  </si>
  <si>
    <t>203.11</t>
  </si>
  <si>
    <t xml:space="preserve"> 302.30 </t>
  </si>
  <si>
    <t>209.06</t>
  </si>
  <si>
    <t xml:space="preserve"> 311.19 </t>
  </si>
  <si>
    <t>215.00</t>
  </si>
  <si>
    <t xml:space="preserve"> 319.94 </t>
  </si>
  <si>
    <t>227.00</t>
  </si>
  <si>
    <t xml:space="preserve"> 337.91 </t>
  </si>
  <si>
    <t>238.91</t>
  </si>
  <si>
    <t xml:space="preserve"> 355.63 </t>
  </si>
  <si>
    <t>250.55</t>
  </si>
  <si>
    <t xml:space="preserve"> 372.91 </t>
  </si>
  <si>
    <t xml:space="preserve"> 32.54 </t>
  </si>
  <si>
    <t>256.34</t>
  </si>
  <si>
    <t xml:space="preserve"> 381.55 </t>
  </si>
  <si>
    <t>262.10</t>
  </si>
  <si>
    <t xml:space="preserve"> 390.05 </t>
  </si>
  <si>
    <t>273.76</t>
  </si>
  <si>
    <t xml:space="preserve"> 407.51 </t>
  </si>
  <si>
    <t xml:space="preserve"> 38.10 </t>
  </si>
  <si>
    <t>296.65</t>
  </si>
  <si>
    <t xml:space="preserve"> 441.52 </t>
  </si>
  <si>
    <t xml:space="preserve"> 44.45 </t>
  </si>
  <si>
    <t>341.41</t>
  </si>
  <si>
    <t xml:space="preserve"> 508.15 </t>
  </si>
  <si>
    <t xml:space="preserve"> 50.01 </t>
  </si>
  <si>
    <t>379.53</t>
  </si>
  <si>
    <t xml:space="preserve"> 564.85 </t>
  </si>
  <si>
    <t>22 (550)</t>
  </si>
  <si>
    <t>550</t>
  </si>
  <si>
    <t>43.84</t>
  </si>
  <si>
    <t xml:space="preserve"> 65.33 </t>
  </si>
  <si>
    <t>50.99</t>
  </si>
  <si>
    <t xml:space="preserve"> 75.89 </t>
  </si>
  <si>
    <t>58.13</t>
  </si>
  <si>
    <t xml:space="preserve"> 86.55 </t>
  </si>
  <si>
    <t>65.24</t>
  </si>
  <si>
    <t xml:space="preserve"> 97.17 </t>
  </si>
  <si>
    <t>72.34</t>
  </si>
  <si>
    <t xml:space="preserve"> 107.64 </t>
  </si>
  <si>
    <t>79.64</t>
  </si>
  <si>
    <t xml:space="preserve"> 118.60 </t>
  </si>
  <si>
    <t>86.69</t>
  </si>
  <si>
    <t xml:space="preserve"> 129.14 </t>
  </si>
  <si>
    <t>93.72</t>
  </si>
  <si>
    <t xml:space="preserve"> 139.51 </t>
  </si>
  <si>
    <t>100.96</t>
  </si>
  <si>
    <t xml:space="preserve"> 150.38 </t>
  </si>
  <si>
    <t>107.95</t>
  </si>
  <si>
    <t xml:space="preserve"> 160.69 </t>
  </si>
  <si>
    <t>114.92</t>
  </si>
  <si>
    <t xml:space="preserve"> 171.10 </t>
  </si>
  <si>
    <t>128.79</t>
  </si>
  <si>
    <t xml:space="preserve"> 191.70 </t>
  </si>
  <si>
    <t>142.81</t>
  </si>
  <si>
    <t xml:space="preserve"> 212.70 </t>
  </si>
  <si>
    <t>156.74</t>
  </si>
  <si>
    <t xml:space="preserve"> 233.44 </t>
  </si>
  <si>
    <t xml:space="preserve"> 253.67 </t>
  </si>
  <si>
    <t>183.92</t>
  </si>
  <si>
    <t xml:space="preserve"> 273.78 </t>
  </si>
  <si>
    <t>197.60</t>
  </si>
  <si>
    <t xml:space="preserve"> 294.27 </t>
  </si>
  <si>
    <t>211.19</t>
  </si>
  <si>
    <t xml:space="preserve"> 314.51 </t>
  </si>
  <si>
    <t>224.49</t>
  </si>
  <si>
    <t xml:space="preserve"> 334.25 </t>
  </si>
  <si>
    <t>237.70</t>
  </si>
  <si>
    <t xml:space="preserve"> 353.86 </t>
  </si>
  <si>
    <t>251.05</t>
  </si>
  <si>
    <t xml:space="preserve"> 373.85 </t>
  </si>
  <si>
    <t>264.31</t>
  </si>
  <si>
    <t xml:space="preserve"> 393.59 </t>
  </si>
  <si>
    <t>277.27</t>
  </si>
  <si>
    <t xml:space="preserve"> 412.84 </t>
  </si>
  <si>
    <t>290.15</t>
  </si>
  <si>
    <t xml:space="preserve"> 431.96 </t>
  </si>
  <si>
    <t>303.16</t>
  </si>
  <si>
    <t xml:space="preserve"> 451.45 </t>
  </si>
  <si>
    <t>316.08</t>
  </si>
  <si>
    <t xml:space="preserve"> 470.69 </t>
  </si>
  <si>
    <t>328.72</t>
  </si>
  <si>
    <t xml:space="preserve"> 489.44 </t>
  </si>
  <si>
    <t xml:space="preserve"> 41.28 </t>
  </si>
  <si>
    <t>353.94</t>
  </si>
  <si>
    <t xml:space="preserve"> 527.05 </t>
  </si>
  <si>
    <t xml:space="preserve"> 47.63 </t>
  </si>
  <si>
    <t>403.38</t>
  </si>
  <si>
    <t xml:space="preserve"> 600.67 </t>
  </si>
  <si>
    <t>451.49</t>
  </si>
  <si>
    <t xml:space="preserve"> 672.30 </t>
  </si>
  <si>
    <t>24 (600)</t>
  </si>
  <si>
    <t>55.42</t>
  </si>
  <si>
    <t xml:space="preserve"> 82.58 </t>
  </si>
  <si>
    <t>63.47</t>
  </si>
  <si>
    <t xml:space="preserve"> 94.53 </t>
  </si>
  <si>
    <t>71.25</t>
  </si>
  <si>
    <t xml:space="preserve"> 106.15 </t>
  </si>
  <si>
    <t>79.01</t>
  </si>
  <si>
    <t xml:space="preserve"> 117.60 </t>
  </si>
  <si>
    <t>86.99</t>
  </si>
  <si>
    <t xml:space="preserve"> 129.60 </t>
  </si>
  <si>
    <t>94.71</t>
  </si>
  <si>
    <t xml:space="preserve"> 141.12 </t>
  </si>
  <si>
    <t>102.40</t>
  </si>
  <si>
    <t xml:space="preserve"> 152.48 </t>
  </si>
  <si>
    <t>110.32</t>
  </si>
  <si>
    <t xml:space="preserve"> 164.38 </t>
  </si>
  <si>
    <t>117.98</t>
  </si>
  <si>
    <t xml:space="preserve"> 175.67 </t>
  </si>
  <si>
    <t xml:space="preserve"> 187.07 </t>
  </si>
  <si>
    <t>140.81</t>
  </si>
  <si>
    <t xml:space="preserve"> 209.65 </t>
  </si>
  <si>
    <t>156.17</t>
  </si>
  <si>
    <t xml:space="preserve"> 232.67 </t>
  </si>
  <si>
    <t>171.45</t>
  </si>
  <si>
    <t xml:space="preserve"> 255.43 </t>
  </si>
  <si>
    <t>186.41</t>
  </si>
  <si>
    <t xml:space="preserve"> 277.63 </t>
  </si>
  <si>
    <t>201.28</t>
  </si>
  <si>
    <t xml:space="preserve"> 299.71 </t>
  </si>
  <si>
    <t>216.31</t>
  </si>
  <si>
    <t xml:space="preserve"> 322.23 </t>
  </si>
  <si>
    <t>231.25</t>
  </si>
  <si>
    <t xml:space="preserve"> 344.48 </t>
  </si>
  <si>
    <t>0.969</t>
  </si>
  <si>
    <t xml:space="preserve"> 24.61 </t>
  </si>
  <si>
    <t>238.57</t>
  </si>
  <si>
    <t xml:space="preserve"> 355.28 </t>
  </si>
  <si>
    <t>245.87</t>
  </si>
  <si>
    <t xml:space="preserve"> 366.19 </t>
  </si>
  <si>
    <t>260.41</t>
  </si>
  <si>
    <t xml:space="preserve"> 387.79 </t>
  </si>
  <si>
    <t>275.10</t>
  </si>
  <si>
    <t xml:space="preserve"> 409.80 </t>
  </si>
  <si>
    <t>289.71</t>
  </si>
  <si>
    <t xml:space="preserve"> 431.55 </t>
  </si>
  <si>
    <t>296.86</t>
  </si>
  <si>
    <t xml:space="preserve"> 442.11 </t>
  </si>
  <si>
    <t>304.00</t>
  </si>
  <si>
    <t xml:space="preserve"> 452.77 </t>
  </si>
  <si>
    <t>318.21</t>
  </si>
  <si>
    <t xml:space="preserve"> 473.87 </t>
  </si>
  <si>
    <t>332.56</t>
  </si>
  <si>
    <t xml:space="preserve"> 495.38 </t>
  </si>
  <si>
    <t>346.83</t>
  </si>
  <si>
    <t xml:space="preserve"> 516.63 </t>
  </si>
  <si>
    <t>360.79</t>
  </si>
  <si>
    <t xml:space="preserve"> 537.36 </t>
  </si>
  <si>
    <t xml:space="preserve"> 38.89 </t>
  </si>
  <si>
    <t>367.74</t>
  </si>
  <si>
    <t xml:space="preserve"> 547.74 </t>
  </si>
  <si>
    <t>374.66</t>
  </si>
  <si>
    <t xml:space="preserve"> 557.97 </t>
  </si>
  <si>
    <t xml:space="preserve"> 46.02 </t>
  </si>
  <si>
    <t>429.79</t>
  </si>
  <si>
    <t xml:space="preserve"> 640.07 </t>
  </si>
  <si>
    <t xml:space="preserve"> 52.37 </t>
  </si>
  <si>
    <t>483.57</t>
  </si>
  <si>
    <t xml:space="preserve"> 720.19 </t>
  </si>
  <si>
    <t xml:space="preserve"> 59.54 </t>
  </si>
  <si>
    <t>542.64</t>
  </si>
  <si>
    <t xml:space="preserve"> 808.27 </t>
  </si>
  <si>
    <t>26 (650)</t>
  </si>
  <si>
    <t>650</t>
  </si>
  <si>
    <t>68.82</t>
  </si>
  <si>
    <t xml:space="preserve"> 102.36 </t>
  </si>
  <si>
    <t>77.26</t>
  </si>
  <si>
    <t xml:space="preserve"> 114.96 </t>
  </si>
  <si>
    <t>85.68</t>
  </si>
  <si>
    <t xml:space="preserve"> 127.36 </t>
  </si>
  <si>
    <t>94.35</t>
  </si>
  <si>
    <t xml:space="preserve"> 140.37 </t>
  </si>
  <si>
    <t xml:space="preserve"> 152.88 </t>
  </si>
  <si>
    <t xml:space="preserve"> 165.19 </t>
  </si>
  <si>
    <t>119.69</t>
  </si>
  <si>
    <t xml:space="preserve"> 178.10 </t>
  </si>
  <si>
    <t>128.00</t>
  </si>
  <si>
    <t xml:space="preserve"> 190.36 </t>
  </si>
  <si>
    <t>136.30</t>
  </si>
  <si>
    <t xml:space="preserve"> 202.74 </t>
  </si>
  <si>
    <t>152.83</t>
  </si>
  <si>
    <t xml:space="preserve"> 227.25 </t>
  </si>
  <si>
    <t>169.54</t>
  </si>
  <si>
    <t xml:space="preserve"> 252.25 </t>
  </si>
  <si>
    <t>186.16</t>
  </si>
  <si>
    <t xml:space="preserve"> 276.98 </t>
  </si>
  <si>
    <t>202.44</t>
  </si>
  <si>
    <t xml:space="preserve"> 301.12 </t>
  </si>
  <si>
    <t>218.64</t>
  </si>
  <si>
    <t xml:space="preserve"> 325.14 </t>
  </si>
  <si>
    <t>235.01</t>
  </si>
  <si>
    <t xml:space="preserve"> 349.64 </t>
  </si>
  <si>
    <t>251.30</t>
  </si>
  <si>
    <t xml:space="preserve"> 373.87 </t>
  </si>
  <si>
    <t>267.25</t>
  </si>
  <si>
    <t xml:space="preserve"> 397.51 </t>
  </si>
  <si>
    <t>28 (700)</t>
  </si>
  <si>
    <t>700</t>
  </si>
  <si>
    <t>74.16</t>
  </si>
  <si>
    <t xml:space="preserve"> 110.35 </t>
  </si>
  <si>
    <t>83.26</t>
  </si>
  <si>
    <t xml:space="preserve"> 123.94 </t>
  </si>
  <si>
    <t>92.35</t>
  </si>
  <si>
    <t xml:space="preserve"> 137.32 </t>
  </si>
  <si>
    <t>101.70</t>
  </si>
  <si>
    <t xml:space="preserve"> 151.37 </t>
  </si>
  <si>
    <t>110.74</t>
  </si>
  <si>
    <t xml:space="preserve"> 164.86 </t>
  </si>
  <si>
    <t>119.76</t>
  </si>
  <si>
    <t xml:space="preserve"> 178.16 </t>
  </si>
  <si>
    <t>129.05</t>
  </si>
  <si>
    <t xml:space="preserve"> 192.10 </t>
  </si>
  <si>
    <t>138.03</t>
  </si>
  <si>
    <t xml:space="preserve"> 205.34 </t>
  </si>
  <si>
    <t>146.99</t>
  </si>
  <si>
    <t xml:space="preserve"> 218.71 </t>
  </si>
  <si>
    <t>164.84</t>
  </si>
  <si>
    <t xml:space="preserve"> 245.19 </t>
  </si>
  <si>
    <t>182.90</t>
  </si>
  <si>
    <t xml:space="preserve"> 272.23 </t>
  </si>
  <si>
    <t>200.87</t>
  </si>
  <si>
    <t xml:space="preserve"> 298.96 </t>
  </si>
  <si>
    <t>218.48</t>
  </si>
  <si>
    <t xml:space="preserve"> 325.08 </t>
  </si>
  <si>
    <t>236.00</t>
  </si>
  <si>
    <t xml:space="preserve"> 351.07 </t>
  </si>
  <si>
    <t>253.72</t>
  </si>
  <si>
    <t xml:space="preserve"> 377.60 </t>
  </si>
  <si>
    <t>271.36</t>
  </si>
  <si>
    <t xml:space="preserve"> 403.84 </t>
  </si>
  <si>
    <t>288.63</t>
  </si>
  <si>
    <t xml:space="preserve"> 429.46 </t>
  </si>
  <si>
    <t>30 (750)</t>
  </si>
  <si>
    <t>750</t>
  </si>
  <si>
    <t>79.51</t>
  </si>
  <si>
    <t xml:space="preserve"> 118.34 </t>
  </si>
  <si>
    <t>89.27</t>
  </si>
  <si>
    <t xml:space="preserve"> 132.92 </t>
  </si>
  <si>
    <t>99.02</t>
  </si>
  <si>
    <t xml:space="preserve"> 147.29 </t>
  </si>
  <si>
    <t>109.06</t>
  </si>
  <si>
    <t xml:space="preserve"> 162.36 </t>
  </si>
  <si>
    <t>118.76</t>
  </si>
  <si>
    <t xml:space="preserve"> 176.85 </t>
  </si>
  <si>
    <t>128.44</t>
  </si>
  <si>
    <t xml:space="preserve"> 191.12 </t>
  </si>
  <si>
    <t>138.42</t>
  </si>
  <si>
    <t xml:space="preserve"> 206.10 </t>
  </si>
  <si>
    <t>148.06</t>
  </si>
  <si>
    <t xml:space="preserve"> 220.32 </t>
  </si>
  <si>
    <t>157.68</t>
  </si>
  <si>
    <t xml:space="preserve"> 234.68 </t>
  </si>
  <si>
    <t>176.86</t>
  </si>
  <si>
    <t xml:space="preserve"> 263.14 </t>
  </si>
  <si>
    <t>196.26</t>
  </si>
  <si>
    <t xml:space="preserve"> 292.20 </t>
  </si>
  <si>
    <t>215.58</t>
  </si>
  <si>
    <t xml:space="preserve"> 320.95 </t>
  </si>
  <si>
    <t>234.51</t>
  </si>
  <si>
    <t xml:space="preserve"> 349.04 </t>
  </si>
  <si>
    <t>253.36</t>
  </si>
  <si>
    <t xml:space="preserve"> 377.01 </t>
  </si>
  <si>
    <t>272.43</t>
  </si>
  <si>
    <t xml:space="preserve"> 405.56 </t>
  </si>
  <si>
    <t>291.41</t>
  </si>
  <si>
    <t xml:space="preserve"> 433.81 </t>
  </si>
  <si>
    <t>310.01</t>
  </si>
  <si>
    <t xml:space="preserve"> 461.41 </t>
  </si>
  <si>
    <t>328.53</t>
  </si>
  <si>
    <t xml:space="preserve"> 488.88 </t>
  </si>
  <si>
    <t>347.26</t>
  </si>
  <si>
    <t xml:space="preserve"> 516.93 </t>
  </si>
  <si>
    <t>365.90</t>
  </si>
  <si>
    <t xml:space="preserve"> 544.68 </t>
  </si>
  <si>
    <t>384.17</t>
  </si>
  <si>
    <t xml:space="preserve"> 571.79 </t>
  </si>
  <si>
    <t>32 (800)</t>
  </si>
  <si>
    <t>800</t>
  </si>
  <si>
    <t>84.85</t>
  </si>
  <si>
    <t xml:space="preserve"> 126.32 </t>
  </si>
  <si>
    <t>95.28</t>
  </si>
  <si>
    <t xml:space="preserve"> 141.90 </t>
  </si>
  <si>
    <t>105.69</t>
  </si>
  <si>
    <t xml:space="preserve"> 157.25 </t>
  </si>
  <si>
    <t>116.41</t>
  </si>
  <si>
    <t xml:space="preserve"> 173.35 </t>
  </si>
  <si>
    <t>126.78</t>
  </si>
  <si>
    <t xml:space="preserve"> 188.83 </t>
  </si>
  <si>
    <t>137.12</t>
  </si>
  <si>
    <t xml:space="preserve"> 204.09 </t>
  </si>
  <si>
    <t>147.78</t>
  </si>
  <si>
    <t xml:space="preserve"> 220.10 </t>
  </si>
  <si>
    <t>158.08</t>
  </si>
  <si>
    <t xml:space="preserve"> 235.29 </t>
  </si>
  <si>
    <t>168.37</t>
  </si>
  <si>
    <t xml:space="preserve"> 250.65 </t>
  </si>
  <si>
    <t>188.87</t>
  </si>
  <si>
    <t xml:space="preserve"> 281.09 </t>
  </si>
  <si>
    <t>209.62</t>
  </si>
  <si>
    <t xml:space="preserve"> 312.17 </t>
  </si>
  <si>
    <t>230.29</t>
  </si>
  <si>
    <t xml:space="preserve"> 342.94 </t>
  </si>
  <si>
    <t xml:space="preserve"> 373.00 </t>
  </si>
  <si>
    <t>270.72</t>
  </si>
  <si>
    <t xml:space="preserve"> 402.94 </t>
  </si>
  <si>
    <t>291.14</t>
  </si>
  <si>
    <t xml:space="preserve"> 433.52 </t>
  </si>
  <si>
    <t>311.47</t>
  </si>
  <si>
    <t xml:space="preserve"> 463.78 </t>
  </si>
  <si>
    <t>331.39</t>
  </si>
  <si>
    <t xml:space="preserve"> 493.35 </t>
  </si>
  <si>
    <t>351.23</t>
  </si>
  <si>
    <t xml:space="preserve"> 522.80 </t>
  </si>
  <si>
    <t>371.31</t>
  </si>
  <si>
    <t xml:space="preserve"> 552.88 </t>
  </si>
  <si>
    <t>391.30</t>
  </si>
  <si>
    <t xml:space="preserve"> 582.64 </t>
  </si>
  <si>
    <t>410.90</t>
  </si>
  <si>
    <t xml:space="preserve"> 611.72 </t>
  </si>
  <si>
    <t>34 (850)</t>
  </si>
  <si>
    <t>850</t>
  </si>
  <si>
    <t>90.20</t>
  </si>
  <si>
    <t xml:space="preserve"> 134.31 </t>
  </si>
  <si>
    <t>101.29</t>
  </si>
  <si>
    <t xml:space="preserve"> 150.88 </t>
  </si>
  <si>
    <t>112.36</t>
  </si>
  <si>
    <t xml:space="preserve"> 167.21 </t>
  </si>
  <si>
    <t>123.77</t>
  </si>
  <si>
    <t xml:space="preserve"> 184.34 </t>
  </si>
  <si>
    <t>134.79</t>
  </si>
  <si>
    <t xml:space="preserve"> 200.82 </t>
  </si>
  <si>
    <t>145.80</t>
  </si>
  <si>
    <t xml:space="preserve"> 217.06 </t>
  </si>
  <si>
    <t>157.14</t>
  </si>
  <si>
    <t xml:space="preserve"> 234.10 </t>
  </si>
  <si>
    <t>168.11</t>
  </si>
  <si>
    <t xml:space="preserve"> 250.27 </t>
  </si>
  <si>
    <t>179.06</t>
  </si>
  <si>
    <t xml:space="preserve"> 266.63 </t>
  </si>
  <si>
    <t>200.89</t>
  </si>
  <si>
    <t xml:space="preserve"> 299.04 </t>
  </si>
  <si>
    <t>222.99</t>
  </si>
  <si>
    <t xml:space="preserve"> 332.14 </t>
  </si>
  <si>
    <t>245.00</t>
  </si>
  <si>
    <t xml:space="preserve"> 364.92 </t>
  </si>
  <si>
    <t>266.58</t>
  </si>
  <si>
    <t xml:space="preserve"> 396.96 </t>
  </si>
  <si>
    <t>288.08</t>
  </si>
  <si>
    <t xml:space="preserve"> 428.88 </t>
  </si>
  <si>
    <t>309.84</t>
  </si>
  <si>
    <t xml:space="preserve"> 461.48 </t>
  </si>
  <si>
    <t>331.52</t>
  </si>
  <si>
    <t xml:space="preserve"> 493.75 </t>
  </si>
  <si>
    <t>352.77</t>
  </si>
  <si>
    <t xml:space="preserve"> 525.30 </t>
  </si>
  <si>
    <t>373.94</t>
  </si>
  <si>
    <t xml:space="preserve"> 556.73 </t>
  </si>
  <si>
    <t>395.36</t>
  </si>
  <si>
    <t xml:space="preserve"> 588.83 </t>
  </si>
  <si>
    <t>416.70</t>
  </si>
  <si>
    <t xml:space="preserve"> 620.60 </t>
  </si>
  <si>
    <t>437.62</t>
  </si>
  <si>
    <t xml:space="preserve"> 651.65 </t>
  </si>
  <si>
    <t>36 (900)</t>
  </si>
  <si>
    <t>95.54</t>
  </si>
  <si>
    <t xml:space="preserve"> 142.14 </t>
  </si>
  <si>
    <t>107.30</t>
  </si>
  <si>
    <t xml:space="preserve"> 159.68 </t>
  </si>
  <si>
    <t>119.03</t>
  </si>
  <si>
    <t xml:space="preserve"> 176.97 </t>
  </si>
  <si>
    <t>131.12</t>
  </si>
  <si>
    <t xml:space="preserve"> 195.12 </t>
  </si>
  <si>
    <t xml:space="preserve"> 212.57 </t>
  </si>
  <si>
    <t>154.48</t>
  </si>
  <si>
    <t xml:space="preserve"> 229.77 </t>
  </si>
  <si>
    <t>166.51</t>
  </si>
  <si>
    <t xml:space="preserve"> 247.82 </t>
  </si>
  <si>
    <t>178.14</t>
  </si>
  <si>
    <t xml:space="preserve"> 264.96 </t>
  </si>
  <si>
    <t>189.75</t>
  </si>
  <si>
    <t xml:space="preserve"> 282.29 </t>
  </si>
  <si>
    <t>212.90</t>
  </si>
  <si>
    <t xml:space="preserve"> 316.63 </t>
  </si>
  <si>
    <t>236.35</t>
  </si>
  <si>
    <t xml:space="preserve"> 351.73 </t>
  </si>
  <si>
    <t>259.71</t>
  </si>
  <si>
    <t xml:space="preserve"> 386.47 </t>
  </si>
  <si>
    <t>282.62</t>
  </si>
  <si>
    <t xml:space="preserve"> 420.45 </t>
  </si>
  <si>
    <t>305.44</t>
  </si>
  <si>
    <t xml:space="preserve"> 454.30 </t>
  </si>
  <si>
    <t>328.55</t>
  </si>
  <si>
    <t xml:space="preserve"> 488.89 </t>
  </si>
  <si>
    <t>351.57</t>
  </si>
  <si>
    <t xml:space="preserve"> 523.14 </t>
  </si>
  <si>
    <t>374.15</t>
  </si>
  <si>
    <t xml:space="preserve"> 556.62 </t>
  </si>
  <si>
    <t>396.64</t>
  </si>
  <si>
    <t xml:space="preserve"> 589.98 </t>
  </si>
  <si>
    <t>419.42</t>
  </si>
  <si>
    <t xml:space="preserve"> 624.07 </t>
  </si>
  <si>
    <t>442.10</t>
  </si>
  <si>
    <t xml:space="preserve"> 657.81 </t>
  </si>
  <si>
    <t>464.35</t>
  </si>
  <si>
    <t xml:space="preserve"> 690.80 </t>
  </si>
  <si>
    <t>38 (950)</t>
  </si>
  <si>
    <t>38</t>
  </si>
  <si>
    <t>950</t>
  </si>
  <si>
    <t>125.70</t>
  </si>
  <si>
    <t xml:space="preserve"> 186.94 </t>
  </si>
  <si>
    <t>138.47</t>
  </si>
  <si>
    <t xml:space="preserve"> 206.11 </t>
  </si>
  <si>
    <t>150.83</t>
  </si>
  <si>
    <t xml:space="preserve"> 224.56 </t>
  </si>
  <si>
    <t>163.16</t>
  </si>
  <si>
    <t xml:space="preserve"> 242.74 </t>
  </si>
  <si>
    <t>175.87</t>
  </si>
  <si>
    <t xml:space="preserve"> 261.82 </t>
  </si>
  <si>
    <t>188.17</t>
  </si>
  <si>
    <t xml:space="preserve"> 279.94 </t>
  </si>
  <si>
    <t>200.44</t>
  </si>
  <si>
    <t xml:space="preserve"> 298.26 </t>
  </si>
  <si>
    <t>224.92</t>
  </si>
  <si>
    <t xml:space="preserve"> 334.58 </t>
  </si>
  <si>
    <t>249.71</t>
  </si>
  <si>
    <t xml:space="preserve"> 371.70 </t>
  </si>
  <si>
    <t>274.42</t>
  </si>
  <si>
    <t xml:space="preserve"> 408.46 </t>
  </si>
  <si>
    <t>298.65</t>
  </si>
  <si>
    <t xml:space="preserve"> 444.41 </t>
  </si>
  <si>
    <t>322.80</t>
  </si>
  <si>
    <t xml:space="preserve"> 480.24 </t>
  </si>
  <si>
    <t xml:space="preserve"> 516.85 </t>
  </si>
  <si>
    <t>371.63</t>
  </si>
  <si>
    <t xml:space="preserve"> 553.11 </t>
  </si>
  <si>
    <t>395.53</t>
  </si>
  <si>
    <t xml:space="preserve"> 588.57 </t>
  </si>
  <si>
    <t>419.35</t>
  </si>
  <si>
    <t xml:space="preserve"> 623.90 </t>
  </si>
  <si>
    <t>443.47</t>
  </si>
  <si>
    <t xml:space="preserve"> 660.01 </t>
  </si>
  <si>
    <t>467.50</t>
  </si>
  <si>
    <t xml:space="preserve"> 695.77 </t>
  </si>
  <si>
    <t>491.07</t>
  </si>
  <si>
    <t xml:space="preserve"> 730.74 </t>
  </si>
  <si>
    <t>40 (1000)</t>
  </si>
  <si>
    <t>1000</t>
  </si>
  <si>
    <t>132.37</t>
  </si>
  <si>
    <t xml:space="preserve"> 196.90 </t>
  </si>
  <si>
    <t>145.83</t>
  </si>
  <si>
    <t xml:space="preserve"> 217.11 </t>
  </si>
  <si>
    <t>158.85</t>
  </si>
  <si>
    <t xml:space="preserve"> 236.54 </t>
  </si>
  <si>
    <t>171.84</t>
  </si>
  <si>
    <t xml:space="preserve"> 255.71 </t>
  </si>
  <si>
    <t>185.24</t>
  </si>
  <si>
    <t xml:space="preserve"> 275.82 </t>
  </si>
  <si>
    <t>198.19</t>
  </si>
  <si>
    <t xml:space="preserve"> 294.92 </t>
  </si>
  <si>
    <t>211.13</t>
  </si>
  <si>
    <t xml:space="preserve"> 314.23 </t>
  </si>
  <si>
    <t>236.93</t>
  </si>
  <si>
    <t xml:space="preserve"> 352.53 </t>
  </si>
  <si>
    <t>263.07</t>
  </si>
  <si>
    <t xml:space="preserve"> 391.67 </t>
  </si>
  <si>
    <t>289.13</t>
  </si>
  <si>
    <t xml:space="preserve"> 430.45 </t>
  </si>
  <si>
    <t>314.69</t>
  </si>
  <si>
    <t xml:space="preserve"> 468.37 </t>
  </si>
  <si>
    <t>340.16</t>
  </si>
  <si>
    <t xml:space="preserve"> 506.17 </t>
  </si>
  <si>
    <t>365.97</t>
  </si>
  <si>
    <t xml:space="preserve"> 544.81 </t>
  </si>
  <si>
    <t>391.68</t>
  </si>
  <si>
    <t xml:space="preserve"> 583.08 </t>
  </si>
  <si>
    <t>416.91</t>
  </si>
  <si>
    <t xml:space="preserve"> 620.51 </t>
  </si>
  <si>
    <t>442.05</t>
  </si>
  <si>
    <t xml:space="preserve"> 657.82 </t>
  </si>
  <si>
    <t>467.52</t>
  </si>
  <si>
    <t xml:space="preserve"> 695.96 </t>
  </si>
  <si>
    <t>492.90</t>
  </si>
  <si>
    <t xml:space="preserve"> 733.73 </t>
  </si>
  <si>
    <t>517.80</t>
  </si>
  <si>
    <t xml:space="preserve"> 770.67 </t>
  </si>
  <si>
    <t>42 (1050)</t>
  </si>
  <si>
    <t>42</t>
  </si>
  <si>
    <t>153.18</t>
  </si>
  <si>
    <t xml:space="preserve"> 228.10 </t>
  </si>
  <si>
    <t>166.86</t>
  </si>
  <si>
    <t xml:space="preserve"> 248.53 </t>
  </si>
  <si>
    <t>180.52</t>
  </si>
  <si>
    <t xml:space="preserve"> 268.67 </t>
  </si>
  <si>
    <t>194.60</t>
  </si>
  <si>
    <t xml:space="preserve"> 289.82 </t>
  </si>
  <si>
    <t>208.22</t>
  </si>
  <si>
    <t xml:space="preserve"> 309.90 </t>
  </si>
  <si>
    <t>221.82</t>
  </si>
  <si>
    <t xml:space="preserve"> 330.21 </t>
  </si>
  <si>
    <t>248.95</t>
  </si>
  <si>
    <t xml:space="preserve"> 370.48 </t>
  </si>
  <si>
    <t>276.44</t>
  </si>
  <si>
    <t xml:space="preserve"> 411.64 </t>
  </si>
  <si>
    <t>303.84</t>
  </si>
  <si>
    <t xml:space="preserve"> 452.43 </t>
  </si>
  <si>
    <t>330.72</t>
  </si>
  <si>
    <t xml:space="preserve"> 492.33 </t>
  </si>
  <si>
    <t>357.52</t>
  </si>
  <si>
    <t xml:space="preserve"> 532.11 </t>
  </si>
  <si>
    <t>384.67</t>
  </si>
  <si>
    <t xml:space="preserve"> 572.77 </t>
  </si>
  <si>
    <t>411.74</t>
  </si>
  <si>
    <t xml:space="preserve"> 613.05 </t>
  </si>
  <si>
    <t>438.29</t>
  </si>
  <si>
    <t xml:space="preserve"> 652.46 </t>
  </si>
  <si>
    <t>464.76</t>
  </si>
  <si>
    <t xml:space="preserve"> 691.75 </t>
  </si>
  <si>
    <t>491.57</t>
  </si>
  <si>
    <t xml:space="preserve"> 731.91 </t>
  </si>
  <si>
    <t>518.30</t>
  </si>
  <si>
    <t xml:space="preserve"> 771.69 </t>
  </si>
  <si>
    <t>544.52</t>
  </si>
  <si>
    <t xml:space="preserve"> 810.60 </t>
  </si>
  <si>
    <t>44 (1100)</t>
  </si>
  <si>
    <t>44</t>
  </si>
  <si>
    <t>1100</t>
  </si>
  <si>
    <t>160.54</t>
  </si>
  <si>
    <t xml:space="preserve"> 239.09 </t>
  </si>
  <si>
    <t>174.88</t>
  </si>
  <si>
    <t xml:space="preserve"> 260.52 </t>
  </si>
  <si>
    <t>189.20</t>
  </si>
  <si>
    <t xml:space="preserve"> 281.64 </t>
  </si>
  <si>
    <t>203.97</t>
  </si>
  <si>
    <t xml:space="preserve"> 303.82 </t>
  </si>
  <si>
    <t>218.25</t>
  </si>
  <si>
    <t xml:space="preserve"> 324.88 </t>
  </si>
  <si>
    <t>232.51</t>
  </si>
  <si>
    <t xml:space="preserve"> 346.18 </t>
  </si>
  <si>
    <t>260.97</t>
  </si>
  <si>
    <t xml:space="preserve"> 388.42 </t>
  </si>
  <si>
    <t>289.80</t>
  </si>
  <si>
    <t xml:space="preserve"> 431.62 </t>
  </si>
  <si>
    <t>318.55</t>
  </si>
  <si>
    <t xml:space="preserve"> 474.42 </t>
  </si>
  <si>
    <t>346.76</t>
  </si>
  <si>
    <t xml:space="preserve"> 516.29 </t>
  </si>
  <si>
    <t>374.88</t>
  </si>
  <si>
    <t xml:space="preserve"> 558.04 </t>
  </si>
  <si>
    <t xml:space="preserve"> 600.73 </t>
  </si>
  <si>
    <t>431.79</t>
  </si>
  <si>
    <t xml:space="preserve"> 643.03 </t>
  </si>
  <si>
    <t>459.67</t>
  </si>
  <si>
    <t xml:space="preserve"> 684.41 </t>
  </si>
  <si>
    <t>487.47</t>
  </si>
  <si>
    <t xml:space="preserve"> 725.67 </t>
  </si>
  <si>
    <t>515.63</t>
  </si>
  <si>
    <t xml:space="preserve"> 767.85 </t>
  </si>
  <si>
    <t>543.70</t>
  </si>
  <si>
    <t xml:space="preserve"> 809.65 </t>
  </si>
  <si>
    <t>571.25</t>
  </si>
  <si>
    <t xml:space="preserve"> 850.54 </t>
  </si>
  <si>
    <t>46 (1150)</t>
  </si>
  <si>
    <t>46</t>
  </si>
  <si>
    <t>1150</t>
  </si>
  <si>
    <t>167.89</t>
  </si>
  <si>
    <t xml:space="preserve"> 249.87 </t>
  </si>
  <si>
    <t xml:space="preserve"> 272.27 </t>
  </si>
  <si>
    <t>197.88</t>
  </si>
  <si>
    <t xml:space="preserve"> 294.35 </t>
  </si>
  <si>
    <t>213.33</t>
  </si>
  <si>
    <t xml:space="preserve"> 317.54 </t>
  </si>
  <si>
    <t>228.27</t>
  </si>
  <si>
    <t xml:space="preserve"> 339.56 </t>
  </si>
  <si>
    <t>243.20</t>
  </si>
  <si>
    <t xml:space="preserve"> 361.84 </t>
  </si>
  <si>
    <t>272.98</t>
  </si>
  <si>
    <t xml:space="preserve"> 406.02 </t>
  </si>
  <si>
    <t xml:space="preserve"> 451.20 </t>
  </si>
  <si>
    <t>333.26</t>
  </si>
  <si>
    <t xml:space="preserve"> 495.97 </t>
  </si>
  <si>
    <t>362.79</t>
  </si>
  <si>
    <t xml:space="preserve"> 539.78 </t>
  </si>
  <si>
    <t>392.24</t>
  </si>
  <si>
    <t xml:space="preserve"> 583.47 </t>
  </si>
  <si>
    <t>422.09</t>
  </si>
  <si>
    <t xml:space="preserve"> 628.14 </t>
  </si>
  <si>
    <t>451.85</t>
  </si>
  <si>
    <t xml:space="preserve"> 672.41 </t>
  </si>
  <si>
    <t>481.05</t>
  </si>
  <si>
    <t xml:space="preserve"> 715.73 </t>
  </si>
  <si>
    <t>510.17</t>
  </si>
  <si>
    <t xml:space="preserve"> 758.92 </t>
  </si>
  <si>
    <t>539.68</t>
  </si>
  <si>
    <t xml:space="preserve"> 803.09 </t>
  </si>
  <si>
    <t>569.10</t>
  </si>
  <si>
    <t xml:space="preserve"> 846.86 </t>
  </si>
  <si>
    <t>597.97</t>
  </si>
  <si>
    <t xml:space="preserve"> 889.69 </t>
  </si>
  <si>
    <t>48 (1200)</t>
  </si>
  <si>
    <t>48</t>
  </si>
  <si>
    <t>1200</t>
  </si>
  <si>
    <t>175.25</t>
  </si>
  <si>
    <t xml:space="preserve"> 260.86 </t>
  </si>
  <si>
    <t>190.92</t>
  </si>
  <si>
    <t xml:space="preserve"> 284.25 </t>
  </si>
  <si>
    <t>206.56</t>
  </si>
  <si>
    <t xml:space="preserve"> 307.32 </t>
  </si>
  <si>
    <t>222.70</t>
  </si>
  <si>
    <t xml:space="preserve"> 331.54 </t>
  </si>
  <si>
    <t>238.30</t>
  </si>
  <si>
    <t xml:space="preserve"> 354.54 </t>
  </si>
  <si>
    <t>253.89</t>
  </si>
  <si>
    <t xml:space="preserve"> 377.81 </t>
  </si>
  <si>
    <t>285.00</t>
  </si>
  <si>
    <t xml:space="preserve"> 423.97 </t>
  </si>
  <si>
    <t>316.52</t>
  </si>
  <si>
    <t xml:space="preserve"> 471.17 </t>
  </si>
  <si>
    <t>347.97</t>
  </si>
  <si>
    <t xml:space="preserve"> 517.95 </t>
  </si>
  <si>
    <t>378.83</t>
  </si>
  <si>
    <t xml:space="preserve"> 563.74 </t>
  </si>
  <si>
    <t>409.61</t>
  </si>
  <si>
    <t xml:space="preserve"> 609.40 </t>
  </si>
  <si>
    <t>440.80</t>
  </si>
  <si>
    <t xml:space="preserve"> 656.10 </t>
  </si>
  <si>
    <t>471.90</t>
  </si>
  <si>
    <t xml:space="preserve"> 702.38 </t>
  </si>
  <si>
    <t>502.43</t>
  </si>
  <si>
    <t xml:space="preserve"> 747.67 </t>
  </si>
  <si>
    <t>532.88</t>
  </si>
  <si>
    <t xml:space="preserve"> 792.84 </t>
  </si>
  <si>
    <t>563.73</t>
  </si>
  <si>
    <t xml:space="preserve"> 839.04 </t>
  </si>
  <si>
    <t>594.50</t>
  </si>
  <si>
    <t xml:space="preserve"> 884.82 </t>
  </si>
  <si>
    <t>624.70</t>
  </si>
  <si>
    <t xml:space="preserve"> 929.62 </t>
  </si>
  <si>
    <t>52 (1300)</t>
  </si>
  <si>
    <t>1300</t>
  </si>
  <si>
    <t>206.95</t>
  </si>
  <si>
    <t xml:space="preserve"> 308.23 </t>
  </si>
  <si>
    <t>223.93</t>
  </si>
  <si>
    <t xml:space="preserve"> 333.26 </t>
  </si>
  <si>
    <t>241.42</t>
  </si>
  <si>
    <t xml:space="preserve"> 359.54 </t>
  </si>
  <si>
    <t>258.36</t>
  </si>
  <si>
    <t xml:space="preserve"> 384.50 </t>
  </si>
  <si>
    <t>275.27</t>
  </si>
  <si>
    <t xml:space="preserve"> 409.76 </t>
  </si>
  <si>
    <t>309.03</t>
  </si>
  <si>
    <t xml:space="preserve"> 459.86 </t>
  </si>
  <si>
    <t>343.25</t>
  </si>
  <si>
    <t xml:space="preserve"> 511.12 </t>
  </si>
  <si>
    <t>377.39</t>
  </si>
  <si>
    <t xml:space="preserve"> 561.93 </t>
  </si>
  <si>
    <t xml:space="preserve"> 611.66 </t>
  </si>
  <si>
    <t>444.33</t>
  </si>
  <si>
    <t xml:space="preserve"> 661.27 </t>
  </si>
  <si>
    <t>478.21</t>
  </si>
  <si>
    <t xml:space="preserve"> 712.02 </t>
  </si>
  <si>
    <t>512.01</t>
  </si>
  <si>
    <t xml:space="preserve"> 762.33 </t>
  </si>
  <si>
    <t>545.19</t>
  </si>
  <si>
    <t xml:space="preserve"> 811.57 </t>
  </si>
  <si>
    <t>578.29</t>
  </si>
  <si>
    <t xml:space="preserve"> 860.69 </t>
  </si>
  <si>
    <t>611.84</t>
  </si>
  <si>
    <t xml:space="preserve"> 910.93 </t>
  </si>
  <si>
    <t>645.30</t>
  </si>
  <si>
    <t xml:space="preserve"> 960.74 </t>
  </si>
  <si>
    <t>678.15</t>
  </si>
  <si>
    <t xml:space="preserve"> 1009.49 </t>
  </si>
  <si>
    <t>56 (1400)</t>
  </si>
  <si>
    <t>56</t>
  </si>
  <si>
    <t>1400</t>
  </si>
  <si>
    <t xml:space="preserve"> 331.96 </t>
  </si>
  <si>
    <t>241.29</t>
  </si>
  <si>
    <t xml:space="preserve"> 358.94 </t>
  </si>
  <si>
    <t>260.15</t>
  </si>
  <si>
    <t xml:space="preserve"> 387.26 </t>
  </si>
  <si>
    <t>278.41</t>
  </si>
  <si>
    <t xml:space="preserve"> 414.17 </t>
  </si>
  <si>
    <t xml:space="preserve"> 441.39 </t>
  </si>
  <si>
    <t>333.06</t>
  </si>
  <si>
    <t xml:space="preserve"> 495.41 </t>
  </si>
  <si>
    <t>369.97</t>
  </si>
  <si>
    <t xml:space="preserve"> 550.67 </t>
  </si>
  <si>
    <t>406.80</t>
  </si>
  <si>
    <t xml:space="preserve"> 605.46 </t>
  </si>
  <si>
    <t>442.97</t>
  </si>
  <si>
    <t xml:space="preserve"> 659.11 </t>
  </si>
  <si>
    <t>479.05</t>
  </si>
  <si>
    <t xml:space="preserve"> 712.63 </t>
  </si>
  <si>
    <t xml:space="preserve"> 767.39 </t>
  </si>
  <si>
    <t>552.12</t>
  </si>
  <si>
    <t xml:space="preserve"> 821.68 </t>
  </si>
  <si>
    <t>587.95</t>
  </si>
  <si>
    <t xml:space="preserve"> 874.83 </t>
  </si>
  <si>
    <t>623.70</t>
  </si>
  <si>
    <t xml:space="preserve"> 927.86 </t>
  </si>
  <si>
    <t>659.94</t>
  </si>
  <si>
    <t xml:space="preserve"> 982.12 </t>
  </si>
  <si>
    <t>696.10</t>
  </si>
  <si>
    <t xml:space="preserve"> 1035.91 </t>
  </si>
  <si>
    <t>731.60</t>
  </si>
  <si>
    <t xml:space="preserve"> 1088.57 </t>
  </si>
  <si>
    <t>60 (1500)</t>
  </si>
  <si>
    <t>60</t>
  </si>
  <si>
    <t>1500</t>
  </si>
  <si>
    <t>239.02</t>
  </si>
  <si>
    <t xml:space="preserve"> 355.94 </t>
  </si>
  <si>
    <t>258.65</t>
  </si>
  <si>
    <t xml:space="preserve"> 384.87 </t>
  </si>
  <si>
    <t>278.88</t>
  </si>
  <si>
    <t xml:space="preserve"> 415.26 </t>
  </si>
  <si>
    <t>298.47</t>
  </si>
  <si>
    <t xml:space="preserve"> 444.13 </t>
  </si>
  <si>
    <t>318.03</t>
  </si>
  <si>
    <t xml:space="preserve"> 473.34 </t>
  </si>
  <si>
    <t>357.09</t>
  </si>
  <si>
    <t xml:space="preserve"> 531.30 </t>
  </si>
  <si>
    <t>396.70</t>
  </si>
  <si>
    <t xml:space="preserve"> 590.62 </t>
  </si>
  <si>
    <t>436.22</t>
  </si>
  <si>
    <t xml:space="preserve"> 649.44 </t>
  </si>
  <si>
    <t>475.04</t>
  </si>
  <si>
    <t xml:space="preserve"> 707.03 </t>
  </si>
  <si>
    <t>513.77</t>
  </si>
  <si>
    <t xml:space="preserve"> 764.50 </t>
  </si>
  <si>
    <t>553.04</t>
  </si>
  <si>
    <t xml:space="preserve"> 823.31 </t>
  </si>
  <si>
    <t>592.23</t>
  </si>
  <si>
    <t xml:space="preserve"> 881.63 </t>
  </si>
  <si>
    <t>630.71</t>
  </si>
  <si>
    <t xml:space="preserve"> 938.73 </t>
  </si>
  <si>
    <t>669.11</t>
  </si>
  <si>
    <t xml:space="preserve"> 995.71 </t>
  </si>
  <si>
    <t>708.05</t>
  </si>
  <si>
    <t xml:space="preserve"> 1054.01 </t>
  </si>
  <si>
    <t>746.90</t>
  </si>
  <si>
    <t xml:space="preserve"> 1111.83 </t>
  </si>
  <si>
    <t>785.05</t>
  </si>
  <si>
    <t xml:space="preserve"> 1168.44 </t>
  </si>
  <si>
    <t>64 (1600)</t>
  </si>
  <si>
    <t>64</t>
  </si>
  <si>
    <t>1600</t>
  </si>
  <si>
    <t>255.06</t>
  </si>
  <si>
    <t xml:space="preserve"> 379.91 </t>
  </si>
  <si>
    <t>276.01</t>
  </si>
  <si>
    <t xml:space="preserve"> 410.81 </t>
  </si>
  <si>
    <t>297.61</t>
  </si>
  <si>
    <t xml:space="preserve"> 443.25 </t>
  </si>
  <si>
    <t>318.52</t>
  </si>
  <si>
    <t xml:space="preserve"> 474.09 </t>
  </si>
  <si>
    <t>339.41</t>
  </si>
  <si>
    <t xml:space="preserve"> 505.29 </t>
  </si>
  <si>
    <t>381.12</t>
  </si>
  <si>
    <t xml:space="preserve"> 567.20 </t>
  </si>
  <si>
    <t>423.42</t>
  </si>
  <si>
    <t xml:space="preserve"> 630.56 </t>
  </si>
  <si>
    <t>465.64</t>
  </si>
  <si>
    <t xml:space="preserve"> 693.41 </t>
  </si>
  <si>
    <t>507.11</t>
  </si>
  <si>
    <t xml:space="preserve"> 754.95 </t>
  </si>
  <si>
    <t>548.49</t>
  </si>
  <si>
    <t xml:space="preserve"> 816.37 </t>
  </si>
  <si>
    <t>590.46</t>
  </si>
  <si>
    <t xml:space="preserve"> 879.23 </t>
  </si>
  <si>
    <t>632.34</t>
  </si>
  <si>
    <t xml:space="preserve"> 941.57 </t>
  </si>
  <si>
    <t>673.47</t>
  </si>
  <si>
    <t xml:space="preserve"> 1002.62 </t>
  </si>
  <si>
    <t>714.52</t>
  </si>
  <si>
    <t xml:space="preserve"> 1063.55 </t>
  </si>
  <si>
    <t>756.15</t>
  </si>
  <si>
    <t xml:space="preserve"> 1125.90 </t>
  </si>
  <si>
    <t>797.69</t>
  </si>
  <si>
    <t xml:space="preserve"> 1187.74 </t>
  </si>
  <si>
    <t>838.50</t>
  </si>
  <si>
    <t xml:space="preserve"> 1248.30 </t>
  </si>
  <si>
    <t>68 (1700)</t>
  </si>
  <si>
    <t>1700</t>
  </si>
  <si>
    <t>338.57</t>
  </si>
  <si>
    <t xml:space="preserve"> 503.75 </t>
  </si>
  <si>
    <t xml:space="preserve"> 536.92 </t>
  </si>
  <si>
    <t>405.15</t>
  </si>
  <si>
    <t xml:space="preserve"> 602.74 </t>
  </si>
  <si>
    <t>450.15</t>
  </si>
  <si>
    <t xml:space="preserve"> 670.12 </t>
  </si>
  <si>
    <t>495.06</t>
  </si>
  <si>
    <t xml:space="preserve"> 736.95 </t>
  </si>
  <si>
    <t>539.18</t>
  </si>
  <si>
    <t xml:space="preserve"> 802.40 </t>
  </si>
  <si>
    <t>583.21</t>
  </si>
  <si>
    <t xml:space="preserve"> 867.73 </t>
  </si>
  <si>
    <t>627.87</t>
  </si>
  <si>
    <t xml:space="preserve"> 934.60 </t>
  </si>
  <si>
    <t>672.45</t>
  </si>
  <si>
    <t xml:space="preserve"> 1000.92 </t>
  </si>
  <si>
    <t>716.23</t>
  </si>
  <si>
    <t xml:space="preserve"> 1065.89 </t>
  </si>
  <si>
    <t>759.93</t>
  </si>
  <si>
    <t xml:space="preserve"> 1130.73 </t>
  </si>
  <si>
    <t>804.26</t>
  </si>
  <si>
    <t xml:space="preserve"> 1197.09 </t>
  </si>
  <si>
    <t>848.49</t>
  </si>
  <si>
    <t xml:space="preserve"> 1262.92 </t>
  </si>
  <si>
    <t>891.95</t>
  </si>
  <si>
    <t xml:space="preserve"> 1327.39 </t>
  </si>
  <si>
    <t>72 (1800)</t>
  </si>
  <si>
    <t>72</t>
  </si>
  <si>
    <t>1800</t>
  </si>
  <si>
    <t>382.17</t>
  </si>
  <si>
    <t xml:space="preserve"> 568.87 </t>
  </si>
  <si>
    <t>429.18</t>
  </si>
  <si>
    <t xml:space="preserve"> 638.64 </t>
  </si>
  <si>
    <t>476.87</t>
  </si>
  <si>
    <t xml:space="preserve"> 710.06 </t>
  </si>
  <si>
    <t>524.48</t>
  </si>
  <si>
    <t xml:space="preserve"> 780.92 </t>
  </si>
  <si>
    <t xml:space="preserve"> 850.32 </t>
  </si>
  <si>
    <t>617.93</t>
  </si>
  <si>
    <t xml:space="preserve"> 919.60 </t>
  </si>
  <si>
    <t>665.29</t>
  </si>
  <si>
    <t xml:space="preserve"> 990.52 </t>
  </si>
  <si>
    <t>712.55</t>
  </si>
  <si>
    <t xml:space="preserve"> 1060.87 </t>
  </si>
  <si>
    <t>758.99</t>
  </si>
  <si>
    <t xml:space="preserve"> 1129.78 </t>
  </si>
  <si>
    <t>805.34</t>
  </si>
  <si>
    <t xml:space="preserve"> 1198.57 </t>
  </si>
  <si>
    <t>852.36</t>
  </si>
  <si>
    <t xml:space="preserve"> 1268.98 </t>
  </si>
  <si>
    <t>899.29</t>
  </si>
  <si>
    <t xml:space="preserve"> 1338.83 </t>
  </si>
  <si>
    <t>945.40</t>
  </si>
  <si>
    <t xml:space="preserve"> 1407.25 </t>
  </si>
  <si>
    <t>76 (1900)</t>
  </si>
  <si>
    <t>76</t>
  </si>
  <si>
    <t>1900</t>
  </si>
  <si>
    <t>403.55</t>
  </si>
  <si>
    <t xml:space="preserve"> 600.50 </t>
  </si>
  <si>
    <t>453.21</t>
  </si>
  <si>
    <t xml:space="preserve"> 674.18 </t>
  </si>
  <si>
    <t>503.60</t>
  </si>
  <si>
    <t xml:space="preserve"> 749.62 </t>
  </si>
  <si>
    <t>553.90</t>
  </si>
  <si>
    <t xml:space="preserve"> 824.45 </t>
  </si>
  <si>
    <t>603.32</t>
  </si>
  <si>
    <t xml:space="preserve"> 897.77 </t>
  </si>
  <si>
    <t>652.65</t>
  </si>
  <si>
    <t xml:space="preserve"> 970.96 </t>
  </si>
  <si>
    <t>702.70</t>
  </si>
  <si>
    <t xml:space="preserve"> 1045.89 </t>
  </si>
  <si>
    <t>752.66</t>
  </si>
  <si>
    <t xml:space="preserve"> 1120.22 </t>
  </si>
  <si>
    <t>801.75</t>
  </si>
  <si>
    <t xml:space="preserve"> 1193.05 </t>
  </si>
  <si>
    <t>850.75</t>
  </si>
  <si>
    <t xml:space="preserve"> 1265.74 </t>
  </si>
  <si>
    <t>900.47</t>
  </si>
  <si>
    <t xml:space="preserve"> 1340.17 </t>
  </si>
  <si>
    <t>950.09</t>
  </si>
  <si>
    <t xml:space="preserve"> 1414.01 </t>
  </si>
  <si>
    <t>998.85</t>
  </si>
  <si>
    <t xml:space="preserve"> 1486.33 </t>
  </si>
  <si>
    <t>80 (2000)</t>
  </si>
  <si>
    <t>2000</t>
  </si>
  <si>
    <t>477.25</t>
  </si>
  <si>
    <t xml:space="preserve"> 710.08 </t>
  </si>
  <si>
    <t>530.32</t>
  </si>
  <si>
    <t xml:space="preserve"> 789.56 </t>
  </si>
  <si>
    <t>583.32</t>
  </si>
  <si>
    <t xml:space="preserve"> 868.43 </t>
  </si>
  <si>
    <t>635.39</t>
  </si>
  <si>
    <t xml:space="preserve"> 945.69 </t>
  </si>
  <si>
    <t>687.37</t>
  </si>
  <si>
    <t xml:space="preserve"> 1022.83 </t>
  </si>
  <si>
    <t>740.12</t>
  </si>
  <si>
    <t xml:space="preserve"> 1101.81 </t>
  </si>
  <si>
    <t>792.77</t>
  </si>
  <si>
    <t xml:space="preserve"> 1180.17 </t>
  </si>
  <si>
    <t>844.51</t>
  </si>
  <si>
    <t xml:space="preserve"> 1256.94 </t>
  </si>
  <si>
    <t>896.17</t>
  </si>
  <si>
    <t xml:space="preserve"> 1333.59 </t>
  </si>
  <si>
    <t>948.57</t>
  </si>
  <si>
    <t xml:space="preserve"> 1412.06 </t>
  </si>
  <si>
    <t>1,000.89</t>
  </si>
  <si>
    <t xml:space="preserve"> 1489.92 </t>
  </si>
  <si>
    <t>1,052.30</t>
  </si>
  <si>
    <t xml:space="preserve"> 1566.20 </t>
  </si>
  <si>
    <t>6606d49c</t>
  </si>
  <si>
    <t>3_fotografias_Images/6606d49c.imagen.134413.png</t>
  </si>
  <si>
    <t>DEC_2</t>
  </si>
  <si>
    <t>a3328525</t>
  </si>
  <si>
    <t>3_fotografias_Images/a3328525.imagen.140152.jpg</t>
  </si>
  <si>
    <t>CT_22</t>
  </si>
  <si>
    <t>13bb79b4</t>
  </si>
  <si>
    <t>3_fotografias_Images/13bb79b4.imagen.140211.png</t>
  </si>
  <si>
    <t>GENERAL_23</t>
  </si>
  <si>
    <t>875e87d8</t>
  </si>
  <si>
    <t>3_fotografias_Images/875e87d8.imagen.140608.jpg</t>
  </si>
  <si>
    <t>CT_6</t>
  </si>
  <si>
    <t>899aef6e</t>
  </si>
  <si>
    <t>3_fotografias_Images/899aef6e.imagen.110832.jpg</t>
  </si>
  <si>
    <t>Medición en tapa, centro y perimetral</t>
  </si>
  <si>
    <t>d0b598da</t>
  </si>
  <si>
    <t>3_fotografias_Images/d0b598da.imagen.110837.jpg</t>
  </si>
  <si>
    <t>Se realiza medición de espesores en cuerpo mayor, reducción excéntrica y cuerpo menor.</t>
  </si>
  <si>
    <t>944f6c73</t>
  </si>
  <si>
    <t>3_fotografias_Images/944f6c73.imagen.204041.jpg</t>
  </si>
  <si>
    <t>Espesor cuerpo mayor</t>
  </si>
  <si>
    <t>5ec16f91</t>
  </si>
  <si>
    <t>3_fotografias_Images/5ec16f91.imagen.165006.jpg</t>
  </si>
  <si>
    <t>tramo recto 16"</t>
  </si>
  <si>
    <t>f2a047ca</t>
  </si>
  <si>
    <t>3_fotografias_Images/f2a047ca.imagen.165051.jpg</t>
  </si>
  <si>
    <t>Reducción 16x12</t>
  </si>
  <si>
    <t>c054c25f</t>
  </si>
  <si>
    <t>3_fotografias_Images/c054c25f.imagen.170749.jpg</t>
  </si>
  <si>
    <t>boquilla N1</t>
  </si>
  <si>
    <t>10762c90</t>
  </si>
  <si>
    <t>3_fotografias_Images/10762c90.imagen.212918.jpg</t>
  </si>
  <si>
    <t>.</t>
  </si>
  <si>
    <t>a5eabdbc</t>
  </si>
  <si>
    <t>3_fotografias_Images/a5eabdbc.imagen.212921.jpg</t>
  </si>
  <si>
    <t>3e73b20a</t>
  </si>
  <si>
    <t>3_fotografias_Images/3e73b20a.imagen.212924.jpg</t>
  </si>
  <si>
    <t>48a9474b</t>
  </si>
  <si>
    <t>3_fotografias_Images/48a9474b.imagen.212928.jpg</t>
  </si>
  <si>
    <t>82790ac3</t>
  </si>
  <si>
    <t>3_fotografias_Images/82790ac3.imagen.033013.jpg</t>
  </si>
  <si>
    <t>CALIBRACIÓN DEL EQUIPO</t>
  </si>
  <si>
    <t>b1a47de6</t>
  </si>
  <si>
    <t>3_fotografias_Images/b1a47de6.imagen.033034.jpg</t>
  </si>
  <si>
    <t>TOMA DE DATOS EN CAMPO</t>
  </si>
  <si>
    <t>8be84851</t>
  </si>
  <si>
    <t>3_fotografias_Images/8be84851.imagen.033055.png</t>
  </si>
  <si>
    <t>DATOS CML 3</t>
  </si>
  <si>
    <t>6267f0c9</t>
  </si>
  <si>
    <t>3_fotografias_Images/6267f0c9.imagen.033115.png</t>
  </si>
  <si>
    <t>DATOS CML 4</t>
  </si>
  <si>
    <t>e99d692e</t>
  </si>
  <si>
    <t>3_fotografias_Images/e99d692e.imagen.145509.jpg</t>
  </si>
  <si>
    <t>Drenage</t>
  </si>
  <si>
    <t>cdfc32ea</t>
  </si>
  <si>
    <t>3_fotografias_Images/cdfc32ea.imagen.145512.jpg</t>
  </si>
  <si>
    <t>bd7f833d</t>
  </si>
  <si>
    <t>3_fotografias_Images/bd7f833d.imagen.145516.jpg</t>
  </si>
  <si>
    <t>Cuerpo Mayor</t>
  </si>
  <si>
    <t>a2fab278</t>
  </si>
  <si>
    <t>3_fotografias_Images/a2fab278.imagen.145521.jpg</t>
  </si>
  <si>
    <t>Reducción concentríca</t>
  </si>
  <si>
    <t>4ed0bdee</t>
  </si>
  <si>
    <t>3_fotografias_Images/4ed0bdee.imagen.145524.jpg</t>
  </si>
  <si>
    <t>301b753b</t>
  </si>
  <si>
    <t>3_fotografias_Images/301b753b.imagen.145528.jpg</t>
  </si>
  <si>
    <t>650e84ad</t>
  </si>
  <si>
    <t>3_fotografias_Images/650e84ad.imagen.175651.jpg</t>
  </si>
  <si>
    <t>Adquisición de datos en campo.</t>
  </si>
  <si>
    <t>ceb21511</t>
  </si>
  <si>
    <t>3_fotografias_Images/ceb21511.imagen.175745.jpg</t>
  </si>
  <si>
    <t>Datos CML 1.</t>
  </si>
  <si>
    <t>6d60c1c1</t>
  </si>
  <si>
    <t>3_fotografias_Images/6d60c1c1.imagen.175824.jpg</t>
  </si>
  <si>
    <t>Datos CML 5.</t>
  </si>
  <si>
    <t>baa8adb5</t>
  </si>
  <si>
    <t>3_fotografias_Images/baa8adb5.imagen.175949.jpg</t>
  </si>
  <si>
    <t>Datos CML 6.</t>
  </si>
  <si>
    <t>12ce09ab</t>
  </si>
  <si>
    <t>3_fotografias_Images/12ce09ab.imagen.000658.jpg</t>
  </si>
  <si>
    <t>Adquisición de datos en campo</t>
  </si>
  <si>
    <t>b849768e</t>
  </si>
  <si>
    <t>3_fotografias_Images/b849768e.imagen.130110.jpg</t>
  </si>
  <si>
    <t>N5. Datos tramo recto - brida.Picos de medición en tramo recto</t>
  </si>
  <si>
    <t>47b3f81d</t>
  </si>
  <si>
    <t>3_fotografias_Images/47b3f81d.imagen.130114.jpg</t>
  </si>
  <si>
    <t>N9. Valores de medición obtenidos para tramo recto- brida y tapa.Pico correspondiente a medición en brida.</t>
  </si>
  <si>
    <t>568af585</t>
  </si>
  <si>
    <t>3_fotografias_Images/568af585.imagen.130119.jpg</t>
  </si>
  <si>
    <t>N11.Datos tramo recto- brida.Pico correspondiente a medida en brida</t>
  </si>
  <si>
    <t>5f2af538</t>
  </si>
  <si>
    <t>3_fotografias_Images/5f2af538.imagen.130123.jpg</t>
  </si>
  <si>
    <t>N5.1: datos tramo recto y brida.Pico representativo medición en tramo recto</t>
  </si>
  <si>
    <t>592343f2</t>
  </si>
  <si>
    <t>3_fotografias_Images/592343f2.imagen.131048.jpg</t>
  </si>
  <si>
    <t>Cap 1: valores tomados en campo .Pico representativo de medición en cap 1</t>
  </si>
  <si>
    <t>a543d20a</t>
  </si>
  <si>
    <t>3_fotografias_Images/a543d20a.imagen.150619.jpg</t>
  </si>
  <si>
    <t>Cap 2.valores tomados en campo.Pico representativo</t>
  </si>
  <si>
    <t>9708b7a7</t>
  </si>
  <si>
    <t>3_fotografias_Images/9708b7a7.imagen.150843.jpg</t>
  </si>
  <si>
    <t>N1. Valores medidos en campo.Tramo recto y brisa.Pco representativo tramo recto.</t>
  </si>
  <si>
    <t>9afb967f</t>
  </si>
  <si>
    <t>3_fotografias_Images/9afb967f.imagen.164629.jpg</t>
  </si>
  <si>
    <t>Cuerpo: valores medidos en campo</t>
  </si>
  <si>
    <t>9fedea05</t>
  </si>
  <si>
    <t>3_fotografias_Images/9fedea05.imagen.172803.jpg</t>
  </si>
  <si>
    <t>N 10: valores tomados en campo ( tramo recto y brida).Pico representativo de tramo recto</t>
  </si>
  <si>
    <t>da95fc0a</t>
  </si>
  <si>
    <t>3_fotografias_Images/da95fc0a.imagen.172813.jpg</t>
  </si>
  <si>
    <t>N1-A: valores tomados en campo ( tramo recto y brida).Pico representativo tramo recto</t>
  </si>
  <si>
    <t>359e0b9c</t>
  </si>
  <si>
    <t>3_fotografias_Images/359e0b9c.imagen.172824.jpg</t>
  </si>
  <si>
    <t>N 11. Valores tomados en campo ( tramo recto y brida).Pico representativo de brida</t>
  </si>
  <si>
    <t>d1eafa2f</t>
  </si>
  <si>
    <t>3_fotografias_Images/d1eafa2f.imagen.173941.jpg</t>
  </si>
  <si>
    <t>N2: valores tomados en campo ( tramo recto y brida).Pico representativo de tramo recto</t>
  </si>
  <si>
    <t>b0b30156</t>
  </si>
  <si>
    <t>3_fotografias_Images/b0b30156.imagen.173955.jpg</t>
  </si>
  <si>
    <t>N3: valores tomados en campo (tramo recto y brida).Poco representativo bridas</t>
  </si>
  <si>
    <t>3ac04806</t>
  </si>
  <si>
    <t>3_fotografias_Images/3ac04806.imagen.174015.jpg</t>
  </si>
  <si>
    <t>N3-A: valores tomados en campo (tramo recto y brida).Pico representativo tramo recto</t>
  </si>
  <si>
    <t>11103904</t>
  </si>
  <si>
    <t>3_fotografias_Images/11103904.imagen.174026.jpg</t>
  </si>
  <si>
    <t>N4:Valores tomados en campo ( tramo recto y brida).Poco representativo tramo recto</t>
  </si>
  <si>
    <t>381982cd</t>
  </si>
  <si>
    <t>3_fotografias_Images/381982cd.imagen.174036.jpg</t>
  </si>
  <si>
    <t>N4-A.valores tomados en campo.Pico representativo tramo recto</t>
  </si>
  <si>
    <t>d07cfbcb</t>
  </si>
  <si>
    <t>3_fotografias_Images/d07cfbcb.imagen.174601.jpg</t>
  </si>
  <si>
    <t>N5.valores tomados en campo.Pico representativo tramo recto</t>
  </si>
  <si>
    <t>431afbf5</t>
  </si>
  <si>
    <t>3_fotografias_Images/431afbf5.imagen.174606.jpg</t>
  </si>
  <si>
    <t>N5.1.valores tomados en campo( tramo recto y brida).Pico representativo brida.</t>
  </si>
  <si>
    <t>5f2dd245</t>
  </si>
  <si>
    <t>3_fotografias_Images/5f2dd245.imagen.175320.jpg</t>
  </si>
  <si>
    <t>N6.valores tomados en campo( tramo recto y brida).Pico representativo tramo recto</t>
  </si>
  <si>
    <t>62e73b99</t>
  </si>
  <si>
    <t>3_fotografias_Images/62e73b99.imagen.175325.jpg</t>
  </si>
  <si>
    <t>N7.valores tomados en campo( tramo recto brida).Pico representativo tramo recto</t>
  </si>
  <si>
    <t>32bd360d</t>
  </si>
  <si>
    <t>3_fotografias_Images/32bd360d.imagen.175905.jpg</t>
  </si>
  <si>
    <t>N8.valores tomados en campo( tramo recto y brida).Pico representativo brida</t>
  </si>
  <si>
    <t>ad8c4918</t>
  </si>
  <si>
    <t>3_fotografias_Images/ad8c4918.imagen.175909.jpg</t>
  </si>
  <si>
    <t>N9.valores tomados en campo( tramo recto y brida).Pico representativo tramo recto</t>
  </si>
  <si>
    <t>524904ac</t>
  </si>
  <si>
    <t>3_fotografias_Images/524904ac.imagen.012054.jpg</t>
  </si>
  <si>
    <t>Cuerpo.valores tomados en campo</t>
  </si>
  <si>
    <t>2c4fac38</t>
  </si>
  <si>
    <t>3_fotografias_Images/2c4fac38.imagen.012105.jpg</t>
  </si>
  <si>
    <t>N10.valores tomados en campo ( tramo recto y brida).Pico representativo brida</t>
  </si>
  <si>
    <t>0e4dd03a</t>
  </si>
  <si>
    <t>3_fotografias_Images/0e4dd03a.imagen.220008.jpg</t>
  </si>
  <si>
    <t>Calibración</t>
  </si>
  <si>
    <t>ba96251d</t>
  </si>
  <si>
    <t>3_fotografias_Images/ba96251d.imagen.220032.jpg</t>
  </si>
  <si>
    <t>f8135feb</t>
  </si>
  <si>
    <t>3_fotografias_Images/f8135feb.imagen.220043.jpg</t>
  </si>
  <si>
    <t>82eed6e9</t>
  </si>
  <si>
    <t>3_fotografias_Images/82eed6e9.imagen.220053.jpg</t>
  </si>
  <si>
    <t>Medición cuerpo de tanque</t>
  </si>
  <si>
    <t>f0f2b89b</t>
  </si>
  <si>
    <t>3_fotografias_Images/f0f2b89b.imagen.220104.jpg</t>
  </si>
  <si>
    <t>Medición de espesores en boquillas</t>
  </si>
  <si>
    <t>eec04db1</t>
  </si>
  <si>
    <t>3_fotografias_Images/eec04db1.imagen.220114.jpg</t>
  </si>
  <si>
    <t>Medición de espesores en cap inferior</t>
  </si>
  <si>
    <t>b80b15d7</t>
  </si>
  <si>
    <t>3_fotografias_Images/b80b15d7.imagen.044927.jpg</t>
  </si>
  <si>
    <t>Boquillas</t>
  </si>
  <si>
    <t>18e726b6</t>
  </si>
  <si>
    <t>3_fotografias_Images/18e726b6.imagen.044930.jpg</t>
  </si>
  <si>
    <t>Calibración paso #2</t>
  </si>
  <si>
    <t>f6106520</t>
  </si>
  <si>
    <t>3_fotografias_Images/f6106520.imagen.044933.jpg</t>
  </si>
  <si>
    <t>dc499aaf</t>
  </si>
  <si>
    <t>3_fotografias_Images/dc499aaf.imagen.044936.jpg</t>
  </si>
  <si>
    <t>Calibración paso #1</t>
  </si>
  <si>
    <t>635b85ca</t>
  </si>
  <si>
    <t>3_fotografias_Images/635b85ca.imagen.044939.jpg</t>
  </si>
  <si>
    <t>Cap inferior</t>
  </si>
  <si>
    <t>2f6ed100</t>
  </si>
  <si>
    <t>3_fotografias_Images/2f6ed100.imagen.172116.jpg</t>
  </si>
  <si>
    <t>N11.valores tomados en campo ( tramo recto y brida).Pico representativo brida</t>
  </si>
  <si>
    <t>dc1b89ec</t>
  </si>
  <si>
    <t>3_fotografias_Images/dc1b89ec.imagen.172124.jpg</t>
  </si>
  <si>
    <t>N1-A.valores tomados en campo ( tramo recto y brida).Pico representativo tramo recto</t>
  </si>
  <si>
    <t>a99080e7</t>
  </si>
  <si>
    <t>3_fotografias_Images/a99080e7.imagen.172135.jpg</t>
  </si>
  <si>
    <t>N5.valores tomados en campo ( tramo recto y brida).Pico representativo tramo recto</t>
  </si>
  <si>
    <t>42035553</t>
  </si>
  <si>
    <t>3_fotografias_Images/42035553.imagen.172146.jpg</t>
  </si>
  <si>
    <t>N1.valores tomados en campo ( tramo recto y brida).Pico representativo tramo recto</t>
  </si>
  <si>
    <t>aec6169e</t>
  </si>
  <si>
    <t>3_fotografias_Images/aec6169e.imagen.172156.jpg</t>
  </si>
  <si>
    <t>Cap 1. Valores tomados en campo.</t>
  </si>
  <si>
    <t>7ad2a252</t>
  </si>
  <si>
    <t>3_fotografias_Images/7ad2a252.imagen.172226.jpg</t>
  </si>
  <si>
    <t>N5.valores tomados en campo ( tramo recto y brida).Pico representativo brida</t>
  </si>
  <si>
    <t>99536bdc</t>
  </si>
  <si>
    <t>3_fotografias_Images/99536bdc.imagen.172237.jpg</t>
  </si>
  <si>
    <t>N9.valores tomados en campo ( tramo recto ,brida y tapa).Pico representativo tapa</t>
  </si>
  <si>
    <t>c5ee6750</t>
  </si>
  <si>
    <t>3_fotografias_Images/c5ee6750.imagen.172247.jpg</t>
  </si>
  <si>
    <t>N10.valores tomados en campo ( tramo recto y brida).Pico representativo tramo recto</t>
  </si>
  <si>
    <t>003013d1</t>
  </si>
  <si>
    <t>3_fotografias_Images/003013d1.imagen.172318.jpg</t>
  </si>
  <si>
    <t>N6.valores tomados en campo ( tramo recto y brida).Pico representativo brida</t>
  </si>
  <si>
    <t>26a792e0</t>
  </si>
  <si>
    <t>3_fotografias_Images/26a792e0.imagen.172330.jpg</t>
  </si>
  <si>
    <t>N11.valores tomados en campo ( tramo recto y brida).Pico representativo tramo recto</t>
  </si>
  <si>
    <t>b7ddf742</t>
  </si>
  <si>
    <t>3_fotografias_Images/b7ddf742.imagen.172356.jpg</t>
  </si>
  <si>
    <t>N9.valores tomados en campo ( tramo recto y brida).Pico representativo tramo recto</t>
  </si>
  <si>
    <t>a1ded692</t>
  </si>
  <si>
    <t>3_fotografias_Images/a1ded692.imagen.172405.jpg</t>
  </si>
  <si>
    <t>ba80ddaa</t>
  </si>
  <si>
    <t>3_fotografias_Images/ba80ddaa.imagen.172435.jpg</t>
  </si>
  <si>
    <t>646fbb99</t>
  </si>
  <si>
    <t>3_fotografias_Images/646fbb99.imagen.172446.jpg</t>
  </si>
  <si>
    <t>N5.1.valores tomados en campo ( tramo recto y brida).Pico representativo brida</t>
  </si>
  <si>
    <t>c2899a77</t>
  </si>
  <si>
    <t>3_fotografias_Images/c2899a77.imagen.172457.jpg</t>
  </si>
  <si>
    <t>254bd91d</t>
  </si>
  <si>
    <t>3_fotografias_Images/254bd91d.imagen.172506.jpg</t>
  </si>
  <si>
    <t>bcb1f4aa</t>
  </si>
  <si>
    <t>3_fotografias_Images/bcb1f4aa.imagen.172524.jpg</t>
  </si>
  <si>
    <t>N5.1.valores tomados en campo ( tramo recto y brida).Pico representativo tramo recto</t>
  </si>
  <si>
    <t>e7cadf52</t>
  </si>
  <si>
    <t>3_fotografias_Images/e7cadf52.imagen.172528.jpg</t>
  </si>
  <si>
    <t>b9ed323b</t>
  </si>
  <si>
    <t>3_fotografias_Images/b9ed323b.imagen.191110.jpg</t>
  </si>
  <si>
    <t>Toma de espesores en campo</t>
  </si>
  <si>
    <t>a1f9e1ee</t>
  </si>
  <si>
    <t>3_fotografias_Images/a1f9e1ee.imagen.202432.jpg</t>
  </si>
  <si>
    <t>N1.Datos tomados en campo (tramo recto-brida y tapa)</t>
  </si>
  <si>
    <t>531cadc8</t>
  </si>
  <si>
    <t>3_fotografias_Images/531cadc8.imagen.202409.jpg</t>
  </si>
  <si>
    <t>Cuerpo: datos tomados en campo (espesores)</t>
  </si>
  <si>
    <t>073aa82b</t>
  </si>
  <si>
    <t>3_fotografias_Images/073aa82b.imagen.202346.jpg</t>
  </si>
  <si>
    <t>CAP 2:  datos tomados en campo medición de espesores.</t>
  </si>
  <si>
    <t>f143b89f</t>
  </si>
  <si>
    <t>3_fotografias_Images/f143b89f.imagen.202313.jpg</t>
  </si>
  <si>
    <t>CAP 1: datos tomados en campo medición de espesores.</t>
  </si>
  <si>
    <t>b66b5ba1</t>
  </si>
  <si>
    <t>3_fotografias_Images/b66b5ba1.imagen.142903.jpg</t>
  </si>
  <si>
    <t>Zona no uniforme para toma de espesores</t>
  </si>
  <si>
    <t>bad5bb7b</t>
  </si>
  <si>
    <t>3_fotografias_Images/bad5bb7b.imagen.202452.jpg</t>
  </si>
  <si>
    <t>N1-A: toma de datos en campo (tramo recto-brida).</t>
  </si>
  <si>
    <t>956ca2d2</t>
  </si>
  <si>
    <t>3_fotografias_Images/956ca2d2.imagen.202515.jpg</t>
  </si>
  <si>
    <t>N2: toma de datos en campo (tramo recto-brida y tapa).</t>
  </si>
  <si>
    <t>2aadf292</t>
  </si>
  <si>
    <t>3_fotografias_Images/2aadf292.imagen.202541.jpg</t>
  </si>
  <si>
    <t>N3: toma de datos (tramo recto-brida y tapa).</t>
  </si>
  <si>
    <t>7702cb69</t>
  </si>
  <si>
    <t>3_fotografias_Images/7702cb69.imagen.202638.jpg</t>
  </si>
  <si>
    <t>N4: toma de datos en campo (tramo recto-brida-tapa).</t>
  </si>
  <si>
    <t>76f82a25</t>
  </si>
  <si>
    <t>3_fotografias_Images/76f82a25.imagen.202612.jpg</t>
  </si>
  <si>
    <t>N3-A: toma de datos en campo (tramo recto-brida).</t>
  </si>
  <si>
    <t>f2a055ed</t>
  </si>
  <si>
    <t>3_fotografias_Images/f2a055ed.imagen.202722.jpg</t>
  </si>
  <si>
    <t>N4-A: Toma de datos (tramo recto-brida).</t>
  </si>
  <si>
    <t>21b1be25</t>
  </si>
  <si>
    <t>3_fotografias_Images/21b1be25.imagen.134211.jpg</t>
  </si>
  <si>
    <t>CALIBRACION PASO 1</t>
  </si>
  <si>
    <t>55a7f5a3</t>
  </si>
  <si>
    <t>3_fotografias_Images/55a7f5a3.imagen.134231.jpg</t>
  </si>
  <si>
    <t>CALIBRACION PASO 2</t>
  </si>
  <si>
    <t>86dc9c66</t>
  </si>
  <si>
    <t>3_fotografias_Images/86dc9c66.imagen.134241.jpg</t>
  </si>
  <si>
    <t>CALIBRACION PASO 3</t>
  </si>
  <si>
    <t>c0d18874</t>
  </si>
  <si>
    <t>3_fotografias_Images/c0d18874.imagen.134250.jpg</t>
  </si>
  <si>
    <t>CALIBRACION PASO 4</t>
  </si>
  <si>
    <t>7caa688a</t>
  </si>
  <si>
    <t>3_fotografias_Images/7caa688a.imagen.134254.jpg</t>
  </si>
  <si>
    <t>CALIBRACION PASO 5</t>
  </si>
  <si>
    <t>cdf4fa46</t>
  </si>
  <si>
    <t>3_fotografias_Images/cdf4fa46.imagen.134257.jpg</t>
  </si>
  <si>
    <t>CUERPO MAYOR</t>
  </si>
  <si>
    <t>b2c2b0e1</t>
  </si>
  <si>
    <t>3_fotografias_Images/b2c2b0e1.imagen.134302.jpg</t>
  </si>
  <si>
    <t>CUERPO MENOR</t>
  </si>
  <si>
    <t>91877286</t>
  </si>
  <si>
    <t>3_fotografias_Images/91877286.imagen.134306.jpg</t>
  </si>
  <si>
    <t>BOQUILLA 1-CODO</t>
  </si>
  <si>
    <t>616f23eb</t>
  </si>
  <si>
    <t>3_fotografias_Images/616f23eb.imagen.134311.jpg</t>
  </si>
  <si>
    <t>3b30701b</t>
  </si>
  <si>
    <t>3_fotografias_Images/3b30701b.imagen.134315.jpg</t>
  </si>
  <si>
    <t>d9d4ce2f</t>
  </si>
  <si>
    <t>3_fotografias_Images/d9d4ce2f.imagen.134319.jpg</t>
  </si>
  <si>
    <t>c10ded4f</t>
  </si>
  <si>
    <t>3_fotografias_Images/c10ded4f.imagen.134322.jpg</t>
  </si>
  <si>
    <t>84a4b548</t>
  </si>
  <si>
    <t>3_fotografias_Images/84a4b548.imagen.134327.jpg</t>
  </si>
  <si>
    <t>REDUCCION CONCENTRICA</t>
  </si>
  <si>
    <t>93d8955f</t>
  </si>
  <si>
    <t>3_fotografias_Images/93d8955f.imagen.141624.jpg</t>
  </si>
  <si>
    <t>CAP 1: Valores tomados en campo.</t>
  </si>
  <si>
    <t>f32f2fca</t>
  </si>
  <si>
    <t>3_fotografias_Images/f32f2fca.imagen.141709.jpg</t>
  </si>
  <si>
    <t>CAP 2: valores tomados en campo.</t>
  </si>
  <si>
    <t>57280fe3</t>
  </si>
  <si>
    <t>3_fotografias_Images/57280fe3.imagen.141814.jpg</t>
  </si>
  <si>
    <t>CUERPO : Valore tomados en campo.</t>
  </si>
  <si>
    <t>b12d4d03</t>
  </si>
  <si>
    <t>3_fotografias_Images/b12d4d03.imagen.141916.jpg</t>
  </si>
  <si>
    <t>N1: Valores tomados en campo (tramo recto-brida y tapa).</t>
  </si>
  <si>
    <t>a4a19f5d</t>
  </si>
  <si>
    <t>3_fotografias_Images/a4a19f5d.imagen.142006.jpg</t>
  </si>
  <si>
    <t>N1-A: Valores tomados en campo (tramo recto- brida).</t>
  </si>
  <si>
    <t>829816f4</t>
  </si>
  <si>
    <t>3_fotografias_Images/829816f4.imagen.142055.jpg</t>
  </si>
  <si>
    <t>N2: Valores tomados en campo (tramo recto-brida y tapa).</t>
  </si>
  <si>
    <t>4834f6ad</t>
  </si>
  <si>
    <t>3_fotografias_Images/4834f6ad.imagen.142154.jpg</t>
  </si>
  <si>
    <t>N3: Valores tomados en campo (tramo recto-brida y tapa).</t>
  </si>
  <si>
    <t>23707146</t>
  </si>
  <si>
    <t>3_fotografias_Images/23707146.imagen.142244.jpg</t>
  </si>
  <si>
    <t>N3-A: Valores tomados en campo (tramo recto-brida).</t>
  </si>
  <si>
    <t>e35b7a05</t>
  </si>
  <si>
    <t>3_fotografias_Images/e35b7a05.imagen.142333.jpg</t>
  </si>
  <si>
    <t>N4: Valores tomados en campo (tramo recto-brida y tapa).</t>
  </si>
  <si>
    <t>a77cf741</t>
  </si>
  <si>
    <t>3_fotografias_Images/a77cf741.imagen.142541.jpg</t>
  </si>
  <si>
    <t>N4-A: Valores tomados en campo (tramo recto-brida)</t>
  </si>
  <si>
    <t>81c2e0c0</t>
  </si>
  <si>
    <t>3_fotografias_Images/81c2e0c0.imagen.142628.jpg</t>
  </si>
  <si>
    <t>N8: Valores tomados en campo (tramo recto-brida)</t>
  </si>
  <si>
    <t>c3926683</t>
  </si>
  <si>
    <t>3_fotografias_Images/c3926683.imagen.153927.jpg</t>
  </si>
  <si>
    <t>e2bc2c14</t>
  </si>
  <si>
    <t>3_fotografias_Images/e2bc2c14.imagen.153955.jpg</t>
  </si>
  <si>
    <t>CAP 2: Valores tomados en campo</t>
  </si>
  <si>
    <t>4ec93976</t>
  </si>
  <si>
    <t>3_fotografias_Images/4ec93976.imagen.154029.jpg</t>
  </si>
  <si>
    <t>CUERPO: Valores tomados en campo.</t>
  </si>
  <si>
    <t>29ca9682</t>
  </si>
  <si>
    <t>3_fotografias_Images/29ca9682.imagen.154117.jpg</t>
  </si>
  <si>
    <t>N1:Valores tomados en campo (tramo recto-brida)</t>
  </si>
  <si>
    <t>038e507d</t>
  </si>
  <si>
    <t>3_fotografias_Images/038e507d.imagen.154147.jpg</t>
  </si>
  <si>
    <t>N1-A:Valores tomados en campo (tramo recto-brida)</t>
  </si>
  <si>
    <t>e8cd5ebb</t>
  </si>
  <si>
    <t>3_fotografias_Images/e8cd5ebb.imagen.154227.jpg</t>
  </si>
  <si>
    <t>N2 :Valores tomados en campo (tramo recto-brida)</t>
  </si>
  <si>
    <t>0690a36e</t>
  </si>
  <si>
    <t>3_fotografias_Images/0690a36e.imagen.154346.jpg</t>
  </si>
  <si>
    <t>N3-A:Valores tomados en campo (tramo recto-brida)</t>
  </si>
  <si>
    <t>472f1082</t>
  </si>
  <si>
    <t>3_fotografias_Images/472f1082.imagen.154420.jpg</t>
  </si>
  <si>
    <t>N4:Valores tomados en campo (tramo recto-brida)</t>
  </si>
  <si>
    <t>ae74922d</t>
  </si>
  <si>
    <t>3_fotografias_Images/ae74922d.imagen.154513.jpg</t>
  </si>
  <si>
    <t>N3:Valores tomados en campo (tramo recto-brida)</t>
  </si>
  <si>
    <t>b8559db7</t>
  </si>
  <si>
    <t>3_fotografias_Images/b8559db7.imagen.154553.jpg</t>
  </si>
  <si>
    <t>N4-A:Valores tomados en campo (tramo recto-brida)</t>
  </si>
  <si>
    <t>9527ea57</t>
  </si>
  <si>
    <t>3_fotografias_Images/9527ea57.imagen.154846.jpg</t>
  </si>
  <si>
    <t>N6:Valores tomados en campo (tramo recto-brida)</t>
  </si>
  <si>
    <t>d9f22ddb</t>
  </si>
  <si>
    <t>3_fotografias_Images/d9f22ddb.imagen.154930.jpg</t>
  </si>
  <si>
    <t>N7:Valores tomados en campo (tramo recto-brida)</t>
  </si>
  <si>
    <t>54cd3653</t>
  </si>
  <si>
    <t>3_fotografias_Images/54cd3653.imagen.155121.jpg</t>
  </si>
  <si>
    <t>N8:Valores tomados en campo (tramo recto-brida)</t>
  </si>
  <si>
    <t>d6561fb5</t>
  </si>
  <si>
    <t>3_fotografias_Images/d6561fb5.imagen.155207.jpg</t>
  </si>
  <si>
    <t>N9:Valores tomados en campo (tramo recto-brida)</t>
  </si>
  <si>
    <t>dbd197d5</t>
  </si>
  <si>
    <t>3_fotografias_Images/dbd197d5.imagen.155247.jpg</t>
  </si>
  <si>
    <t>N10:Valores tomados en campo (tramo recto-brida)</t>
  </si>
  <si>
    <t>ea6d3708</t>
  </si>
  <si>
    <t>3_fotografias_Images/ea6d3708.imagen.155318.jpg</t>
  </si>
  <si>
    <t>N11:Valores tomados en campo (tramo recto-brida)</t>
  </si>
  <si>
    <t>5b3de6a9</t>
  </si>
  <si>
    <t>3_fotografias_Images/5b3de6a9.imagen.160406.jpg</t>
  </si>
  <si>
    <t>93aa851e</t>
  </si>
  <si>
    <t>3_fotografias_Images/93aa851e.imagen.160413.jpg</t>
  </si>
  <si>
    <t>b0e22c7a</t>
  </si>
  <si>
    <t>3_fotografias_Images/b0e22c7a.imagen.160417.jpg</t>
  </si>
  <si>
    <t>54bcd163</t>
  </si>
  <si>
    <t>3_fotografias_Images/54bcd163.imagen.160421.jpg</t>
  </si>
  <si>
    <t>8524deeb</t>
  </si>
  <si>
    <t>3_fotografias_Images/8524deeb.imagen.160425.png</t>
  </si>
  <si>
    <t>CODO 8"</t>
  </si>
  <si>
    <t>c4ca9853</t>
  </si>
  <si>
    <t>3_fotografias_Images/c4ca9853.imagen.160430.jpg</t>
  </si>
  <si>
    <t>43d78a67</t>
  </si>
  <si>
    <t>3_fotografias_Images/43d78a67.imagen.160434.jpg</t>
  </si>
  <si>
    <t>a53feaa4</t>
  </si>
  <si>
    <t>3_fotografias_Images/a53feaa4.imagen.160438.jpg</t>
  </si>
  <si>
    <t>CODO 2"</t>
  </si>
  <si>
    <t>8cd81684</t>
  </si>
  <si>
    <t>3_fotografias_Images/8cd81684.imagen.160442.jpg</t>
  </si>
  <si>
    <t>48d3e9cc</t>
  </si>
  <si>
    <t>3_fotografias_Images/48d3e9cc.imagen.160445.jpg</t>
  </si>
  <si>
    <t>1e3b0d1e</t>
  </si>
  <si>
    <t>3_fotografias_Images/1e3b0d1e.imagen.163144.jpg</t>
  </si>
  <si>
    <t>N1: Valores tomados en campo (tramo recto- brida).</t>
  </si>
  <si>
    <t>94877b62</t>
  </si>
  <si>
    <t>3_fotografias_Images/94877b62.imagen.163215.jpg</t>
  </si>
  <si>
    <t>ebfa6e32</t>
  </si>
  <si>
    <t>3_fotografias_Images/ebfa6e32.imagen.163431.jpg</t>
  </si>
  <si>
    <t>N2: Valores tomados en campo (tramo recto- brida).</t>
  </si>
  <si>
    <t>41d4e4e6</t>
  </si>
  <si>
    <t>3_fotografias_Images/41d4e4e6.imagen.163519.jpg</t>
  </si>
  <si>
    <t>N 3:  Valores tomados en campo (tramo recto- brida).</t>
  </si>
  <si>
    <t>b95d74ef</t>
  </si>
  <si>
    <t>3_fotografias_Images/b95d74ef.imagen.163803.jpg</t>
  </si>
  <si>
    <t>N3-A: Valores tomados en campo (tramo recto- brida).</t>
  </si>
  <si>
    <t>2aad3a14</t>
  </si>
  <si>
    <t>3_fotografias_Images/2aad3a14.imagen.164536.jpg</t>
  </si>
  <si>
    <t>N4: Valores tomados en campo (tramo recto- brida).</t>
  </si>
  <si>
    <t>6beca075</t>
  </si>
  <si>
    <t>3_fotografias_Images/6beca075.imagen.164742.jpg</t>
  </si>
  <si>
    <t>N4-A: Valores tomados en campo (tramo recto- brida).</t>
  </si>
  <si>
    <t>5379e9b1</t>
  </si>
  <si>
    <t>3_fotografias_Images/5379e9b1.imagen.164823.jpg</t>
  </si>
  <si>
    <t>N6: Valores tomados en campo (tramo recto- brida).</t>
  </si>
  <si>
    <t>61987567</t>
  </si>
  <si>
    <t>3_fotografias_Images/61987567.imagen.164852.jpg</t>
  </si>
  <si>
    <t>N7: Valores tomados en campo (tramo recto- brida).</t>
  </si>
  <si>
    <t>e3ef5306</t>
  </si>
  <si>
    <t>3_fotografias_Images/e3ef5306.imagen.164934.jpg</t>
  </si>
  <si>
    <t>N8: Valores tomados en campo (tramo recto- brida).</t>
  </si>
  <si>
    <t>6709a176</t>
  </si>
  <si>
    <t>3_fotografias_Images/6709a176.imagen.165020.jpg</t>
  </si>
  <si>
    <t>N9: Valores tomados en campo (tramo recto- brida y tapa).</t>
  </si>
  <si>
    <t>464a5dcf</t>
  </si>
  <si>
    <t>3_fotografias_Images/464a5dcf.imagen.165554.jpg</t>
  </si>
  <si>
    <t>Área no uniforme</t>
  </si>
  <si>
    <t>e7b6765e</t>
  </si>
  <si>
    <t>3_fotografias_Images/e7b6765e.imagen.165559.jpg</t>
  </si>
  <si>
    <t>Superficie con recubrimiento que impide la medición</t>
  </si>
  <si>
    <t>45117eb9</t>
  </si>
  <si>
    <t>3_fotografias_Images/45117eb9.imagen.165826.jpg</t>
  </si>
  <si>
    <t>Superficie no homogénea para toma de datos</t>
  </si>
  <si>
    <t>f6af543e</t>
  </si>
  <si>
    <t>3_fotografias_Images/f6af543e.imagen.200824.jpg</t>
  </si>
  <si>
    <t>CML 2 Se evidencia falta de unidad en el accesorio lo que impide la toma de espesores</t>
  </si>
  <si>
    <t>e7044a7f</t>
  </si>
  <si>
    <t>3_fotografias_Images/e7044a7f.imagen.200829.jpg</t>
  </si>
  <si>
    <t>Registro toma de espesores</t>
  </si>
  <si>
    <t>e7a39641</t>
  </si>
  <si>
    <t>3_fotografias_Images/e7a39641.imagen.200833.jpg</t>
  </si>
  <si>
    <t>Evidencia Medicion de espesores</t>
  </si>
  <si>
    <t>b74e8276</t>
  </si>
  <si>
    <t>3_fotografias_Images/b74e8276.imagen.200838.jpg</t>
  </si>
  <si>
    <t>CML 14 Se observa falta de uniformidad en la superficie del accesorio lo que impide la toma de espesores</t>
  </si>
  <si>
    <t>c61f2233</t>
  </si>
  <si>
    <t>3_fotografias_Images/c61f2233.imagen.161716.jpg</t>
  </si>
  <si>
    <t>CUERPO 32</t>
  </si>
  <si>
    <t>8d513a5d</t>
  </si>
  <si>
    <t>3_fotografias_Images/8d513a5d.imagen.161720.jpg</t>
  </si>
  <si>
    <t>CUERPO COMPLETO</t>
  </si>
  <si>
    <t>b02d82ee</t>
  </si>
  <si>
    <t>3_fotografias_Images/b02d82ee.imagen.161724.jpg</t>
  </si>
  <si>
    <t>CUERPO DE N1-A</t>
  </si>
  <si>
    <t>15f2cf49</t>
  </si>
  <si>
    <t>3_fotografias_Images/15f2cf49.imagen.161928.jpg</t>
  </si>
  <si>
    <t>CUERPO COMPLETO DEL FILTRO</t>
  </si>
  <si>
    <t>0d764c63</t>
  </si>
  <si>
    <t>3_fotografias_Images/0d764c63.imagen.161932.jpg</t>
  </si>
  <si>
    <t>CUERPO N1-A</t>
  </si>
  <si>
    <t>946fffcb</t>
  </si>
  <si>
    <t>3_fotografias_Images/946fffcb.imagen.162039.jpg</t>
  </si>
  <si>
    <t>DESCRIPCION DEL FILTRO 38 Y CAP 2</t>
  </si>
  <si>
    <t>5f7ecf9e</t>
  </si>
  <si>
    <t>3_fotografias_Images/5f7ecf9e.imagen.162043.jpg</t>
  </si>
  <si>
    <t>4ecb1202</t>
  </si>
  <si>
    <t>3_fotografias_Images/4ecb1202.imagen.162120.jpg</t>
  </si>
  <si>
    <t>CUERPO COMPLETO FILTRO</t>
  </si>
  <si>
    <t>992fbf8f</t>
  </si>
  <si>
    <t>3_fotografias_Images/992fbf8f.imagen.162219.jpg</t>
  </si>
  <si>
    <t>81632da6</t>
  </si>
  <si>
    <t>3_fotografias_Images/81632da6.imagen.162225.jpg</t>
  </si>
  <si>
    <t>CUERPO FILTRO SIN TAPAS</t>
  </si>
  <si>
    <t>030b0f42</t>
  </si>
  <si>
    <t>3_fotografias_Images/030b0f42.imagen.174220.jpg</t>
  </si>
  <si>
    <t>PLACA 02 - T - 002.</t>
  </si>
  <si>
    <t>477dc782</t>
  </si>
  <si>
    <t>3_fotografias_Images/477dc782.imagen.174224.jpg</t>
  </si>
  <si>
    <t>02 - T - 002</t>
  </si>
  <si>
    <t>d77b16d2</t>
  </si>
  <si>
    <t>3_fotografias_Images/d77b16d2.imagen.185628.jpg</t>
  </si>
  <si>
    <t>042f9913</t>
  </si>
  <si>
    <t>3_fotografias_Images/042f9913.imagen.185632.jpg</t>
  </si>
  <si>
    <t>5c400150</t>
  </si>
  <si>
    <t>3_fotografias_Images/5c400150.imagen.185636.jpg</t>
  </si>
  <si>
    <t>03</t>
  </si>
  <si>
    <t>0cb7dc20</t>
  </si>
  <si>
    <t>3_fotografias_Images/0cb7dc20.imagen.185641.jpg</t>
  </si>
  <si>
    <t>04</t>
  </si>
  <si>
    <t>540fdfbc</t>
  </si>
  <si>
    <t>3_fotografias_Images/540fdfbc.imagen.185646.jpg</t>
  </si>
  <si>
    <t>05</t>
  </si>
  <si>
    <t>a873e92a</t>
  </si>
  <si>
    <t>3_fotografias_Images/a873e92a.imagen.221258.jpg</t>
  </si>
  <si>
    <t>06 - T - 021</t>
  </si>
  <si>
    <t>23a3d42c</t>
  </si>
  <si>
    <t>3_fotografias_Images/23a3d42c.imagen.002303.jpg</t>
  </si>
  <si>
    <t>Evidencia medicion de espesores</t>
  </si>
  <si>
    <t>79a9b8ee</t>
  </si>
  <si>
    <t>3_fotografias_Images/79a9b8ee.imagen.003057.jpg</t>
  </si>
  <si>
    <t>05b1b482</t>
  </si>
  <si>
    <t>3_fotografias_Images/05b1b482.imagen.003105.jpg</t>
  </si>
  <si>
    <t>Lectura medicion de espesores</t>
  </si>
  <si>
    <t>841053c6</t>
  </si>
  <si>
    <t>3_fotografias_Images/841053c6.imagen.003237.jpg</t>
  </si>
  <si>
    <t>0a1be937</t>
  </si>
  <si>
    <t>3_fotografias_Images/0a1be937.imagen.235952.jpg</t>
  </si>
  <si>
    <t>Lecturas medicion de espesores</t>
  </si>
  <si>
    <t>052b724e</t>
  </si>
  <si>
    <t>3_fotografias_Images/052b724e.imagen.235958.jpg</t>
  </si>
  <si>
    <t>4ca97a9c</t>
  </si>
  <si>
    <t>3_fotografias_Images/4ca97a9c.imagen.004317.jpg</t>
  </si>
  <si>
    <t>a7d38b7e</t>
  </si>
  <si>
    <t>3_fotografias_Images/a7d38b7e.imagen.004322.jpg</t>
  </si>
  <si>
    <t>Área no accesible</t>
  </si>
  <si>
    <t>301a58ba</t>
  </si>
  <si>
    <t>3_fotografias_Images/301a58ba.imagen.004327.jpg</t>
  </si>
  <si>
    <t>Lectura medicion de espesor</t>
  </si>
  <si>
    <t>30cfc794</t>
  </si>
  <si>
    <t>3_fotografias_Images/30cfc794.imagen.004851.jpg</t>
  </si>
  <si>
    <t>d3ee8754</t>
  </si>
  <si>
    <t>3_fotografias_Images/d3ee8754.imagen.004857.jpg</t>
  </si>
  <si>
    <t>Área de difícil acceso</t>
  </si>
  <si>
    <t>d273c737</t>
  </si>
  <si>
    <t>3_fotografias_Images/d273c737.imagen.004905.jpg</t>
  </si>
  <si>
    <t>Evidencia medición de espesores</t>
  </si>
  <si>
    <t>7816a031</t>
  </si>
  <si>
    <t>3_fotografias_Images/7816a031.imagen.010005.jpg</t>
  </si>
  <si>
    <t>4ba27605</t>
  </si>
  <si>
    <t>3_fotografias_Images/4ba27605.imagen.010024.jpg</t>
  </si>
  <si>
    <t>4dad52d5</t>
  </si>
  <si>
    <t>3_fotografias_Images/4dad52d5.imagen.010031.jpg</t>
  </si>
  <si>
    <t>7f61e379</t>
  </si>
  <si>
    <t>3_fotografias_Images/7f61e379.imagen.010040.jpg</t>
  </si>
  <si>
    <t>05da514f</t>
  </si>
  <si>
    <t>3_fotografias_Images/05da514f.imagen.010046.jpg</t>
  </si>
  <si>
    <t>3e85eb08</t>
  </si>
  <si>
    <t>3_fotografias_Images/3e85eb08.imagen.010053.jpg</t>
  </si>
  <si>
    <t>efb1e755</t>
  </si>
  <si>
    <t>3_fotografias_Images/efb1e755.imagen.150343.jpg</t>
  </si>
  <si>
    <t>Scan A ejes</t>
  </si>
  <si>
    <t>431b10af</t>
  </si>
  <si>
    <t>3_fotografias_Images/431b10af.imagen.150348.jpg</t>
  </si>
  <si>
    <t>Inspección en ejes</t>
  </si>
  <si>
    <t>ed15af8d</t>
  </si>
  <si>
    <t>3_fotografias_Images/ed15af8d.imagen.150351.jpg</t>
  </si>
  <si>
    <t>e6869e73</t>
  </si>
  <si>
    <t>3_fotografias_Images/e6869e73.imagen.150355.jpg</t>
  </si>
  <si>
    <t>Scan B ejes</t>
  </si>
  <si>
    <t>7f1b7d4c</t>
  </si>
  <si>
    <t>3_fotografias_Images/7f1b7d4c.imagen.150400.jpg</t>
  </si>
  <si>
    <t>0f5610bd</t>
  </si>
  <si>
    <t>3_fotografias_Images/0f5610bd.imagen.150403.jpg</t>
  </si>
  <si>
    <t>Inspección crawler en ejes</t>
  </si>
  <si>
    <t>f1927df2</t>
  </si>
  <si>
    <t>3_fotografias_Images/f1927df2.imagen.163551.jpg</t>
  </si>
  <si>
    <t>1c106274</t>
  </si>
  <si>
    <t>3_fotografias_Images/1c106274.imagen.163554.jpg</t>
  </si>
  <si>
    <t>baba0e51</t>
  </si>
  <si>
    <t>3_fotografias_Images/baba0e51.imagen.163557.jpg</t>
  </si>
  <si>
    <t>068c963c</t>
  </si>
  <si>
    <t>3_fotografias_Images/068c963c.imagen.163602.jpg</t>
  </si>
  <si>
    <t>3aae4069</t>
  </si>
  <si>
    <t>3_fotografias_Images/3aae4069.imagen.163605.jpg</t>
  </si>
  <si>
    <t>cd631948</t>
  </si>
  <si>
    <t>3_fotografias_Images/cd631948.imagen.163608.jpg</t>
  </si>
  <si>
    <t>8536253e</t>
  </si>
  <si>
    <t>3_fotografias_Images/8536253e.imagen.174934.jpg</t>
  </si>
  <si>
    <t>Vista general</t>
  </si>
  <si>
    <t>f4007e72</t>
  </si>
  <si>
    <t>3_fotografias_Images/f4007e72.imagen.174938.jpg</t>
  </si>
  <si>
    <t>Medición espesor MH3</t>
  </si>
  <si>
    <t>49b1917f</t>
  </si>
  <si>
    <t>3_fotografias_Images/49b1917f.imagen.194354.jpg</t>
  </si>
  <si>
    <t>570fa26b</t>
  </si>
  <si>
    <t>3_fotografias_Images/570fa26b.imagen.194432.jpg</t>
  </si>
  <si>
    <t>Medición espesor Cap Inferior</t>
  </si>
  <si>
    <t>8a256c1c</t>
  </si>
  <si>
    <t>3_fotografias_Images/8a256c1c.imagen.205458.jpg</t>
  </si>
  <si>
    <t>Inspección</t>
  </si>
  <si>
    <t>f41ffb6c</t>
  </si>
  <si>
    <t>3_fotografias_Images/f41ffb6c.imagen.205502.jpg</t>
  </si>
  <si>
    <t>a87630b3</t>
  </si>
  <si>
    <t>3_fotografias_Images/a87630b3.imagen.205505.jpg</t>
  </si>
  <si>
    <t>291ebae1</t>
  </si>
  <si>
    <t>3_fotografias_Images/291ebae1.imagen.205508.jpg</t>
  </si>
  <si>
    <t>e36592e7</t>
  </si>
  <si>
    <t>3_fotografias_Images/e36592e7.imagen.205512.jpg</t>
  </si>
  <si>
    <t>1538642b</t>
  </si>
  <si>
    <t>3_fotografias_Images/1538642b.imagen.211457.jpg</t>
  </si>
  <si>
    <t>ab70218b</t>
  </si>
  <si>
    <t>3_fotografias_Images/ab70218b.imagen.211527.jpg</t>
  </si>
  <si>
    <t>65c2e009</t>
  </si>
  <si>
    <t>3_fotografias_Images/65c2e009.imagen.211531.jpg</t>
  </si>
  <si>
    <t>61ed8ea8</t>
  </si>
  <si>
    <t>3_fotografias_Images/61ed8ea8.imagen.211534.jpg</t>
  </si>
  <si>
    <t>10aff068</t>
  </si>
  <si>
    <t>3_fotografias_Images/10aff068.imagen.211537.jpg</t>
  </si>
  <si>
    <t>f861a82c</t>
  </si>
  <si>
    <t>3_fotografias_Images/f861a82c.imagen.005000.jpg</t>
  </si>
  <si>
    <t>Inspección Anillos</t>
  </si>
  <si>
    <t>4fd00d01</t>
  </si>
  <si>
    <t>3_fotografias_Images/4fd00d01.imagen.005003.jpg</t>
  </si>
  <si>
    <t>Inspección techo y boquillas</t>
  </si>
  <si>
    <t>80547865</t>
  </si>
  <si>
    <t>3_fotografias_Images/80547865.imagen.151131.jpg</t>
  </si>
  <si>
    <t>398ef57c</t>
  </si>
  <si>
    <t>3_fotografias_Images/398ef57c.imagen.151201.jpg</t>
  </si>
  <si>
    <t>Vista General</t>
  </si>
  <si>
    <t>802b7eb4</t>
  </si>
  <si>
    <t>3_fotografias_Images/802b7eb4.imagen.160110.jpg</t>
  </si>
  <si>
    <t>c7e8f025</t>
  </si>
  <si>
    <t>3_fotografias_Images/c7e8f025.imagen.160114.jpg</t>
  </si>
  <si>
    <t>c8369a0d</t>
  </si>
  <si>
    <t>3_fotografias_Images/c8369a0d.imagen.160118.jpg</t>
  </si>
  <si>
    <t>7085d7cf</t>
  </si>
  <si>
    <t>3_fotografias_Images/7085d7cf.imagen.160121.jpg</t>
  </si>
  <si>
    <t>Scan A Ejes</t>
  </si>
  <si>
    <t>87c6b6a9</t>
  </si>
  <si>
    <t>3_fotografias_Images/87c6b6a9.imagen.160124.jpg</t>
  </si>
  <si>
    <t>247d3846</t>
  </si>
  <si>
    <t>3_fotografias_Images/247d3846.imagen.160127.jpg</t>
  </si>
  <si>
    <t>FORMATO</t>
  </si>
  <si>
    <t>F-OPE-AP-159</t>
  </si>
  <si>
    <t>REPORTE DE MEDICIÓN DE ESPESORES TUBERÍA Y ACCESORIOS</t>
  </si>
  <si>
    <t>Versión:</t>
  </si>
  <si>
    <t xml:space="preserve">Fecha: </t>
  </si>
  <si>
    <t>1. INFORMACIÓN GENERAL</t>
  </si>
  <si>
    <t>N° Reporte</t>
  </si>
  <si>
    <t>2. CARACTERÍSTICAS DEL SISTEMA O TUBERÍA INSPECCIONADA</t>
  </si>
  <si>
    <t>Temperatura de  Servicio</t>
  </si>
  <si>
    <t>3. EQUIPOS Y MATERIALES USADOS MEDICIÓN DE ESPESORES</t>
  </si>
  <si>
    <t>Marca  Equipo Medidor de Espesores</t>
  </si>
  <si>
    <t xml:space="preserve">Tamaño - Diámetro </t>
  </si>
  <si>
    <t xml:space="preserve">Procedimiento </t>
  </si>
  <si>
    <t xml:space="preserve">Velocidad de Calibración </t>
  </si>
  <si>
    <t xml:space="preserve">Bloque </t>
  </si>
  <si>
    <t>Paso Bloque</t>
  </si>
  <si>
    <t>4. REGISTRO DE INSPECCIÓN MEDICIÓN DE ESPESORES</t>
  </si>
  <si>
    <t>Cant. Lecturas tomadas</t>
  </si>
  <si>
    <t>Cant. Puntos</t>
  </si>
  <si>
    <t>ID</t>
  </si>
  <si>
    <t>CARACTERÍSTICAS ELEMENTO</t>
  </si>
  <si>
    <t>LECTURAS TOMADAS (Medidas en pulgadas)</t>
  </si>
  <si>
    <t>OBSERVACIONES</t>
  </si>
  <si>
    <t>ELEMENTO</t>
  </si>
  <si>
    <t>DIAMETRO</t>
  </si>
  <si>
    <t>t Nom</t>
  </si>
  <si>
    <t>MÁXIMO</t>
  </si>
  <si>
    <t>MÍNIMO</t>
  </si>
  <si>
    <t xml:space="preserve">PROMEDIO </t>
  </si>
  <si>
    <t>%PERDIDA Vs NOMINAL</t>
  </si>
  <si>
    <t>%PERDIDA Vs PROMEDIO</t>
  </si>
  <si>
    <t>9. REGISTRO FOTOGRÁFICO</t>
  </si>
  <si>
    <t xml:space="preserve">REALIZADO POR </t>
  </si>
  <si>
    <t>REVISADO POR</t>
  </si>
  <si>
    <t xml:space="preserve">APROBADO POR </t>
  </si>
  <si>
    <t>FIRMA:</t>
  </si>
  <si>
    <t>NOMBRE:</t>
  </si>
  <si>
    <t>CARGO:</t>
  </si>
  <si>
    <t>CERT. N°</t>
  </si>
  <si>
    <t>FECHA</t>
  </si>
  <si>
    <t>CLIENTES</t>
  </si>
  <si>
    <t>RECUBRIMIENTO</t>
  </si>
  <si>
    <t>TIPO PALADOR</t>
  </si>
  <si>
    <t>complementos</t>
  </si>
  <si>
    <t xml:space="preserve">TIPO DE RECUBRIMINETO </t>
  </si>
  <si>
    <t>#</t>
  </si>
  <si>
    <t>ADEMINSA PERU</t>
  </si>
  <si>
    <t>Monocristal</t>
  </si>
  <si>
    <t>ADEMINSA PTO RICO</t>
  </si>
  <si>
    <t xml:space="preserve">MALO </t>
  </si>
  <si>
    <t>MASS GROUP</t>
  </si>
  <si>
    <t>Angular</t>
  </si>
  <si>
    <t>Galvanizado</t>
  </si>
  <si>
    <t>Retraso de línea</t>
  </si>
  <si>
    <t>STEPAN</t>
  </si>
  <si>
    <t>TELMACOM</t>
  </si>
  <si>
    <t>MAGNEX</t>
  </si>
  <si>
    <t>CEMEX</t>
  </si>
  <si>
    <t>MONTAJES Y CALDERAS</t>
  </si>
  <si>
    <t>SGS</t>
  </si>
  <si>
    <t>MAC POLLO</t>
  </si>
  <si>
    <t>HYDRATICA</t>
  </si>
  <si>
    <t>MANSERVIS</t>
  </si>
  <si>
    <t>MORENO VARGAS</t>
  </si>
  <si>
    <t>SOUTH 32</t>
  </si>
  <si>
    <t>TFI</t>
  </si>
  <si>
    <t>LINDE</t>
  </si>
  <si>
    <t>EQUIPROCESS</t>
  </si>
  <si>
    <t>ISMOCOL</t>
  </si>
  <si>
    <t>ADEMINSA</t>
  </si>
  <si>
    <t>METALPAR</t>
  </si>
  <si>
    <t>SOLETANCHE-BACHY</t>
  </si>
  <si>
    <t>HOPE INGENIERIA SAS</t>
  </si>
  <si>
    <t>SIERRACOL</t>
  </si>
  <si>
    <t>METALPETROL</t>
  </si>
  <si>
    <t>INGCONS</t>
  </si>
  <si>
    <t>ESSITY</t>
  </si>
  <si>
    <t>LAPS</t>
  </si>
  <si>
    <t>EMAC</t>
  </si>
  <si>
    <t>INGETECNOLOGY</t>
  </si>
  <si>
    <t>TIM</t>
  </si>
  <si>
    <t>PAREX</t>
  </si>
  <si>
    <t>ODL</t>
  </si>
  <si>
    <t>usuario</t>
  </si>
  <si>
    <t>contrasena</t>
  </si>
  <si>
    <t>Diego</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</si>
</sst>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dd/mm/yyyy"/>
    <numFmt numFmtId="166" formatCode="mm/dd/yyyy"/>
    <numFmt numFmtId="167" formatCode="m/d/yyyy"/>
    <numFmt numFmtId="168" formatCode="yyyymmmd"/>
    <numFmt numFmtId="169" formatCode="##.##&quot;°C&quot;"/>
    <numFmt numFmtId="170" formatCode="##.##&quot;°F&quot;"/>
    <numFmt numFmtId="171" formatCode="##.###\ &quot;Pulg&quot;"/>
    <numFmt numFmtId="172" formatCode="##.###&quot;mm&quot;"/>
    <numFmt numFmtId="173" formatCode="####.##&quot;PSI&quot;"/>
    <numFmt numFmtId="174" formatCode="##.##\ &quot;pulg&quot;"/>
    <numFmt numFmtId="175" formatCode="0.000"/>
  </numFmts>
  <fonts count="28">
    <font>
      <sz val="10.0"/>
      <color rgb="FF000000"/>
      <name val="Arial"/>
      <scheme val="minor"/>
    </font>
    <font>
      <color theme="1"/>
      <name val="Arial"/>
    </font>
    <font>
      <color theme="1"/>
      <name val="Arial"/>
      <scheme val="minor"/>
    </font>
    <font>
      <b/>
      <sz val="7.0"/>
      <color rgb="FF1F1F1F"/>
      <name val="'Times New Roman'"/>
    </font>
    <font>
      <b/>
      <sz val="8.0"/>
      <color rgb="FF1F1F1F"/>
      <name val="'Times New Roman'"/>
    </font>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sz val="11.0"/>
      <color theme="1"/>
      <name val="Arial"/>
    </font>
    <font>
      <sz val="11.0"/>
      <color theme="1"/>
      <name val="Aptos Narrow"/>
    </font>
    <font>
      <sz val="9.0"/>
      <color theme="1"/>
      <name val="Arial"/>
    </font>
    <font>
      <sz val="11.0"/>
      <color rgb="FF000000"/>
      <name val="Calibri"/>
    </font>
    <font>
      <b/>
      <sz val="9.0"/>
      <color theme="1"/>
      <name val="Arial"/>
    </font>
    <font>
      <sz val="9.0"/>
      <color rgb="FF000000"/>
      <name val="Arial"/>
    </font>
    <font>
      <sz val="10.0"/>
      <color theme="1"/>
      <name val="Arial"/>
    </font>
    <font>
      <sz val="10.0"/>
      <color rgb="FF000000"/>
      <name val="Arial"/>
    </font>
    <font>
      <u/>
      <color rgb="FF0000FF"/>
    </font>
    <font>
      <b/>
      <sz val="10.0"/>
      <color theme="1"/>
      <name val="Arial"/>
    </font>
    <font>
      <b/>
      <sz val="16.0"/>
      <color theme="1"/>
      <name val="Arial"/>
    </font>
    <font>
      <sz val="10.0"/>
      <color theme="0"/>
      <name val="Arial"/>
    </font>
    <font>
      <b/>
      <sz val="11.0"/>
      <color theme="1"/>
      <name val="Arial"/>
    </font>
    <font>
      <b/>
      <color theme="1"/>
      <name val="Arial"/>
    </font>
    <font>
      <sz val="11.0"/>
      <color theme="1"/>
      <name val="Calibri"/>
    </font>
  </fonts>
  <fills count="16">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
      <patternFill patternType="solid">
        <fgColor rgb="FFAEAAAA"/>
        <bgColor rgb="FFAEAAAA"/>
      </patternFill>
    </fill>
    <fill>
      <patternFill patternType="solid">
        <fgColor rgb="FFEBF2FA"/>
        <bgColor rgb="FFEBF2FA"/>
      </patternFill>
    </fill>
    <fill>
      <patternFill patternType="solid">
        <fgColor rgb="FF4A86E8"/>
        <bgColor rgb="FF4A86E8"/>
      </patternFill>
    </fill>
    <fill>
      <patternFill patternType="solid">
        <fgColor rgb="FFA6A6A6"/>
        <bgColor rgb="FFA6A6A6"/>
      </patternFill>
    </fill>
    <fill>
      <patternFill patternType="solid">
        <fgColor rgb="FFE7E6E6"/>
        <bgColor rgb="FFE7E6E6"/>
      </patternFill>
    </fill>
    <fill>
      <patternFill patternType="solid">
        <fgColor rgb="FFD8D8D8"/>
        <bgColor rgb="FFD8D8D8"/>
      </patternFill>
    </fill>
    <fill>
      <patternFill patternType="solid">
        <fgColor rgb="FFF2F2F2"/>
        <bgColor rgb="FFF2F2F2"/>
      </patternFill>
    </fill>
    <fill>
      <patternFill patternType="solid">
        <fgColor rgb="FFFEF2CB"/>
        <bgColor rgb="FFFEF2CB"/>
      </patternFill>
    </fill>
    <fill>
      <patternFill patternType="solid">
        <fgColor rgb="FFD9E2F3"/>
        <bgColor rgb="FFD9E2F3"/>
      </patternFill>
    </fill>
    <fill>
      <patternFill patternType="solid">
        <fgColor theme="0"/>
        <bgColor theme="0"/>
      </patternFill>
    </fill>
    <fill>
      <patternFill patternType="solid">
        <fgColor rgb="FFE2EFDA"/>
        <bgColor rgb="FFE2EFDA"/>
      </patternFill>
    </fill>
  </fills>
  <borders count="6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B0BEC5"/>
      </left>
      <right style="thin">
        <color rgb="FFB0BEC5"/>
      </right>
      <top style="thin">
        <color rgb="FFB0BEC5"/>
      </top>
      <bottom style="thin">
        <color rgb="FFB0BEC5"/>
      </bottom>
    </border>
    <border>
      <left/>
      <right/>
      <top/>
      <bottom/>
    </border>
    <border>
      <left style="thick">
        <color rgb="FF000000"/>
      </left>
      <top style="thick">
        <color rgb="FF000000"/>
      </top>
    </border>
    <border>
      <top style="thick">
        <color rgb="FF000000"/>
      </top>
    </border>
    <border>
      <right style="medium">
        <color rgb="FF000000"/>
      </right>
      <top style="thick">
        <color rgb="FF000000"/>
      </top>
    </border>
    <border>
      <left style="medium">
        <color rgb="FF000000"/>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rder>
    <border>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right style="thick">
        <color rgb="FF000000"/>
      </right>
      <top style="thin">
        <color rgb="FF000000"/>
      </top>
      <bottom style="thin">
        <color rgb="FF000000"/>
      </bottom>
    </border>
    <border>
      <left style="thick">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left style="thick">
        <color rgb="FF000000"/>
      </left>
      <top style="thin">
        <color rgb="FF000000"/>
      </top>
      <bottom/>
    </border>
    <border>
      <top style="thin">
        <color rgb="FF000000"/>
      </top>
      <bottom/>
    </border>
    <border>
      <right style="thick">
        <color rgb="FF000000"/>
      </right>
      <top style="thin">
        <color rgb="FF000000"/>
      </top>
      <bottom/>
    </border>
    <border>
      <left style="thick">
        <color rgb="FF000000"/>
      </left>
      <top/>
      <bottom/>
    </border>
    <border>
      <right/>
      <top/>
      <bottom/>
    </border>
    <border>
      <left/>
      <top/>
      <bottom/>
    </border>
    <border>
      <right style="thick">
        <color rgb="FF000000"/>
      </right>
    </border>
    <border>
      <top/>
      <bottom/>
    </border>
    <border>
      <right style="thick">
        <color rgb="FF000000"/>
      </right>
      <top/>
      <bottom/>
    </border>
    <border>
      <left style="thick">
        <color rgb="FF000000"/>
      </left>
      <top/>
      <bottom style="thin">
        <color rgb="FF000000"/>
      </bottom>
    </border>
    <border>
      <top/>
      <bottom style="thin">
        <color rgb="FF000000"/>
      </bottom>
    </border>
    <border>
      <right style="thick">
        <color rgb="FF000000"/>
      </right>
      <top/>
      <bottom style="thin">
        <color rgb="FF000000"/>
      </bottom>
    </border>
    <border>
      <left style="thick">
        <color rgb="FF000000"/>
      </left>
      <right/>
      <top/>
      <bottom/>
    </border>
    <border>
      <left/>
      <right/>
      <top/>
    </border>
    <border>
      <left/>
      <right style="thick">
        <color rgb="FF000000"/>
      </right>
      <top/>
    </border>
    <border>
      <left/>
      <right/>
      <bottom/>
    </border>
    <border>
      <left/>
      <right style="thick">
        <color rgb="FF000000"/>
      </right>
      <bottom/>
    </border>
    <border>
      <left style="thick">
        <color rgb="FF000000"/>
      </left>
      <top style="double">
        <color rgb="FFA6A6A6"/>
      </top>
      <bottom style="double">
        <color rgb="FFA6A6A6"/>
      </bottom>
    </border>
    <border>
      <top style="double">
        <color rgb="FFA6A6A6"/>
      </top>
      <bottom style="double">
        <color rgb="FFA6A6A6"/>
      </bottom>
    </border>
    <border>
      <right style="double">
        <color rgb="FFA6A6A6"/>
      </right>
      <top style="double">
        <color rgb="FFA6A6A6"/>
      </top>
      <bottom style="double">
        <color rgb="FFA6A6A6"/>
      </bottom>
    </border>
    <border>
      <left style="double">
        <color rgb="FFA6A6A6"/>
      </left>
      <top style="double">
        <color rgb="FFA6A6A6"/>
      </top>
      <bottom style="double">
        <color rgb="FFA6A6A6"/>
      </bottom>
    </border>
    <border>
      <right/>
      <top style="thin">
        <color rgb="FF000000"/>
      </top>
      <bottom style="thin">
        <color rgb="FF000000"/>
      </bottom>
    </border>
    <border>
      <left/>
      <top style="thin">
        <color rgb="FF000000"/>
      </top>
      <bottom style="thin">
        <color rgb="FF000000"/>
      </bottom>
    </border>
    <border>
      <left style="thick">
        <color rgb="FF000000"/>
      </left>
      <right style="thin">
        <color rgb="FF000000"/>
      </right>
      <top style="thin">
        <color rgb="FF000000"/>
      </top>
    </border>
    <border>
      <left style="thin">
        <color rgb="FF000000"/>
      </left>
      <top style="thin">
        <color rgb="FF000000"/>
      </top>
    </border>
    <border>
      <top style="thin">
        <color rgb="FF000000"/>
      </top>
    </border>
    <border>
      <right style="thick">
        <color rgb="FF000000"/>
      </right>
      <top style="thin">
        <color rgb="FF000000"/>
      </top>
    </border>
    <border>
      <left style="thick">
        <color rgb="FF000000"/>
      </left>
      <right style="thin">
        <color rgb="FF000000"/>
      </right>
      <bottom style="thin">
        <color rgb="FF000000"/>
      </bottom>
    </border>
    <border>
      <left style="thin">
        <color rgb="FF000000"/>
      </left>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1" fillId="0" fontId="2" numFmtId="0" xfId="0" applyAlignment="1" applyBorder="1" applyFont="1">
      <alignment horizontal="left" shrinkToFit="0" vertical="top" wrapText="1"/>
    </xf>
    <xf borderId="2" fillId="2" fontId="3" numFmtId="0" xfId="0" applyAlignment="1" applyBorder="1" applyFill="1" applyFont="1">
      <alignment horizontal="left" readingOrder="0" shrinkToFit="0" wrapText="1"/>
    </xf>
    <xf borderId="3" fillId="2" fontId="4" numFmtId="0" xfId="0" applyAlignment="1" applyBorder="1" applyFont="1">
      <alignment horizontal="center" readingOrder="0" shrinkToFit="0" wrapText="1"/>
    </xf>
    <xf borderId="4" fillId="0" fontId="5" numFmtId="0" xfId="0" applyBorder="1" applyFont="1"/>
    <xf borderId="5" fillId="0" fontId="5" numFmtId="0" xfId="0" applyBorder="1" applyFont="1"/>
    <xf borderId="1" fillId="0" fontId="4" numFmtId="0" xfId="0" applyAlignment="1" applyBorder="1" applyFont="1">
      <alignment horizontal="left" readingOrder="0" shrinkToFit="0" wrapText="1"/>
    </xf>
    <xf borderId="2" fillId="2" fontId="4" numFmtId="0" xfId="0" applyAlignment="1" applyBorder="1" applyFont="1">
      <alignment horizontal="left" readingOrder="0" shrinkToFit="0" wrapText="1"/>
    </xf>
    <xf borderId="2" fillId="0" fontId="4" numFmtId="0" xfId="0" applyAlignment="1" applyBorder="1" applyFont="1">
      <alignment horizontal="center" readingOrder="0" shrinkToFit="0" wrapText="1"/>
    </xf>
    <xf borderId="2" fillId="2" fontId="4" numFmtId="0" xfId="0" applyAlignment="1" applyBorder="1" applyFont="1">
      <alignment horizontal="right" readingOrder="0" shrinkToFit="0" wrapText="1"/>
    </xf>
    <xf borderId="2" fillId="0" fontId="3" numFmtId="0" xfId="0" applyAlignment="1" applyBorder="1" applyFont="1">
      <alignment horizontal="center" readingOrder="0" shrinkToFit="0" wrapText="1"/>
    </xf>
    <xf borderId="6" fillId="0" fontId="5" numFmtId="0" xfId="0" applyBorder="1" applyFont="1"/>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6" numFmtId="0" xfId="0" applyAlignment="1" applyFont="1">
      <alignment shrinkToFit="0" vertical="center" wrapText="0"/>
    </xf>
    <xf borderId="0" fillId="0" fontId="2" numFmtId="0" xfId="0" applyAlignment="1" applyFont="1">
      <alignment shrinkToFit="0" vertical="center" wrapText="1"/>
    </xf>
    <xf borderId="0" fillId="0" fontId="7"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166" xfId="0" applyAlignment="1" applyFont="1" applyNumberFormat="1">
      <alignment readingOrder="0" shrinkToFit="0" vertical="center" wrapText="0"/>
    </xf>
    <xf borderId="0" fillId="0" fontId="2" numFmtId="0" xfId="0" applyAlignment="1" applyFont="1">
      <alignment shrinkToFit="0" vertical="center" wrapText="0"/>
    </xf>
    <xf borderId="0" fillId="0" fontId="2" numFmtId="167" xfId="0" applyAlignment="1" applyFont="1" applyNumberFormat="1">
      <alignment readingOrder="0" shrinkToFit="0" vertical="center" wrapText="0"/>
    </xf>
    <xf borderId="0" fillId="3" fontId="2" numFmtId="0" xfId="0" applyAlignment="1" applyFill="1" applyFont="1">
      <alignment readingOrder="0" shrinkToFit="0" vertical="center" wrapText="0"/>
    </xf>
    <xf borderId="0" fillId="3" fontId="2" numFmtId="167" xfId="0" applyAlignment="1" applyFont="1" applyNumberFormat="1">
      <alignment readingOrder="0" shrinkToFit="0" vertical="center" wrapText="0"/>
    </xf>
    <xf quotePrefix="1" borderId="0" fillId="3" fontId="2" numFmtId="0" xfId="0" applyAlignment="1" applyFont="1">
      <alignment readingOrder="0" shrinkToFit="0" vertical="center" wrapText="0"/>
    </xf>
    <xf borderId="0" fillId="3" fontId="2" numFmtId="0" xfId="0" applyAlignment="1" applyFont="1">
      <alignment shrinkToFit="0" vertical="center" wrapText="0"/>
    </xf>
    <xf borderId="0" fillId="3" fontId="8" numFmtId="0" xfId="0" applyAlignment="1" applyFont="1">
      <alignment shrinkToFit="0" vertical="center" wrapText="0"/>
    </xf>
    <xf borderId="0" fillId="3" fontId="2" numFmtId="0" xfId="0" applyAlignment="1" applyFont="1">
      <alignment shrinkToFit="0" vertical="center" wrapText="1"/>
    </xf>
    <xf borderId="0" fillId="3" fontId="9" numFmtId="0" xfId="0" applyAlignment="1" applyFont="1">
      <alignment readingOrder="0" shrinkToFit="0" vertical="center" wrapText="1"/>
    </xf>
    <xf borderId="0" fillId="3" fontId="2" numFmtId="0" xfId="0" applyAlignment="1" applyFont="1">
      <alignment readingOrder="0" shrinkToFit="0" vertical="center" wrapText="1"/>
    </xf>
    <xf borderId="0" fillId="0" fontId="10" numFmtId="0" xfId="0" applyAlignment="1" applyFont="1">
      <alignment readingOrder="0" shrinkToFit="0" vertical="center" wrapText="1"/>
    </xf>
    <xf borderId="0" fillId="0" fontId="2" numFmtId="0" xfId="0" applyAlignment="1" applyFont="1">
      <alignment readingOrder="0" shrinkToFit="0" vertical="center" wrapText="1"/>
    </xf>
    <xf borderId="0" fillId="0" fontId="11" numFmtId="0" xfId="0" applyAlignment="1" applyFont="1">
      <alignment readingOrder="0" shrinkToFit="0" vertical="center" wrapText="1"/>
    </xf>
    <xf borderId="0" fillId="4" fontId="2" numFmtId="0" xfId="0" applyAlignment="1" applyFill="1" applyFont="1">
      <alignment readingOrder="0" shrinkToFit="0" vertical="center" wrapText="0"/>
    </xf>
    <xf quotePrefix="1" borderId="0" fillId="4" fontId="2" numFmtId="0" xfId="0" applyAlignment="1" applyFont="1">
      <alignment readingOrder="0" shrinkToFit="0" vertical="center" wrapText="0"/>
    </xf>
    <xf borderId="0" fillId="4" fontId="2" numFmtId="167" xfId="0" applyAlignment="1" applyFont="1" applyNumberFormat="1">
      <alignment readingOrder="0" shrinkToFit="0" vertical="center" wrapText="0"/>
    </xf>
    <xf borderId="0" fillId="4" fontId="2" numFmtId="0" xfId="0" applyAlignment="1" applyFont="1">
      <alignment shrinkToFit="0" vertical="center" wrapText="0"/>
    </xf>
    <xf borderId="0" fillId="4" fontId="2" numFmtId="0" xfId="0" applyAlignment="1" applyFont="1">
      <alignment shrinkToFit="0" vertical="center" wrapText="1"/>
    </xf>
    <xf borderId="0" fillId="4" fontId="12" numFmtId="0" xfId="0" applyAlignment="1" applyFont="1">
      <alignment readingOrder="0" shrinkToFit="0" vertical="center" wrapText="1"/>
    </xf>
    <xf borderId="0" fillId="4" fontId="2" numFmtId="0" xfId="0" applyAlignment="1" applyFont="1">
      <alignment readingOrder="0" shrinkToFit="0" vertical="center" wrapText="1"/>
    </xf>
    <xf borderId="0" fillId="0" fontId="2" numFmtId="0" xfId="0" applyAlignment="1" applyFont="1">
      <alignment shrinkToFit="0" wrapText="1"/>
    </xf>
    <xf borderId="0" fillId="4" fontId="2" numFmtId="0" xfId="0" applyAlignment="1" applyFont="1">
      <alignment readingOrder="0"/>
    </xf>
    <xf borderId="0" fillId="0" fontId="13" numFmtId="0" xfId="0" applyAlignment="1" applyFont="1">
      <alignment horizontal="center" readingOrder="0" vertical="bottom"/>
    </xf>
    <xf borderId="0" fillId="0" fontId="14" numFmtId="0" xfId="0" applyAlignment="1" applyFont="1">
      <alignment horizontal="center" vertical="bottom"/>
    </xf>
    <xf quotePrefix="1" borderId="0" fillId="0" fontId="2" numFmtId="0" xfId="0" applyAlignment="1" applyFont="1">
      <alignment readingOrder="0"/>
    </xf>
    <xf borderId="0" fillId="0" fontId="2" numFmtId="0" xfId="0" applyFont="1"/>
    <xf borderId="2" fillId="0" fontId="15" numFmtId="49" xfId="0" applyAlignment="1" applyBorder="1" applyFont="1" applyNumberFormat="1">
      <alignment horizontal="center" readingOrder="0"/>
    </xf>
    <xf quotePrefix="1" borderId="0" fillId="4" fontId="2" numFmtId="0" xfId="0" applyAlignment="1" applyFont="1">
      <alignment readingOrder="0"/>
    </xf>
    <xf borderId="0" fillId="4" fontId="2" numFmtId="0" xfId="0" applyFont="1"/>
    <xf borderId="0" fillId="0" fontId="2" numFmtId="168" xfId="0" applyAlignment="1" applyFont="1" applyNumberFormat="1">
      <alignment readingOrder="0"/>
    </xf>
    <xf borderId="2" fillId="0" fontId="15" numFmtId="49" xfId="0" applyAlignment="1" applyBorder="1" applyFont="1" applyNumberFormat="1">
      <alignment horizontal="center"/>
    </xf>
    <xf quotePrefix="1" borderId="0" fillId="0" fontId="14" numFmtId="0" xfId="0" applyAlignment="1" applyFont="1">
      <alignment horizontal="center" readingOrder="0" vertical="bottom"/>
    </xf>
    <xf borderId="0" fillId="0" fontId="1" numFmtId="0" xfId="0" applyAlignment="1" applyFont="1">
      <alignment horizontal="right" vertical="bottom"/>
    </xf>
    <xf borderId="0" fillId="0" fontId="16" numFmtId="0" xfId="0" applyAlignment="1" applyFont="1">
      <alignment readingOrder="0" shrinkToFit="0" vertical="bottom" wrapText="0"/>
    </xf>
    <xf borderId="0" fillId="0" fontId="16" numFmtId="0" xfId="0" applyAlignment="1" applyFont="1">
      <alignment horizontal="right" readingOrder="0" shrinkToFit="0" vertical="bottom" wrapText="0"/>
    </xf>
    <xf borderId="0" fillId="0" fontId="16" numFmtId="0" xfId="0" applyAlignment="1" applyFont="1">
      <alignment shrinkToFit="0" vertical="bottom" wrapText="0"/>
    </xf>
    <xf borderId="0" fillId="5" fontId="16" numFmtId="0" xfId="0" applyAlignment="1" applyFill="1" applyFont="1">
      <alignment shrinkToFit="0" vertical="bottom" wrapText="0"/>
    </xf>
    <xf borderId="0" fillId="5" fontId="16" numFmtId="0" xfId="0" applyAlignment="1" applyFont="1">
      <alignment horizontal="right" readingOrder="0" shrinkToFit="0" vertical="bottom" wrapText="0"/>
    </xf>
    <xf borderId="0" fillId="0" fontId="16" numFmtId="0" xfId="0" applyAlignment="1" applyFont="1">
      <alignment horizontal="right" readingOrder="0" shrinkToFit="0" vertical="bottom" wrapText="0"/>
    </xf>
    <xf borderId="0" fillId="0" fontId="16" numFmtId="0" xfId="0" applyAlignment="1" applyFont="1">
      <alignment shrinkToFit="0" vertical="bottom" wrapText="0"/>
    </xf>
    <xf borderId="0" fillId="5" fontId="16" numFmtId="0" xfId="0" applyAlignment="1" applyFont="1">
      <alignment shrinkToFit="0" vertical="bottom" wrapText="0"/>
    </xf>
    <xf borderId="0" fillId="3" fontId="16" numFmtId="0" xfId="0" applyAlignment="1" applyFont="1">
      <alignment readingOrder="0" shrinkToFit="0" vertical="bottom" wrapText="0"/>
    </xf>
    <xf borderId="0" fillId="0" fontId="16" numFmtId="0" xfId="0" applyAlignment="1" applyFont="1">
      <alignment readingOrder="0" shrinkToFit="0" vertical="bottom" wrapText="0"/>
    </xf>
    <xf borderId="0" fillId="0" fontId="16" numFmtId="0" xfId="0" applyAlignment="1" applyFont="1">
      <alignment shrinkToFit="0" vertical="bottom" wrapText="0"/>
    </xf>
    <xf borderId="7" fillId="6" fontId="15" numFmtId="0" xfId="0" applyAlignment="1" applyBorder="1" applyFill="1" applyFont="1">
      <alignment horizontal="center" readingOrder="0" shrinkToFit="0" wrapText="0"/>
    </xf>
    <xf borderId="7" fillId="6" fontId="15" numFmtId="0" xfId="0" applyAlignment="1" applyBorder="1" applyFont="1">
      <alignment horizontal="center" shrinkToFit="0" wrapText="0"/>
    </xf>
    <xf borderId="7" fillId="0" fontId="15" numFmtId="0" xfId="0" applyAlignment="1" applyBorder="1" applyFont="1">
      <alignment horizontal="center" readingOrder="0" shrinkToFit="0" wrapText="0"/>
    </xf>
    <xf borderId="7" fillId="0" fontId="15" numFmtId="0" xfId="0" applyAlignment="1" applyBorder="1" applyFont="1">
      <alignment horizontal="center" shrinkToFit="0" wrapText="0"/>
    </xf>
    <xf borderId="2" fillId="7" fontId="17" numFmtId="0" xfId="0" applyAlignment="1" applyBorder="1" applyFill="1" applyFont="1">
      <alignment horizontal="center" shrinkToFit="0" vertical="center" wrapText="1"/>
    </xf>
    <xf borderId="2" fillId="0" fontId="15" numFmtId="0" xfId="0" applyAlignment="1" applyBorder="1" applyFont="1">
      <alignment horizontal="center"/>
    </xf>
    <xf borderId="2" fillId="0" fontId="18" numFmtId="0" xfId="0" applyAlignment="1" applyBorder="1" applyFont="1">
      <alignment horizontal="center"/>
    </xf>
    <xf borderId="0" fillId="0" fontId="19" numFmtId="0" xfId="0" applyFont="1"/>
    <xf borderId="0" fillId="0" fontId="19" numFmtId="0" xfId="0" applyAlignment="1" applyFont="1">
      <alignment horizontal="right"/>
    </xf>
    <xf borderId="2" fillId="0" fontId="15" numFmtId="3" xfId="0" applyAlignment="1" applyBorder="1" applyFont="1" applyNumberFormat="1">
      <alignment horizontal="center"/>
    </xf>
    <xf borderId="2" fillId="3" fontId="15" numFmtId="0" xfId="0" applyAlignment="1" applyBorder="1" applyFont="1">
      <alignment horizontal="center"/>
    </xf>
    <xf borderId="8" fillId="3" fontId="19" numFmtId="0" xfId="0" applyBorder="1" applyFont="1"/>
    <xf borderId="0" fillId="0" fontId="19" numFmtId="0" xfId="0" applyAlignment="1" applyFont="1">
      <alignment horizontal="center"/>
    </xf>
    <xf borderId="0" fillId="0" fontId="20" numFmtId="0" xfId="0" applyAlignment="1" applyFont="1">
      <alignment horizontal="center"/>
    </xf>
    <xf borderId="0" fillId="0" fontId="1" numFmtId="0" xfId="0" applyAlignment="1" applyFont="1">
      <alignment horizontal="center" vertical="bottom"/>
    </xf>
    <xf borderId="0" fillId="0" fontId="21" numFmtId="0" xfId="0" applyFont="1"/>
    <xf borderId="9" fillId="0" fontId="19" numFmtId="0" xfId="0" applyAlignment="1" applyBorder="1" applyFont="1">
      <alignment horizontal="center" shrinkToFit="0" vertical="center" wrapText="1"/>
    </xf>
    <xf borderId="10" fillId="0" fontId="5" numFmtId="0" xfId="0" applyBorder="1" applyFont="1"/>
    <xf borderId="11" fillId="0" fontId="5" numFmtId="0" xfId="0" applyBorder="1" applyFont="1"/>
    <xf borderId="12" fillId="8" fontId="22" numFmtId="0" xfId="0" applyAlignment="1" applyBorder="1" applyFill="1" applyFont="1">
      <alignment horizontal="center" shrinkToFit="0" vertical="center" wrapText="1"/>
    </xf>
    <xf borderId="13" fillId="0" fontId="5" numFmtId="0" xfId="0" applyBorder="1" applyFont="1"/>
    <xf borderId="14" fillId="0" fontId="5" numFmtId="0" xfId="0" applyBorder="1" applyFont="1"/>
    <xf borderId="15" fillId="8" fontId="22" numFmtId="0" xfId="0" applyAlignment="1" applyBorder="1" applyFont="1">
      <alignment shrinkToFit="0" vertical="center" wrapText="1"/>
    </xf>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23" numFmtId="0" xfId="0" applyAlignment="1" applyBorder="1" applyFont="1">
      <alignment horizontal="center" shrinkToFit="0" vertical="center" wrapText="1"/>
    </xf>
    <xf borderId="21" fillId="0" fontId="5" numFmtId="0" xfId="0" applyBorder="1" applyFont="1"/>
    <xf borderId="22" fillId="0" fontId="5" numFmtId="0" xfId="0" applyBorder="1" applyFont="1"/>
    <xf borderId="3" fillId="8" fontId="22"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23" fillId="0" fontId="5" numFmtId="0" xfId="0" applyBorder="1" applyFont="1"/>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3" fillId="8" fontId="22" numFmtId="14" xfId="0" applyAlignment="1" applyBorder="1" applyFont="1" applyNumberFormat="1">
      <alignment horizontal="center" shrinkToFit="0" vertical="center" wrapText="1"/>
    </xf>
    <xf borderId="3" fillId="0" fontId="19" numFmtId="14" xfId="0" applyAlignment="1" applyBorder="1" applyFont="1" applyNumberFormat="1">
      <alignment horizontal="center" shrinkToFit="0" vertical="center" wrapText="1"/>
    </xf>
    <xf borderId="28" fillId="0" fontId="19" numFmtId="0" xfId="0" applyAlignment="1" applyBorder="1" applyFont="1">
      <alignment horizontal="center" shrinkToFit="0" vertical="center" wrapText="1"/>
    </xf>
    <xf borderId="29" fillId="0" fontId="5" numFmtId="0" xfId="0" applyBorder="1" applyFont="1"/>
    <xf borderId="30" fillId="0" fontId="5" numFmtId="0" xfId="0" applyBorder="1" applyFont="1"/>
    <xf borderId="31" fillId="8" fontId="22" numFmtId="0" xfId="0" applyAlignment="1" applyBorder="1" applyFont="1">
      <alignment horizontal="center" shrinkToFit="0" vertical="center" wrapText="1"/>
    </xf>
    <xf borderId="32" fillId="0" fontId="5" numFmtId="0" xfId="0" applyBorder="1" applyFont="1"/>
    <xf borderId="33" fillId="9" fontId="22" numFmtId="0" xfId="0" applyAlignment="1" applyBorder="1" applyFill="1" applyFont="1">
      <alignment horizontal="center" shrinkToFit="0" vertical="center" wrapText="1"/>
    </xf>
    <xf borderId="34" fillId="0" fontId="5" numFmtId="0" xfId="0" applyBorder="1" applyFont="1"/>
    <xf borderId="35" fillId="0" fontId="5" numFmtId="0" xfId="0" applyBorder="1" applyFont="1"/>
    <xf borderId="36" fillId="8" fontId="22" numFmtId="0" xfId="0" applyAlignment="1" applyBorder="1" applyFont="1">
      <alignment horizontal="center" shrinkToFit="0" vertical="center" wrapText="1"/>
    </xf>
    <xf borderId="37" fillId="0" fontId="5" numFmtId="0" xfId="0" applyBorder="1" applyFont="1"/>
    <xf borderId="8" fillId="9" fontId="22"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8" fontId="22" numFmtId="0" xfId="0" applyAlignment="1" applyFont="1">
      <alignment horizontal="center" readingOrder="0" shrinkToFit="0" vertical="center" wrapText="1"/>
    </xf>
    <xf borderId="37" fillId="9" fontId="22" numFmtId="0" xfId="0" applyAlignment="1" applyBorder="1" applyFont="1">
      <alignment horizontal="center" shrinkToFit="0" vertical="center" wrapText="1"/>
    </xf>
    <xf borderId="38" fillId="10" fontId="22" numFmtId="0" xfId="0" applyAlignment="1" applyBorder="1" applyFill="1" applyFont="1">
      <alignment horizontal="center" shrinkToFit="0" vertical="center" wrapText="1"/>
    </xf>
    <xf borderId="0" fillId="0" fontId="19" numFmtId="14" xfId="0" applyAlignment="1" applyFont="1" applyNumberFormat="1">
      <alignment horizontal="center" shrinkToFit="0" vertical="center" wrapText="1"/>
    </xf>
    <xf borderId="8" fillId="9" fontId="22" numFmtId="14" xfId="0" applyAlignment="1" applyBorder="1" applyFont="1" applyNumberFormat="1">
      <alignment horizontal="center" shrinkToFit="0" vertical="center" wrapText="1"/>
    </xf>
    <xf borderId="8" fillId="10" fontId="22" numFmtId="0" xfId="0" applyAlignment="1" applyBorder="1" applyFont="1">
      <alignment horizontal="center" shrinkToFit="0" vertical="center" wrapText="1"/>
    </xf>
    <xf borderId="39" fillId="0" fontId="5" numFmtId="0" xfId="0" applyBorder="1" applyFont="1"/>
    <xf borderId="36" fillId="9" fontId="22" numFmtId="0" xfId="0" applyAlignment="1" applyBorder="1" applyFont="1">
      <alignment horizontal="center" shrinkToFit="0" vertical="center" wrapText="1"/>
    </xf>
    <xf borderId="40" fillId="0" fontId="5" numFmtId="0" xfId="0" applyBorder="1" applyFont="1"/>
    <xf borderId="41" fillId="0" fontId="5" numFmtId="0" xfId="0" applyBorder="1" applyFont="1"/>
    <xf borderId="36" fillId="10" fontId="22" numFmtId="0" xfId="0" applyAlignment="1" applyBorder="1" applyFont="1">
      <alignment horizontal="center" shrinkToFit="0" vertical="center" wrapText="1"/>
    </xf>
    <xf borderId="42" fillId="9" fontId="19" numFmtId="0" xfId="0" applyAlignment="1" applyBorder="1" applyFont="1">
      <alignment horizontal="center" shrinkToFit="0" vertical="center" wrapText="1"/>
    </xf>
    <xf borderId="43" fillId="0" fontId="5" numFmtId="0" xfId="0" applyBorder="1" applyFont="1"/>
    <xf borderId="44" fillId="0" fontId="5" numFmtId="0" xfId="0" applyBorder="1" applyFont="1"/>
    <xf borderId="0" fillId="0" fontId="19" numFmtId="169" xfId="0" applyAlignment="1" applyFont="1" applyNumberFormat="1">
      <alignment horizontal="center" shrinkToFit="0" vertical="center" wrapText="1"/>
    </xf>
    <xf borderId="38" fillId="11" fontId="19" numFmtId="170" xfId="0" applyAlignment="1" applyBorder="1" applyFill="1" applyFont="1" applyNumberFormat="1">
      <alignment horizontal="center" shrinkToFit="0" vertical="center" wrapText="1"/>
    </xf>
    <xf borderId="8" fillId="9" fontId="19" numFmtId="170" xfId="0" applyAlignment="1" applyBorder="1" applyFont="1" applyNumberFormat="1">
      <alignment horizontal="center" shrinkToFit="0" vertical="center" wrapText="1"/>
    </xf>
    <xf borderId="38" fillId="10" fontId="17" numFmtId="0" xfId="0" applyAlignment="1" applyBorder="1" applyFont="1">
      <alignment horizontal="center" shrinkToFit="0" vertical="center" wrapText="1"/>
    </xf>
    <xf borderId="0" fillId="0" fontId="19" numFmtId="171" xfId="0" applyAlignment="1" applyFont="1" applyNumberFormat="1">
      <alignment horizontal="center" shrinkToFit="0" vertical="center" wrapText="1"/>
    </xf>
    <xf borderId="8" fillId="11" fontId="19" numFmtId="171" xfId="0" applyAlignment="1" applyBorder="1" applyFont="1" applyNumberFormat="1">
      <alignment horizontal="center" shrinkToFit="0" vertical="center" wrapText="1"/>
    </xf>
    <xf borderId="38" fillId="10" fontId="22" numFmtId="172" xfId="0" applyAlignment="1" applyBorder="1" applyFont="1" applyNumberFormat="1">
      <alignment horizontal="center" shrinkToFit="0" vertical="center" wrapText="1"/>
    </xf>
    <xf borderId="45" fillId="9" fontId="22" numFmtId="0" xfId="0" applyAlignment="1" applyBorder="1" applyFont="1">
      <alignment horizontal="center" shrinkToFit="0" vertical="center" wrapText="1"/>
    </xf>
    <xf borderId="46" fillId="9" fontId="22" numFmtId="0" xfId="0" applyAlignment="1" applyBorder="1" applyFont="1">
      <alignment horizontal="center" shrinkToFit="0" vertical="center" wrapText="1"/>
    </xf>
    <xf borderId="47" fillId="9" fontId="22" numFmtId="0" xfId="0" applyAlignment="1" applyBorder="1" applyFont="1">
      <alignment horizontal="center" shrinkToFit="0" vertical="center" wrapText="1"/>
    </xf>
    <xf borderId="38" fillId="9" fontId="22" numFmtId="0" xfId="0" applyAlignment="1" applyBorder="1" applyFont="1">
      <alignment horizontal="center" shrinkToFit="0" vertical="center" wrapText="1"/>
    </xf>
    <xf borderId="37" fillId="9" fontId="19" numFmtId="0" xfId="0" applyAlignment="1" applyBorder="1" applyFont="1">
      <alignment horizontal="center" shrinkToFit="0" vertical="center" wrapText="1"/>
    </xf>
    <xf borderId="0" fillId="0" fontId="19" numFmtId="173" xfId="0" applyAlignment="1" applyFont="1" applyNumberFormat="1">
      <alignment horizontal="center" shrinkToFit="0" vertical="center" wrapText="1"/>
    </xf>
    <xf borderId="8" fillId="9" fontId="15" numFmtId="0" xfId="0" applyAlignment="1" applyBorder="1" applyFont="1">
      <alignment horizontal="center" shrinkToFit="0" vertical="center" wrapText="1"/>
    </xf>
    <xf borderId="8" fillId="9" fontId="19" numFmtId="171" xfId="0" applyAlignment="1" applyBorder="1" applyFont="1" applyNumberFormat="1">
      <alignment horizontal="center" shrinkToFit="0" vertical="center" wrapText="1"/>
    </xf>
    <xf borderId="48" fillId="9" fontId="22" numFmtId="0" xfId="0" applyAlignment="1" applyBorder="1" applyFont="1">
      <alignment horizontal="center" shrinkToFit="0" vertical="center" wrapText="1"/>
    </xf>
    <xf borderId="8" fillId="9" fontId="17" numFmtId="0" xfId="0" applyAlignment="1" applyBorder="1" applyFont="1">
      <alignment horizontal="center" shrinkToFit="0" vertical="center" wrapText="1"/>
    </xf>
    <xf borderId="49" fillId="9" fontId="22" numFmtId="0" xfId="0" applyAlignment="1" applyBorder="1" applyFont="1">
      <alignment horizontal="center" shrinkToFit="0" vertical="center" wrapText="1"/>
    </xf>
    <xf borderId="0" fillId="0" fontId="19" numFmtId="174" xfId="0" applyAlignment="1" applyFont="1" applyNumberFormat="1">
      <alignment horizontal="center" shrinkToFit="0" vertical="center" wrapText="1"/>
    </xf>
    <xf borderId="8" fillId="9" fontId="19" numFmtId="0" xfId="0" applyAlignment="1" applyBorder="1" applyFont="1">
      <alignment horizontal="center" shrinkToFit="0" vertical="center" wrapText="1"/>
    </xf>
    <xf borderId="36" fillId="9" fontId="19" numFmtId="0" xfId="0" applyAlignment="1" applyBorder="1" applyFont="1">
      <alignment horizontal="center" shrinkToFit="0" vertical="center" wrapText="1"/>
    </xf>
    <xf borderId="50" fillId="11" fontId="22" numFmtId="0" xfId="0" applyAlignment="1" applyBorder="1" applyFont="1">
      <alignment horizontal="center" shrinkToFit="0" vertical="center" wrapText="1"/>
    </xf>
    <xf borderId="51" fillId="0" fontId="5" numFmtId="0" xfId="0" applyBorder="1" applyFont="1"/>
    <xf borderId="52" fillId="0" fontId="5" numFmtId="0" xfId="0" applyBorder="1" applyFont="1"/>
    <xf borderId="53" fillId="0" fontId="13" numFmtId="0" xfId="0" applyAlignment="1" applyBorder="1" applyFont="1">
      <alignment horizontal="center" shrinkToFit="0" vertical="center" wrapText="1"/>
    </xf>
    <xf borderId="0" fillId="0" fontId="24" numFmtId="0" xfId="0" applyAlignment="1" applyFont="1">
      <alignment horizontal="center" shrinkToFit="0" vertical="center" wrapText="1"/>
    </xf>
    <xf borderId="39" fillId="0" fontId="19" numFmtId="0" xfId="0" applyAlignment="1" applyBorder="1" applyFont="1">
      <alignment horizontal="center" shrinkToFit="0" vertical="center" wrapText="1"/>
    </xf>
    <xf borderId="31" fillId="8" fontId="25" numFmtId="0" xfId="0" applyAlignment="1" applyBorder="1" applyFont="1">
      <alignment horizontal="center" shrinkToFit="0" vertical="center" wrapText="1"/>
    </xf>
    <xf borderId="54" fillId="0" fontId="5" numFmtId="0" xfId="0" applyBorder="1" applyFont="1"/>
    <xf borderId="3" fillId="12" fontId="25" numFmtId="0" xfId="0" applyAlignment="1" applyBorder="1" applyFill="1" applyFont="1">
      <alignment horizontal="center" shrinkToFit="0" vertical="center" wrapText="1"/>
    </xf>
    <xf borderId="3" fillId="0" fontId="25" numFmtId="0" xfId="0" applyAlignment="1" applyBorder="1" applyFont="1">
      <alignment horizontal="center" shrinkToFit="0" vertical="center" wrapText="1"/>
    </xf>
    <xf borderId="55" fillId="13" fontId="25" numFmtId="0" xfId="0" applyAlignment="1" applyBorder="1" applyFill="1" applyFont="1">
      <alignment horizontal="center" shrinkToFit="0" vertical="center" wrapText="1"/>
    </xf>
    <xf borderId="3" fillId="14" fontId="25" numFmtId="0" xfId="0" applyAlignment="1" applyBorder="1" applyFill="1" applyFont="1">
      <alignment horizontal="center" shrinkToFit="0" vertical="center" wrapText="1"/>
    </xf>
    <xf borderId="56" fillId="9" fontId="22" numFmtId="0" xfId="0" applyAlignment="1" applyBorder="1" applyFont="1">
      <alignment horizontal="center" shrinkToFit="0" vertical="center" wrapText="1"/>
    </xf>
    <xf borderId="3" fillId="9" fontId="17" numFmtId="0" xfId="0" applyAlignment="1" applyBorder="1" applyFont="1">
      <alignment horizontal="center" shrinkToFit="0" vertical="center" wrapText="1"/>
    </xf>
    <xf borderId="3" fillId="9" fontId="22" numFmtId="0" xfId="0" applyAlignment="1" applyBorder="1" applyFont="1">
      <alignment horizontal="center" shrinkToFit="0" vertical="center" wrapText="1"/>
    </xf>
    <xf borderId="57" fillId="9" fontId="22" numFmtId="0" xfId="0" applyAlignment="1" applyBorder="1" applyFont="1">
      <alignment horizontal="center" shrinkToFit="0" vertical="center" wrapText="1"/>
    </xf>
    <xf borderId="58" fillId="0" fontId="5" numFmtId="0" xfId="0" applyBorder="1" applyFont="1"/>
    <xf borderId="59" fillId="0" fontId="5" numFmtId="0" xfId="0" applyBorder="1" applyFont="1"/>
    <xf borderId="60" fillId="0" fontId="5" numFmtId="0" xfId="0" applyBorder="1" applyFont="1"/>
    <xf borderId="2" fillId="9" fontId="17" numFmtId="0" xfId="0" applyAlignment="1" applyBorder="1" applyFont="1">
      <alignment horizontal="center" shrinkToFit="0" vertical="center" wrapText="1"/>
    </xf>
    <xf borderId="2" fillId="9" fontId="22" numFmtId="0" xfId="0" applyAlignment="1" applyBorder="1" applyFont="1">
      <alignment horizontal="center" shrinkToFit="0" vertical="center" wrapText="1"/>
    </xf>
    <xf borderId="61" fillId="0" fontId="5" numFmtId="0" xfId="0" applyBorder="1" applyFont="1"/>
    <xf borderId="62" fillId="0" fontId="22"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3" fillId="0" fontId="19" numFmtId="175" xfId="0" applyAlignment="1" applyBorder="1" applyFont="1" applyNumberFormat="1">
      <alignment horizontal="center" shrinkToFit="0" vertical="center" wrapText="1"/>
    </xf>
    <xf borderId="3" fillId="0" fontId="13" numFmtId="9" xfId="0" applyAlignment="1" applyBorder="1" applyFont="1" applyNumberFormat="1">
      <alignment horizontal="center" shrinkToFit="0" wrapText="1"/>
    </xf>
    <xf borderId="3" fillId="0" fontId="15" numFmtId="0" xfId="0" applyAlignment="1" applyBorder="1" applyFont="1">
      <alignment horizontal="left" shrinkToFit="0" vertical="center" wrapText="1"/>
    </xf>
    <xf borderId="31" fillId="8" fontId="22" numFmtId="0" xfId="0" applyAlignment="1" applyBorder="1" applyFont="1">
      <alignment horizontal="center" vertical="center"/>
    </xf>
    <xf borderId="31" fillId="0" fontId="22" numFmtId="0" xfId="0" applyAlignment="1" applyBorder="1" applyFont="1">
      <alignment horizontal="center" shrinkToFit="0" vertical="center" wrapText="1"/>
    </xf>
    <xf borderId="3" fillId="0" fontId="22" numFmtId="0" xfId="0" applyAlignment="1" applyBorder="1" applyFont="1">
      <alignment horizontal="center" shrinkToFit="0" vertical="center" wrapText="1"/>
    </xf>
    <xf borderId="3" fillId="0" fontId="19" numFmtId="4" xfId="0" applyAlignment="1" applyBorder="1" applyFont="1" applyNumberFormat="1">
      <alignment horizontal="center" shrinkToFit="0" vertical="center" wrapText="1"/>
    </xf>
    <xf borderId="63" fillId="8" fontId="22" numFmtId="0" xfId="0" applyAlignment="1" applyBorder="1" applyFont="1">
      <alignment horizontal="center" shrinkToFit="0" vertical="center" wrapText="1"/>
    </xf>
    <xf borderId="64" fillId="0" fontId="5" numFmtId="0" xfId="0" applyBorder="1" applyFont="1"/>
    <xf borderId="65" fillId="0" fontId="19" numFmtId="0" xfId="0" applyAlignment="1" applyBorder="1" applyFont="1">
      <alignment horizontal="center" readingOrder="0" shrinkToFit="0" vertical="center" wrapText="1"/>
    </xf>
    <xf borderId="66" fillId="0" fontId="5" numFmtId="0" xfId="0" applyBorder="1" applyFont="1"/>
    <xf borderId="65" fillId="8" fontId="22" numFmtId="0" xfId="0" applyAlignment="1" applyBorder="1" applyFont="1">
      <alignment horizontal="center" shrinkToFit="0" vertical="center" wrapText="1"/>
    </xf>
    <xf borderId="65" fillId="0" fontId="19" numFmtId="14" xfId="0" applyAlignment="1" applyBorder="1" applyFont="1" applyNumberFormat="1">
      <alignment horizontal="center" shrinkToFit="0" vertical="center" wrapText="1"/>
    </xf>
    <xf borderId="67" fillId="0" fontId="5" numFmtId="0" xfId="0" applyBorder="1" applyFont="1"/>
    <xf borderId="0" fillId="0" fontId="15" numFmtId="0" xfId="0" applyAlignment="1" applyFont="1">
      <alignment shrinkToFit="0" vertical="center" wrapText="1"/>
    </xf>
    <xf borderId="2" fillId="0" fontId="26" numFmtId="0" xfId="0" applyAlignment="1" applyBorder="1" applyFont="1">
      <alignment vertical="bottom"/>
    </xf>
    <xf borderId="2" fillId="15" fontId="27" numFmtId="0" xfId="0" applyAlignment="1" applyBorder="1" applyFill="1" applyFont="1">
      <alignment vertical="bottom"/>
    </xf>
    <xf borderId="2" fillId="0" fontId="27" numFmtId="0" xfId="0" applyAlignment="1" applyBorder="1" applyFont="1">
      <alignment vertical="bottom"/>
    </xf>
    <xf borderId="2" fillId="0" fontId="2" numFmtId="0" xfId="0" applyAlignment="1" applyBorder="1" applyFont="1">
      <alignment readingOrder="0"/>
    </xf>
    <xf borderId="0" fillId="0" fontId="19"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FF0000"/>
          <bgColor rgb="FFFF0000"/>
        </patternFill>
      </fill>
      <border/>
    </dxf>
    <dxf>
      <font/>
      <fill>
        <patternFill patternType="solid">
          <fgColor rgb="FFF3F3F3"/>
          <bgColor rgb="FFF3F3F3"/>
        </patternFill>
      </fill>
      <border/>
    </dxf>
    <dxf>
      <font/>
      <fill>
        <patternFill patternType="solid">
          <fgColor rgb="FFEA9999"/>
          <bgColor rgb="FFEA9999"/>
        </patternFill>
      </fill>
      <border/>
    </dxf>
    <dxf>
      <border>
        <left style="thin">
          <color rgb="FFFF0000"/>
        </left>
        <right style="thin">
          <color rgb="FFFF0000"/>
        </right>
        <top style="thin">
          <color rgb="FFFF0000"/>
        </top>
        <bottom style="thin">
          <color rgb="FFFF0000"/>
        </bottom>
      </border>
    </dxf>
  </dxfs>
  <tableStyles count="1">
    <tableStyle count="4" pivot="0" name="1_gener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FORMATOS_SCAN_C!$X$27:$AB$27</c:f>
              <c:numCache/>
            </c:numRef>
          </c:val>
        </c:ser>
        <c:ser>
          <c:idx val="1"/>
          <c:order val="1"/>
          <c:spPr>
            <a:solidFill>
              <a:srgbClr val="00B050"/>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val>
            <c:numRef>
              <c:f>FORMATOS_SCAN_C!$X$28:$AB$28</c:f>
              <c:numCache/>
            </c:numRef>
          </c:val>
        </c:ser>
        <c:axId val="250551843"/>
        <c:axId val="275965617"/>
      </c:barChart>
      <c:catAx>
        <c:axId val="250551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275965617"/>
      </c:catAx>
      <c:valAx>
        <c:axId val="2759656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0551843"/>
      </c:valAx>
    </c:plotArea>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190500</xdr:colOff>
      <xdr:row>26</xdr:row>
      <xdr:rowOff>28575</xdr:rowOff>
    </xdr:from>
    <xdr:ext cx="10839450" cy="10382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171450</xdr:colOff>
      <xdr:row>0</xdr:row>
      <xdr:rowOff>57150</xdr:rowOff>
    </xdr:from>
    <xdr:ext cx="1809750" cy="5905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P200" displayName="Table1" name="Table1" id="1">
  <tableColumns count="42">
    <tableColumn name="id_general" id="1"/>
    <tableColumn name="cliente" id="2"/>
    <tableColumn name="contrato" id="3"/>
    <tableColumn name="fecha_reporte" id="4"/>
    <tableColumn name="ot" id="5"/>
    <tableColumn name="num_reporte" id="6"/>
    <tableColumn name="zona" id="7"/>
    <tableColumn name="estacion" id="8"/>
    <tableColumn name="sistema" id="9"/>
    <tableColumn name="alcance" id="10"/>
    <tableColumn name="norma_referencia" id="11"/>
    <tableColumn name="criterio_aceptacion" id="12"/>
    <tableColumn name="material" id="13"/>
    <tableColumn name="temperatura_servicio" id="14"/>
    <tableColumn name="tipo_recubrimiento" id="15"/>
    <tableColumn name="condicion_recubrimiento" id="16"/>
    <tableColumn name="rating_sistema" id="17"/>
    <tableColumn name="presion_diseno" id="18"/>
    <tableColumn name="mop" id="19"/>
    <tableColumn name="codigo_diseno" id="20"/>
    <tableColumn name="marca_equipo" id="21"/>
    <tableColumn name="modelo_equipo" id="22"/>
    <tableColumn name="serie_equipo" id="23"/>
    <tableColumn name="fecha_calibracion" id="24"/>
    <tableColumn name="tipo_palpador" id="25"/>
    <tableColumn name="frecuencia" id="26"/>
    <tableColumn name="tamano_diametro" id="27"/>
    <tableColumn name="bloque_calibracion" id="28"/>
    <tableColumn name="material_bloque" id="29"/>
    <tableColumn name="procedimiento" id="30"/>
    <tableColumn name="tecnica" id="31"/>
    <tableColumn name="velocidad_calibracion" id="32"/>
    <tableColumn name="firma" id="33"/>
    <tableColumn name="nombre" id="34"/>
    <tableColumn name="certificado" id="35"/>
    <tableColumn name="cargo" id="36"/>
    <tableColumn name="fecha" id="37"/>
    <tableColumn name="link_firma" id="38"/>
    <tableColumn name="lectura" id="39"/>
    <tableColumn name="LinkReporte" id="40"/>
    <tableColumn name="link_datas" id="41"/>
    <tableColumn name="copiado" id="42"/>
  </tableColumns>
  <tableStyleInfo name="1_gener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kx4iiQznT265RsUATXluJTJBZWfChXCm/edit?usp=drivesdk&amp;ouid=114509209988000595237&amp;rtpof=true&amp;sd=true" TargetMode="External"/><Relationship Id="rId22" Type="http://schemas.openxmlformats.org/officeDocument/2006/relationships/hyperlink" Target="https://docs.google.com/spreadsheets/d/1NAiXm6QicStv8o78mUcJ5_wkEkf8FBDd/edit?usp=drivesdk&amp;ouid=114509209988000595237&amp;rtpof=true&amp;sd=true" TargetMode="External"/><Relationship Id="rId21" Type="http://schemas.openxmlformats.org/officeDocument/2006/relationships/hyperlink" Target="https://docs.google.com/spreadsheets/d/1JG9NvjSqMRkH0K2DYp0OHU1SNbtQDzjW/edit?usp=drivesdk&amp;ouid=114509209988000595237&amp;rtpof=true&amp;sd=true" TargetMode="External"/><Relationship Id="rId24" Type="http://schemas.openxmlformats.org/officeDocument/2006/relationships/hyperlink" Target="https://docs.google.com/spreadsheets/d/11c1iiP-DE5xkj191sbzzM-HH4gX9Wybq/edit?usp=drivesdk&amp;ouid=114509209988000595237&amp;rtpof=true&amp;sd=true" TargetMode="External"/><Relationship Id="rId23" Type="http://schemas.openxmlformats.org/officeDocument/2006/relationships/hyperlink" Target="https://docs.google.com/spreadsheets/d/13ovnaZmRKX-TE4JNiW6O5VRxv3kPR_RC/edit?usp=drivesdk&amp;ouid=114509209988000595237&amp;rtpof=true&amp;sd=true" TargetMode="External"/><Relationship Id="rId1" Type="http://schemas.openxmlformats.org/officeDocument/2006/relationships/hyperlink" Target="https://docs.google.com/spreadsheets/d/1jZ8Zg0xGxLBcgiA_fGElusYwHu4dwB8H/edit?usp=drivesdk&amp;ouid=114509209988000595237&amp;rtpof=true&amp;sd=true" TargetMode="External"/><Relationship Id="rId2" Type="http://schemas.openxmlformats.org/officeDocument/2006/relationships/hyperlink" Target="https://docs.google.com/spreadsheets/d/1Hr-YJuUGiNk13R8RJbqWIK-cFuQMjt28/edit?usp=drivesdk&amp;ouid=114509209988000595237&amp;rtpof=true&amp;sd=true" TargetMode="External"/><Relationship Id="rId3" Type="http://schemas.openxmlformats.org/officeDocument/2006/relationships/hyperlink" Target="https://docs.google.com/spreadsheets/d/1XMVmqRTxNlhhvBuuIBA5IdROvo66YLE-/edit?usp=drivesdk&amp;ouid=114509209988000595237&amp;rtpof=true&amp;sd=true" TargetMode="External"/><Relationship Id="rId4" Type="http://schemas.openxmlformats.org/officeDocument/2006/relationships/hyperlink" Target="https://docs.google.com/spreadsheets/d/1abPAra4tii4kLQMYDb4Hj2q0BbkBEhO7/edit?usp=drivesdk&amp;ouid=114509209988000595237&amp;rtpof=true&amp;sd=true" TargetMode="External"/><Relationship Id="rId9" Type="http://schemas.openxmlformats.org/officeDocument/2006/relationships/hyperlink" Target="https://docs.google.com/spreadsheets/d/1kl_GqEiJW0wgRrQhNzQYa8ATthYpUgdq/edit?usp=drivesdk&amp;ouid=114509209988000595237&amp;rtpof=true&amp;sd=true" TargetMode="External"/><Relationship Id="rId26" Type="http://schemas.openxmlformats.org/officeDocument/2006/relationships/hyperlink" Target="https://docs.google.com/spreadsheets/d/1ysIqAT2SSz_CuUCnozSiHTP1o3MjHdT7/edit?usp=drivesdk&amp;ouid=114509209988000595237&amp;rtpof=true&amp;sd=true" TargetMode="External"/><Relationship Id="rId25" Type="http://schemas.openxmlformats.org/officeDocument/2006/relationships/hyperlink" Target="https://docs.google.com/spreadsheets/d/1enprO7X56MAYorG3ZdKqQBE3JhKSx_6O/edit?usp=drivesdk&amp;ouid=114509209988000595237&amp;rtpof=true&amp;sd=true" TargetMode="External"/><Relationship Id="rId28" Type="http://schemas.openxmlformats.org/officeDocument/2006/relationships/hyperlink" Target="https://docs.google.com/spreadsheets/d/1IsuPOq8ojfBNYpItA5QLK0XrMG-O1pjF/edit?usp=drivesdk&amp;ouid=114509209988000595237&amp;rtpof=true&amp;sd=true" TargetMode="External"/><Relationship Id="rId27" Type="http://schemas.openxmlformats.org/officeDocument/2006/relationships/hyperlink" Target="https://docs.google.com/spreadsheets/d/1Mzn5AHInZGuGFQGIRrKgBaSUhSMCaSB9/edit?usp=drivesdk&amp;ouid=114509209988000595237&amp;rtpof=true&amp;sd=true" TargetMode="External"/><Relationship Id="rId5" Type="http://schemas.openxmlformats.org/officeDocument/2006/relationships/hyperlink" Target="https://docs.google.com/spreadsheets/d/1Umybe9NnySSXN1zlyDiiEeW8WaT2hDk2/edit?usp=drivesdk&amp;ouid=114509209988000595237&amp;rtpof=true&amp;sd=true" TargetMode="External"/><Relationship Id="rId6" Type="http://schemas.openxmlformats.org/officeDocument/2006/relationships/hyperlink" Target="https://docs.google.com/spreadsheets/d/1biC6R-9Q1BMmtl80Ww-uPBM_m6G4zcdJ/edit?usp=drivesdk&amp;ouid=114509209988000595237&amp;rtpof=true&amp;sd=true" TargetMode="External"/><Relationship Id="rId29" Type="http://schemas.openxmlformats.org/officeDocument/2006/relationships/hyperlink" Target="https://docs.google.com/spreadsheets/d/1rwMZ_BAZFlLapijA7ODA_AiVWdNM-q2R/edit?usp=drivesdk&amp;ouid=114509209988000595237&amp;rtpof=true&amp;sd=true" TargetMode="External"/><Relationship Id="rId7" Type="http://schemas.openxmlformats.org/officeDocument/2006/relationships/hyperlink" Target="https://docs.google.com/spreadsheets/d/1PeGi2QUbDaZq6AHGahAdEpLG0uxsnJGf/edit?usp=drivesdk&amp;ouid=114509209988000595237&amp;rtpof=true&amp;sd=true" TargetMode="External"/><Relationship Id="rId8" Type="http://schemas.openxmlformats.org/officeDocument/2006/relationships/hyperlink" Target="https://docs.google.com/spreadsheets/d/1lYL5jD8sJNunzi4b4bq4ro35jWxBBf2k/edit?usp=drivesdk&amp;ouid=114509209988000595237&amp;rtpof=true&amp;sd=true" TargetMode="External"/><Relationship Id="rId31" Type="http://schemas.openxmlformats.org/officeDocument/2006/relationships/hyperlink" Target="https://docs.google.com/spreadsheets/d/1jz36n7sxnfZ8gRhIU3h19NBiFibgP8ks/edit?usp=drivesdk&amp;ouid=114509209988000595237&amp;rtpof=true&amp;sd=true" TargetMode="External"/><Relationship Id="rId30" Type="http://schemas.openxmlformats.org/officeDocument/2006/relationships/hyperlink" Target="https://docs.google.com/spreadsheets/d/1khJ_WF6Ch8gL6bCqvqNS3agmoijeChvd/edit?usp=drivesdk&amp;ouid=114509209988000595237&amp;rtpof=true&amp;sd=true" TargetMode="External"/><Relationship Id="rId11" Type="http://schemas.openxmlformats.org/officeDocument/2006/relationships/hyperlink" Target="https://docs.google.com/spreadsheets/d/1CBsXGQA_CHS1i6GwvudeHknJFUqqVzml/edit?usp=drivesdk&amp;ouid=114509209988000595237&amp;rtpof=true&amp;sd=true" TargetMode="External"/><Relationship Id="rId33" Type="http://schemas.openxmlformats.org/officeDocument/2006/relationships/drawing" Target="../drawings/drawing3.xml"/><Relationship Id="rId10" Type="http://schemas.openxmlformats.org/officeDocument/2006/relationships/hyperlink" Target="https://docs.google.com/spreadsheets/d/1MusYpjx76mBMOWEiuezchN0HQlZmUjYE/edit?usp=drivesdk&amp;ouid=114509209988000595237&amp;rtpof=true&amp;sd=true" TargetMode="External"/><Relationship Id="rId32" Type="http://schemas.openxmlformats.org/officeDocument/2006/relationships/hyperlink" Target="https://docs.google.com/spreadsheets/d/1pleFjjVDfi_tigbyZxNuESpJjzPH0TGN/edit?usp=drivesdk&amp;ouid=114509209988000595237&amp;rtpof=true&amp;sd=true" TargetMode="External"/><Relationship Id="rId13" Type="http://schemas.openxmlformats.org/officeDocument/2006/relationships/hyperlink" Target="https://docs.google.com/spreadsheets/d/1pMFtDK2T2fYePOm58YSgrue0pr_OPC4b/edit?usp=drivesdk&amp;ouid=114509209988000595237&amp;rtpof=true&amp;sd=true" TargetMode="External"/><Relationship Id="rId35" Type="http://schemas.openxmlformats.org/officeDocument/2006/relationships/table" Target="../tables/table1.xml"/><Relationship Id="rId12" Type="http://schemas.openxmlformats.org/officeDocument/2006/relationships/hyperlink" Target="https://docs.google.com/spreadsheets/d/1ZSQnsI1SFcVzdUGjrNZWWDgWA8uJL72W/edit?usp=drivesdk&amp;ouid=114509209988000595237&amp;rtpof=true&amp;sd=true" TargetMode="External"/><Relationship Id="rId15" Type="http://schemas.openxmlformats.org/officeDocument/2006/relationships/hyperlink" Target="https://docs.google.com/spreadsheets/d/16XEKy03i90nYx3KAzEUfq3nLNi_rpwne/edit?usp=drivesdk&amp;ouid=114509209988000595237&amp;rtpof=true&amp;sd=true" TargetMode="External"/><Relationship Id="rId14" Type="http://schemas.openxmlformats.org/officeDocument/2006/relationships/hyperlink" Target="https://docs.google.com/spreadsheets/d/1vlCQZjZs5oKaecBqUXQVidWL83RIlHS1/edit?usp=drivesdk&amp;ouid=114509209988000595237&amp;rtpof=true&amp;sd=true" TargetMode="External"/><Relationship Id="rId17" Type="http://schemas.openxmlformats.org/officeDocument/2006/relationships/hyperlink" Target="https://docs.google.com/spreadsheets/d/10rQWdq6MUGYpSSY7NsHsfF663xnykS3p/edit?usp=drivesdk&amp;ouid=114509209988000595237&amp;rtpof=true&amp;sd=true" TargetMode="External"/><Relationship Id="rId16" Type="http://schemas.openxmlformats.org/officeDocument/2006/relationships/hyperlink" Target="https://docs.google.com/spreadsheets/d/1SVxcS_wr6gnkrxgo9MejIRyqbKiZiZtA/edit?usp=drivesdk&amp;ouid=114509209988000595237&amp;rtpof=true&amp;sd=true" TargetMode="External"/><Relationship Id="rId19" Type="http://schemas.openxmlformats.org/officeDocument/2006/relationships/hyperlink" Target="https://docs.google.com/spreadsheets/d/15rlUsAK-2RD4mUuut5kYTd2mqmxVSEvE/edit?usp=drivesdk&amp;ouid=114509209988000595237&amp;rtpof=true&amp;sd=true" TargetMode="External"/><Relationship Id="rId18" Type="http://schemas.openxmlformats.org/officeDocument/2006/relationships/hyperlink" Target="https://docs.google.com/spreadsheets/d/15zjrl87UOooniiXy0QMDC8Uf4PfQsjxw/edit?usp=drivesdk&amp;ouid=114509209988000595237&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5.38"/>
  </cols>
  <sheetData>
    <row r="1">
      <c r="A1" s="1" t="s">
        <v>0</v>
      </c>
      <c r="B1" s="2"/>
      <c r="C1" s="2"/>
    </row>
    <row r="2">
      <c r="A2" s="2" t="s">
        <v>1</v>
      </c>
      <c r="B2" s="2" t="s">
        <v>2</v>
      </c>
      <c r="C2" s="2" t="s">
        <v>3</v>
      </c>
      <c r="D2" s="2" t="s">
        <v>4</v>
      </c>
      <c r="E2" s="2" t="s">
        <v>5</v>
      </c>
    </row>
    <row r="3">
      <c r="A3" s="2" t="s">
        <v>6</v>
      </c>
      <c r="B3" s="2" t="s">
        <v>7</v>
      </c>
      <c r="C3" s="2" t="s">
        <v>8</v>
      </c>
      <c r="D3" s="2" t="s">
        <v>9</v>
      </c>
      <c r="E3" s="2" t="s">
        <v>10</v>
      </c>
    </row>
    <row r="4">
      <c r="A4" s="3" t="s">
        <v>11</v>
      </c>
      <c r="B4" s="2" t="s">
        <v>12</v>
      </c>
      <c r="C4" s="2" t="s">
        <v>13</v>
      </c>
      <c r="D4" s="2" t="s">
        <v>14</v>
      </c>
      <c r="E4" s="2" t="s">
        <v>15</v>
      </c>
    </row>
    <row r="5">
      <c r="A5" s="2" t="s">
        <v>16</v>
      </c>
      <c r="B5" s="2" t="s">
        <v>17</v>
      </c>
      <c r="C5" s="3" t="s">
        <v>8</v>
      </c>
      <c r="D5" s="2"/>
      <c r="E5" s="2" t="s">
        <v>18</v>
      </c>
    </row>
    <row r="6">
      <c r="A6" s="2" t="s">
        <v>19</v>
      </c>
      <c r="B6" s="2" t="s">
        <v>20</v>
      </c>
      <c r="C6" s="3" t="s">
        <v>21</v>
      </c>
      <c r="D6" s="2"/>
      <c r="E6" s="2" t="s">
        <v>22</v>
      </c>
    </row>
    <row r="7">
      <c r="A7" s="2" t="s">
        <v>23</v>
      </c>
      <c r="B7" s="2" t="s">
        <v>24</v>
      </c>
      <c r="C7" s="3" t="s">
        <v>8</v>
      </c>
      <c r="D7" s="2"/>
      <c r="E7" s="2" t="s">
        <v>25</v>
      </c>
    </row>
    <row r="8">
      <c r="A8" s="2" t="s">
        <v>26</v>
      </c>
      <c r="B8" s="2" t="s">
        <v>27</v>
      </c>
      <c r="C8" s="3" t="s">
        <v>8</v>
      </c>
      <c r="D8" s="2"/>
      <c r="E8" s="2" t="s">
        <v>28</v>
      </c>
    </row>
    <row r="9">
      <c r="A9" s="2" t="s">
        <v>29</v>
      </c>
      <c r="B9" s="2" t="s">
        <v>30</v>
      </c>
      <c r="C9" s="3" t="s">
        <v>8</v>
      </c>
      <c r="D9" s="2"/>
      <c r="E9" s="2" t="s">
        <v>31</v>
      </c>
    </row>
    <row r="10">
      <c r="A10" s="2" t="s">
        <v>32</v>
      </c>
      <c r="B10" s="2" t="s">
        <v>33</v>
      </c>
      <c r="C10" s="3" t="s">
        <v>8</v>
      </c>
      <c r="D10" s="2"/>
      <c r="E10" s="2" t="s">
        <v>34</v>
      </c>
    </row>
    <row r="11">
      <c r="A11" s="2" t="s">
        <v>35</v>
      </c>
      <c r="B11" s="2" t="s">
        <v>36</v>
      </c>
      <c r="C11" s="3" t="s">
        <v>8</v>
      </c>
      <c r="D11" s="2"/>
      <c r="E11" s="2" t="s">
        <v>37</v>
      </c>
    </row>
    <row r="12">
      <c r="A12" s="2" t="s">
        <v>38</v>
      </c>
      <c r="B12" s="2" t="s">
        <v>39</v>
      </c>
      <c r="C12" s="3" t="s">
        <v>8</v>
      </c>
      <c r="D12" s="2"/>
      <c r="E12" s="2" t="s">
        <v>40</v>
      </c>
    </row>
    <row r="13">
      <c r="A13" s="2" t="s">
        <v>41</v>
      </c>
      <c r="B13" s="2" t="s">
        <v>42</v>
      </c>
      <c r="C13" s="3" t="s">
        <v>8</v>
      </c>
      <c r="D13" s="2"/>
      <c r="E13" s="2" t="s">
        <v>43</v>
      </c>
    </row>
    <row r="14">
      <c r="A14" s="2" t="s">
        <v>44</v>
      </c>
      <c r="B14" s="2" t="s">
        <v>45</v>
      </c>
      <c r="C14" s="2" t="s">
        <v>8</v>
      </c>
      <c r="D14" s="2"/>
      <c r="E14" s="2" t="s">
        <v>46</v>
      </c>
    </row>
    <row r="15">
      <c r="A15" s="2" t="s">
        <v>47</v>
      </c>
      <c r="B15" s="2" t="s">
        <v>48</v>
      </c>
      <c r="C15" s="3" t="s">
        <v>8</v>
      </c>
      <c r="D15" s="2"/>
      <c r="E15" s="2" t="s">
        <v>49</v>
      </c>
    </row>
    <row r="16">
      <c r="A16" s="2" t="s">
        <v>50</v>
      </c>
      <c r="B16" s="2" t="s">
        <v>51</v>
      </c>
      <c r="C16" s="3" t="s">
        <v>52</v>
      </c>
      <c r="D16" s="2"/>
      <c r="E16" s="2" t="s">
        <v>53</v>
      </c>
    </row>
    <row r="17">
      <c r="A17" s="2" t="s">
        <v>54</v>
      </c>
      <c r="B17" s="2" t="s">
        <v>55</v>
      </c>
      <c r="C17" s="2" t="s">
        <v>13</v>
      </c>
      <c r="D17" s="2" t="s">
        <v>56</v>
      </c>
      <c r="E17" s="2" t="s">
        <v>57</v>
      </c>
    </row>
    <row r="18">
      <c r="A18" s="2" t="s">
        <v>58</v>
      </c>
      <c r="B18" s="2" t="s">
        <v>59</v>
      </c>
      <c r="C18" s="3" t="s">
        <v>13</v>
      </c>
      <c r="D18" s="2" t="s">
        <v>60</v>
      </c>
      <c r="E18" s="2" t="s">
        <v>61</v>
      </c>
    </row>
    <row r="19">
      <c r="A19" s="2" t="s">
        <v>62</v>
      </c>
      <c r="B19" s="2" t="s">
        <v>63</v>
      </c>
      <c r="C19" s="3" t="s">
        <v>8</v>
      </c>
      <c r="D19" s="2"/>
      <c r="E19" s="2" t="s">
        <v>64</v>
      </c>
    </row>
    <row r="20">
      <c r="A20" s="2" t="s">
        <v>65</v>
      </c>
      <c r="B20" s="2" t="s">
        <v>66</v>
      </c>
      <c r="C20" s="3" t="s">
        <v>8</v>
      </c>
      <c r="D20" s="2"/>
      <c r="E20" s="2" t="s">
        <v>67</v>
      </c>
    </row>
    <row r="21">
      <c r="A21" s="2" t="s">
        <v>68</v>
      </c>
      <c r="B21" s="2" t="s">
        <v>69</v>
      </c>
      <c r="C21" s="2" t="s">
        <v>8</v>
      </c>
      <c r="D21" s="2"/>
      <c r="E21" s="2" t="s">
        <v>70</v>
      </c>
    </row>
    <row r="22">
      <c r="A22" s="2" t="s">
        <v>71</v>
      </c>
      <c r="B22" s="2" t="s">
        <v>72</v>
      </c>
      <c r="C22" s="3" t="s">
        <v>8</v>
      </c>
      <c r="D22" s="2"/>
      <c r="E22" s="2" t="s">
        <v>73</v>
      </c>
    </row>
    <row r="23">
      <c r="A23" s="2" t="s">
        <v>74</v>
      </c>
      <c r="B23" s="2" t="s">
        <v>75</v>
      </c>
      <c r="C23" s="3" t="s">
        <v>8</v>
      </c>
      <c r="D23" s="2"/>
      <c r="E23" s="2" t="s">
        <v>76</v>
      </c>
    </row>
    <row r="24">
      <c r="A24" s="2" t="s">
        <v>77</v>
      </c>
      <c r="B24" s="2" t="s">
        <v>78</v>
      </c>
      <c r="C24" s="3" t="s">
        <v>8</v>
      </c>
      <c r="D24" s="2"/>
      <c r="E24" s="2" t="s">
        <v>79</v>
      </c>
    </row>
    <row r="25">
      <c r="A25" s="2" t="s">
        <v>80</v>
      </c>
      <c r="B25" s="2" t="s">
        <v>81</v>
      </c>
      <c r="C25" s="3" t="s">
        <v>8</v>
      </c>
      <c r="D25" s="2"/>
      <c r="E25" s="2" t="s">
        <v>82</v>
      </c>
    </row>
    <row r="26">
      <c r="A26" s="2" t="s">
        <v>83</v>
      </c>
      <c r="B26" s="2" t="s">
        <v>84</v>
      </c>
      <c r="C26" s="3" t="s">
        <v>21</v>
      </c>
      <c r="D26" s="2"/>
      <c r="E26" s="2" t="s">
        <v>85</v>
      </c>
    </row>
    <row r="27">
      <c r="A27" s="2" t="s">
        <v>86</v>
      </c>
      <c r="B27" s="2" t="s">
        <v>87</v>
      </c>
      <c r="C27" s="3" t="s">
        <v>13</v>
      </c>
      <c r="D27" s="2" t="s">
        <v>88</v>
      </c>
      <c r="E27" s="2" t="s">
        <v>89</v>
      </c>
    </row>
    <row r="28">
      <c r="A28" s="2" t="s">
        <v>90</v>
      </c>
      <c r="B28" s="2" t="s">
        <v>91</v>
      </c>
      <c r="C28" s="3" t="s">
        <v>8</v>
      </c>
      <c r="D28" s="2"/>
      <c r="E28" s="2" t="s">
        <v>92</v>
      </c>
    </row>
    <row r="29">
      <c r="A29" s="2" t="s">
        <v>93</v>
      </c>
      <c r="B29" s="2" t="s">
        <v>94</v>
      </c>
      <c r="C29" s="3" t="s">
        <v>8</v>
      </c>
      <c r="D29" s="2"/>
      <c r="E29" s="2" t="s">
        <v>95</v>
      </c>
    </row>
    <row r="30">
      <c r="A30" s="2" t="s">
        <v>96</v>
      </c>
      <c r="B30" s="2" t="s">
        <v>97</v>
      </c>
      <c r="C30" s="3" t="s">
        <v>8</v>
      </c>
      <c r="D30" s="2"/>
      <c r="E30" s="2" t="s">
        <v>98</v>
      </c>
    </row>
    <row r="31">
      <c r="A31" s="2" t="s">
        <v>99</v>
      </c>
      <c r="B31" s="2" t="s">
        <v>100</v>
      </c>
      <c r="C31" s="2" t="s">
        <v>8</v>
      </c>
      <c r="D31" s="2"/>
      <c r="E31" s="2" t="s">
        <v>101</v>
      </c>
    </row>
    <row r="32">
      <c r="A32" s="2" t="s">
        <v>102</v>
      </c>
      <c r="B32" s="2" t="s">
        <v>103</v>
      </c>
      <c r="C32" s="3" t="s">
        <v>8</v>
      </c>
      <c r="D32" s="2"/>
      <c r="E32" s="2" t="s">
        <v>104</v>
      </c>
    </row>
    <row r="33">
      <c r="A33" s="2" t="s">
        <v>105</v>
      </c>
      <c r="B33" s="2" t="s">
        <v>106</v>
      </c>
      <c r="C33" s="2" t="s">
        <v>8</v>
      </c>
      <c r="D33" s="2"/>
      <c r="E33" s="2" t="s">
        <v>107</v>
      </c>
    </row>
    <row r="34">
      <c r="A34" s="2" t="s">
        <v>108</v>
      </c>
      <c r="B34" s="2" t="s">
        <v>109</v>
      </c>
      <c r="C34" s="3" t="s">
        <v>110</v>
      </c>
      <c r="D34" s="2"/>
      <c r="E34" s="2" t="s">
        <v>111</v>
      </c>
    </row>
    <row r="35">
      <c r="A35" s="2" t="s">
        <v>112</v>
      </c>
      <c r="B35" s="2" t="s">
        <v>113</v>
      </c>
      <c r="C35" s="3" t="s">
        <v>114</v>
      </c>
      <c r="D35" s="2"/>
      <c r="E35" s="2" t="s">
        <v>115</v>
      </c>
    </row>
    <row r="36">
      <c r="A36" s="3" t="s">
        <v>116</v>
      </c>
      <c r="B36" s="2" t="s">
        <v>117</v>
      </c>
      <c r="C36" s="3" t="s">
        <v>8</v>
      </c>
      <c r="D36" s="2"/>
      <c r="E36" s="2" t="s">
        <v>118</v>
      </c>
    </row>
    <row r="37">
      <c r="A37" s="3" t="s">
        <v>119</v>
      </c>
      <c r="B37" s="2" t="s">
        <v>120</v>
      </c>
      <c r="C37" s="3" t="s">
        <v>8</v>
      </c>
      <c r="D37" s="2"/>
      <c r="E37" s="2" t="s">
        <v>121</v>
      </c>
    </row>
    <row r="38">
      <c r="A38" s="3" t="s">
        <v>122</v>
      </c>
      <c r="B38" s="2" t="s">
        <v>123</v>
      </c>
      <c r="C38" s="3" t="s">
        <v>21</v>
      </c>
      <c r="D38" s="2"/>
      <c r="E38" s="2" t="s">
        <v>124</v>
      </c>
    </row>
    <row r="39">
      <c r="A39" s="3" t="s">
        <v>125</v>
      </c>
      <c r="B39" s="2" t="s">
        <v>126</v>
      </c>
      <c r="C39" s="3" t="s">
        <v>127</v>
      </c>
      <c r="D39" s="2"/>
      <c r="E39" s="2" t="s">
        <v>124</v>
      </c>
    </row>
    <row r="42">
      <c r="A42" s="4" t="s">
        <v>128</v>
      </c>
    </row>
    <row r="43">
      <c r="A43" s="2" t="s">
        <v>1</v>
      </c>
      <c r="B43" s="2" t="s">
        <v>2</v>
      </c>
      <c r="C43" s="2" t="s">
        <v>3</v>
      </c>
      <c r="D43" s="2" t="s">
        <v>4</v>
      </c>
      <c r="E43" s="2" t="s">
        <v>5</v>
      </c>
    </row>
    <row r="44">
      <c r="A44" s="3" t="s">
        <v>129</v>
      </c>
      <c r="B44" s="2" t="s">
        <v>130</v>
      </c>
      <c r="C44" s="2" t="s">
        <v>8</v>
      </c>
      <c r="D44" s="2" t="s">
        <v>9</v>
      </c>
      <c r="E44" s="2" t="s">
        <v>10</v>
      </c>
    </row>
    <row r="45">
      <c r="A45" s="3" t="s">
        <v>6</v>
      </c>
      <c r="B45" s="2" t="s">
        <v>131</v>
      </c>
      <c r="C45" s="2" t="s">
        <v>132</v>
      </c>
      <c r="D45" s="2" t="s">
        <v>133</v>
      </c>
      <c r="E45" s="2" t="s">
        <v>10</v>
      </c>
    </row>
    <row r="46">
      <c r="A46" s="3" t="s">
        <v>134</v>
      </c>
      <c r="B46" s="2" t="s">
        <v>135</v>
      </c>
      <c r="C46" s="3" t="s">
        <v>110</v>
      </c>
      <c r="D46" s="2"/>
      <c r="E46" s="2" t="s">
        <v>10</v>
      </c>
    </row>
    <row r="47">
      <c r="A47" s="2" t="s">
        <v>136</v>
      </c>
      <c r="B47" s="2" t="s">
        <v>137</v>
      </c>
      <c r="C47" s="3" t="s">
        <v>8</v>
      </c>
      <c r="D47" s="2"/>
      <c r="E47" s="2" t="s">
        <v>138</v>
      </c>
    </row>
    <row r="48">
      <c r="A48" s="2" t="s">
        <v>139</v>
      </c>
      <c r="B48" s="2" t="s">
        <v>140</v>
      </c>
      <c r="C48" s="3" t="s">
        <v>13</v>
      </c>
      <c r="D48" s="2" t="s">
        <v>141</v>
      </c>
      <c r="E48" s="2" t="s">
        <v>142</v>
      </c>
    </row>
    <row r="49">
      <c r="A49" s="2" t="s">
        <v>143</v>
      </c>
      <c r="B49" s="2" t="s">
        <v>144</v>
      </c>
      <c r="C49" s="3" t="s">
        <v>13</v>
      </c>
      <c r="D49" s="2" t="s">
        <v>145</v>
      </c>
      <c r="E49" s="2" t="s">
        <v>146</v>
      </c>
    </row>
    <row r="50">
      <c r="A50" s="2" t="s">
        <v>147</v>
      </c>
      <c r="B50" s="2" t="s">
        <v>148</v>
      </c>
      <c r="C50" s="3" t="s">
        <v>52</v>
      </c>
      <c r="D50" s="2"/>
      <c r="E50" s="2" t="s">
        <v>149</v>
      </c>
    </row>
    <row r="51">
      <c r="A51" s="2" t="s">
        <v>150</v>
      </c>
      <c r="B51" s="2" t="s">
        <v>151</v>
      </c>
      <c r="C51" s="3" t="s">
        <v>52</v>
      </c>
      <c r="D51" s="2"/>
      <c r="E51" s="2" t="s">
        <v>152</v>
      </c>
    </row>
    <row r="52">
      <c r="A52" s="2" t="s">
        <v>153</v>
      </c>
      <c r="B52" s="2" t="s">
        <v>154</v>
      </c>
      <c r="C52" s="3" t="s">
        <v>52</v>
      </c>
      <c r="D52" s="2"/>
      <c r="E52" s="2" t="s">
        <v>155</v>
      </c>
    </row>
    <row r="53">
      <c r="A53" s="2" t="s">
        <v>156</v>
      </c>
      <c r="B53" s="2" t="s">
        <v>157</v>
      </c>
      <c r="C53" s="3" t="s">
        <v>52</v>
      </c>
      <c r="D53" s="2"/>
      <c r="E53" s="2" t="s">
        <v>158</v>
      </c>
    </row>
    <row r="54">
      <c r="A54" s="2" t="s">
        <v>159</v>
      </c>
      <c r="B54" s="2" t="s">
        <v>160</v>
      </c>
      <c r="C54" s="3" t="s">
        <v>52</v>
      </c>
      <c r="D54" s="2"/>
      <c r="E54" s="2" t="s">
        <v>161</v>
      </c>
    </row>
    <row r="55">
      <c r="A55" s="2" t="s">
        <v>162</v>
      </c>
      <c r="B55" s="2" t="s">
        <v>163</v>
      </c>
      <c r="C55" s="3" t="s">
        <v>52</v>
      </c>
      <c r="D55" s="2"/>
      <c r="E55" s="2" t="s">
        <v>164</v>
      </c>
    </row>
    <row r="56">
      <c r="A56" s="2" t="s">
        <v>165</v>
      </c>
      <c r="B56" s="2" t="s">
        <v>166</v>
      </c>
      <c r="C56" s="3" t="s">
        <v>52</v>
      </c>
      <c r="D56" s="2"/>
      <c r="E56" s="2" t="s">
        <v>167</v>
      </c>
    </row>
    <row r="57">
      <c r="A57" s="2" t="s">
        <v>168</v>
      </c>
      <c r="B57" s="2" t="s">
        <v>169</v>
      </c>
      <c r="C57" s="3" t="s">
        <v>52</v>
      </c>
      <c r="D57" s="2"/>
      <c r="E57" s="2" t="s">
        <v>170</v>
      </c>
    </row>
    <row r="58">
      <c r="A58" s="2" t="s">
        <v>171</v>
      </c>
      <c r="B58" s="2" t="s">
        <v>172</v>
      </c>
      <c r="C58" s="3" t="s">
        <v>52</v>
      </c>
      <c r="D58" s="2"/>
      <c r="E58" s="2" t="s">
        <v>173</v>
      </c>
    </row>
    <row r="59">
      <c r="A59" s="2" t="s">
        <v>174</v>
      </c>
      <c r="B59" s="2" t="s">
        <v>175</v>
      </c>
      <c r="C59" s="3" t="s">
        <v>52</v>
      </c>
      <c r="D59" s="2"/>
      <c r="E59" s="2" t="s">
        <v>176</v>
      </c>
    </row>
    <row r="60">
      <c r="A60" s="2" t="s">
        <v>177</v>
      </c>
      <c r="B60" s="2" t="s">
        <v>178</v>
      </c>
      <c r="C60" s="3" t="s">
        <v>52</v>
      </c>
      <c r="D60" s="2"/>
      <c r="E60" s="2" t="s">
        <v>179</v>
      </c>
    </row>
    <row r="61">
      <c r="A61" s="3" t="s">
        <v>180</v>
      </c>
      <c r="B61" s="2" t="s">
        <v>181</v>
      </c>
      <c r="C61" s="3" t="s">
        <v>52</v>
      </c>
      <c r="D61" s="2"/>
      <c r="E61" s="2" t="s">
        <v>182</v>
      </c>
    </row>
    <row r="62">
      <c r="A62" s="3" t="s">
        <v>183</v>
      </c>
      <c r="B62" s="2" t="s">
        <v>184</v>
      </c>
      <c r="C62" s="3" t="s">
        <v>52</v>
      </c>
      <c r="D62" s="2"/>
      <c r="E62" s="2" t="s">
        <v>185</v>
      </c>
    </row>
    <row r="63">
      <c r="A63" s="2" t="s">
        <v>186</v>
      </c>
      <c r="B63" s="2" t="s">
        <v>187</v>
      </c>
      <c r="C63" s="2" t="s">
        <v>8</v>
      </c>
      <c r="D63" s="2"/>
      <c r="E63" s="2" t="s">
        <v>188</v>
      </c>
    </row>
    <row r="64">
      <c r="A64" s="4"/>
    </row>
    <row r="65">
      <c r="A65" s="4" t="s">
        <v>189</v>
      </c>
    </row>
    <row r="66">
      <c r="A66" s="2" t="s">
        <v>1</v>
      </c>
      <c r="B66" s="2" t="s">
        <v>2</v>
      </c>
      <c r="C66" s="2" t="s">
        <v>3</v>
      </c>
      <c r="D66" s="2" t="s">
        <v>4</v>
      </c>
      <c r="E66" s="2" t="s">
        <v>5</v>
      </c>
    </row>
    <row r="67">
      <c r="A67" s="2" t="s">
        <v>190</v>
      </c>
      <c r="B67" s="2" t="s">
        <v>191</v>
      </c>
      <c r="C67" s="2" t="s">
        <v>8</v>
      </c>
      <c r="D67" s="2" t="s">
        <v>9</v>
      </c>
      <c r="E67" s="2" t="s">
        <v>10</v>
      </c>
    </row>
    <row r="68">
      <c r="A68" s="2" t="s">
        <v>6</v>
      </c>
      <c r="B68" s="2" t="s">
        <v>131</v>
      </c>
      <c r="C68" s="2" t="s">
        <v>132</v>
      </c>
      <c r="D68" s="2" t="s">
        <v>133</v>
      </c>
      <c r="E68" s="2" t="s">
        <v>10</v>
      </c>
    </row>
    <row r="69">
      <c r="A69" s="2" t="s">
        <v>192</v>
      </c>
      <c r="B69" s="2" t="s">
        <v>193</v>
      </c>
      <c r="C69" s="3" t="s">
        <v>194</v>
      </c>
      <c r="D69" s="2"/>
      <c r="E69" s="2" t="s">
        <v>195</v>
      </c>
    </row>
    <row r="70">
      <c r="A70" s="2" t="s">
        <v>196</v>
      </c>
      <c r="B70" s="2" t="s">
        <v>197</v>
      </c>
      <c r="C70" s="3" t="s">
        <v>8</v>
      </c>
      <c r="D70" s="2"/>
      <c r="E70" s="2" t="s">
        <v>198</v>
      </c>
    </row>
    <row r="71">
      <c r="A71" s="2" t="s">
        <v>199</v>
      </c>
      <c r="B71" s="2" t="s">
        <v>200</v>
      </c>
      <c r="C71" s="2" t="s">
        <v>127</v>
      </c>
      <c r="D71" s="2" t="s">
        <v>201</v>
      </c>
      <c r="E71" s="2" t="s">
        <v>10</v>
      </c>
    </row>
    <row r="72">
      <c r="A72" s="2" t="s">
        <v>202</v>
      </c>
      <c r="B72" s="2" t="s">
        <v>203</v>
      </c>
      <c r="C72" s="2" t="s">
        <v>8</v>
      </c>
      <c r="D72" s="2" t="s">
        <v>201</v>
      </c>
      <c r="E72" s="2"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4">
      <c r="F24" s="5"/>
      <c r="G24" s="6" t="s">
        <v>204</v>
      </c>
      <c r="H24" s="7" t="s">
        <v>205</v>
      </c>
      <c r="I24" s="8"/>
    </row>
    <row r="25">
      <c r="F25" s="9"/>
      <c r="G25" s="10" t="s">
        <v>206</v>
      </c>
      <c r="H25" s="11" t="s">
        <v>207</v>
      </c>
      <c r="I25" s="12">
        <v>1.0</v>
      </c>
    </row>
    <row r="26">
      <c r="F26" s="9"/>
      <c r="G26" s="9"/>
      <c r="H26" s="13" t="s">
        <v>208</v>
      </c>
      <c r="I26" s="14" t="s">
        <v>209</v>
      </c>
    </row>
    <row r="27">
      <c r="F27" s="15"/>
      <c r="G27" s="15"/>
      <c r="H27" s="11" t="s">
        <v>210</v>
      </c>
      <c r="I27" s="12" t="s">
        <v>211</v>
      </c>
    </row>
  </sheetData>
  <mergeCells count="3">
    <mergeCell ref="F24:F27"/>
    <mergeCell ref="H24:I24"/>
    <mergeCell ref="G25:G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25"/>
    <col customWidth="1" min="2" max="2" width="31.63"/>
    <col customWidth="1" min="4" max="4" width="15.75"/>
    <col customWidth="1" min="6" max="6" width="15.0"/>
    <col customWidth="1" min="7" max="7" width="14.63"/>
    <col customWidth="1" min="8" max="8" width="52.63"/>
    <col customWidth="1" min="9" max="9" width="49.75"/>
    <col customWidth="1" min="10" max="10" width="37.63"/>
    <col customWidth="1" min="11" max="11" width="21.63"/>
    <col customWidth="1" min="12" max="12" width="19.5"/>
    <col customWidth="1" min="13" max="13" width="15.25"/>
    <col customWidth="1" min="14" max="14" width="21.0"/>
    <col customWidth="1" min="15" max="15" width="19.25"/>
    <col customWidth="1" min="16" max="16" width="37.63"/>
    <col customWidth="1" min="17" max="17" width="16.38"/>
    <col customWidth="1" min="18" max="18" width="16.75"/>
    <col customWidth="1" min="20" max="20" width="28.88"/>
    <col customWidth="1" min="21" max="21" width="16.0"/>
    <col customWidth="1" min="22" max="22" width="16.88"/>
    <col customWidth="1" min="23" max="23" width="16.0"/>
    <col customWidth="1" min="24" max="24" width="18.5"/>
    <col customWidth="1" min="25" max="25" width="16.38"/>
    <col customWidth="1" min="26" max="26" width="13.25"/>
    <col customWidth="1" min="27" max="27" width="18.5"/>
    <col customWidth="1" min="28" max="28" width="19.38"/>
    <col customWidth="1" min="29" max="29" width="17.38"/>
    <col customWidth="1" min="30" max="30" width="19.38"/>
    <col customWidth="1" min="31" max="31" width="37.63"/>
    <col customWidth="1" min="32" max="32" width="21.38"/>
    <col customWidth="1" min="33" max="33" width="37.63"/>
    <col customWidth="1" min="34" max="34" width="31.38"/>
    <col customWidth="1" min="35" max="36" width="24.13"/>
    <col customWidth="1" min="37" max="37" width="11.13"/>
    <col customWidth="1" min="38" max="38" width="149.38"/>
    <col customWidth="1" min="39" max="41" width="12.75"/>
  </cols>
  <sheetData>
    <row r="1" ht="14.25" customHeight="1">
      <c r="A1" s="16" t="s">
        <v>6</v>
      </c>
      <c r="B1" s="17" t="s">
        <v>11</v>
      </c>
      <c r="C1" s="17" t="s">
        <v>16</v>
      </c>
      <c r="D1" s="17" t="s">
        <v>19</v>
      </c>
      <c r="E1" s="17" t="s">
        <v>23</v>
      </c>
      <c r="F1" s="17" t="s">
        <v>26</v>
      </c>
      <c r="G1" s="17" t="s">
        <v>29</v>
      </c>
      <c r="H1" s="17" t="s">
        <v>32</v>
      </c>
      <c r="I1" s="17" t="s">
        <v>35</v>
      </c>
      <c r="J1" s="17" t="s">
        <v>38</v>
      </c>
      <c r="K1" s="17" t="s">
        <v>41</v>
      </c>
      <c r="L1" s="17" t="s">
        <v>44</v>
      </c>
      <c r="M1" s="17" t="s">
        <v>47</v>
      </c>
      <c r="N1" s="17" t="s">
        <v>50</v>
      </c>
      <c r="O1" s="17" t="s">
        <v>54</v>
      </c>
      <c r="P1" s="17" t="s">
        <v>58</v>
      </c>
      <c r="Q1" s="17" t="s">
        <v>62</v>
      </c>
      <c r="R1" s="17" t="s">
        <v>65</v>
      </c>
      <c r="S1" s="17" t="s">
        <v>68</v>
      </c>
      <c r="T1" s="17" t="s">
        <v>71</v>
      </c>
      <c r="U1" s="17" t="s">
        <v>74</v>
      </c>
      <c r="V1" s="17" t="s">
        <v>77</v>
      </c>
      <c r="W1" s="17" t="s">
        <v>80</v>
      </c>
      <c r="X1" s="17" t="s">
        <v>83</v>
      </c>
      <c r="Y1" s="17" t="s">
        <v>86</v>
      </c>
      <c r="Z1" s="17" t="s">
        <v>90</v>
      </c>
      <c r="AA1" s="17" t="s">
        <v>93</v>
      </c>
      <c r="AB1" s="17" t="s">
        <v>96</v>
      </c>
      <c r="AC1" s="17" t="s">
        <v>99</v>
      </c>
      <c r="AD1" s="17" t="s">
        <v>102</v>
      </c>
      <c r="AE1" s="17" t="s">
        <v>105</v>
      </c>
      <c r="AF1" s="17" t="s">
        <v>108</v>
      </c>
      <c r="AG1" s="18" t="s">
        <v>112</v>
      </c>
      <c r="AH1" s="18" t="s">
        <v>116</v>
      </c>
      <c r="AI1" s="19" t="s">
        <v>212</v>
      </c>
      <c r="AJ1" s="18" t="s">
        <v>119</v>
      </c>
      <c r="AK1" s="18" t="s">
        <v>122</v>
      </c>
      <c r="AL1" s="18" t="s">
        <v>125</v>
      </c>
      <c r="AM1" s="20" t="s">
        <v>213</v>
      </c>
      <c r="AN1" s="20" t="s">
        <v>214</v>
      </c>
      <c r="AO1" s="20" t="s">
        <v>215</v>
      </c>
      <c r="AP1" s="18" t="s">
        <v>216</v>
      </c>
    </row>
    <row r="2" ht="14.25" customHeight="1">
      <c r="A2" s="21" t="s">
        <v>217</v>
      </c>
      <c r="B2" s="21" t="s">
        <v>218</v>
      </c>
      <c r="C2" s="21"/>
      <c r="D2" s="22">
        <v>46089.0</v>
      </c>
      <c r="E2" s="21"/>
      <c r="F2" s="23" t="s">
        <v>219</v>
      </c>
      <c r="G2" s="21" t="s">
        <v>220</v>
      </c>
      <c r="H2" s="21" t="s">
        <v>221</v>
      </c>
      <c r="I2" s="21" t="s">
        <v>222</v>
      </c>
      <c r="J2" s="21" t="s">
        <v>223</v>
      </c>
      <c r="K2" s="21" t="s">
        <v>224</v>
      </c>
      <c r="L2" s="21" t="s">
        <v>225</v>
      </c>
      <c r="M2" s="21" t="s">
        <v>226</v>
      </c>
      <c r="N2" s="21"/>
      <c r="O2" s="21" t="s">
        <v>227</v>
      </c>
      <c r="P2" s="21" t="s">
        <v>228</v>
      </c>
      <c r="Q2" s="21" t="s">
        <v>229</v>
      </c>
      <c r="R2" s="21" t="s">
        <v>226</v>
      </c>
      <c r="S2" s="21" t="s">
        <v>226</v>
      </c>
      <c r="T2" s="21" t="s">
        <v>226</v>
      </c>
      <c r="U2" s="21" t="s">
        <v>230</v>
      </c>
      <c r="V2" s="21" t="s">
        <v>231</v>
      </c>
      <c r="W2" s="21" t="s">
        <v>232</v>
      </c>
      <c r="X2" s="23" t="s">
        <v>233</v>
      </c>
      <c r="Y2" s="21" t="s">
        <v>234</v>
      </c>
      <c r="Z2" s="21" t="s">
        <v>235</v>
      </c>
      <c r="AA2" s="23" t="s">
        <v>236</v>
      </c>
      <c r="AB2" s="21" t="s">
        <v>237</v>
      </c>
      <c r="AC2" s="21"/>
      <c r="AD2" s="21" t="s">
        <v>238</v>
      </c>
      <c r="AE2" s="21" t="s">
        <v>239</v>
      </c>
      <c r="AF2" s="23" t="s">
        <v>240</v>
      </c>
      <c r="AG2" s="21" t="s">
        <v>241</v>
      </c>
      <c r="AH2" s="21" t="s">
        <v>242</v>
      </c>
      <c r="AI2" s="21"/>
      <c r="AJ2" s="21" t="s">
        <v>243</v>
      </c>
      <c r="AK2" s="24">
        <v>46237.0</v>
      </c>
      <c r="AL2" s="25" t="str">
        <f t="array" ref="AL2">IF(
                AG2 = "",
                "",
                       IF(
                           AG2 ="FOTOGRAFIA",
                           "LINK",
                           "https://www.appsheet.com/template/gettablefileurl?appName=MEDICIÓNDEESPESORES-924373673&amp;tableName=1_general&amp;fileName="&amp;AG2                         )
                          )</f>
        <v>https://www.appsheet.com/template/gettablefileurl?appName=MEDICIÓNDEESPESORES-924373673&amp;tableName=1_general&amp;fileName=1_general_Images/REPORT_SCAN9556eeca.firma.204147.png</v>
      </c>
      <c r="AM2" s="26"/>
      <c r="AN2" s="27" t="s">
        <v>244</v>
      </c>
      <c r="AO2" s="28" t="str">
        <f t="array" ref="AO2">IF(
                AM2 = "",
                "",
                       IF(
                           AM2 ="FOTOGRAFIA",
                           "LINK",
                           "https://www.appsheet.com/template/gettablefileurl?appName=MEDICIÓNDEESPESORES-924373673&amp;tableName=1_general&amp;fileName="&amp;AM2                         )
                          )</f>
        <v/>
      </c>
      <c r="AP2" s="21"/>
    </row>
    <row r="3" ht="14.25" customHeight="1">
      <c r="A3" s="21" t="s">
        <v>245</v>
      </c>
      <c r="B3" s="21" t="s">
        <v>218</v>
      </c>
      <c r="D3" s="24">
        <v>46085.0</v>
      </c>
      <c r="F3" s="23" t="s">
        <v>246</v>
      </c>
      <c r="G3" s="21" t="s">
        <v>220</v>
      </c>
      <c r="H3" s="21" t="s">
        <v>247</v>
      </c>
      <c r="I3" s="21" t="s">
        <v>248</v>
      </c>
      <c r="J3" s="21" t="s">
        <v>249</v>
      </c>
      <c r="K3" s="21" t="s">
        <v>250</v>
      </c>
      <c r="L3" s="21" t="s">
        <v>225</v>
      </c>
      <c r="M3" s="21" t="s">
        <v>226</v>
      </c>
      <c r="O3" s="21" t="s">
        <v>227</v>
      </c>
      <c r="P3" s="21" t="s">
        <v>251</v>
      </c>
      <c r="Q3" s="21" t="s">
        <v>229</v>
      </c>
      <c r="R3" s="21" t="s">
        <v>252</v>
      </c>
      <c r="S3" s="21" t="s">
        <v>226</v>
      </c>
      <c r="T3" s="21" t="s">
        <v>226</v>
      </c>
      <c r="U3" s="21" t="s">
        <v>253</v>
      </c>
      <c r="V3" s="21" t="s">
        <v>231</v>
      </c>
      <c r="W3" s="21" t="s">
        <v>232</v>
      </c>
      <c r="X3" s="23" t="s">
        <v>254</v>
      </c>
      <c r="Y3" s="21" t="s">
        <v>255</v>
      </c>
      <c r="Z3" s="21" t="s">
        <v>256</v>
      </c>
      <c r="AA3" s="23" t="s">
        <v>236</v>
      </c>
      <c r="AB3" s="21" t="s">
        <v>237</v>
      </c>
      <c r="AD3" s="21" t="s">
        <v>257</v>
      </c>
      <c r="AE3" s="21" t="s">
        <v>258</v>
      </c>
      <c r="AF3" s="23" t="s">
        <v>240</v>
      </c>
      <c r="AG3" s="21" t="s">
        <v>259</v>
      </c>
      <c r="AH3" s="21" t="s">
        <v>242</v>
      </c>
      <c r="AI3" s="21"/>
      <c r="AJ3" s="21" t="s">
        <v>260</v>
      </c>
      <c r="AK3" s="24">
        <v>46085.0</v>
      </c>
      <c r="AL3" s="25" t="str">
        <f t="array" ref="AL3">IF(
                AG3 = "",
                "",
                       IF(
                           AG3 ="FOTOGRAFIA",
                           "LINK",
                           "https://www.appsheet.com/template/gettablefileurl?appName=MEDICIÓNDEESPESORES-924373673&amp;tableName=1_general&amp;fileName="&amp;AG3                         )
                          )</f>
        <v>https://www.appsheet.com/template/gettablefileurl?appName=MEDICIÓNDEESPESORES-924373673&amp;tableName=1_general&amp;fileName=1_general_Images/REPORT_SCANbf5cce12.firma.042042.png</v>
      </c>
      <c r="AM3" s="26"/>
      <c r="AN3" s="27" t="s">
        <v>261</v>
      </c>
      <c r="AO3" s="28" t="str">
        <f t="array" ref="AO3">IF(
                AM3 = "",
                "",
                       IF(
                           AM3 ="FOTOGRAFIA",
                           "LINK",
                           "https://www.appsheet.com/template/gettablefileurl?appName=MEDICIÓNDEESPESORES-924373673&amp;tableName=1_general&amp;fileName="&amp;AM3                         )
                          )</f>
        <v/>
      </c>
      <c r="AP3" s="21"/>
    </row>
    <row r="4" ht="14.25" customHeight="1">
      <c r="A4" s="21" t="s">
        <v>262</v>
      </c>
      <c r="B4" s="21" t="s">
        <v>218</v>
      </c>
      <c r="D4" s="24">
        <v>46268.0</v>
      </c>
      <c r="F4" s="23" t="s">
        <v>219</v>
      </c>
      <c r="G4" s="21" t="s">
        <v>263</v>
      </c>
      <c r="H4" s="21" t="s">
        <v>264</v>
      </c>
      <c r="I4" s="21" t="s">
        <v>222</v>
      </c>
      <c r="J4" s="21" t="s">
        <v>265</v>
      </c>
      <c r="K4" s="21" t="s">
        <v>250</v>
      </c>
      <c r="L4" s="21" t="s">
        <v>225</v>
      </c>
      <c r="M4" s="21" t="s">
        <v>226</v>
      </c>
      <c r="O4" s="21" t="s">
        <v>227</v>
      </c>
      <c r="P4" s="21" t="s">
        <v>266</v>
      </c>
      <c r="Q4" s="23" t="s">
        <v>267</v>
      </c>
      <c r="R4" s="21" t="s">
        <v>268</v>
      </c>
      <c r="S4" s="21" t="s">
        <v>226</v>
      </c>
      <c r="T4" s="21" t="s">
        <v>269</v>
      </c>
      <c r="U4" s="21" t="s">
        <v>270</v>
      </c>
      <c r="V4" s="21" t="s">
        <v>271</v>
      </c>
      <c r="W4" s="21" t="s">
        <v>232</v>
      </c>
      <c r="X4" s="23" t="s">
        <v>233</v>
      </c>
      <c r="Y4" s="21" t="s">
        <v>272</v>
      </c>
      <c r="Z4" s="21" t="s">
        <v>273</v>
      </c>
      <c r="AA4" s="23" t="s">
        <v>274</v>
      </c>
      <c r="AB4" s="21" t="s">
        <v>237</v>
      </c>
      <c r="AD4" s="21" t="s">
        <v>257</v>
      </c>
      <c r="AE4" s="21" t="s">
        <v>275</v>
      </c>
      <c r="AF4" s="23" t="s">
        <v>240</v>
      </c>
      <c r="AG4" s="21" t="s">
        <v>276</v>
      </c>
      <c r="AH4" s="21" t="s">
        <v>242</v>
      </c>
      <c r="AI4" s="21"/>
      <c r="AJ4" s="21" t="s">
        <v>277</v>
      </c>
      <c r="AK4" s="29">
        <v>46268.0</v>
      </c>
      <c r="AL4" s="25" t="str">
        <f t="array" ref="AL4">IF(
                AG4 = "",
                "",
                       IF(
                           AG4 ="FOTOGRAFIA",
                           "LINK",
                           "https://www.appsheet.com/template/gettablefileurl?appName=MEDICIÓNDEESPESORES-924373673&amp;tableName=1_general&amp;fileName="&amp;AG4                         )
                          )</f>
        <v>https://www.appsheet.com/template/gettablefileurl?appName=MEDICIÓNDEESPESORES-924373673&amp;tableName=1_general&amp;fileName=1_general_Images/REPORT_SCAN907c5009.firma.235814.png</v>
      </c>
      <c r="AM4" s="26"/>
      <c r="AN4" s="27" t="s">
        <v>278</v>
      </c>
      <c r="AO4" s="28" t="str">
        <f t="array" ref="AO4">IF(
                AM4 = "",
                "",
                       IF(
                           AM4 ="FOTOGRAFIA",
                           "LINK",
                           "https://www.appsheet.com/template/gettablefileurl?appName=MEDICIÓNDEESPESORES-924373673&amp;tableName=1_general&amp;fileName="&amp;AM4                         )
                          )</f>
        <v/>
      </c>
      <c r="AP4" s="21"/>
    </row>
    <row r="5" ht="14.25" customHeight="1">
      <c r="A5" s="21" t="s">
        <v>279</v>
      </c>
      <c r="B5" s="21" t="s">
        <v>218</v>
      </c>
      <c r="D5" s="21" t="s">
        <v>280</v>
      </c>
      <c r="F5" s="23" t="s">
        <v>246</v>
      </c>
      <c r="G5" s="21" t="s">
        <v>281</v>
      </c>
      <c r="H5" s="21" t="s">
        <v>282</v>
      </c>
      <c r="I5" s="21" t="s">
        <v>283</v>
      </c>
      <c r="J5" s="21" t="s">
        <v>284</v>
      </c>
      <c r="K5" s="21" t="s">
        <v>285</v>
      </c>
      <c r="L5" s="21" t="s">
        <v>225</v>
      </c>
      <c r="M5" s="21" t="s">
        <v>226</v>
      </c>
      <c r="O5" s="21" t="s">
        <v>227</v>
      </c>
      <c r="P5" s="21" t="s">
        <v>286</v>
      </c>
      <c r="Q5" s="21" t="s">
        <v>226</v>
      </c>
      <c r="R5" s="21" t="s">
        <v>226</v>
      </c>
      <c r="S5" s="21" t="s">
        <v>226</v>
      </c>
      <c r="T5" s="21" t="s">
        <v>226</v>
      </c>
      <c r="U5" s="21" t="s">
        <v>270</v>
      </c>
      <c r="V5" s="21" t="s">
        <v>231</v>
      </c>
      <c r="W5" s="21" t="s">
        <v>232</v>
      </c>
      <c r="X5" s="23" t="s">
        <v>233</v>
      </c>
      <c r="Y5" s="21" t="s">
        <v>272</v>
      </c>
      <c r="Z5" s="21" t="s">
        <v>273</v>
      </c>
      <c r="AA5" s="23" t="s">
        <v>287</v>
      </c>
      <c r="AB5" s="21" t="s">
        <v>237</v>
      </c>
      <c r="AD5" s="21" t="s">
        <v>257</v>
      </c>
      <c r="AE5" s="21" t="s">
        <v>288</v>
      </c>
      <c r="AF5" s="23" t="s">
        <v>240</v>
      </c>
      <c r="AG5" s="21" t="s">
        <v>289</v>
      </c>
      <c r="AH5" s="21" t="s">
        <v>242</v>
      </c>
      <c r="AI5" s="21"/>
      <c r="AJ5" s="21" t="s">
        <v>243</v>
      </c>
      <c r="AK5" s="21" t="s">
        <v>280</v>
      </c>
      <c r="AL5" s="25" t="str">
        <f t="array" ref="AL5">IF(
                AG5 = "",
                "",
                       IF(
                           AG5 ="FOTOGRAFIA",
                           "LINK",
                           "https://www.appsheet.com/template/gettablefileurl?appName=MEDICIÓNDEESPESORES-924373673&amp;tableName=1_general&amp;fileName="&amp;AG5                         )
                          )</f>
        <v>https://www.appsheet.com/template/gettablefileurl?appName=MEDICIÓNDEESPESORES-924373673&amp;tableName=1_general&amp;fileName=1_general_Images/REPORT_SCAN15d2fcaf.firma.212144.png</v>
      </c>
      <c r="AM5" s="26"/>
      <c r="AN5" s="27" t="s">
        <v>290</v>
      </c>
      <c r="AO5" s="28" t="str">
        <f t="array" ref="AO5">IF(
                AM5 = "",
                "",
                       IF(
                           AM5 ="FOTOGRAFIA",
                           "LINK",
                           "https://www.appsheet.com/template/gettablefileurl?appName=MEDICIÓNDEESPESORES-924373673&amp;tableName=1_general&amp;fileName="&amp;AM5                         )
                          )</f>
        <v/>
      </c>
      <c r="AP5" s="21"/>
    </row>
    <row r="6" ht="14.25" customHeight="1">
      <c r="A6" s="21" t="s">
        <v>291</v>
      </c>
      <c r="B6" s="21" t="s">
        <v>218</v>
      </c>
      <c r="C6" s="21">
        <v>8.00000887E9</v>
      </c>
      <c r="D6" s="29">
        <v>46026.0</v>
      </c>
      <c r="E6" s="21">
        <v>2.7110376E7</v>
      </c>
      <c r="F6" s="23" t="s">
        <v>292</v>
      </c>
      <c r="G6" s="21" t="s">
        <v>293</v>
      </c>
      <c r="H6" s="21" t="s">
        <v>294</v>
      </c>
      <c r="I6" s="21" t="s">
        <v>295</v>
      </c>
      <c r="J6" s="21" t="s">
        <v>296</v>
      </c>
      <c r="K6" s="21" t="s">
        <v>285</v>
      </c>
      <c r="L6" s="21" t="s">
        <v>297</v>
      </c>
      <c r="M6" s="21" t="s">
        <v>226</v>
      </c>
      <c r="N6" s="21">
        <v>25.0</v>
      </c>
      <c r="P6" s="21" t="s">
        <v>298</v>
      </c>
      <c r="Q6" s="21" t="s">
        <v>226</v>
      </c>
      <c r="R6" s="21" t="s">
        <v>226</v>
      </c>
      <c r="S6" s="21" t="s">
        <v>226</v>
      </c>
      <c r="T6" s="21" t="s">
        <v>226</v>
      </c>
      <c r="U6" s="21" t="s">
        <v>270</v>
      </c>
      <c r="V6" s="21" t="s">
        <v>271</v>
      </c>
      <c r="W6" s="21" t="s">
        <v>232</v>
      </c>
      <c r="X6" s="23" t="s">
        <v>299</v>
      </c>
      <c r="Y6" s="21" t="s">
        <v>300</v>
      </c>
      <c r="Z6" s="21" t="s">
        <v>273</v>
      </c>
      <c r="AA6" s="21" t="s">
        <v>301</v>
      </c>
      <c r="AB6" s="21" t="s">
        <v>302</v>
      </c>
      <c r="AC6" s="21" t="s">
        <v>303</v>
      </c>
      <c r="AD6" s="21" t="s">
        <v>257</v>
      </c>
      <c r="AE6" s="21" t="s">
        <v>304</v>
      </c>
      <c r="AF6" s="21" t="s">
        <v>305</v>
      </c>
      <c r="AG6" s="21" t="s">
        <v>306</v>
      </c>
      <c r="AH6" s="21" t="s">
        <v>307</v>
      </c>
      <c r="AI6" s="21"/>
      <c r="AJ6" s="21" t="s">
        <v>308</v>
      </c>
      <c r="AK6" s="29">
        <v>46026.0</v>
      </c>
      <c r="AL6" s="25" t="str">
        <f t="array" ref="AL6">IF(
                AG6 = "",
                "",
                       IF(
                           AG6 ="FOTOGRAFIA",
                           "LINK",
                           "https://www.appsheet.com/template/gettablefileurl?appName=MEDICIÓNDEESPESORES-924373673&amp;tableName=1_general&amp;fileName="&amp;AG6                         )
                          )</f>
        <v>https://www.appsheet.com/template/gettablefileurl?appName=MEDICIÓNDEESPESORES-924373673&amp;tableName=1_general&amp;fileName=1_general_Images/REPORT_SCAN20494428.firma.220252.png</v>
      </c>
      <c r="AM6" s="26"/>
      <c r="AN6" s="27" t="s">
        <v>309</v>
      </c>
      <c r="AO6" s="28" t="str">
        <f t="array" ref="AO6">IF(
                AM6 = "",
                "",
                       IF(
                           AM6 ="FOTOGRAFIA",
                           "LINK",
                           "https://www.appsheet.com/template/gettablefileurl?appName=MEDICIÓNDEESPESORES-924373673&amp;tableName=1_general&amp;fileName="&amp;AM6                         )
                          )</f>
        <v/>
      </c>
      <c r="AP6" s="21"/>
    </row>
    <row r="7" ht="14.25" customHeight="1">
      <c r="A7" s="21" t="s">
        <v>310</v>
      </c>
      <c r="D7" s="29">
        <v>46238.0</v>
      </c>
      <c r="AL7" s="30" t="str">
        <f t="array" ref="AL7">IF(
                AG7 = "",
                "",
                       IF(
                           AG7 ="FOTOGRAFIA",
                           "LINK",
                           "https://www.appsheet.com/template/gettablefileurl?appName=MEDICIÓNDEESPESORES-924373673&amp;tableName=1_general&amp;fileName="&amp;AG7                         )
                          )</f>
        <v/>
      </c>
      <c r="AM7" s="26"/>
      <c r="AN7" s="27" t="s">
        <v>311</v>
      </c>
      <c r="AO7" s="28" t="str">
        <f t="array" ref="AO7">IF(
                AM7 = "",
                "",
                       IF(
                           AM7 ="FOTOGRAFIA",
                           "LINK",
                           "https://www.appsheet.com/template/gettablefileurl?appName=MEDICIÓNDEESPESORES-924373673&amp;tableName=1_general&amp;fileName="&amp;AM7                         )
                          )</f>
        <v/>
      </c>
      <c r="AP7" s="21"/>
    </row>
    <row r="8" ht="14.25" customHeight="1">
      <c r="A8" s="21" t="s">
        <v>312</v>
      </c>
      <c r="B8" s="21" t="s">
        <v>218</v>
      </c>
      <c r="C8" s="21">
        <v>8.00008077E8</v>
      </c>
      <c r="D8" s="29">
        <v>46207.0</v>
      </c>
      <c r="E8" s="21">
        <v>2.7110455E7</v>
      </c>
      <c r="F8" s="23" t="s">
        <v>219</v>
      </c>
      <c r="G8" s="21" t="s">
        <v>281</v>
      </c>
      <c r="H8" s="21" t="s">
        <v>313</v>
      </c>
      <c r="I8" s="21" t="s">
        <v>314</v>
      </c>
      <c r="J8" s="21" t="s">
        <v>296</v>
      </c>
      <c r="K8" s="21" t="s">
        <v>250</v>
      </c>
      <c r="L8" s="21" t="s">
        <v>225</v>
      </c>
      <c r="M8" s="21" t="s">
        <v>226</v>
      </c>
      <c r="O8" s="21" t="s">
        <v>227</v>
      </c>
      <c r="P8" s="21" t="s">
        <v>315</v>
      </c>
      <c r="Q8" s="23" t="s">
        <v>316</v>
      </c>
      <c r="R8" s="21" t="s">
        <v>226</v>
      </c>
      <c r="S8" s="21" t="s">
        <v>226</v>
      </c>
      <c r="T8" s="21" t="s">
        <v>226</v>
      </c>
      <c r="U8" s="21" t="s">
        <v>270</v>
      </c>
      <c r="V8" s="21" t="s">
        <v>271</v>
      </c>
      <c r="W8" s="21" t="s">
        <v>232</v>
      </c>
      <c r="X8" s="23" t="s">
        <v>317</v>
      </c>
      <c r="Y8" s="21" t="s">
        <v>272</v>
      </c>
      <c r="Z8" s="21" t="s">
        <v>273</v>
      </c>
      <c r="AA8" s="21" t="s">
        <v>318</v>
      </c>
      <c r="AB8" s="21" t="s">
        <v>237</v>
      </c>
      <c r="AD8" s="21" t="s">
        <v>257</v>
      </c>
      <c r="AF8" s="23" t="s">
        <v>240</v>
      </c>
      <c r="AG8" s="21" t="s">
        <v>319</v>
      </c>
      <c r="AH8" s="21" t="s">
        <v>242</v>
      </c>
      <c r="AI8" s="21"/>
      <c r="AJ8" s="21" t="s">
        <v>243</v>
      </c>
      <c r="AK8" s="31">
        <v>46118.0</v>
      </c>
      <c r="AL8" s="25" t="str">
        <f t="array" ref="AL8">IF(
                AG8 = "",
                "",
                       IF(
                           AG8 ="FOTOGRAFIA",
                           "LINK",
                           "https://www.appsheet.com/template/gettablefileurl?appName=MEDICIÓNDEESPESORES-924373673&amp;tableName=1_general&amp;fileName="&amp;AG8                         )
                          )</f>
        <v>https://www.appsheet.com/template/gettablefileurl?appName=MEDICIÓNDEESPESORES-924373673&amp;tableName=1_general&amp;fileName=1_general_Images/REPORT_SCAN400b8f00.firma.190023.png</v>
      </c>
      <c r="AM8" s="26"/>
      <c r="AN8" s="27" t="s">
        <v>320</v>
      </c>
      <c r="AO8" s="28" t="str">
        <f t="array" ref="AO8">IF(
                AM8 = "",
                "",
                       IF(
                           AM8 ="FOTOGRAFIA",
                           "LINK",
                           "https://www.appsheet.com/template/gettablefileurl?appName=MEDICIÓNDEESPESORES-924373673&amp;tableName=1_general&amp;fileName="&amp;AM8                         )
                          )</f>
        <v/>
      </c>
      <c r="AP8" s="21"/>
    </row>
    <row r="9" ht="14.25" customHeight="1">
      <c r="A9" s="21" t="s">
        <v>321</v>
      </c>
      <c r="B9" s="21" t="s">
        <v>218</v>
      </c>
      <c r="C9" s="21">
        <v>8.00008077E8</v>
      </c>
      <c r="D9" s="31">
        <v>46121.0</v>
      </c>
      <c r="E9" s="21">
        <v>2.7110406E7</v>
      </c>
      <c r="F9" s="23" t="s">
        <v>219</v>
      </c>
      <c r="G9" s="21" t="s">
        <v>281</v>
      </c>
      <c r="H9" s="21" t="s">
        <v>322</v>
      </c>
      <c r="I9" s="21" t="s">
        <v>323</v>
      </c>
      <c r="J9" s="21" t="s">
        <v>296</v>
      </c>
      <c r="K9" s="21" t="s">
        <v>250</v>
      </c>
      <c r="L9" s="21" t="s">
        <v>225</v>
      </c>
      <c r="M9" s="21" t="s">
        <v>226</v>
      </c>
      <c r="P9" s="21" t="s">
        <v>227</v>
      </c>
      <c r="Q9" s="23" t="s">
        <v>316</v>
      </c>
      <c r="S9" s="21" t="s">
        <v>226</v>
      </c>
      <c r="T9" s="21" t="s">
        <v>324</v>
      </c>
      <c r="U9" s="21" t="s">
        <v>270</v>
      </c>
      <c r="V9" s="21" t="s">
        <v>271</v>
      </c>
      <c r="W9" s="21" t="s">
        <v>232</v>
      </c>
      <c r="X9" s="23" t="s">
        <v>325</v>
      </c>
      <c r="Y9" s="21" t="s">
        <v>272</v>
      </c>
      <c r="Z9" s="21" t="s">
        <v>273</v>
      </c>
      <c r="AA9" s="21" t="s">
        <v>326</v>
      </c>
      <c r="AB9" s="21" t="s">
        <v>302</v>
      </c>
      <c r="AC9" s="21" t="s">
        <v>303</v>
      </c>
      <c r="AD9" s="21" t="s">
        <v>257</v>
      </c>
      <c r="AE9" s="21" t="s">
        <v>327</v>
      </c>
      <c r="AF9" s="23" t="s">
        <v>240</v>
      </c>
      <c r="AG9" s="21" t="s">
        <v>319</v>
      </c>
      <c r="AH9" s="21" t="s">
        <v>242</v>
      </c>
      <c r="AI9" s="21"/>
      <c r="AJ9" s="21" t="s">
        <v>277</v>
      </c>
      <c r="AK9" s="31">
        <v>46121.0</v>
      </c>
      <c r="AL9" s="25" t="str">
        <f t="array" ref="AL9">IF(
                AG9 = "",
                "",
                       IF(
                           AG9 ="FOTOGRAFIA",
                           "LINK",
                           "https://www.appsheet.com/template/gettablefileurl?appName=MEDICIÓNDEESPESORES-924373673&amp;tableName=1_general&amp;fileName="&amp;AG9                         )
                          )</f>
        <v>https://www.appsheet.com/template/gettablefileurl?appName=MEDICIÓNDEESPESORES-924373673&amp;tableName=1_general&amp;fileName=1_general_Images/REPORT_SCAN400b8f00.firma.190023.png</v>
      </c>
      <c r="AM9" s="26"/>
      <c r="AN9" s="27" t="s">
        <v>328</v>
      </c>
      <c r="AO9" s="28" t="str">
        <f t="array" ref="AO9">IF(
                AM9 = "",
                "",
                       IF(
                           AM9 ="FOTOGRAFIA",
                           "LINK",
                           "https://www.appsheet.com/template/gettablefileurl?appName=MEDICIÓNDEESPESORES-924373673&amp;tableName=1_general&amp;fileName="&amp;AM9                         )
                          )</f>
        <v/>
      </c>
      <c r="AP9" s="21"/>
    </row>
    <row r="10" ht="14.25" customHeight="1">
      <c r="A10" s="32" t="s">
        <v>329</v>
      </c>
      <c r="B10" s="32" t="s">
        <v>218</v>
      </c>
      <c r="C10" s="32">
        <v>8.00008077E8</v>
      </c>
      <c r="D10" s="33">
        <v>46122.0</v>
      </c>
      <c r="E10" s="32">
        <v>2.7110411E7</v>
      </c>
      <c r="F10" s="34" t="s">
        <v>246</v>
      </c>
      <c r="G10" s="32" t="s">
        <v>330</v>
      </c>
      <c r="H10" s="32" t="s">
        <v>331</v>
      </c>
      <c r="I10" s="32" t="s">
        <v>323</v>
      </c>
      <c r="J10" s="32" t="s">
        <v>332</v>
      </c>
      <c r="K10" s="32" t="s">
        <v>333</v>
      </c>
      <c r="L10" s="32" t="s">
        <v>225</v>
      </c>
      <c r="M10" s="32" t="s">
        <v>226</v>
      </c>
      <c r="N10" s="35"/>
      <c r="O10" s="32" t="s">
        <v>227</v>
      </c>
      <c r="P10" s="32" t="s">
        <v>227</v>
      </c>
      <c r="Q10" s="34" t="s">
        <v>316</v>
      </c>
      <c r="R10" s="35"/>
      <c r="S10" s="32" t="s">
        <v>226</v>
      </c>
      <c r="T10" s="32" t="s">
        <v>324</v>
      </c>
      <c r="U10" s="32" t="s">
        <v>270</v>
      </c>
      <c r="V10" s="32" t="s">
        <v>271</v>
      </c>
      <c r="W10" s="32" t="s">
        <v>232</v>
      </c>
      <c r="X10" s="34" t="s">
        <v>334</v>
      </c>
      <c r="Y10" s="32" t="s">
        <v>335</v>
      </c>
      <c r="Z10" s="32" t="s">
        <v>273</v>
      </c>
      <c r="AA10" s="32" t="s">
        <v>336</v>
      </c>
      <c r="AB10" s="32" t="s">
        <v>337</v>
      </c>
      <c r="AC10" s="32" t="s">
        <v>303</v>
      </c>
      <c r="AD10" s="32" t="s">
        <v>257</v>
      </c>
      <c r="AE10" s="32" t="s">
        <v>332</v>
      </c>
      <c r="AF10" s="34" t="s">
        <v>240</v>
      </c>
      <c r="AG10" s="32" t="s">
        <v>338</v>
      </c>
      <c r="AH10" s="32" t="s">
        <v>242</v>
      </c>
      <c r="AI10" s="32"/>
      <c r="AJ10" s="32" t="s">
        <v>277</v>
      </c>
      <c r="AK10" s="33">
        <v>46122.0</v>
      </c>
      <c r="AL10" s="36" t="str">
        <f t="array" ref="AL10">IF(
                AG10 = "",
                "",
                       IF(
                           AG10 ="FOTOGRAFIA",
                           "LINK",
                           "https://www.appsheet.com/template/gettablefileurl?appName=MEDICIÓNDEESPESORES-924373673&amp;tableName=1_general&amp;fileName="&amp;AG10                         )
                          )</f>
        <v>https://www.appsheet.com/template/gettablefileurl?appName=MEDICIÓNDEESPESORES-924373673&amp;tableName=1_general&amp;fileName=1_general_Images/REPORT_SCAN5947b5f6.firma.133728.png</v>
      </c>
      <c r="AM10" s="37"/>
      <c r="AN10" s="38" t="s">
        <v>339</v>
      </c>
      <c r="AO10" s="39" t="str">
        <f t="array" ref="AO10">IF(
                AM10 = "",
                "",
                       IF(
                           AM10 ="FOTOGRAFIA",
                           "LINK",
                           "https://www.appsheet.com/template/gettablefileurl?appName=MEDICIÓNDEESPESORES-924373673&amp;tableName=1_general&amp;fileName="&amp;AM10                         )
                          )</f>
        <v/>
      </c>
      <c r="AP10" s="32"/>
    </row>
    <row r="11" ht="14.25" customHeight="1">
      <c r="A11" s="21" t="s">
        <v>340</v>
      </c>
      <c r="B11" s="21"/>
      <c r="C11" s="21"/>
      <c r="D11" s="31"/>
      <c r="G11" s="21"/>
      <c r="I11" s="21" t="s">
        <v>341</v>
      </c>
      <c r="K11" s="21"/>
      <c r="L11" s="21"/>
      <c r="M11" s="21"/>
      <c r="N11" s="21"/>
      <c r="O11" s="21"/>
      <c r="P11" s="21"/>
      <c r="S11" s="21"/>
      <c r="T11" s="21"/>
      <c r="U11" s="21"/>
      <c r="V11" s="21"/>
      <c r="W11" s="21"/>
      <c r="X11" s="21"/>
      <c r="Y11" s="21"/>
      <c r="Z11" s="21"/>
      <c r="AA11" s="21"/>
      <c r="AB11" s="21"/>
      <c r="AC11" s="21"/>
      <c r="AE11" s="21"/>
      <c r="AF11" s="21"/>
      <c r="AG11" s="21"/>
      <c r="AH11" s="21"/>
      <c r="AI11" s="21"/>
      <c r="AJ11" s="21"/>
      <c r="AK11" s="31"/>
      <c r="AL11" s="30" t="str">
        <f t="array" ref="AL11">IF(
                AG11 = "",
                "",
                       IF(
                           AG11 ="FOTOGRAFIA",
                           "LINK",
                           "https://www.appsheet.com/template/gettablefileurl?appName=MEDICIÓNDEESPESORES-924373673&amp;tableName=1_general&amp;fileName="&amp;AG11                         )
                          )</f>
        <v/>
      </c>
      <c r="AM11" s="26"/>
      <c r="AN11" s="27" t="s">
        <v>342</v>
      </c>
      <c r="AO11" s="28" t="str">
        <f t="array" ref="AO11">IF(
                AM11 = "",
                "",
                       IF(
                           AM11 ="FOTOGRAFIA",
                           "LINK",
                           "https://www.appsheet.com/template/gettablefileurl?appName=MEDICIÓNDEESPESORES-924373673&amp;tableName=1_general&amp;fileName="&amp;AM11                         )
                          )</f>
        <v/>
      </c>
      <c r="AP11" s="21"/>
    </row>
    <row r="12" ht="14.25" customHeight="1">
      <c r="A12" s="21" t="s">
        <v>343</v>
      </c>
      <c r="B12" s="21" t="s">
        <v>344</v>
      </c>
      <c r="C12" s="21">
        <v>2476.0</v>
      </c>
      <c r="D12" s="31">
        <v>46130.0</v>
      </c>
      <c r="F12" s="23" t="s">
        <v>292</v>
      </c>
      <c r="G12" s="21" t="s">
        <v>345</v>
      </c>
      <c r="H12" s="21" t="s">
        <v>346</v>
      </c>
      <c r="I12" s="21" t="s">
        <v>347</v>
      </c>
      <c r="K12" s="21" t="s">
        <v>348</v>
      </c>
      <c r="M12" s="21" t="s">
        <v>303</v>
      </c>
      <c r="N12" s="21">
        <v>40.0</v>
      </c>
      <c r="O12" s="21" t="s">
        <v>349</v>
      </c>
      <c r="P12" s="21" t="s">
        <v>350</v>
      </c>
      <c r="Q12" s="23" t="s">
        <v>351</v>
      </c>
      <c r="S12" s="23" t="s">
        <v>352</v>
      </c>
      <c r="T12" s="21" t="s">
        <v>324</v>
      </c>
      <c r="U12" s="21" t="s">
        <v>270</v>
      </c>
      <c r="V12" s="21" t="s">
        <v>271</v>
      </c>
      <c r="W12" s="21" t="s">
        <v>353</v>
      </c>
      <c r="X12" s="23" t="s">
        <v>354</v>
      </c>
      <c r="Y12" s="21" t="s">
        <v>355</v>
      </c>
      <c r="Z12" s="21" t="s">
        <v>356</v>
      </c>
      <c r="AA12" s="23" t="s">
        <v>357</v>
      </c>
      <c r="AB12" s="21" t="s">
        <v>358</v>
      </c>
      <c r="AC12" s="21" t="s">
        <v>303</v>
      </c>
      <c r="AE12" s="21" t="s">
        <v>359</v>
      </c>
      <c r="AF12" s="23" t="s">
        <v>240</v>
      </c>
      <c r="AG12" s="21" t="s">
        <v>360</v>
      </c>
      <c r="AH12" s="21" t="s">
        <v>361</v>
      </c>
      <c r="AI12" s="21"/>
      <c r="AJ12" s="21" t="s">
        <v>362</v>
      </c>
      <c r="AK12" s="31">
        <v>46130.0</v>
      </c>
      <c r="AL12" s="25" t="str">
        <f t="array" ref="AL12">IF(
                AG12 = "",
                "",
                       IF(
                           AG12 ="FOTOGRAFIA",
                           "LINK",
                           "https://www.appsheet.com/template/gettablefileurl?appName=MEDICIÓNDEESPESORES-924373673&amp;tableName=1_general&amp;fileName="&amp;AG12                         )
                          )</f>
        <v>https://www.appsheet.com/template/gettablefileurl?appName=MEDICIÓNDEESPESORES-924373673&amp;tableName=1_general&amp;fileName=1_general_Images/REPORT_SCANedf05d2a.firma.155313.png</v>
      </c>
      <c r="AM12" s="26"/>
      <c r="AN12" s="40" t="s">
        <v>363</v>
      </c>
      <c r="AO12" s="28" t="str">
        <f t="array" ref="AO12">IF(
                AM12 = "",
                "",
                       IF(
                           AM12 ="FOTOGRAFIA",
                           "LINK",
                           "https://www.appsheet.com/template/gettablefileurl?appName=MEDICIÓNDEESPESORES-924373673&amp;tableName=1_general&amp;fileName="&amp;AM12                         )
                          )</f>
        <v/>
      </c>
      <c r="AP12" s="21" t="s">
        <v>364</v>
      </c>
    </row>
    <row r="13" ht="14.25" customHeight="1">
      <c r="A13" s="21" t="s">
        <v>365</v>
      </c>
      <c r="B13" s="21" t="s">
        <v>218</v>
      </c>
      <c r="C13" s="23" t="s">
        <v>366</v>
      </c>
      <c r="D13" s="31">
        <v>46135.0</v>
      </c>
      <c r="E13" s="21">
        <v>2.7110457E7</v>
      </c>
      <c r="F13" s="23" t="s">
        <v>219</v>
      </c>
      <c r="G13" s="21" t="s">
        <v>367</v>
      </c>
      <c r="H13" s="21" t="s">
        <v>368</v>
      </c>
      <c r="I13" s="21" t="s">
        <v>369</v>
      </c>
      <c r="J13" s="21" t="s">
        <v>370</v>
      </c>
      <c r="K13" s="21" t="s">
        <v>371</v>
      </c>
      <c r="L13" s="21" t="s">
        <v>372</v>
      </c>
      <c r="M13" s="21" t="s">
        <v>373</v>
      </c>
      <c r="N13" s="21">
        <v>28.0</v>
      </c>
      <c r="O13" s="21" t="s">
        <v>349</v>
      </c>
      <c r="P13" s="21" t="s">
        <v>227</v>
      </c>
      <c r="Q13" s="23" t="s">
        <v>316</v>
      </c>
      <c r="R13" s="21">
        <v>2200.0</v>
      </c>
      <c r="S13" s="23" t="s">
        <v>316</v>
      </c>
      <c r="T13" s="21" t="s">
        <v>374</v>
      </c>
      <c r="U13" s="21" t="s">
        <v>375</v>
      </c>
      <c r="V13" s="21" t="s">
        <v>376</v>
      </c>
      <c r="W13" s="23" t="s">
        <v>377</v>
      </c>
      <c r="X13" s="23" t="s">
        <v>378</v>
      </c>
      <c r="Y13" s="21" t="s">
        <v>379</v>
      </c>
      <c r="Z13" s="21" t="s">
        <v>380</v>
      </c>
      <c r="AA13" s="21" t="s">
        <v>381</v>
      </c>
      <c r="AB13" s="21" t="s">
        <v>382</v>
      </c>
      <c r="AC13" s="21" t="s">
        <v>373</v>
      </c>
      <c r="AD13" s="21" t="s">
        <v>383</v>
      </c>
      <c r="AE13" s="21" t="s">
        <v>384</v>
      </c>
      <c r="AF13" s="21" t="s">
        <v>385</v>
      </c>
      <c r="AG13" s="21" t="s">
        <v>386</v>
      </c>
      <c r="AH13" s="21" t="s">
        <v>387</v>
      </c>
      <c r="AI13" s="21"/>
      <c r="AJ13" s="21" t="s">
        <v>388</v>
      </c>
      <c r="AK13" s="31">
        <v>46135.0</v>
      </c>
      <c r="AL13" s="25" t="str">
        <f t="array" ref="AL13">IF(
                AG13 = "",
                "",
                       IF(
                           AG13 ="FOTOGRAFIA",
                           "LINK",
                           "https://www.appsheet.com/template/gettablefileurl?appName=MEDICIÓNDEESPESORES-924373673&amp;tableName=1_general&amp;fileName="&amp;AG13                         )
                          )</f>
        <v>https://www.appsheet.com/template/gettablefileurl?appName=MEDICIÓNDEESPESORES-924373673&amp;tableName=1_general&amp;fileName=1_general_Images/REPORT_SCAN29e62d04.firma.160357.png</v>
      </c>
      <c r="AM13" s="26"/>
      <c r="AN13" s="27" t="s">
        <v>389</v>
      </c>
      <c r="AO13" s="28" t="str">
        <f t="array" ref="AO13">IF(
                AM13 = "",
                "",
                       IF(
                           AM13 ="FOTOGRAFIA",
                           "LINK",
                           "https://www.appsheet.com/template/gettablefileurl?appName=MEDICIÓNDEESPESORES-924373673&amp;tableName=1_general&amp;fileName="&amp;AM13                         )
                          )</f>
        <v/>
      </c>
      <c r="AP13" s="21"/>
    </row>
    <row r="14" ht="14.25" customHeight="1">
      <c r="A14" s="21" t="s">
        <v>390</v>
      </c>
      <c r="B14" s="21" t="s">
        <v>344</v>
      </c>
      <c r="C14" s="23" t="s">
        <v>391</v>
      </c>
      <c r="D14" s="31">
        <v>46138.0</v>
      </c>
      <c r="E14" s="21">
        <v>1.000322738E9</v>
      </c>
      <c r="F14" s="23" t="s">
        <v>357</v>
      </c>
      <c r="H14" s="21" t="s">
        <v>346</v>
      </c>
      <c r="I14" s="21" t="s">
        <v>392</v>
      </c>
      <c r="K14" s="21" t="s">
        <v>393</v>
      </c>
      <c r="M14" s="21" t="s">
        <v>303</v>
      </c>
      <c r="N14" s="21">
        <v>40.0</v>
      </c>
      <c r="O14" s="21" t="s">
        <v>349</v>
      </c>
      <c r="P14" s="21" t="s">
        <v>350</v>
      </c>
      <c r="Q14" s="23" t="s">
        <v>351</v>
      </c>
      <c r="R14" s="21">
        <v>80.0</v>
      </c>
      <c r="T14" s="21" t="s">
        <v>324</v>
      </c>
      <c r="U14" s="21" t="s">
        <v>270</v>
      </c>
      <c r="V14" s="21" t="s">
        <v>231</v>
      </c>
      <c r="W14" s="21" t="s">
        <v>353</v>
      </c>
      <c r="X14" s="23" t="s">
        <v>394</v>
      </c>
      <c r="Y14" s="21" t="s">
        <v>355</v>
      </c>
      <c r="Z14" s="21" t="s">
        <v>356</v>
      </c>
      <c r="AA14" s="23" t="s">
        <v>357</v>
      </c>
      <c r="AB14" s="21" t="s">
        <v>358</v>
      </c>
      <c r="AC14" s="21" t="s">
        <v>303</v>
      </c>
      <c r="AE14" s="21" t="s">
        <v>359</v>
      </c>
      <c r="AF14" s="23" t="s">
        <v>395</v>
      </c>
      <c r="AG14" s="21" t="s">
        <v>396</v>
      </c>
      <c r="AH14" s="21" t="s">
        <v>361</v>
      </c>
      <c r="AI14" s="21"/>
      <c r="AJ14" s="21" t="s">
        <v>362</v>
      </c>
      <c r="AK14" s="31">
        <v>46138.0</v>
      </c>
      <c r="AL14" s="25" t="str">
        <f t="array" ref="AL14">IF(
                AG14 = "",
                "",
                       IF(
                           AG14 ="FOTOGRAFIA",
                           "LINK",
                           "https://www.appsheet.com/template/gettablefileurl?appName=MEDICIÓNDEESPESORES-924373673&amp;tableName=1_general&amp;fileName="&amp;AG14                         )
                          )</f>
        <v>https://www.appsheet.com/template/gettablefileurl?appName=MEDICIÓNDEESPESORES-924373673&amp;tableName=1_general&amp;fileName=1_general_Images/REPORT_SCAN33e90de1.firma.201054.png</v>
      </c>
      <c r="AM14" s="26"/>
      <c r="AN14" s="41" t="s">
        <v>397</v>
      </c>
      <c r="AO14" s="28" t="str">
        <f t="array" ref="AO14">IF(
                AM14 = "",
                "",
                       IF(
                           AM14 ="FOTOGRAFIA",
                           "LINK",
                           "https://www.appsheet.com/template/gettablefileurl?appName=MEDICIÓNDEESPESORES-924373673&amp;tableName=1_general&amp;fileName="&amp;AM14                         )
                          )</f>
        <v/>
      </c>
      <c r="AP14" s="21"/>
    </row>
    <row r="15" ht="14.25" customHeight="1">
      <c r="A15" s="21" t="s">
        <v>398</v>
      </c>
      <c r="B15" s="21" t="s">
        <v>344</v>
      </c>
      <c r="C15" s="23" t="s">
        <v>391</v>
      </c>
      <c r="D15" s="31">
        <v>46138.0</v>
      </c>
      <c r="F15" s="23" t="s">
        <v>399</v>
      </c>
      <c r="H15" s="21" t="s">
        <v>346</v>
      </c>
      <c r="I15" s="21" t="s">
        <v>400</v>
      </c>
      <c r="K15" s="21" t="s">
        <v>348</v>
      </c>
      <c r="M15" s="21" t="s">
        <v>303</v>
      </c>
      <c r="N15" s="21">
        <v>40.0</v>
      </c>
      <c r="O15" s="21" t="s">
        <v>349</v>
      </c>
      <c r="P15" s="21" t="s">
        <v>350</v>
      </c>
      <c r="Q15" s="23" t="s">
        <v>351</v>
      </c>
      <c r="R15" s="21">
        <v>80.0</v>
      </c>
      <c r="T15" s="21" t="s">
        <v>324</v>
      </c>
      <c r="U15" s="21" t="s">
        <v>270</v>
      </c>
      <c r="V15" s="21" t="s">
        <v>271</v>
      </c>
      <c r="W15" s="21" t="s">
        <v>401</v>
      </c>
      <c r="X15" s="23" t="s">
        <v>394</v>
      </c>
      <c r="Y15" s="21" t="s">
        <v>355</v>
      </c>
      <c r="Z15" s="21" t="s">
        <v>356</v>
      </c>
      <c r="AA15" s="23" t="s">
        <v>357</v>
      </c>
      <c r="AB15" s="21" t="s">
        <v>358</v>
      </c>
      <c r="AC15" s="21" t="s">
        <v>303</v>
      </c>
      <c r="AD15" s="21" t="s">
        <v>359</v>
      </c>
      <c r="AF15" s="23" t="s">
        <v>240</v>
      </c>
      <c r="AG15" s="21" t="s">
        <v>402</v>
      </c>
      <c r="AH15" s="21" t="s">
        <v>361</v>
      </c>
      <c r="AI15" s="21"/>
      <c r="AJ15" s="21" t="s">
        <v>362</v>
      </c>
      <c r="AK15" s="31">
        <v>46138.0</v>
      </c>
      <c r="AL15" s="25" t="str">
        <f t="array" ref="AL15">IF(
                AG15 = "",
                "",
                       IF(
                           AG15 ="FOTOGRAFIA",
                           "LINK",
                           "https://www.appsheet.com/template/gettablefileurl?appName=MEDICIÓNDEESPESORES-924373673&amp;tableName=1_general&amp;fileName="&amp;AG15                         )
                          )</f>
        <v>https://www.appsheet.com/template/gettablefileurl?appName=MEDICIÓNDEESPESORES-924373673&amp;tableName=1_general&amp;fileName=1_general_Images/REPORT_SCAN32dec6f8.firma.213600.png</v>
      </c>
      <c r="AM15" s="26"/>
      <c r="AN15" s="40" t="s">
        <v>403</v>
      </c>
      <c r="AO15" s="28" t="str">
        <f t="array" ref="AO15">IF(
                AM15 = "",
                "",
                       IF(
                           AM15 ="FOTOGRAFIA",
                           "LINK",
                           "https://www.appsheet.com/template/gettablefileurl?appName=MEDICIÓNDEESPESORES-924373673&amp;tableName=1_general&amp;fileName="&amp;AM15                         )
                          )</f>
        <v/>
      </c>
      <c r="AP15" s="21" t="s">
        <v>364</v>
      </c>
    </row>
    <row r="16" ht="14.25" customHeight="1">
      <c r="A16" s="21" t="s">
        <v>404</v>
      </c>
      <c r="B16" s="21" t="s">
        <v>344</v>
      </c>
      <c r="C16" s="23" t="s">
        <v>391</v>
      </c>
      <c r="D16" s="31">
        <v>46138.0</v>
      </c>
      <c r="F16" s="23" t="s">
        <v>405</v>
      </c>
      <c r="H16" s="21" t="s">
        <v>346</v>
      </c>
      <c r="I16" s="21" t="s">
        <v>406</v>
      </c>
      <c r="K16" s="21" t="s">
        <v>348</v>
      </c>
      <c r="M16" s="21" t="s">
        <v>303</v>
      </c>
      <c r="O16" s="21" t="s">
        <v>349</v>
      </c>
      <c r="P16" s="21" t="s">
        <v>350</v>
      </c>
      <c r="Q16" s="23" t="s">
        <v>351</v>
      </c>
      <c r="R16" s="21">
        <v>80.0</v>
      </c>
      <c r="T16" s="21" t="s">
        <v>324</v>
      </c>
      <c r="U16" s="21" t="s">
        <v>270</v>
      </c>
      <c r="V16" s="21" t="s">
        <v>231</v>
      </c>
      <c r="W16" s="21" t="s">
        <v>353</v>
      </c>
      <c r="X16" s="23" t="s">
        <v>407</v>
      </c>
      <c r="Y16" s="21" t="s">
        <v>355</v>
      </c>
      <c r="Z16" s="21" t="s">
        <v>356</v>
      </c>
      <c r="AA16" s="23" t="s">
        <v>357</v>
      </c>
      <c r="AB16" s="21" t="s">
        <v>408</v>
      </c>
      <c r="AC16" s="21" t="s">
        <v>303</v>
      </c>
      <c r="AE16" s="21" t="s">
        <v>359</v>
      </c>
      <c r="AF16" s="23" t="s">
        <v>395</v>
      </c>
      <c r="AG16" s="21" t="s">
        <v>409</v>
      </c>
      <c r="AH16" s="21" t="s">
        <v>361</v>
      </c>
      <c r="AI16" s="21"/>
      <c r="AJ16" s="21" t="s">
        <v>362</v>
      </c>
      <c r="AK16" s="31">
        <v>46138.0</v>
      </c>
      <c r="AL16" s="25" t="str">
        <f t="array" ref="AL16">IF(
                AG16 = "",
                "",
                       IF(
                           AG16 ="FOTOGRAFIA",
                           "LINK",
                           "https://www.appsheet.com/template/gettablefileurl?appName=MEDICIÓNDEESPESORES-924373673&amp;tableName=1_general&amp;fileName="&amp;AG16                         )
                          )</f>
        <v>https://www.appsheet.com/template/gettablefileurl?appName=MEDICIÓNDEESPESORES-924373673&amp;tableName=1_general&amp;fileName=1_general_Images/REPORT_SCAN5806bcd5.firma.044441.png</v>
      </c>
      <c r="AM16" s="26"/>
      <c r="AN16" s="27" t="s">
        <v>410</v>
      </c>
      <c r="AO16" s="28" t="str">
        <f t="array" ref="AO16">IF(
                AM16 = "",
                "",
                       IF(
                           AM16 ="FOTOGRAFIA",
                           "LINK",
                           "https://www.appsheet.com/template/gettablefileurl?appName=MEDICIÓNDEESPESORES-924373673&amp;tableName=1_general&amp;fileName="&amp;AM16                         )
                          )</f>
        <v/>
      </c>
      <c r="AP16" s="21" t="s">
        <v>364</v>
      </c>
    </row>
    <row r="17" ht="14.25" customHeight="1">
      <c r="A17" s="21" t="s">
        <v>411</v>
      </c>
      <c r="B17" s="21" t="s">
        <v>344</v>
      </c>
      <c r="C17" s="23" t="s">
        <v>412</v>
      </c>
      <c r="D17" s="31">
        <v>46139.0</v>
      </c>
      <c r="E17" s="21">
        <v>1.000322738E9</v>
      </c>
      <c r="F17" s="23" t="s">
        <v>292</v>
      </c>
      <c r="G17" s="21" t="s">
        <v>413</v>
      </c>
      <c r="H17" s="21" t="s">
        <v>414</v>
      </c>
      <c r="I17" s="21" t="s">
        <v>415</v>
      </c>
      <c r="K17" s="21" t="s">
        <v>416</v>
      </c>
      <c r="M17" s="21" t="s">
        <v>417</v>
      </c>
      <c r="N17" s="21">
        <v>40.0</v>
      </c>
      <c r="P17" s="21"/>
      <c r="T17" s="21" t="s">
        <v>324</v>
      </c>
      <c r="U17" s="21" t="s">
        <v>270</v>
      </c>
      <c r="V17" s="21" t="s">
        <v>271</v>
      </c>
      <c r="W17" s="21" t="s">
        <v>418</v>
      </c>
      <c r="X17" s="23" t="s">
        <v>419</v>
      </c>
      <c r="Y17" s="21" t="s">
        <v>355</v>
      </c>
      <c r="Z17" s="21" t="s">
        <v>420</v>
      </c>
      <c r="AA17" s="23" t="s">
        <v>421</v>
      </c>
      <c r="AC17" s="21" t="s">
        <v>417</v>
      </c>
      <c r="AD17" s="21" t="s">
        <v>237</v>
      </c>
      <c r="AE17" s="21" t="s">
        <v>422</v>
      </c>
      <c r="AF17" s="23" t="s">
        <v>423</v>
      </c>
      <c r="AG17" s="21" t="s">
        <v>424</v>
      </c>
      <c r="AH17" s="21" t="s">
        <v>425</v>
      </c>
      <c r="AI17" s="21"/>
      <c r="AJ17" s="21" t="s">
        <v>426</v>
      </c>
      <c r="AK17" s="31">
        <v>46139.0</v>
      </c>
      <c r="AL17" s="25" t="str">
        <f t="array" ref="AL17">IF(
                AG17 = "",
                "",
                       IF(
                           AG17 ="FOTOGRAFIA",
                           "LINK",
                           "https://www.appsheet.com/template/gettablefileurl?appName=MEDICIÓNDEESPESORES-924373673&amp;tableName=1_general&amp;fileName="&amp;AG17                         )
                          )</f>
        <v>https://www.appsheet.com/template/gettablefileurl?appName=MEDICIÓNDEESPESORES-924373673&amp;tableName=1_general&amp;fileName=1_general_Images/REPORT_SCANc2865929.firma.025340.png</v>
      </c>
      <c r="AM17" s="28" t="s">
        <v>427</v>
      </c>
      <c r="AN17" s="26"/>
      <c r="AO17" s="27" t="str">
        <f t="array" ref="AO17">IF(
                AM17 = "",
                "",
                       IF(
                           AM17 ="FOTOGRAFIA",
                           "LINK",
                           "https://www.appsheet.com/template/gettablefileurl?appName=MEDICIÓNDEESPESORES-924373673&amp;tableName=1_general&amp;fileName="&amp;AM17                         )
                          )</f>
        <v>https://www.appsheet.com/template/gettablefileurl?appName=MEDICIÓNDEESPESORES-924373673&amp;tableName=1_general&amp;fileName=1_general_Files_/REPORT_SCANc2865929.lectura.025340.xls</v>
      </c>
      <c r="AP17" s="21" t="s">
        <v>428</v>
      </c>
    </row>
    <row r="18" ht="14.25" customHeight="1">
      <c r="A18" s="21" t="s">
        <v>429</v>
      </c>
      <c r="B18" s="21" t="s">
        <v>344</v>
      </c>
      <c r="C18" s="23" t="s">
        <v>412</v>
      </c>
      <c r="D18" s="31">
        <v>46139.0</v>
      </c>
      <c r="E18" s="21">
        <v>1.000322738E9</v>
      </c>
      <c r="F18" s="23" t="s">
        <v>399</v>
      </c>
      <c r="G18" s="21" t="s">
        <v>413</v>
      </c>
      <c r="H18" s="21" t="s">
        <v>430</v>
      </c>
      <c r="I18" s="21" t="s">
        <v>431</v>
      </c>
      <c r="K18" s="21" t="s">
        <v>416</v>
      </c>
      <c r="M18" s="21" t="s">
        <v>417</v>
      </c>
      <c r="N18" s="21">
        <v>40.0</v>
      </c>
      <c r="T18" s="21" t="s">
        <v>324</v>
      </c>
      <c r="U18" s="21" t="s">
        <v>270</v>
      </c>
      <c r="V18" s="21" t="s">
        <v>271</v>
      </c>
      <c r="W18" s="21" t="s">
        <v>418</v>
      </c>
      <c r="X18" s="23" t="s">
        <v>419</v>
      </c>
      <c r="Y18" s="21" t="s">
        <v>355</v>
      </c>
      <c r="Z18" s="21" t="s">
        <v>432</v>
      </c>
      <c r="AA18" s="23" t="s">
        <v>433</v>
      </c>
      <c r="AC18" s="21" t="s">
        <v>434</v>
      </c>
      <c r="AE18" s="21" t="s">
        <v>435</v>
      </c>
      <c r="AF18" s="23" t="s">
        <v>423</v>
      </c>
      <c r="AG18" s="21" t="s">
        <v>436</v>
      </c>
      <c r="AH18" s="21" t="s">
        <v>425</v>
      </c>
      <c r="AI18" s="21"/>
      <c r="AJ18" s="21" t="s">
        <v>426</v>
      </c>
      <c r="AK18" s="31">
        <v>46139.0</v>
      </c>
      <c r="AL18" s="25" t="str">
        <f t="array" ref="AL18">IF(
                AG18 = "",
                "",
                       IF(
                           AG18 ="FOTOGRAFIA",
                           "LINK",
                           "https://www.appsheet.com/template/gettablefileurl?appName=MEDICIÓNDEESPESORES-924373673&amp;tableName=1_general&amp;fileName="&amp;AG18                         )
                          )</f>
        <v>https://www.appsheet.com/template/gettablefileurl?appName=MEDICIÓNDEESPESORES-924373673&amp;tableName=1_general&amp;fileName=1_general_Images/REPORT_SCAN8c059f5e.firma.025849.png</v>
      </c>
      <c r="AM18" s="28" t="s">
        <v>437</v>
      </c>
      <c r="AN18" s="26"/>
      <c r="AO18" s="27" t="str">
        <f t="array" ref="AO18">IF(
                AM18 = "",
                "",
                       IF(
                           AM18 ="FOTOGRAFIA",
                           "LINK",
                           "https://www.appsheet.com/template/gettablefileurl?appName=MEDICIÓNDEESPESORES-924373673&amp;tableName=1_general&amp;fileName="&amp;AM18                         )
                          )</f>
        <v>https://www.appsheet.com/template/gettablefileurl?appName=MEDICIÓNDEESPESORES-924373673&amp;tableName=1_general&amp;fileName=1_general_Files_/REPORT_SCAN8c059f5e.lectura.025849.xls</v>
      </c>
      <c r="AP18" s="21" t="s">
        <v>428</v>
      </c>
    </row>
    <row r="19" ht="14.25" customHeight="1">
      <c r="A19" s="21" t="s">
        <v>438</v>
      </c>
      <c r="B19" s="21" t="s">
        <v>344</v>
      </c>
      <c r="C19" s="23" t="s">
        <v>412</v>
      </c>
      <c r="D19" s="31">
        <v>46139.0</v>
      </c>
      <c r="E19" s="21">
        <v>1.000322738E9</v>
      </c>
      <c r="F19" s="23" t="s">
        <v>405</v>
      </c>
      <c r="G19" s="21" t="s">
        <v>413</v>
      </c>
      <c r="H19" s="21" t="s">
        <v>430</v>
      </c>
      <c r="I19" s="21" t="s">
        <v>439</v>
      </c>
      <c r="K19" s="21" t="s">
        <v>416</v>
      </c>
      <c r="M19" s="21" t="s">
        <v>417</v>
      </c>
      <c r="N19" s="21">
        <v>40.0</v>
      </c>
      <c r="T19" s="21" t="s">
        <v>324</v>
      </c>
      <c r="U19" s="21" t="s">
        <v>270</v>
      </c>
      <c r="V19" s="21" t="s">
        <v>271</v>
      </c>
      <c r="W19" s="21" t="s">
        <v>418</v>
      </c>
      <c r="X19" s="23" t="s">
        <v>419</v>
      </c>
      <c r="Y19" s="21" t="s">
        <v>355</v>
      </c>
      <c r="Z19" s="21" t="s">
        <v>432</v>
      </c>
      <c r="AA19" s="23" t="s">
        <v>433</v>
      </c>
      <c r="AC19" s="21" t="s">
        <v>417</v>
      </c>
      <c r="AE19" s="21" t="s">
        <v>422</v>
      </c>
      <c r="AF19" s="23" t="s">
        <v>423</v>
      </c>
      <c r="AG19" s="21" t="s">
        <v>440</v>
      </c>
      <c r="AH19" s="21" t="s">
        <v>425</v>
      </c>
      <c r="AI19" s="21"/>
      <c r="AJ19" s="21" t="s">
        <v>426</v>
      </c>
      <c r="AK19" s="31">
        <v>46139.0</v>
      </c>
      <c r="AL19" s="25" t="str">
        <f t="array" ref="AL19">IF(
                AG19 = "",
                "",
                       IF(
                           AG19 ="FOTOGRAFIA",
                           "LINK",
                           "https://www.appsheet.com/template/gettablefileurl?appName=MEDICIÓNDEESPESORES-924373673&amp;tableName=1_general&amp;fileName="&amp;AG19                         )
                          )</f>
        <v>https://www.appsheet.com/template/gettablefileurl?appName=MEDICIÓNDEESPESORES-924373673&amp;tableName=1_general&amp;fileName=1_general_Images/REPORT_SCANc9d26dcc.firma.030123.png</v>
      </c>
      <c r="AM19" s="28" t="s">
        <v>441</v>
      </c>
      <c r="AN19" s="26"/>
      <c r="AO19" s="27" t="str">
        <f t="array" ref="AO19">IF(
                AM19 = "",
                "",
                       IF(
                           AM19 ="FOTOGRAFIA",
                           "LINK",
                           "https://www.appsheet.com/template/gettablefileurl?appName=MEDICIÓNDEESPESORES-924373673&amp;tableName=1_general&amp;fileName="&amp;AM19                         )
                          )</f>
        <v>https://www.appsheet.com/template/gettablefileurl?appName=MEDICIÓNDEESPESORES-924373673&amp;tableName=1_general&amp;fileName=1_general_Files_/REPORT_SCANc9d26dcc.lectura.030123.xls</v>
      </c>
      <c r="AP19" s="21" t="s">
        <v>428</v>
      </c>
    </row>
    <row r="20" ht="14.25" customHeight="1">
      <c r="A20" s="21" t="s">
        <v>442</v>
      </c>
      <c r="B20" s="21" t="s">
        <v>344</v>
      </c>
      <c r="C20" s="23" t="s">
        <v>391</v>
      </c>
      <c r="D20" s="31">
        <v>46137.0</v>
      </c>
      <c r="E20" s="21">
        <v>1.000322737E9</v>
      </c>
      <c r="F20" s="23" t="s">
        <v>443</v>
      </c>
      <c r="H20" s="21" t="s">
        <v>346</v>
      </c>
      <c r="I20" s="21" t="s">
        <v>444</v>
      </c>
      <c r="K20" s="21" t="s">
        <v>348</v>
      </c>
      <c r="M20" s="21" t="s">
        <v>303</v>
      </c>
      <c r="O20" s="21" t="s">
        <v>349</v>
      </c>
      <c r="P20" s="21" t="s">
        <v>350</v>
      </c>
      <c r="Q20" s="23" t="s">
        <v>351</v>
      </c>
      <c r="R20" s="21">
        <v>80.0</v>
      </c>
      <c r="T20" s="21" t="s">
        <v>324</v>
      </c>
      <c r="U20" s="21" t="s">
        <v>270</v>
      </c>
      <c r="V20" s="21" t="s">
        <v>231</v>
      </c>
      <c r="W20" s="21" t="s">
        <v>353</v>
      </c>
      <c r="X20" s="23" t="s">
        <v>407</v>
      </c>
      <c r="Y20" s="21" t="s">
        <v>355</v>
      </c>
      <c r="Z20" s="21" t="s">
        <v>356</v>
      </c>
      <c r="AA20" s="23" t="s">
        <v>357</v>
      </c>
      <c r="AB20" s="21" t="s">
        <v>358</v>
      </c>
      <c r="AC20" s="21" t="s">
        <v>303</v>
      </c>
      <c r="AD20" s="21" t="s">
        <v>359</v>
      </c>
      <c r="AF20" s="23" t="s">
        <v>445</v>
      </c>
      <c r="AG20" s="21" t="s">
        <v>446</v>
      </c>
      <c r="AH20" s="21" t="s">
        <v>361</v>
      </c>
      <c r="AI20" s="21"/>
      <c r="AJ20" s="21" t="s">
        <v>362</v>
      </c>
      <c r="AK20" s="31">
        <v>46137.0</v>
      </c>
      <c r="AL20" s="25" t="str">
        <f t="array" ref="AL20">IF(
                AG20 = "",
                "",
                       IF(
                           AG20 ="FOTOGRAFIA",
                           "LINK",
                           "https://www.appsheet.com/template/gettablefileurl?appName=MEDICIÓNDEESPESORES-924373673&amp;tableName=1_general&amp;fileName="&amp;AG20                         )
                          )</f>
        <v>https://www.appsheet.com/template/gettablefileurl?appName=MEDICIÓNDEESPESORES-924373673&amp;tableName=1_general&amp;fileName=1_general_Images/REPORT_SCANff54722d.firma.035535.png</v>
      </c>
      <c r="AM20" s="26"/>
      <c r="AN20" s="27" t="s">
        <v>447</v>
      </c>
      <c r="AO20" s="28" t="str">
        <f t="array" ref="AO20">IF(
                AM20 = "",
                "",
                       IF(
                           AM20 ="FOTOGRAFIA",
                           "LINK",
                           "https://www.appsheet.com/template/gettablefileurl?appName=MEDICIÓNDEESPESORES-924373673&amp;tableName=1_general&amp;fileName="&amp;AM20                         )
                          )</f>
        <v/>
      </c>
      <c r="AP20" s="21" t="s">
        <v>364</v>
      </c>
    </row>
    <row r="21" ht="14.25" customHeight="1">
      <c r="A21" s="21" t="s">
        <v>448</v>
      </c>
      <c r="B21" s="21" t="s">
        <v>344</v>
      </c>
      <c r="C21" s="23" t="s">
        <v>391</v>
      </c>
      <c r="D21" s="31">
        <v>46140.0</v>
      </c>
      <c r="E21" s="21">
        <v>1.00032274E9</v>
      </c>
      <c r="F21" s="23" t="s">
        <v>449</v>
      </c>
      <c r="H21" s="21" t="s">
        <v>450</v>
      </c>
      <c r="I21" s="21" t="s">
        <v>451</v>
      </c>
      <c r="K21" s="21" t="s">
        <v>348</v>
      </c>
      <c r="M21" s="21" t="s">
        <v>303</v>
      </c>
      <c r="O21" s="21" t="s">
        <v>349</v>
      </c>
      <c r="P21" s="21" t="s">
        <v>350</v>
      </c>
      <c r="Q21" s="23" t="s">
        <v>351</v>
      </c>
      <c r="R21" s="21">
        <v>80.0</v>
      </c>
      <c r="T21" s="21" t="s">
        <v>324</v>
      </c>
      <c r="U21" s="21" t="s">
        <v>270</v>
      </c>
      <c r="V21" s="21" t="s">
        <v>271</v>
      </c>
      <c r="W21" s="21" t="s">
        <v>353</v>
      </c>
      <c r="X21" s="23" t="s">
        <v>394</v>
      </c>
      <c r="Y21" s="21" t="s">
        <v>355</v>
      </c>
      <c r="Z21" s="21" t="s">
        <v>356</v>
      </c>
      <c r="AA21" s="23" t="s">
        <v>357</v>
      </c>
      <c r="AB21" s="21" t="s">
        <v>358</v>
      </c>
      <c r="AC21" s="21" t="s">
        <v>303</v>
      </c>
      <c r="AE21" s="21" t="s">
        <v>359</v>
      </c>
      <c r="AG21" s="21" t="s">
        <v>452</v>
      </c>
      <c r="AH21" s="21" t="s">
        <v>361</v>
      </c>
      <c r="AI21" s="21"/>
      <c r="AJ21" s="21" t="s">
        <v>362</v>
      </c>
      <c r="AK21" s="31">
        <v>46137.0</v>
      </c>
      <c r="AL21" s="25" t="str">
        <f t="array" ref="AL21">IF(
                AG21 = "",
                "",
                       IF(
                           AG21 ="FOTOGRAFIA",
                           "LINK",
                           "https://www.appsheet.com/template/gettablefileurl?appName=MEDICIÓNDEESPESORES-924373673&amp;tableName=1_general&amp;fileName="&amp;AG21                         )
                          )</f>
        <v>https://www.appsheet.com/template/gettablefileurl?appName=MEDICIÓNDEESPESORES-924373673&amp;tableName=1_general&amp;fileName=1_general_Images/REPORT_SCAN8c23f251.firma.100150.png</v>
      </c>
      <c r="AM21" s="26"/>
      <c r="AN21" s="27" t="s">
        <v>453</v>
      </c>
      <c r="AO21" s="28" t="str">
        <f t="array" ref="AO21">IF(
                AM21 = "",
                "",
                       IF(
                           AM21 ="FOTOGRAFIA",
                           "LINK",
                           "https://www.appsheet.com/template/gettablefileurl?appName=MEDICIÓNDEESPESORES-924373673&amp;tableName=1_general&amp;fileName="&amp;AM21                         )
                          )</f>
        <v/>
      </c>
      <c r="AP21" s="21" t="s">
        <v>428</v>
      </c>
    </row>
    <row r="22" ht="14.25" customHeight="1">
      <c r="A22" s="21" t="s">
        <v>454</v>
      </c>
      <c r="B22" s="21" t="s">
        <v>344</v>
      </c>
      <c r="C22" s="23" t="s">
        <v>391</v>
      </c>
      <c r="D22" s="31">
        <v>46137.0</v>
      </c>
      <c r="E22" s="21">
        <v>1.000322739E9</v>
      </c>
      <c r="F22" s="23" t="s">
        <v>443</v>
      </c>
      <c r="H22" s="21" t="s">
        <v>450</v>
      </c>
      <c r="I22" s="21" t="s">
        <v>455</v>
      </c>
      <c r="K22" s="21" t="s">
        <v>348</v>
      </c>
      <c r="M22" s="21" t="s">
        <v>303</v>
      </c>
      <c r="O22" s="21" t="s">
        <v>349</v>
      </c>
      <c r="P22" s="21" t="s">
        <v>350</v>
      </c>
      <c r="Q22" s="23" t="s">
        <v>351</v>
      </c>
      <c r="R22" s="21">
        <v>80.0</v>
      </c>
      <c r="T22" s="21" t="s">
        <v>324</v>
      </c>
      <c r="U22" s="21" t="s">
        <v>270</v>
      </c>
      <c r="V22" s="21" t="s">
        <v>231</v>
      </c>
      <c r="W22" s="21" t="s">
        <v>353</v>
      </c>
      <c r="X22" s="23" t="s">
        <v>407</v>
      </c>
      <c r="Y22" s="21" t="s">
        <v>355</v>
      </c>
      <c r="Z22" s="21" t="s">
        <v>356</v>
      </c>
      <c r="AA22" s="23" t="s">
        <v>357</v>
      </c>
      <c r="AB22" s="21" t="s">
        <v>358</v>
      </c>
      <c r="AC22" s="21" t="s">
        <v>303</v>
      </c>
      <c r="AE22" s="21" t="s">
        <v>359</v>
      </c>
      <c r="AF22" s="23" t="s">
        <v>456</v>
      </c>
      <c r="AG22" s="21" t="s">
        <v>457</v>
      </c>
      <c r="AH22" s="21" t="s">
        <v>361</v>
      </c>
      <c r="AI22" s="21"/>
      <c r="AJ22" s="21" t="s">
        <v>362</v>
      </c>
      <c r="AK22" s="31">
        <v>46141.0</v>
      </c>
      <c r="AL22" s="25" t="str">
        <f t="array" ref="AL22">IF(
                AG22 = "",
                "",
                       IF(
                           AG22 ="FOTOGRAFIA",
                           "LINK",
                           "https://www.appsheet.com/template/gettablefileurl?appName=MEDICIÓNDEESPESORES-924373673&amp;tableName=1_general&amp;fileName="&amp;AG22                         )
                          )</f>
        <v>https://www.appsheet.com/template/gettablefileurl?appName=MEDICIÓNDEESPESORES-924373673&amp;tableName=1_general&amp;fileName=1_general_Images/REPORT_SCAN124612ed.firma.102229.png</v>
      </c>
      <c r="AM22" s="26"/>
      <c r="AN22" s="27" t="s">
        <v>458</v>
      </c>
      <c r="AO22" s="28" t="str">
        <f t="array" ref="AO22">IF(
                AM22 = "",
                "",
                       IF(
                           AM22 ="FOTOGRAFIA",
                           "LINK",
                           "https://www.appsheet.com/template/gettablefileurl?appName=MEDICIÓNDEESPESORES-924373673&amp;tableName=1_general&amp;fileName="&amp;AM22                         )
                          )</f>
        <v/>
      </c>
      <c r="AP22" s="21"/>
    </row>
    <row r="23" ht="14.25" customHeight="1">
      <c r="A23" s="21" t="s">
        <v>459</v>
      </c>
      <c r="B23" s="21" t="s">
        <v>218</v>
      </c>
      <c r="C23" s="23" t="s">
        <v>366</v>
      </c>
      <c r="D23" s="31">
        <v>46134.0</v>
      </c>
      <c r="E23" s="21"/>
      <c r="F23" s="23" t="s">
        <v>219</v>
      </c>
      <c r="G23" s="21" t="s">
        <v>330</v>
      </c>
      <c r="H23" s="21" t="s">
        <v>460</v>
      </c>
      <c r="I23" s="21" t="s">
        <v>461</v>
      </c>
      <c r="J23" s="21" t="s">
        <v>462</v>
      </c>
      <c r="K23" s="21" t="s">
        <v>463</v>
      </c>
      <c r="M23" s="21" t="s">
        <v>464</v>
      </c>
      <c r="O23" s="21" t="s">
        <v>349</v>
      </c>
      <c r="P23" s="21" t="s">
        <v>350</v>
      </c>
      <c r="Q23" s="23" t="s">
        <v>351</v>
      </c>
      <c r="R23" s="21">
        <v>200.0</v>
      </c>
      <c r="S23" s="23" t="s">
        <v>465</v>
      </c>
      <c r="T23" s="21" t="s">
        <v>324</v>
      </c>
      <c r="U23" s="21" t="s">
        <v>270</v>
      </c>
      <c r="V23" s="21" t="s">
        <v>271</v>
      </c>
      <c r="W23" s="21" t="s">
        <v>466</v>
      </c>
      <c r="X23" s="23" t="s">
        <v>467</v>
      </c>
      <c r="Y23" s="21" t="s">
        <v>468</v>
      </c>
      <c r="Z23" s="21" t="s">
        <v>469</v>
      </c>
      <c r="AA23" s="21" t="s">
        <v>470</v>
      </c>
      <c r="AB23" s="21" t="s">
        <v>337</v>
      </c>
      <c r="AC23" s="21" t="s">
        <v>471</v>
      </c>
      <c r="AE23" s="21" t="s">
        <v>472</v>
      </c>
      <c r="AF23" s="23" t="s">
        <v>240</v>
      </c>
      <c r="AG23" s="21" t="s">
        <v>473</v>
      </c>
      <c r="AH23" s="21" t="s">
        <v>242</v>
      </c>
      <c r="AI23" s="21"/>
      <c r="AJ23" s="21" t="s">
        <v>243</v>
      </c>
      <c r="AK23" s="31">
        <v>46134.0</v>
      </c>
      <c r="AL23" s="25" t="str">
        <f t="array" ref="AL23">IF(
                AG23 = "",
                "",
                       IF(
                           AG23 ="FOTOGRAFIA",
                           "LINK",
                           "https://www.appsheet.com/template/gettablefileurl?appName=MEDICIÓNDEESPESORES-924373673&amp;tableName=1_general&amp;fileName="&amp;AG23                         )
                          )</f>
        <v>https://www.appsheet.com/template/gettablefileurl?appName=MEDICIÓNDEESPESORES-924373673&amp;tableName=1_general&amp;fileName=1_general_Images/REPORT_SCAN46760222.firma.113344.png</v>
      </c>
      <c r="AM23" s="26"/>
      <c r="AN23" s="27" t="s">
        <v>474</v>
      </c>
      <c r="AO23" s="28" t="str">
        <f t="array" ref="AO23">IF(
                AM23 = "",
                "",
                       IF(
                           AM23 ="FOTOGRAFIA",
                           "LINK",
                           "https://www.appsheet.com/template/gettablefileurl?appName=MEDICIÓNDEESPESORES-924373673&amp;tableName=1_general&amp;fileName="&amp;AM23                         )
                          )</f>
        <v/>
      </c>
      <c r="AP23" s="21"/>
    </row>
    <row r="24" ht="14.25" customHeight="1">
      <c r="A24" s="21" t="s">
        <v>475</v>
      </c>
      <c r="B24" s="21" t="s">
        <v>344</v>
      </c>
      <c r="D24" s="31">
        <v>46143.0</v>
      </c>
      <c r="F24" s="23" t="s">
        <v>292</v>
      </c>
      <c r="H24" s="21" t="s">
        <v>430</v>
      </c>
      <c r="I24" s="21" t="s">
        <v>476</v>
      </c>
      <c r="M24" s="21" t="s">
        <v>477</v>
      </c>
      <c r="O24" s="21" t="s">
        <v>478</v>
      </c>
      <c r="Q24" s="23" t="s">
        <v>351</v>
      </c>
      <c r="R24" s="21">
        <v>0.0</v>
      </c>
      <c r="T24" s="21"/>
      <c r="U24" s="21" t="s">
        <v>253</v>
      </c>
      <c r="V24" s="21" t="s">
        <v>271</v>
      </c>
      <c r="W24" s="21" t="s">
        <v>418</v>
      </c>
      <c r="X24" s="23" t="s">
        <v>479</v>
      </c>
      <c r="Y24" s="21" t="s">
        <v>355</v>
      </c>
      <c r="Z24" s="21" t="s">
        <v>480</v>
      </c>
      <c r="AA24" s="23" t="s">
        <v>481</v>
      </c>
      <c r="AB24" s="21" t="s">
        <v>482</v>
      </c>
      <c r="AC24" s="21" t="s">
        <v>483</v>
      </c>
      <c r="AE24" s="21" t="s">
        <v>484</v>
      </c>
      <c r="AF24" s="23" t="s">
        <v>485</v>
      </c>
      <c r="AG24" s="21" t="s">
        <v>486</v>
      </c>
      <c r="AH24" s="21" t="s">
        <v>487</v>
      </c>
      <c r="AI24" s="21"/>
      <c r="AJ24" s="21" t="s">
        <v>488</v>
      </c>
      <c r="AK24" s="31">
        <v>46143.0</v>
      </c>
      <c r="AL24" s="25" t="str">
        <f t="array" ref="AL24">IF(
                AG24 = "",
                "",
                       IF(
                           AG24 ="FOTOGRAFIA",
                           "LINK",
                           "https://www.appsheet.com/template/gettablefileurl?appName=MEDICIÓNDEESPESORES-924373673&amp;tableName=1_general&amp;fileName="&amp;AG24                         )
                          )</f>
        <v>https://www.appsheet.com/template/gettablefileurl?appName=MEDICIÓNDEESPESORES-924373673&amp;tableName=1_general&amp;fileName=1_general_Images/REPORT_SCAN7f660cc4.firma.142749.png</v>
      </c>
      <c r="AM24" s="28" t="s">
        <v>489</v>
      </c>
      <c r="AN24" s="42" t="s">
        <v>490</v>
      </c>
      <c r="AO24" s="27" t="str">
        <f t="array" ref="AO24">IF(
                AM24 = "",
                "",
                       IF(
                           AM24 ="FOTOGRAFIA",
                           "LINK",
                           "https://www.appsheet.com/template/gettablefileurl?appName=MEDICIÓNDEESPESORES-924373673&amp;tableName=1_general&amp;fileName="&amp;AM24                         )
                          )</f>
        <v>https://www.appsheet.com/template/gettablefileurl?appName=MEDICIÓNDEESPESORES-924373673&amp;tableName=1_general&amp;fileName=1_general_Files_/REPORT_SCAN7f660cc4.lectura.214506.xlsx</v>
      </c>
      <c r="AP24" s="21" t="s">
        <v>428</v>
      </c>
    </row>
    <row r="25" ht="14.25" customHeight="1">
      <c r="A25" s="21" t="s">
        <v>491</v>
      </c>
      <c r="B25" s="21" t="s">
        <v>218</v>
      </c>
      <c r="C25" s="23" t="s">
        <v>366</v>
      </c>
      <c r="D25" s="31">
        <v>46143.0</v>
      </c>
      <c r="E25" s="21"/>
      <c r="F25" s="23" t="s">
        <v>246</v>
      </c>
      <c r="G25" s="21" t="s">
        <v>330</v>
      </c>
      <c r="H25" s="21" t="s">
        <v>492</v>
      </c>
      <c r="I25" s="21" t="s">
        <v>493</v>
      </c>
      <c r="J25" s="21" t="s">
        <v>494</v>
      </c>
      <c r="K25" s="21" t="s">
        <v>225</v>
      </c>
      <c r="M25" s="21" t="s">
        <v>303</v>
      </c>
      <c r="O25" s="21" t="s">
        <v>349</v>
      </c>
      <c r="P25" s="21" t="s">
        <v>350</v>
      </c>
      <c r="Q25" s="23" t="s">
        <v>351</v>
      </c>
      <c r="R25" s="21">
        <v>200.0</v>
      </c>
      <c r="S25" s="23" t="s">
        <v>465</v>
      </c>
      <c r="T25" s="21" t="s">
        <v>324</v>
      </c>
      <c r="U25" s="21" t="s">
        <v>270</v>
      </c>
      <c r="V25" s="21" t="s">
        <v>271</v>
      </c>
      <c r="W25" s="21" t="s">
        <v>466</v>
      </c>
      <c r="X25" s="23" t="s">
        <v>495</v>
      </c>
      <c r="Y25" s="21" t="s">
        <v>468</v>
      </c>
      <c r="Z25" s="21" t="s">
        <v>496</v>
      </c>
      <c r="AA25" s="23" t="s">
        <v>497</v>
      </c>
      <c r="AB25" s="21" t="s">
        <v>337</v>
      </c>
      <c r="AC25" s="21" t="s">
        <v>303</v>
      </c>
      <c r="AE25" s="21" t="s">
        <v>494</v>
      </c>
      <c r="AF25" s="23" t="s">
        <v>240</v>
      </c>
      <c r="AG25" s="21" t="s">
        <v>498</v>
      </c>
      <c r="AH25" s="21" t="s">
        <v>242</v>
      </c>
      <c r="AI25" s="21"/>
      <c r="AJ25" s="21" t="s">
        <v>243</v>
      </c>
      <c r="AK25" s="31">
        <v>46134.0</v>
      </c>
      <c r="AL25" s="25" t="str">
        <f t="array" ref="AL25">IF(
                AG25 = "",
                "",
                       IF(
                           AG25 ="FOTOGRAFIA",
                           "LINK",
                           "https://www.appsheet.com/template/gettablefileurl?appName=MEDICIÓNDEESPESORES-924373673&amp;tableName=1_general&amp;fileName="&amp;AG25                         )
                          )</f>
        <v>https://www.appsheet.com/template/gettablefileurl?appName=MEDICIÓNDEESPESORES-924373673&amp;tableName=1_general&amp;fileName=1_general_Images/REPORT_SCAN5092571b.firma.042557.png</v>
      </c>
      <c r="AM25" s="26"/>
      <c r="AN25" s="27" t="s">
        <v>499</v>
      </c>
      <c r="AO25" s="28" t="str">
        <f t="array" ref="AO25">IF(
                AM25 = "",
                "",
                       IF(
                           AM25 ="FOTOGRAFIA",
                           "LINK",
                           "https://www.appsheet.com/template/gettablefileurl?appName=MEDICIÓNDEESPESORES-924373673&amp;tableName=1_general&amp;fileName="&amp;AM25                         )
                          )</f>
        <v/>
      </c>
      <c r="AP25" s="21"/>
    </row>
    <row r="26" ht="14.25" customHeight="1">
      <c r="A26" s="21" t="s">
        <v>500</v>
      </c>
      <c r="B26" s="21" t="s">
        <v>344</v>
      </c>
      <c r="D26" s="31">
        <v>46145.0</v>
      </c>
      <c r="E26" s="21">
        <v>1.000322774E9</v>
      </c>
      <c r="F26" s="23" t="s">
        <v>399</v>
      </c>
      <c r="H26" s="21" t="s">
        <v>501</v>
      </c>
      <c r="I26" s="21" t="s">
        <v>502</v>
      </c>
      <c r="M26" s="21" t="s">
        <v>503</v>
      </c>
      <c r="N26" s="21">
        <v>38.0</v>
      </c>
      <c r="O26" s="21" t="s">
        <v>478</v>
      </c>
      <c r="Q26" s="23" t="s">
        <v>351</v>
      </c>
      <c r="T26" s="21"/>
      <c r="U26" s="21" t="s">
        <v>504</v>
      </c>
      <c r="V26" s="21" t="s">
        <v>231</v>
      </c>
      <c r="W26" s="21" t="s">
        <v>418</v>
      </c>
      <c r="X26" s="23" t="s">
        <v>479</v>
      </c>
      <c r="Y26" s="21" t="s">
        <v>355</v>
      </c>
      <c r="Z26" s="21" t="s">
        <v>505</v>
      </c>
      <c r="AA26" s="23" t="s">
        <v>481</v>
      </c>
      <c r="AB26" s="21" t="s">
        <v>482</v>
      </c>
      <c r="AC26" s="21" t="s">
        <v>506</v>
      </c>
      <c r="AE26" s="21" t="s">
        <v>507</v>
      </c>
      <c r="AF26" s="23" t="s">
        <v>508</v>
      </c>
      <c r="AG26" s="21" t="s">
        <v>509</v>
      </c>
      <c r="AH26" s="21" t="s">
        <v>487</v>
      </c>
      <c r="AI26" s="21"/>
      <c r="AJ26" s="21" t="s">
        <v>362</v>
      </c>
      <c r="AK26" s="31">
        <v>46145.0</v>
      </c>
      <c r="AL26" s="25" t="str">
        <f t="array" ref="AL26">IF(
                AG26 = "",
                "",
                       IF(
                           AG26 ="FOTOGRAFIA",
                           "LINK",
                           "https://www.appsheet.com/template/gettablefileurl?appName=MEDICIÓNDEESPESORES-924373673&amp;tableName=1_general&amp;fileName="&amp;AG26                         )
                          )</f>
        <v>https://www.appsheet.com/template/gettablefileurl?appName=MEDICIÓNDEESPESORES-924373673&amp;tableName=1_general&amp;fileName=1_general_Images/REPORT_SCAN7fe3ba8b.firma.170755.png</v>
      </c>
      <c r="AM26" s="28" t="s">
        <v>510</v>
      </c>
      <c r="AN26" s="26"/>
      <c r="AO26" s="27" t="str">
        <f t="array" ref="AO26">IF(
                AM26 = "",
                "",
                       IF(
                           AM26 ="FOTOGRAFIA",
                           "LINK",
                           "https://www.appsheet.com/template/gettablefileurl?appName=MEDICIÓNDEESPESORES-924373673&amp;tableName=1_general&amp;fileName="&amp;AM26                         )
                          )</f>
        <v>https://www.appsheet.com/template/gettablefileurl?appName=MEDICIÓNDEESPESORES-924373673&amp;tableName=1_general&amp;fileName=1_general_Files_/REPORT_SCAN7fe3ba8b.lectura.214630.xlsx</v>
      </c>
      <c r="AP26" s="21" t="s">
        <v>364</v>
      </c>
    </row>
    <row r="27" ht="14.25" customHeight="1">
      <c r="A27" s="21" t="s">
        <v>511</v>
      </c>
      <c r="B27" s="21" t="s">
        <v>344</v>
      </c>
      <c r="D27" s="31">
        <v>46145.0</v>
      </c>
      <c r="E27" s="21">
        <v>1.00322775E8</v>
      </c>
      <c r="F27" s="23" t="s">
        <v>405</v>
      </c>
      <c r="H27" s="21" t="s">
        <v>430</v>
      </c>
      <c r="I27" s="21" t="s">
        <v>512</v>
      </c>
      <c r="M27" s="21" t="s">
        <v>477</v>
      </c>
      <c r="N27" s="21">
        <v>38.0</v>
      </c>
      <c r="O27" s="21" t="s">
        <v>478</v>
      </c>
      <c r="Q27" s="23" t="s">
        <v>351</v>
      </c>
      <c r="U27" s="21" t="s">
        <v>253</v>
      </c>
      <c r="V27" s="21" t="s">
        <v>231</v>
      </c>
      <c r="W27" s="21" t="s">
        <v>418</v>
      </c>
      <c r="X27" s="23" t="s">
        <v>513</v>
      </c>
      <c r="Y27" s="21" t="s">
        <v>355</v>
      </c>
      <c r="Z27" s="21" t="s">
        <v>505</v>
      </c>
      <c r="AA27" s="23" t="s">
        <v>481</v>
      </c>
      <c r="AB27" s="21" t="s">
        <v>482</v>
      </c>
      <c r="AC27" s="21" t="s">
        <v>477</v>
      </c>
      <c r="AE27" s="21" t="s">
        <v>507</v>
      </c>
      <c r="AF27" s="23" t="s">
        <v>508</v>
      </c>
      <c r="AG27" s="21" t="s">
        <v>514</v>
      </c>
      <c r="AH27" s="21" t="s">
        <v>487</v>
      </c>
      <c r="AI27" s="21"/>
      <c r="AJ27" s="21" t="s">
        <v>488</v>
      </c>
      <c r="AK27" s="31">
        <v>46145.0</v>
      </c>
      <c r="AL27" s="25" t="str">
        <f t="array" ref="AL27">IF(
                AG27 = "",
                "",
                       IF(
                           AG27 ="FOTOGRAFIA",
                           "LINK",
                           "https://www.appsheet.com/template/gettablefileurl?appName=MEDICIÓNDEESPESORES-924373673&amp;tableName=1_general&amp;fileName="&amp;AG27                         )
                          )</f>
        <v>https://www.appsheet.com/template/gettablefileurl?appName=MEDICIÓNDEESPESORES-924373673&amp;tableName=1_general&amp;fileName=1_general_Images/REPORT_SCAN31a09985.firma.215413.png</v>
      </c>
      <c r="AM27" s="28" t="s">
        <v>515</v>
      </c>
      <c r="AN27" s="26"/>
      <c r="AO27" s="27" t="str">
        <f t="array" ref="AO27">IF(
                AM27 = "",
                "",
                       IF(
                           AM27 ="FOTOGRAFIA",
                           "LINK",
                           "https://www.appsheet.com/template/gettablefileurl?appName=MEDICIÓNDEESPESORES-924373673&amp;tableName=1_general&amp;fileName="&amp;AM27                         )
                          )</f>
        <v>https://www.appsheet.com/template/gettablefileurl?appName=MEDICIÓNDEESPESORES-924373673&amp;tableName=1_general&amp;fileName=1_general_Files_/REPORT_SCAN31a09985.lectura.214649.xlsx</v>
      </c>
      <c r="AP27" s="21" t="s">
        <v>364</v>
      </c>
    </row>
    <row r="28" ht="14.25" customHeight="1">
      <c r="A28" s="21" t="s">
        <v>516</v>
      </c>
      <c r="B28" s="21" t="s">
        <v>344</v>
      </c>
      <c r="D28" s="31">
        <v>46145.0</v>
      </c>
      <c r="E28" s="21">
        <v>1.00322776E8</v>
      </c>
      <c r="F28" s="23" t="s">
        <v>449</v>
      </c>
      <c r="H28" s="21" t="s">
        <v>430</v>
      </c>
      <c r="I28" s="21" t="s">
        <v>517</v>
      </c>
      <c r="M28" s="21" t="s">
        <v>477</v>
      </c>
      <c r="N28" s="21">
        <v>38.0</v>
      </c>
      <c r="O28" s="21" t="s">
        <v>478</v>
      </c>
      <c r="Q28" s="23" t="s">
        <v>351</v>
      </c>
      <c r="U28" s="21" t="s">
        <v>253</v>
      </c>
      <c r="V28" s="21" t="s">
        <v>231</v>
      </c>
      <c r="W28" s="21" t="s">
        <v>418</v>
      </c>
      <c r="X28" s="23" t="s">
        <v>479</v>
      </c>
      <c r="Y28" s="21" t="s">
        <v>355</v>
      </c>
      <c r="Z28" s="21" t="s">
        <v>505</v>
      </c>
      <c r="AA28" s="23" t="s">
        <v>481</v>
      </c>
      <c r="AB28" s="21" t="s">
        <v>482</v>
      </c>
      <c r="AC28" s="21" t="s">
        <v>477</v>
      </c>
      <c r="AE28" s="21" t="s">
        <v>507</v>
      </c>
      <c r="AF28" s="23" t="s">
        <v>508</v>
      </c>
      <c r="AG28" s="21" t="s">
        <v>518</v>
      </c>
      <c r="AH28" s="21" t="s">
        <v>487</v>
      </c>
      <c r="AI28" s="21"/>
      <c r="AJ28" s="21" t="s">
        <v>362</v>
      </c>
      <c r="AK28" s="31">
        <v>46145.0</v>
      </c>
      <c r="AL28" s="25" t="str">
        <f t="array" ref="AL28">IF(
                AG28 = "",
                "",
                       IF(
                           AG28 ="FOTOGRAFIA",
                           "LINK",
                           "https://www.appsheet.com/template/gettablefileurl?appName=MEDICIÓNDEESPESORES-924373673&amp;tableName=1_general&amp;fileName="&amp;AG28                         )
                          )</f>
        <v>https://www.appsheet.com/template/gettablefileurl?appName=MEDICIÓNDEESPESORES-924373673&amp;tableName=1_general&amp;fileName=1_general_Images/REPORT_SCAN061c0a5f.firma.221126.png</v>
      </c>
      <c r="AM28" s="28" t="s">
        <v>519</v>
      </c>
      <c r="AN28" s="26"/>
      <c r="AO28" s="27" t="str">
        <f t="array" ref="AO28">IF(
                AM28 = "",
                "",
                       IF(
                           AM28 ="FOTOGRAFIA",
                           "LINK",
                           "https://www.appsheet.com/template/gettablefileurl?appName=MEDICIÓNDEESPESORES-924373673&amp;tableName=1_general&amp;fileName="&amp;AM28                         )
                          )</f>
        <v>https://www.appsheet.com/template/gettablefileurl?appName=MEDICIÓNDEESPESORES-924373673&amp;tableName=1_general&amp;fileName=1_general_Files_/REPORT_SCAN061c0a5f.lectura.214715.xlsx</v>
      </c>
      <c r="AP28" s="21" t="s">
        <v>364</v>
      </c>
    </row>
    <row r="29" ht="14.25" customHeight="1">
      <c r="A29" s="21" t="s">
        <v>520</v>
      </c>
      <c r="B29" s="21" t="s">
        <v>344</v>
      </c>
      <c r="D29" s="31">
        <v>46145.0</v>
      </c>
      <c r="E29" s="21">
        <v>1.00322777E8</v>
      </c>
      <c r="F29" s="23" t="s">
        <v>443</v>
      </c>
      <c r="H29" s="21" t="s">
        <v>430</v>
      </c>
      <c r="I29" s="21" t="s">
        <v>521</v>
      </c>
      <c r="M29" s="21" t="s">
        <v>477</v>
      </c>
      <c r="N29" s="21">
        <v>38.0</v>
      </c>
      <c r="O29" s="21" t="s">
        <v>478</v>
      </c>
      <c r="Q29" s="23" t="s">
        <v>351</v>
      </c>
      <c r="U29" s="21" t="s">
        <v>253</v>
      </c>
      <c r="V29" s="21" t="s">
        <v>231</v>
      </c>
      <c r="W29" s="21" t="s">
        <v>418</v>
      </c>
      <c r="X29" s="23" t="s">
        <v>479</v>
      </c>
      <c r="Y29" s="21" t="s">
        <v>355</v>
      </c>
      <c r="Z29" s="21" t="s">
        <v>505</v>
      </c>
      <c r="AA29" s="23" t="s">
        <v>481</v>
      </c>
      <c r="AB29" s="21" t="s">
        <v>482</v>
      </c>
      <c r="AC29" s="21" t="s">
        <v>477</v>
      </c>
      <c r="AE29" s="21" t="s">
        <v>507</v>
      </c>
      <c r="AF29" s="23" t="s">
        <v>508</v>
      </c>
      <c r="AG29" s="21" t="s">
        <v>522</v>
      </c>
      <c r="AH29" s="21" t="s">
        <v>487</v>
      </c>
      <c r="AI29" s="21"/>
      <c r="AJ29" s="21" t="s">
        <v>362</v>
      </c>
      <c r="AK29" s="31">
        <v>46145.0</v>
      </c>
      <c r="AL29" s="25" t="str">
        <f t="array" ref="AL29">IF(
                AG29 = "",
                "",
                       IF(
                           AG29 ="FOTOGRAFIA",
                           "LINK",
                           "https://www.appsheet.com/template/gettablefileurl?appName=MEDICIÓNDEESPESORES-924373673&amp;tableName=1_general&amp;fileName="&amp;AG29                         )
                          )</f>
        <v>https://www.appsheet.com/template/gettablefileurl?appName=MEDICIÓNDEESPESORES-924373673&amp;tableName=1_general&amp;fileName=1_general_Images/REPORT_SCANee1af74c.firma.221826.png</v>
      </c>
      <c r="AM29" s="28" t="s">
        <v>523</v>
      </c>
      <c r="AN29" s="26"/>
      <c r="AO29" s="27" t="str">
        <f t="array" ref="AO29">IF(
                AM29 = "",
                "",
                       IF(
                           AM29 ="FOTOGRAFIA",
                           "LINK",
                           "https://www.appsheet.com/template/gettablefileurl?appName=MEDICIÓNDEESPESORES-924373673&amp;tableName=1_general&amp;fileName="&amp;AM29                         )
                          )</f>
        <v>https://www.appsheet.com/template/gettablefileurl?appName=MEDICIÓNDEESPESORES-924373673&amp;tableName=1_general&amp;fileName=1_general_Files_/REPORT_SCANee1af74c.lectura.214740.xlsx</v>
      </c>
      <c r="AP29" s="21" t="s">
        <v>364</v>
      </c>
    </row>
    <row r="30" ht="14.25" customHeight="1">
      <c r="A30" s="21" t="s">
        <v>524</v>
      </c>
      <c r="B30" s="21" t="s">
        <v>344</v>
      </c>
      <c r="D30" s="31">
        <v>46145.0</v>
      </c>
      <c r="E30" s="21">
        <v>1.000322778E9</v>
      </c>
      <c r="F30" s="23" t="s">
        <v>357</v>
      </c>
      <c r="H30" s="21" t="s">
        <v>430</v>
      </c>
      <c r="I30" s="21" t="s">
        <v>525</v>
      </c>
      <c r="M30" s="21" t="s">
        <v>477</v>
      </c>
      <c r="N30" s="21">
        <v>38.0</v>
      </c>
      <c r="O30" s="21" t="s">
        <v>478</v>
      </c>
      <c r="Q30" s="23" t="s">
        <v>351</v>
      </c>
      <c r="U30" s="21" t="s">
        <v>253</v>
      </c>
      <c r="V30" s="21" t="s">
        <v>231</v>
      </c>
      <c r="W30" s="21" t="s">
        <v>418</v>
      </c>
      <c r="X30" s="23" t="s">
        <v>479</v>
      </c>
      <c r="Y30" s="21" t="s">
        <v>355</v>
      </c>
      <c r="Z30" s="21" t="s">
        <v>505</v>
      </c>
      <c r="AA30" s="23" t="s">
        <v>481</v>
      </c>
      <c r="AB30" s="21" t="s">
        <v>482</v>
      </c>
      <c r="AC30" s="21" t="s">
        <v>477</v>
      </c>
      <c r="AE30" s="21" t="s">
        <v>507</v>
      </c>
      <c r="AF30" s="23" t="s">
        <v>508</v>
      </c>
      <c r="AG30" s="21" t="s">
        <v>526</v>
      </c>
      <c r="AH30" s="21" t="s">
        <v>487</v>
      </c>
      <c r="AI30" s="21"/>
      <c r="AJ30" s="21" t="s">
        <v>362</v>
      </c>
      <c r="AK30" s="31">
        <v>46145.0</v>
      </c>
      <c r="AL30" s="25" t="str">
        <f t="array" ref="AL30">IF(
                AG30 = "",
                "",
                       IF(
                           AG30 ="FOTOGRAFIA",
                           "LINK",
                           "https://www.appsheet.com/template/gettablefileurl?appName=MEDICIÓNDEESPESORES-924373673&amp;tableName=1_general&amp;fileName="&amp;AG30                         )
                          )</f>
        <v>https://www.appsheet.com/template/gettablefileurl?appName=MEDICIÓNDEESPESORES-924373673&amp;tableName=1_general&amp;fileName=1_general_Images/REPORT_SCAN4a15116c.firma.222347.png</v>
      </c>
      <c r="AM30" s="28" t="s">
        <v>527</v>
      </c>
      <c r="AN30" s="26"/>
      <c r="AO30" s="27" t="str">
        <f t="array" ref="AO30">IF(
                AM30 = "",
                "",
                       IF(
                           AM30 ="FOTOGRAFIA",
                           "LINK",
                           "https://www.appsheet.com/template/gettablefileurl?appName=MEDICIÓNDEESPESORES-924373673&amp;tableName=1_general&amp;fileName="&amp;AM30                         )
                          )</f>
        <v>https://www.appsheet.com/template/gettablefileurl?appName=MEDICIÓNDEESPESORES-924373673&amp;tableName=1_general&amp;fileName=1_general_Files_/REPORT_SCAN4a15116c.lectura.214759.xlsx</v>
      </c>
      <c r="AP30" s="21" t="s">
        <v>364</v>
      </c>
    </row>
    <row r="31" ht="14.25" customHeight="1">
      <c r="A31" s="21" t="s">
        <v>528</v>
      </c>
      <c r="B31" s="21" t="s">
        <v>344</v>
      </c>
      <c r="D31" s="31">
        <v>46146.0</v>
      </c>
      <c r="F31" s="23" t="s">
        <v>529</v>
      </c>
      <c r="H31" s="21" t="s">
        <v>430</v>
      </c>
      <c r="I31" s="21" t="s">
        <v>530</v>
      </c>
      <c r="M31" s="21" t="s">
        <v>477</v>
      </c>
      <c r="N31" s="21">
        <v>38.0</v>
      </c>
      <c r="O31" s="21" t="s">
        <v>478</v>
      </c>
      <c r="Q31" s="23" t="s">
        <v>351</v>
      </c>
      <c r="U31" s="21" t="s">
        <v>253</v>
      </c>
      <c r="V31" s="21" t="s">
        <v>231</v>
      </c>
      <c r="W31" s="21" t="s">
        <v>418</v>
      </c>
      <c r="X31" s="23" t="s">
        <v>479</v>
      </c>
      <c r="Y31" s="21" t="s">
        <v>355</v>
      </c>
      <c r="Z31" s="21" t="s">
        <v>505</v>
      </c>
      <c r="AA31" s="23" t="s">
        <v>481</v>
      </c>
      <c r="AB31" s="21" t="s">
        <v>482</v>
      </c>
      <c r="AC31" s="21" t="s">
        <v>477</v>
      </c>
      <c r="AE31" s="21" t="s">
        <v>507</v>
      </c>
      <c r="AF31" s="23" t="s">
        <v>508</v>
      </c>
      <c r="AG31" s="21" t="s">
        <v>531</v>
      </c>
      <c r="AH31" s="21" t="s">
        <v>487</v>
      </c>
      <c r="AI31" s="21"/>
      <c r="AJ31" s="21" t="s">
        <v>362</v>
      </c>
      <c r="AK31" s="31">
        <v>46146.0</v>
      </c>
      <c r="AL31" s="25" t="str">
        <f t="array" ref="AL31">IF(
                AG31 = "",
                "",
                       IF(
                           AG31 ="FOTOGRAFIA",
                           "LINK",
                           "https://www.appsheet.com/template/gettablefileurl?appName=MEDICIÓNDEESPESORES-924373673&amp;tableName=1_general&amp;fileName="&amp;AG31                         )
                          )</f>
        <v>https://www.appsheet.com/template/gettablefileurl?appName=MEDICIÓNDEESPESORES-924373673&amp;tableName=1_general&amp;fileName=1_general_Images/REPORT_SCAN9de4b382.firma.144625.png</v>
      </c>
      <c r="AM31" s="28" t="s">
        <v>532</v>
      </c>
      <c r="AN31" s="26"/>
      <c r="AO31" s="27" t="str">
        <f t="array" ref="AO31">IF(
                AM31 = "",
                "",
                       IF(
                           AM31 ="FOTOGRAFIA",
                           "LINK",
                           "https://www.appsheet.com/template/gettablefileurl?appName=MEDICIÓNDEESPESORES-924373673&amp;tableName=1_general&amp;fileName="&amp;AM31                         )
                          )</f>
        <v>https://www.appsheet.com/template/gettablefileurl?appName=MEDICIÓNDEESPESORES-924373673&amp;tableName=1_general&amp;fileName=1_general_Files_/REPORT_SCAN9de4b382.lectura.214825.xlsx</v>
      </c>
      <c r="AP31" s="21" t="s">
        <v>364</v>
      </c>
    </row>
    <row r="32" ht="14.25" customHeight="1">
      <c r="A32" s="21" t="s">
        <v>533</v>
      </c>
      <c r="B32" s="21" t="s">
        <v>344</v>
      </c>
      <c r="D32" s="31">
        <v>46146.0</v>
      </c>
      <c r="F32" s="23" t="s">
        <v>534</v>
      </c>
      <c r="H32" s="21" t="s">
        <v>430</v>
      </c>
      <c r="I32" s="21" t="s">
        <v>535</v>
      </c>
      <c r="M32" s="21" t="s">
        <v>477</v>
      </c>
      <c r="N32" s="21">
        <v>38.0</v>
      </c>
      <c r="O32" s="21" t="s">
        <v>478</v>
      </c>
      <c r="Q32" s="23" t="s">
        <v>351</v>
      </c>
      <c r="U32" s="21" t="s">
        <v>253</v>
      </c>
      <c r="V32" s="21" t="s">
        <v>231</v>
      </c>
      <c r="W32" s="21" t="s">
        <v>418</v>
      </c>
      <c r="X32" s="23" t="s">
        <v>479</v>
      </c>
      <c r="Y32" s="21" t="s">
        <v>355</v>
      </c>
      <c r="Z32" s="21" t="s">
        <v>505</v>
      </c>
      <c r="AA32" s="23" t="s">
        <v>481</v>
      </c>
      <c r="AB32" s="21" t="s">
        <v>482</v>
      </c>
      <c r="AC32" s="21" t="s">
        <v>477</v>
      </c>
      <c r="AE32" s="21" t="s">
        <v>507</v>
      </c>
      <c r="AF32" s="23" t="s">
        <v>536</v>
      </c>
      <c r="AG32" s="21" t="s">
        <v>537</v>
      </c>
      <c r="AH32" s="21" t="s">
        <v>487</v>
      </c>
      <c r="AI32" s="21"/>
      <c r="AJ32" s="21" t="s">
        <v>362</v>
      </c>
      <c r="AK32" s="31">
        <v>46146.0</v>
      </c>
      <c r="AL32" s="25" t="str">
        <f t="array" ref="AL32">IF(
                AG32 = "",
                "",
                       IF(
                           AG32 ="FOTOGRAFIA",
                           "LINK",
                           "https://www.appsheet.com/template/gettablefileurl?appName=MEDICIÓNDEESPESORES-924373673&amp;tableName=1_general&amp;fileName="&amp;AG32                         )
                          )</f>
        <v>https://www.appsheet.com/template/gettablefileurl?appName=MEDICIÓNDEESPESORES-924373673&amp;tableName=1_general&amp;fileName=1_general_Images/REPORT_SCAN8cca8b44.firma.175545.png</v>
      </c>
      <c r="AM32" s="28" t="s">
        <v>538</v>
      </c>
      <c r="AN32" s="26"/>
      <c r="AO32" s="27" t="str">
        <f t="array" ref="AO32">IF(
                AM32 = "",
                "",
                       IF(
                           AM32 ="FOTOGRAFIA",
                           "LINK",
                           "https://www.appsheet.com/template/gettablefileurl?appName=MEDICIÓNDEESPESORES-924373673&amp;tableName=1_general&amp;fileName="&amp;AM32                         )
                          )</f>
        <v>https://www.appsheet.com/template/gettablefileurl?appName=MEDICIÓNDEESPESORES-924373673&amp;tableName=1_general&amp;fileName=1_general_Files_/REPORT_SCAN8cca8b44.lectura.214845.xlsx</v>
      </c>
      <c r="AP32" s="21" t="s">
        <v>364</v>
      </c>
    </row>
    <row r="33" ht="14.25" customHeight="1">
      <c r="A33" s="21" t="s">
        <v>539</v>
      </c>
      <c r="B33" s="21" t="s">
        <v>344</v>
      </c>
      <c r="D33" s="31">
        <v>46146.0</v>
      </c>
      <c r="F33" s="23" t="s">
        <v>540</v>
      </c>
      <c r="H33" s="21" t="s">
        <v>430</v>
      </c>
      <c r="I33" s="21" t="s">
        <v>541</v>
      </c>
      <c r="M33" s="21" t="s">
        <v>477</v>
      </c>
      <c r="N33" s="21">
        <v>37.0</v>
      </c>
      <c r="O33" s="21" t="s">
        <v>478</v>
      </c>
      <c r="Q33" s="23" t="s">
        <v>351</v>
      </c>
      <c r="U33" s="21" t="s">
        <v>253</v>
      </c>
      <c r="V33" s="21" t="s">
        <v>231</v>
      </c>
      <c r="W33" s="21" t="s">
        <v>418</v>
      </c>
      <c r="X33" s="23" t="s">
        <v>479</v>
      </c>
      <c r="Y33" s="21" t="s">
        <v>355</v>
      </c>
      <c r="Z33" s="21" t="s">
        <v>505</v>
      </c>
      <c r="AA33" s="23" t="s">
        <v>481</v>
      </c>
      <c r="AB33" s="21" t="s">
        <v>482</v>
      </c>
      <c r="AC33" s="21" t="s">
        <v>542</v>
      </c>
      <c r="AE33" s="21" t="s">
        <v>507</v>
      </c>
      <c r="AF33" s="23" t="s">
        <v>536</v>
      </c>
      <c r="AG33" s="21" t="s">
        <v>543</v>
      </c>
      <c r="AH33" s="21" t="s">
        <v>487</v>
      </c>
      <c r="AI33" s="21"/>
      <c r="AJ33" s="21" t="s">
        <v>488</v>
      </c>
      <c r="AK33" s="31">
        <v>46146.0</v>
      </c>
      <c r="AL33" s="25" t="str">
        <f t="array" ref="AL33">IF(
                AG33 = "",
                "",
                       IF(
                           AG33 ="FOTOGRAFIA",
                           "LINK",
                           "https://www.appsheet.com/template/gettablefileurl?appName=MEDICIÓNDEESPESORES-924373673&amp;tableName=1_general&amp;fileName="&amp;AG33                         )
                          )</f>
        <v>https://www.appsheet.com/template/gettablefileurl?appName=MEDICIÓNDEESPESORES-924373673&amp;tableName=1_general&amp;fileName=1_general_Images/REPORT_SCAN956b6b59.firma.205535.png</v>
      </c>
      <c r="AM33" s="28" t="s">
        <v>544</v>
      </c>
      <c r="AN33" s="26"/>
      <c r="AO33" s="27" t="str">
        <f t="array" ref="AO33">IF(
                AM33 = "",
                "",
                       IF(
                           AM33 ="FOTOGRAFIA",
                           "LINK",
                           "https://www.appsheet.com/template/gettablefileurl?appName=MEDICIÓNDEESPESORES-924373673&amp;tableName=1_general&amp;fileName="&amp;AM33                         )
                          )</f>
        <v>https://www.appsheet.com/template/gettablefileurl?appName=MEDICIÓNDEESPESORES-924373673&amp;tableName=1_general&amp;fileName=1_general_Files_/REPORT_SCAN956b6b59.lectura.214905.xlsx</v>
      </c>
      <c r="AP33" s="21" t="s">
        <v>364</v>
      </c>
    </row>
    <row r="34" ht="14.25" customHeight="1">
      <c r="A34" s="21" t="s">
        <v>545</v>
      </c>
      <c r="B34" s="21" t="s">
        <v>344</v>
      </c>
      <c r="D34" s="31">
        <v>46147.0</v>
      </c>
      <c r="F34" s="23" t="s">
        <v>546</v>
      </c>
      <c r="H34" s="21" t="s">
        <v>430</v>
      </c>
      <c r="I34" s="21" t="s">
        <v>547</v>
      </c>
      <c r="M34" s="21" t="s">
        <v>477</v>
      </c>
      <c r="N34" s="21">
        <v>38.0</v>
      </c>
      <c r="O34" s="21" t="s">
        <v>478</v>
      </c>
      <c r="Q34" s="23" t="s">
        <v>351</v>
      </c>
      <c r="U34" s="21" t="s">
        <v>253</v>
      </c>
      <c r="V34" s="21" t="s">
        <v>231</v>
      </c>
      <c r="W34" s="21" t="s">
        <v>418</v>
      </c>
      <c r="X34" s="23" t="s">
        <v>479</v>
      </c>
      <c r="Y34" s="21" t="s">
        <v>355</v>
      </c>
      <c r="Z34" s="21" t="s">
        <v>548</v>
      </c>
      <c r="AA34" s="23" t="s">
        <v>481</v>
      </c>
      <c r="AB34" s="21" t="s">
        <v>482</v>
      </c>
      <c r="AC34" s="21" t="s">
        <v>477</v>
      </c>
      <c r="AE34" s="21" t="s">
        <v>507</v>
      </c>
      <c r="AF34" s="23" t="s">
        <v>549</v>
      </c>
      <c r="AG34" s="21" t="s">
        <v>550</v>
      </c>
      <c r="AH34" s="21" t="s">
        <v>487</v>
      </c>
      <c r="AI34" s="21"/>
      <c r="AJ34" s="21" t="s">
        <v>362</v>
      </c>
      <c r="AK34" s="31">
        <v>46147.0</v>
      </c>
      <c r="AL34" s="25" t="str">
        <f t="array" ref="AL34">IF(
                AG34 = "",
                "",
                       IF(
                           AG34 ="FOTOGRAFIA",
                           "LINK",
                           "https://www.appsheet.com/template/gettablefileurl?appName=MEDICIÓNDEESPESORES-924373673&amp;tableName=1_general&amp;fileName="&amp;AG34                         )
                          )</f>
        <v>https://www.appsheet.com/template/gettablefileurl?appName=MEDICIÓNDEESPESORES-924373673&amp;tableName=1_general&amp;fileName=1_general_Images/REPORT_SCAN10a88c33.firma.142848.png</v>
      </c>
      <c r="AM34" s="28" t="s">
        <v>551</v>
      </c>
      <c r="AN34" s="26"/>
      <c r="AO34" s="27" t="str">
        <f t="array" ref="AO34">IF(
                AM34 = "",
                "",
                       IF(
                           AM34 ="FOTOGRAFIA",
                           "LINK",
                           "https://www.appsheet.com/template/gettablefileurl?appName=MEDICIÓNDEESPESORES-924373673&amp;tableName=1_general&amp;fileName="&amp;AM34                         )
                          )</f>
        <v>https://www.appsheet.com/template/gettablefileurl?appName=MEDICIÓNDEESPESORES-924373673&amp;tableName=1_general&amp;fileName=1_general_Files_/REPORT_SCAN10a88c33.lectura.214926.xlsx</v>
      </c>
      <c r="AP34" s="21" t="s">
        <v>364</v>
      </c>
    </row>
    <row r="35" ht="14.25" customHeight="1">
      <c r="A35" s="21" t="s">
        <v>552</v>
      </c>
      <c r="B35" s="21" t="s">
        <v>218</v>
      </c>
      <c r="C35" s="23" t="s">
        <v>553</v>
      </c>
      <c r="D35" s="31">
        <v>46147.0</v>
      </c>
      <c r="E35" s="21">
        <v>2.7110401E7</v>
      </c>
      <c r="F35" s="23" t="s">
        <v>292</v>
      </c>
      <c r="G35" s="21" t="s">
        <v>554</v>
      </c>
      <c r="H35" s="21" t="s">
        <v>555</v>
      </c>
      <c r="I35" s="21" t="s">
        <v>556</v>
      </c>
      <c r="J35" s="21" t="s">
        <v>557</v>
      </c>
      <c r="K35" s="21" t="s">
        <v>333</v>
      </c>
      <c r="L35" s="21" t="s">
        <v>225</v>
      </c>
      <c r="M35" s="21" t="s">
        <v>558</v>
      </c>
      <c r="O35" s="21" t="s">
        <v>349</v>
      </c>
      <c r="P35" s="21" t="s">
        <v>350</v>
      </c>
      <c r="T35" s="21" t="s">
        <v>324</v>
      </c>
      <c r="U35" s="21" t="s">
        <v>270</v>
      </c>
      <c r="V35" s="21" t="s">
        <v>271</v>
      </c>
      <c r="W35" s="21" t="s">
        <v>559</v>
      </c>
      <c r="X35" s="23" t="s">
        <v>560</v>
      </c>
      <c r="Y35" s="21" t="s">
        <v>561</v>
      </c>
      <c r="Z35" s="21" t="s">
        <v>562</v>
      </c>
      <c r="AA35" s="21" t="s">
        <v>563</v>
      </c>
      <c r="AB35" s="21" t="s">
        <v>564</v>
      </c>
      <c r="AC35" s="21" t="s">
        <v>565</v>
      </c>
      <c r="AD35" s="21" t="s">
        <v>566</v>
      </c>
      <c r="AF35" s="21" t="s">
        <v>567</v>
      </c>
      <c r="AG35" s="21" t="s">
        <v>568</v>
      </c>
      <c r="AH35" s="21" t="s">
        <v>569</v>
      </c>
      <c r="AI35" s="21"/>
      <c r="AJ35" s="21" t="s">
        <v>570</v>
      </c>
      <c r="AK35" s="31">
        <v>46147.0</v>
      </c>
      <c r="AL35" s="25" t="str">
        <f t="array" ref="AL35">IF(
                AG35 = "",
                "",
                       IF(
                           AG35 ="FOTOGRAFIA",
                           "LINK",
                           "https://www.appsheet.com/template/gettablefileurl?appName=MEDICIÓNDEESPESORES-924373673&amp;tableName=1_general&amp;fileName="&amp;AG35                         )
                          )</f>
        <v>https://www.appsheet.com/template/gettablefileurl?appName=MEDICIÓNDEESPESORES-924373673&amp;tableName=1_general&amp;fileName=1_general_Images/REPORT_SCAN1f436d9e.firma.221444.png</v>
      </c>
      <c r="AM35" s="26"/>
      <c r="AN35" s="27" t="s">
        <v>571</v>
      </c>
      <c r="AO35" s="28" t="str">
        <f t="array" ref="AO35">IF(
                AM35 = "",
                "",
                       IF(
                           AM35 ="FOTOGRAFIA",
                           "LINK",
                           "https://www.appsheet.com/template/gettablefileurl?appName=MEDICIÓNDEESPESORES-924373673&amp;tableName=1_general&amp;fileName="&amp;AM35                         )
                          )</f>
        <v/>
      </c>
      <c r="AP35" s="21"/>
    </row>
    <row r="36" ht="14.25" customHeight="1">
      <c r="A36" s="21" t="s">
        <v>572</v>
      </c>
      <c r="B36" s="21" t="s">
        <v>344</v>
      </c>
      <c r="D36" s="31">
        <v>46147.0</v>
      </c>
      <c r="F36" s="23" t="s">
        <v>573</v>
      </c>
      <c r="H36" s="21" t="s">
        <v>430</v>
      </c>
      <c r="I36" s="21" t="s">
        <v>574</v>
      </c>
      <c r="M36" s="21" t="s">
        <v>477</v>
      </c>
      <c r="N36" s="21">
        <v>38.0</v>
      </c>
      <c r="O36" s="21" t="s">
        <v>478</v>
      </c>
      <c r="Q36" s="23" t="s">
        <v>351</v>
      </c>
      <c r="U36" s="21" t="s">
        <v>253</v>
      </c>
      <c r="V36" s="21" t="s">
        <v>575</v>
      </c>
      <c r="W36" s="21" t="s">
        <v>418</v>
      </c>
      <c r="X36" s="23" t="s">
        <v>479</v>
      </c>
      <c r="Y36" s="21" t="s">
        <v>355</v>
      </c>
      <c r="Z36" s="21" t="s">
        <v>548</v>
      </c>
      <c r="AA36" s="23" t="s">
        <v>481</v>
      </c>
      <c r="AB36" s="21" t="s">
        <v>482</v>
      </c>
      <c r="AC36" s="21" t="s">
        <v>477</v>
      </c>
      <c r="AE36" s="21" t="s">
        <v>507</v>
      </c>
      <c r="AF36" s="23" t="s">
        <v>549</v>
      </c>
      <c r="AG36" s="21" t="s">
        <v>576</v>
      </c>
      <c r="AH36" s="21" t="s">
        <v>487</v>
      </c>
      <c r="AI36" s="21"/>
      <c r="AJ36" s="21" t="s">
        <v>362</v>
      </c>
      <c r="AK36" s="31">
        <v>46147.0</v>
      </c>
      <c r="AL36" s="25" t="str">
        <f t="array" ref="AL36">IF(
                AG36 = "",
                "",
                       IF(
                           AG36 ="FOTOGRAFIA",
                           "LINK",
                           "https://www.appsheet.com/template/gettablefileurl?appName=MEDICIÓNDEESPESORES-924373673&amp;tableName=1_general&amp;fileName="&amp;AG36                         )
                          )</f>
        <v>https://www.appsheet.com/template/gettablefileurl?appName=MEDICIÓNDEESPESORES-924373673&amp;tableName=1_general&amp;fileName=1_general_Images/REPORT_SCANa4b3825d.firma.005155.png</v>
      </c>
      <c r="AM36" s="28" t="s">
        <v>577</v>
      </c>
      <c r="AN36" s="26"/>
      <c r="AO36" s="27" t="str">
        <f t="array" ref="AO36">IF(
                AM36 = "",
                "",
                       IF(
                           AM36 ="FOTOGRAFIA",
                           "LINK",
                           "https://www.appsheet.com/template/gettablefileurl?appName=MEDICIÓNDEESPESORES-924373673&amp;tableName=1_general&amp;fileName="&amp;AM36                         )
                          )</f>
        <v>https://www.appsheet.com/template/gettablefileurl?appName=MEDICIÓNDEESPESORES-924373673&amp;tableName=1_general&amp;fileName=1_general_Files_/REPORT_SCANa4b3825d.lectura.214956.xlsx</v>
      </c>
      <c r="AP36" s="21" t="s">
        <v>364</v>
      </c>
    </row>
    <row r="37" ht="14.25" customHeight="1">
      <c r="A37" s="21" t="s">
        <v>578</v>
      </c>
      <c r="B37" s="21" t="s">
        <v>344</v>
      </c>
      <c r="C37" s="23" t="s">
        <v>412</v>
      </c>
      <c r="D37" s="31">
        <v>46148.0</v>
      </c>
      <c r="E37" s="21">
        <v>1.000322738E9</v>
      </c>
      <c r="F37" s="23" t="s">
        <v>449</v>
      </c>
      <c r="G37" s="21" t="s">
        <v>413</v>
      </c>
      <c r="H37" s="21" t="s">
        <v>430</v>
      </c>
      <c r="I37" s="21" t="s">
        <v>579</v>
      </c>
      <c r="K37" s="21" t="s">
        <v>416</v>
      </c>
      <c r="M37" s="21" t="s">
        <v>580</v>
      </c>
      <c r="N37" s="21">
        <v>40.0</v>
      </c>
      <c r="T37" s="21" t="s">
        <v>324</v>
      </c>
      <c r="U37" s="21" t="s">
        <v>270</v>
      </c>
      <c r="V37" s="21" t="s">
        <v>271</v>
      </c>
      <c r="W37" s="21" t="s">
        <v>418</v>
      </c>
      <c r="X37" s="23" t="s">
        <v>419</v>
      </c>
      <c r="Y37" s="21" t="s">
        <v>561</v>
      </c>
      <c r="Z37" s="21" t="s">
        <v>548</v>
      </c>
      <c r="AA37" s="23" t="s">
        <v>421</v>
      </c>
      <c r="AC37" s="21" t="s">
        <v>580</v>
      </c>
      <c r="AD37" s="21" t="s">
        <v>581</v>
      </c>
      <c r="AE37" s="21" t="s">
        <v>435</v>
      </c>
      <c r="AF37" s="23" t="s">
        <v>582</v>
      </c>
      <c r="AG37" s="21" t="s">
        <v>583</v>
      </c>
      <c r="AH37" s="21" t="s">
        <v>584</v>
      </c>
      <c r="AI37" s="21"/>
      <c r="AJ37" s="21" t="s">
        <v>585</v>
      </c>
      <c r="AK37" s="31">
        <v>46148.0</v>
      </c>
      <c r="AL37" s="25" t="str">
        <f t="array" ref="AL37">IF(
                AG37 = "",
                "",
                       IF(
                           AG37 ="FOTOGRAFIA",
                           "LINK",
                           "https://www.appsheet.com/template/gettablefileurl?appName=MEDICIÓNDEESPESORES-924373673&amp;tableName=1_general&amp;fileName="&amp;AG37                         )
                          )</f>
        <v>https://www.appsheet.com/template/gettablefileurl?appName=MEDICIÓNDEESPESORES-924373673&amp;tableName=1_general&amp;fileName=1_general_Images/REPORT_SCANbb9e5fd9.firma.152532.png</v>
      </c>
      <c r="AM37" s="28" t="s">
        <v>586</v>
      </c>
      <c r="AN37" s="26"/>
      <c r="AO37" s="27" t="str">
        <f t="array" ref="AO37">IF(
                AM37 = "",
                "",
                       IF(
                           AM37 ="FOTOGRAFIA",
                           "LINK",
                           "https://www.appsheet.com/template/gettablefileurl?appName=MEDICIÓNDEESPESORES-924373673&amp;tableName=1_general&amp;fileName="&amp;AM37                         )
                          )</f>
        <v>https://www.appsheet.com/template/gettablefileurl?appName=MEDICIÓNDEESPESORES-924373673&amp;tableName=1_general&amp;fileName=1_general_Files_/REPORT_SCANbb9e5fd9.lectura.152532.xls</v>
      </c>
      <c r="AP37" s="21" t="s">
        <v>364</v>
      </c>
    </row>
    <row r="38" ht="14.25" customHeight="1">
      <c r="A38" s="21" t="s">
        <v>587</v>
      </c>
      <c r="B38" s="21" t="s">
        <v>344</v>
      </c>
      <c r="C38" s="23" t="s">
        <v>412</v>
      </c>
      <c r="D38" s="31">
        <v>46148.0</v>
      </c>
      <c r="E38" s="21">
        <v>1.000322738E9</v>
      </c>
      <c r="F38" s="23" t="s">
        <v>443</v>
      </c>
      <c r="G38" s="21" t="s">
        <v>413</v>
      </c>
      <c r="H38" s="21" t="s">
        <v>430</v>
      </c>
      <c r="I38" s="21" t="s">
        <v>588</v>
      </c>
      <c r="K38" s="21" t="s">
        <v>416</v>
      </c>
      <c r="M38" s="21" t="s">
        <v>580</v>
      </c>
      <c r="N38" s="21">
        <v>40.0</v>
      </c>
      <c r="T38" s="21" t="s">
        <v>324</v>
      </c>
      <c r="U38" s="21" t="s">
        <v>270</v>
      </c>
      <c r="V38" s="21" t="s">
        <v>271</v>
      </c>
      <c r="W38" s="21" t="s">
        <v>418</v>
      </c>
      <c r="X38" s="23" t="s">
        <v>419</v>
      </c>
      <c r="Y38" s="21" t="s">
        <v>561</v>
      </c>
      <c r="Z38" s="21" t="s">
        <v>548</v>
      </c>
      <c r="AA38" s="23" t="s">
        <v>421</v>
      </c>
      <c r="AC38" s="21" t="s">
        <v>580</v>
      </c>
      <c r="AD38" s="21" t="s">
        <v>581</v>
      </c>
      <c r="AE38" s="21" t="s">
        <v>435</v>
      </c>
      <c r="AF38" s="23" t="s">
        <v>582</v>
      </c>
      <c r="AG38" s="21" t="s">
        <v>589</v>
      </c>
      <c r="AH38" s="21" t="s">
        <v>425</v>
      </c>
      <c r="AI38" s="21"/>
      <c r="AJ38" s="21" t="s">
        <v>585</v>
      </c>
      <c r="AK38" s="31">
        <v>46148.0</v>
      </c>
      <c r="AL38" s="25" t="str">
        <f t="array" ref="AL38">IF(
                AG38 = "",
                "",
                       IF(
                           AG38 ="FOTOGRAFIA",
                           "LINK",
                           "https://www.appsheet.com/template/gettablefileurl?appName=MEDICIÓNDEESPESORES-924373673&amp;tableName=1_general&amp;fileName="&amp;AG38                         )
                          )</f>
        <v>https://www.appsheet.com/template/gettablefileurl?appName=MEDICIÓNDEESPESORES-924373673&amp;tableName=1_general&amp;fileName=1_general_Images/REPORT_SCAN52b609a0.firma.153844.png</v>
      </c>
      <c r="AM38" s="28" t="s">
        <v>590</v>
      </c>
      <c r="AN38" s="26"/>
      <c r="AO38" s="27" t="str">
        <f t="array" ref="AO38">IF(
                AM38 = "",
                "",
                       IF(
                           AM38 ="FOTOGRAFIA",
                           "LINK",
                           "https://www.appsheet.com/template/gettablefileurl?appName=MEDICIÓNDEESPESORES-924373673&amp;tableName=1_general&amp;fileName="&amp;AM38                         )
                          )</f>
        <v>https://www.appsheet.com/template/gettablefileurl?appName=MEDICIÓNDEESPESORES-924373673&amp;tableName=1_general&amp;fileName=1_general_Files_/REPORT_SCAN52b609a0.lectura.153844.xls</v>
      </c>
      <c r="AP38" s="21" t="s">
        <v>364</v>
      </c>
    </row>
    <row r="39" ht="14.25" customHeight="1">
      <c r="A39" s="21" t="s">
        <v>591</v>
      </c>
      <c r="B39" s="21" t="s">
        <v>344</v>
      </c>
      <c r="C39" s="23" t="s">
        <v>412</v>
      </c>
      <c r="D39" s="31">
        <v>46148.0</v>
      </c>
      <c r="E39" s="21">
        <v>1.000322738E9</v>
      </c>
      <c r="F39" s="23" t="s">
        <v>357</v>
      </c>
      <c r="G39" s="21" t="s">
        <v>413</v>
      </c>
      <c r="H39" s="21" t="s">
        <v>430</v>
      </c>
      <c r="I39" s="21" t="s">
        <v>592</v>
      </c>
      <c r="K39" s="21" t="s">
        <v>416</v>
      </c>
      <c r="M39" s="21" t="s">
        <v>580</v>
      </c>
      <c r="N39" s="21">
        <v>40.0</v>
      </c>
      <c r="T39" s="21" t="s">
        <v>324</v>
      </c>
      <c r="U39" s="21" t="s">
        <v>270</v>
      </c>
      <c r="V39" s="21" t="s">
        <v>271</v>
      </c>
      <c r="W39" s="21" t="s">
        <v>418</v>
      </c>
      <c r="X39" s="23" t="s">
        <v>419</v>
      </c>
      <c r="Y39" s="21" t="s">
        <v>561</v>
      </c>
      <c r="Z39" s="21" t="s">
        <v>548</v>
      </c>
      <c r="AA39" s="23" t="s">
        <v>421</v>
      </c>
      <c r="AC39" s="21" t="s">
        <v>580</v>
      </c>
      <c r="AD39" s="21" t="s">
        <v>581</v>
      </c>
      <c r="AE39" s="21" t="s">
        <v>435</v>
      </c>
      <c r="AF39" s="23" t="s">
        <v>582</v>
      </c>
      <c r="AG39" s="21" t="s">
        <v>593</v>
      </c>
      <c r="AH39" s="21" t="s">
        <v>425</v>
      </c>
      <c r="AI39" s="21"/>
      <c r="AJ39" s="21" t="s">
        <v>585</v>
      </c>
      <c r="AK39" s="31">
        <v>46148.0</v>
      </c>
      <c r="AL39" s="25" t="str">
        <f t="array" ref="AL39">IF(
                AG39 = "",
                "",
                       IF(
                           AG39 ="FOTOGRAFIA",
                           "LINK",
                           "https://www.appsheet.com/template/gettablefileurl?appName=MEDICIÓNDEESPESORES-924373673&amp;tableName=1_general&amp;fileName="&amp;AG39                         )
                          )</f>
        <v>https://www.appsheet.com/template/gettablefileurl?appName=MEDICIÓNDEESPESORES-924373673&amp;tableName=1_general&amp;fileName=1_general_Images/REPORT_SCANefea59e8.firma.154926.png</v>
      </c>
      <c r="AM39" s="28" t="s">
        <v>594</v>
      </c>
      <c r="AN39" s="26"/>
      <c r="AO39" s="27" t="str">
        <f t="array" ref="AO39">IF(
                AM39 = "",
                "",
                       IF(
                           AM39 ="FOTOGRAFIA",
                           "LINK",
                           "https://www.appsheet.com/template/gettablefileurl?appName=MEDICIÓNDEESPESORES-924373673&amp;tableName=1_general&amp;fileName="&amp;AM39                         )
                          )</f>
        <v>https://www.appsheet.com/template/gettablefileurl?appName=MEDICIÓNDEESPESORES-924373673&amp;tableName=1_general&amp;fileName=1_general_Files_/REPORT_SCANefea59e8.lectura.164723.xls</v>
      </c>
      <c r="AP39" s="21" t="s">
        <v>364</v>
      </c>
    </row>
    <row r="40" ht="14.25" customHeight="1">
      <c r="A40" s="21" t="s">
        <v>595</v>
      </c>
      <c r="B40" s="21" t="s">
        <v>218</v>
      </c>
      <c r="C40" s="23" t="s">
        <v>553</v>
      </c>
      <c r="D40" s="31">
        <v>46148.0</v>
      </c>
      <c r="E40" s="21">
        <v>2.7110401E7</v>
      </c>
      <c r="F40" s="23" t="s">
        <v>399</v>
      </c>
      <c r="G40" s="21" t="s">
        <v>554</v>
      </c>
      <c r="H40" s="21" t="s">
        <v>555</v>
      </c>
      <c r="I40" s="21" t="s">
        <v>596</v>
      </c>
      <c r="J40" s="21" t="s">
        <v>557</v>
      </c>
      <c r="K40" s="21" t="s">
        <v>333</v>
      </c>
      <c r="L40" s="21" t="s">
        <v>225</v>
      </c>
      <c r="M40" s="21" t="s">
        <v>558</v>
      </c>
      <c r="O40" s="21" t="s">
        <v>349</v>
      </c>
      <c r="P40" s="21" t="s">
        <v>350</v>
      </c>
      <c r="Q40" s="23" t="s">
        <v>267</v>
      </c>
      <c r="R40" s="21">
        <v>1480.0</v>
      </c>
      <c r="S40" s="23" t="s">
        <v>597</v>
      </c>
      <c r="T40" s="21" t="s">
        <v>324</v>
      </c>
      <c r="U40" s="21" t="s">
        <v>270</v>
      </c>
      <c r="V40" s="21" t="s">
        <v>271</v>
      </c>
      <c r="W40" s="21" t="s">
        <v>559</v>
      </c>
      <c r="X40" s="23" t="s">
        <v>560</v>
      </c>
      <c r="Y40" s="21" t="s">
        <v>561</v>
      </c>
      <c r="Z40" s="21" t="s">
        <v>562</v>
      </c>
      <c r="AA40" s="21" t="s">
        <v>563</v>
      </c>
      <c r="AB40" s="21" t="s">
        <v>564</v>
      </c>
      <c r="AC40" s="21" t="s">
        <v>565</v>
      </c>
      <c r="AD40" s="21" t="s">
        <v>566</v>
      </c>
      <c r="AE40" s="21" t="s">
        <v>598</v>
      </c>
      <c r="AF40" s="21" t="s">
        <v>567</v>
      </c>
      <c r="AG40" s="21" t="s">
        <v>599</v>
      </c>
      <c r="AH40" s="21" t="s">
        <v>569</v>
      </c>
      <c r="AI40" s="21"/>
      <c r="AJ40" s="21" t="s">
        <v>570</v>
      </c>
      <c r="AK40" s="31">
        <v>46148.0</v>
      </c>
      <c r="AL40" s="25" t="str">
        <f t="array" ref="AL40">IF(
                AG40 = "",
                "",
                       IF(
                           AG40 ="FOTOGRAFIA",
                           "LINK",
                           "https://www.appsheet.com/template/gettablefileurl?appName=MEDICIÓNDEESPESORES-924373673&amp;tableName=1_general&amp;fileName="&amp;AG40                         )
                          )</f>
        <v>https://www.appsheet.com/template/gettablefileurl?appName=MEDICIÓNDEESPESORES-924373673&amp;tableName=1_general&amp;fileName=1_general_Images/REPORT_SCAN9d4f3177.firma.160341.png</v>
      </c>
      <c r="AM40" s="26"/>
      <c r="AN40" s="27" t="s">
        <v>600</v>
      </c>
      <c r="AO40" s="28" t="str">
        <f t="array" ref="AO40">IF(
                AM40 = "",
                "",
                       IF(
                           AM40 ="FOTOGRAFIA",
                           "LINK",
                           "https://www.appsheet.com/template/gettablefileurl?appName=MEDICIÓNDEESPESORES-924373673&amp;tableName=1_general&amp;fileName="&amp;AM40                         )
                          )</f>
        <v/>
      </c>
      <c r="AP40" s="21"/>
    </row>
    <row r="41" ht="14.25" customHeight="1">
      <c r="A41" s="21" t="s">
        <v>601</v>
      </c>
      <c r="B41" s="21" t="s">
        <v>344</v>
      </c>
      <c r="C41" s="23" t="s">
        <v>412</v>
      </c>
      <c r="D41" s="31">
        <v>46148.0</v>
      </c>
      <c r="E41" s="21">
        <v>1.000322738E9</v>
      </c>
      <c r="F41" s="23" t="s">
        <v>529</v>
      </c>
      <c r="G41" s="21" t="s">
        <v>413</v>
      </c>
      <c r="H41" s="21" t="s">
        <v>430</v>
      </c>
      <c r="I41" s="21" t="s">
        <v>602</v>
      </c>
      <c r="K41" s="21" t="s">
        <v>416</v>
      </c>
      <c r="M41" s="21" t="s">
        <v>580</v>
      </c>
      <c r="N41" s="21">
        <v>40.0</v>
      </c>
      <c r="T41" s="21" t="s">
        <v>324</v>
      </c>
      <c r="U41" s="21" t="s">
        <v>270</v>
      </c>
      <c r="V41" s="21" t="s">
        <v>271</v>
      </c>
      <c r="W41" s="21" t="s">
        <v>418</v>
      </c>
      <c r="X41" s="23" t="s">
        <v>419</v>
      </c>
      <c r="Y41" s="21" t="s">
        <v>561</v>
      </c>
      <c r="Z41" s="21" t="s">
        <v>548</v>
      </c>
      <c r="AA41" s="23" t="s">
        <v>421</v>
      </c>
      <c r="AC41" s="21" t="s">
        <v>580</v>
      </c>
      <c r="AE41" s="21" t="s">
        <v>435</v>
      </c>
      <c r="AF41" s="23" t="s">
        <v>582</v>
      </c>
      <c r="AG41" s="21" t="s">
        <v>603</v>
      </c>
      <c r="AH41" s="21" t="s">
        <v>425</v>
      </c>
      <c r="AI41" s="21"/>
      <c r="AJ41" s="21" t="s">
        <v>585</v>
      </c>
      <c r="AK41" s="31">
        <v>46148.0</v>
      </c>
      <c r="AL41" s="25" t="str">
        <f t="array" ref="AL41">IF(
                AG41 = "",
                "",
                       IF(
                           AG41 ="FOTOGRAFIA",
                           "LINK",
                           "https://www.appsheet.com/template/gettablefileurl?appName=MEDICIÓNDEESPESORES-924373673&amp;tableName=1_general&amp;fileName="&amp;AG41                         )
                          )</f>
        <v>https://www.appsheet.com/template/gettablefileurl?appName=MEDICIÓNDEESPESORES-924373673&amp;tableName=1_general&amp;fileName=1_general_Images/REPORT_SCAN751b3aeb.firma.163543.png</v>
      </c>
      <c r="AM41" s="28" t="s">
        <v>604</v>
      </c>
      <c r="AN41" s="26"/>
      <c r="AO41" s="27" t="str">
        <f t="array" ref="AO41">IF(
                AM41 = "",
                "",
                       IF(
                           AM41 ="FOTOGRAFIA",
                           "LINK",
                           "https://www.appsheet.com/template/gettablefileurl?appName=MEDICIÓNDEESPESORES-924373673&amp;tableName=1_general&amp;fileName="&amp;AM41                         )
                          )</f>
        <v>https://www.appsheet.com/template/gettablefileurl?appName=MEDICIÓNDEESPESORES-924373673&amp;tableName=1_general&amp;fileName=1_general_Files_/REPORT_SCAN751b3aeb.lectura.164710.xls</v>
      </c>
      <c r="AP41" s="21" t="s">
        <v>364</v>
      </c>
    </row>
    <row r="42" ht="14.25" customHeight="1">
      <c r="A42" s="21" t="s">
        <v>605</v>
      </c>
      <c r="B42" s="21" t="s">
        <v>344</v>
      </c>
      <c r="C42" s="23" t="s">
        <v>412</v>
      </c>
      <c r="D42" s="31">
        <v>46148.0</v>
      </c>
      <c r="E42" s="21">
        <v>1.000322738E9</v>
      </c>
      <c r="F42" s="23" t="s">
        <v>534</v>
      </c>
      <c r="G42" s="21" t="s">
        <v>413</v>
      </c>
      <c r="H42" s="21" t="s">
        <v>430</v>
      </c>
      <c r="I42" s="21" t="s">
        <v>606</v>
      </c>
      <c r="K42" s="21" t="s">
        <v>416</v>
      </c>
      <c r="M42" s="21" t="s">
        <v>580</v>
      </c>
      <c r="N42" s="21">
        <v>40.0</v>
      </c>
      <c r="T42" s="21" t="s">
        <v>324</v>
      </c>
      <c r="U42" s="21" t="s">
        <v>270</v>
      </c>
      <c r="V42" s="21" t="s">
        <v>271</v>
      </c>
      <c r="W42" s="21" t="s">
        <v>418</v>
      </c>
      <c r="X42" s="23" t="s">
        <v>419</v>
      </c>
      <c r="Y42" s="21" t="s">
        <v>561</v>
      </c>
      <c r="Z42" s="21" t="s">
        <v>548</v>
      </c>
      <c r="AA42" s="23" t="s">
        <v>421</v>
      </c>
      <c r="AC42" s="21" t="s">
        <v>580</v>
      </c>
      <c r="AD42" s="21" t="s">
        <v>581</v>
      </c>
      <c r="AE42" s="21" t="s">
        <v>435</v>
      </c>
      <c r="AF42" s="23" t="s">
        <v>607</v>
      </c>
      <c r="AG42" s="21" t="s">
        <v>608</v>
      </c>
      <c r="AH42" s="21" t="s">
        <v>425</v>
      </c>
      <c r="AI42" s="21"/>
      <c r="AJ42" s="21" t="s">
        <v>585</v>
      </c>
      <c r="AK42" s="31">
        <v>46148.0</v>
      </c>
      <c r="AL42" s="25" t="str">
        <f t="array" ref="AL42">IF(
                AG42 = "",
                "",
                       IF(
                           AG42 ="FOTOGRAFIA",
                           "LINK",
                           "https://www.appsheet.com/template/gettablefileurl?appName=MEDICIÓNDEESPESORES-924373673&amp;tableName=1_general&amp;fileName="&amp;AG42                         )
                          )</f>
        <v>https://www.appsheet.com/template/gettablefileurl?appName=MEDICIÓNDEESPESORES-924373673&amp;tableName=1_general&amp;fileName=1_general_Images/REPORT_SCAN7ae4f57a.firma.164642.png</v>
      </c>
      <c r="AM42" s="28" t="s">
        <v>609</v>
      </c>
      <c r="AN42" s="26"/>
      <c r="AO42" s="27" t="str">
        <f t="array" ref="AO42">IF(
                AM42 = "",
                "",
                       IF(
                           AM42 ="FOTOGRAFIA",
                           "LINK",
                           "https://www.appsheet.com/template/gettablefileurl?appName=MEDICIÓNDEESPESORES-924373673&amp;tableName=1_general&amp;fileName="&amp;AM42                         )
                          )</f>
        <v>https://www.appsheet.com/template/gettablefileurl?appName=MEDICIÓNDEESPESORES-924373673&amp;tableName=1_general&amp;fileName=1_general_Files_/REPORT_SCAN7ae4f57a.lectura.164642.xls</v>
      </c>
      <c r="AP42" s="21" t="s">
        <v>364</v>
      </c>
    </row>
    <row r="43" ht="14.25" customHeight="1">
      <c r="A43" s="21" t="s">
        <v>610</v>
      </c>
      <c r="B43" s="21" t="s">
        <v>344</v>
      </c>
      <c r="D43" s="31">
        <v>46148.0</v>
      </c>
      <c r="F43" s="23" t="s">
        <v>611</v>
      </c>
      <c r="H43" s="21" t="s">
        <v>430</v>
      </c>
      <c r="I43" s="21" t="s">
        <v>612</v>
      </c>
      <c r="M43" s="21" t="s">
        <v>477</v>
      </c>
      <c r="N43" s="21">
        <v>38.0</v>
      </c>
      <c r="O43" s="21" t="s">
        <v>478</v>
      </c>
      <c r="Q43" s="23" t="s">
        <v>351</v>
      </c>
      <c r="U43" s="21" t="s">
        <v>253</v>
      </c>
      <c r="V43" s="21" t="s">
        <v>231</v>
      </c>
      <c r="W43" s="21" t="s">
        <v>418</v>
      </c>
      <c r="X43" s="23" t="s">
        <v>479</v>
      </c>
      <c r="Y43" s="21" t="s">
        <v>355</v>
      </c>
      <c r="Z43" s="21" t="s">
        <v>505</v>
      </c>
      <c r="AA43" s="23" t="s">
        <v>481</v>
      </c>
      <c r="AB43" s="21" t="s">
        <v>482</v>
      </c>
      <c r="AC43" s="21" t="s">
        <v>613</v>
      </c>
      <c r="AE43" s="21" t="s">
        <v>507</v>
      </c>
      <c r="AG43" s="21" t="s">
        <v>614</v>
      </c>
      <c r="AH43" s="21" t="s">
        <v>487</v>
      </c>
      <c r="AI43" s="21"/>
      <c r="AJ43" s="21" t="s">
        <v>362</v>
      </c>
      <c r="AK43" s="31">
        <v>46148.0</v>
      </c>
      <c r="AL43" s="25" t="str">
        <f t="array" ref="AL43">IF(
                AG43 = "",
                "",
                       IF(
                           AG43 ="FOTOGRAFIA",
                           "LINK",
                           "https://www.appsheet.com/template/gettablefileurl?appName=MEDICIÓNDEESPESORES-924373673&amp;tableName=1_general&amp;fileName="&amp;AG43                         )
                          )</f>
        <v>https://www.appsheet.com/template/gettablefileurl?appName=MEDICIÓNDEESPESORES-924373673&amp;tableName=1_general&amp;fileName=1_general_Images/REPORT_SCAN4c3ab3b7.firma.165316.png</v>
      </c>
      <c r="AM43" s="28" t="s">
        <v>615</v>
      </c>
      <c r="AN43" s="26"/>
      <c r="AO43" s="27" t="str">
        <f t="array" ref="AO43">IF(
                AM43 = "",
                "",
                       IF(
                           AM43 ="FOTOGRAFIA",
                           "LINK",
                           "https://www.appsheet.com/template/gettablefileurl?appName=MEDICIÓNDEESPESORES-924373673&amp;tableName=1_general&amp;fileName="&amp;AM43                         )
                          )</f>
        <v>https://www.appsheet.com/template/gettablefileurl?appName=MEDICIÓNDEESPESORES-924373673&amp;tableName=1_general&amp;fileName=1_general_Files_/REPORT_SCAN4c3ab3b7.lectura.215040.xlsx</v>
      </c>
      <c r="AP43" s="21" t="s">
        <v>364</v>
      </c>
    </row>
    <row r="44" ht="14.25" customHeight="1">
      <c r="A44" s="21" t="s">
        <v>616</v>
      </c>
      <c r="B44" s="21" t="s">
        <v>344</v>
      </c>
      <c r="C44" s="23" t="s">
        <v>412</v>
      </c>
      <c r="D44" s="31">
        <v>46148.0</v>
      </c>
      <c r="E44" s="21">
        <v>1.000322738E9</v>
      </c>
      <c r="F44" s="23" t="s">
        <v>540</v>
      </c>
      <c r="G44" s="21" t="s">
        <v>413</v>
      </c>
      <c r="H44" s="21" t="s">
        <v>430</v>
      </c>
      <c r="I44" s="21" t="s">
        <v>617</v>
      </c>
      <c r="K44" s="21" t="s">
        <v>416</v>
      </c>
      <c r="M44" s="21" t="s">
        <v>580</v>
      </c>
      <c r="N44" s="21">
        <v>40.0</v>
      </c>
      <c r="T44" s="21" t="s">
        <v>324</v>
      </c>
      <c r="U44" s="21" t="s">
        <v>270</v>
      </c>
      <c r="V44" s="21" t="s">
        <v>271</v>
      </c>
      <c r="W44" s="21" t="s">
        <v>418</v>
      </c>
      <c r="X44" s="23" t="s">
        <v>419</v>
      </c>
      <c r="Y44" s="21" t="s">
        <v>561</v>
      </c>
      <c r="Z44" s="21" t="s">
        <v>618</v>
      </c>
      <c r="AA44" s="23" t="s">
        <v>421</v>
      </c>
      <c r="AC44" s="21" t="s">
        <v>580</v>
      </c>
      <c r="AD44" s="21" t="s">
        <v>581</v>
      </c>
      <c r="AE44" s="21" t="s">
        <v>435</v>
      </c>
      <c r="AF44" s="23" t="s">
        <v>582</v>
      </c>
      <c r="AG44" s="21" t="s">
        <v>619</v>
      </c>
      <c r="AH44" s="21" t="s">
        <v>425</v>
      </c>
      <c r="AI44" s="21"/>
      <c r="AJ44" s="21" t="s">
        <v>585</v>
      </c>
      <c r="AK44" s="31">
        <v>46148.0</v>
      </c>
      <c r="AL44" s="25" t="str">
        <f t="array" ref="AL44">IF(
                AG44 = "",
                "",
                       IF(
                           AG44 ="FOTOGRAFIA",
                           "LINK",
                           "https://www.appsheet.com/template/gettablefileurl?appName=MEDICIÓNDEESPESORES-924373673&amp;tableName=1_general&amp;fileName="&amp;AG44                         )
                          )</f>
        <v>https://www.appsheet.com/template/gettablefileurl?appName=MEDICIÓNDEESPESORES-924373673&amp;tableName=1_general&amp;fileName=1_general_Images/REPORT_SCAN94b45a38.firma.165923.png</v>
      </c>
      <c r="AM44" s="28" t="s">
        <v>620</v>
      </c>
      <c r="AN44" s="26"/>
      <c r="AO44" s="27" t="str">
        <f t="array" ref="AO44">IF(
                AM44 = "",
                "",
                       IF(
                           AM44 ="FOTOGRAFIA",
                           "LINK",
                           "https://www.appsheet.com/template/gettablefileurl?appName=MEDICIÓNDEESPESORES-924373673&amp;tableName=1_general&amp;fileName="&amp;AM44                         )
                          )</f>
        <v>https://www.appsheet.com/template/gettablefileurl?appName=MEDICIÓNDEESPESORES-924373673&amp;tableName=1_general&amp;fileName=1_general_Files_/REPORT_SCAN94b45a38.lectura.165923.xls</v>
      </c>
      <c r="AP44" s="21" t="s">
        <v>364</v>
      </c>
    </row>
    <row r="45" ht="14.25" customHeight="1">
      <c r="A45" s="21" t="s">
        <v>621</v>
      </c>
      <c r="B45" s="21" t="s">
        <v>344</v>
      </c>
      <c r="C45" s="23" t="s">
        <v>412</v>
      </c>
      <c r="D45" s="31">
        <v>46148.0</v>
      </c>
      <c r="E45" s="21">
        <v>1.000322738E9</v>
      </c>
      <c r="F45" s="23" t="s">
        <v>546</v>
      </c>
      <c r="G45" s="21" t="s">
        <v>413</v>
      </c>
      <c r="H45" s="21" t="s">
        <v>430</v>
      </c>
      <c r="I45" s="21" t="s">
        <v>622</v>
      </c>
      <c r="K45" s="21" t="s">
        <v>416</v>
      </c>
      <c r="M45" s="21" t="s">
        <v>580</v>
      </c>
      <c r="N45" s="21">
        <v>40.0</v>
      </c>
      <c r="T45" s="21" t="s">
        <v>324</v>
      </c>
      <c r="U45" s="21" t="s">
        <v>270</v>
      </c>
      <c r="V45" s="21" t="s">
        <v>271</v>
      </c>
      <c r="W45" s="21" t="s">
        <v>418</v>
      </c>
      <c r="X45" s="23" t="s">
        <v>419</v>
      </c>
      <c r="Y45" s="21" t="s">
        <v>561</v>
      </c>
      <c r="Z45" s="21" t="s">
        <v>618</v>
      </c>
      <c r="AA45" s="23" t="s">
        <v>421</v>
      </c>
      <c r="AC45" s="21" t="s">
        <v>580</v>
      </c>
      <c r="AD45" s="21" t="s">
        <v>581</v>
      </c>
      <c r="AE45" s="21" t="s">
        <v>435</v>
      </c>
      <c r="AF45" s="23" t="s">
        <v>582</v>
      </c>
      <c r="AG45" s="21" t="s">
        <v>623</v>
      </c>
      <c r="AH45" s="21" t="s">
        <v>425</v>
      </c>
      <c r="AI45" s="21"/>
      <c r="AJ45" s="21" t="s">
        <v>585</v>
      </c>
      <c r="AK45" s="31">
        <v>46148.0</v>
      </c>
      <c r="AL45" s="25" t="str">
        <f t="array" ref="AL45">IF(
                AG45 = "",
                "",
                       IF(
                           AG45 ="FOTOGRAFIA",
                           "LINK",
                           "https://www.appsheet.com/template/gettablefileurl?appName=MEDICIÓNDEESPESORES-924373673&amp;tableName=1_general&amp;fileName="&amp;AG45                         )
                          )</f>
        <v>https://www.appsheet.com/template/gettablefileurl?appName=MEDICIÓNDEESPESORES-924373673&amp;tableName=1_general&amp;fileName=1_general_Images/REPORT_SCAN1176f8c8.firma.170645.png</v>
      </c>
      <c r="AM45" s="28" t="s">
        <v>624</v>
      </c>
      <c r="AN45" s="26"/>
      <c r="AO45" s="27" t="str">
        <f t="array" ref="AO45">IF(
                AM45 = "",
                "",
                       IF(
                           AM45 ="FOTOGRAFIA",
                           "LINK",
                           "https://www.appsheet.com/template/gettablefileurl?appName=MEDICIÓNDEESPESORES-924373673&amp;tableName=1_general&amp;fileName="&amp;AM45                         )
                          )</f>
        <v>https://www.appsheet.com/template/gettablefileurl?appName=MEDICIÓNDEESPESORES-924373673&amp;tableName=1_general&amp;fileName=1_general_Files_/REPORT_SCAN1176f8c8.lectura.170645.xls</v>
      </c>
      <c r="AP45" s="21" t="s">
        <v>364</v>
      </c>
    </row>
    <row r="46" ht="14.25" customHeight="1">
      <c r="A46" s="21" t="s">
        <v>625</v>
      </c>
      <c r="B46" s="21" t="s">
        <v>344</v>
      </c>
      <c r="D46" s="31">
        <v>46148.0</v>
      </c>
      <c r="F46" s="23" t="s">
        <v>626</v>
      </c>
      <c r="H46" s="21" t="s">
        <v>430</v>
      </c>
      <c r="I46" s="21" t="s">
        <v>627</v>
      </c>
      <c r="M46" s="21" t="s">
        <v>477</v>
      </c>
      <c r="N46" s="21">
        <v>38.0</v>
      </c>
      <c r="O46" s="21" t="s">
        <v>478</v>
      </c>
      <c r="Q46" s="23" t="s">
        <v>351</v>
      </c>
      <c r="U46" s="21" t="s">
        <v>253</v>
      </c>
      <c r="V46" s="21" t="s">
        <v>418</v>
      </c>
      <c r="W46" s="21" t="s">
        <v>231</v>
      </c>
      <c r="X46" s="23" t="s">
        <v>479</v>
      </c>
      <c r="Y46" s="21" t="s">
        <v>355</v>
      </c>
      <c r="Z46" s="21" t="s">
        <v>548</v>
      </c>
      <c r="AA46" s="23" t="s">
        <v>481</v>
      </c>
      <c r="AB46" s="21" t="s">
        <v>482</v>
      </c>
      <c r="AC46" s="21" t="s">
        <v>477</v>
      </c>
      <c r="AE46" s="21" t="s">
        <v>507</v>
      </c>
      <c r="AF46" s="23" t="s">
        <v>628</v>
      </c>
      <c r="AG46" s="21" t="s">
        <v>629</v>
      </c>
      <c r="AH46" s="21" t="s">
        <v>487</v>
      </c>
      <c r="AI46" s="21"/>
      <c r="AJ46" s="21" t="s">
        <v>488</v>
      </c>
      <c r="AK46" s="31">
        <v>46148.0</v>
      </c>
      <c r="AL46" s="25" t="str">
        <f t="array" ref="AL46">IF(
                AG46 = "",
                "",
                       IF(
                           AG46 ="FOTOGRAFIA",
                           "LINK",
                           "https://www.appsheet.com/template/gettablefileurl?appName=MEDICIÓNDEESPESORES-924373673&amp;tableName=1_general&amp;fileName="&amp;AG46                         )
                          )</f>
        <v>https://www.appsheet.com/template/gettablefileurl?appName=MEDICIÓNDEESPESORES-924373673&amp;tableName=1_general&amp;fileName=1_general_Images/REPORT_SCAN66070f00.firma.012808.png</v>
      </c>
      <c r="AM46" s="28" t="s">
        <v>630</v>
      </c>
      <c r="AN46" s="26"/>
      <c r="AO46" s="27" t="str">
        <f t="array" ref="AO46">IF(
                AM46 = "",
                "",
                       IF(
                           AM46 ="FOTOGRAFIA",
                           "LINK",
                           "https://www.appsheet.com/template/gettablefileurl?appName=MEDICIÓNDEESPESORES-924373673&amp;tableName=1_general&amp;fileName="&amp;AM46                         )
                          )</f>
        <v>https://www.appsheet.com/template/gettablefileurl?appName=MEDICIÓNDEESPESORES-924373673&amp;tableName=1_general&amp;fileName=1_general_Files_/REPORT_SCAN66070f00.lectura.012808.xlsx</v>
      </c>
      <c r="AP46" s="21" t="s">
        <v>364</v>
      </c>
    </row>
    <row r="47" ht="14.25" customHeight="1">
      <c r="A47" s="21" t="s">
        <v>631</v>
      </c>
      <c r="B47" s="21" t="s">
        <v>344</v>
      </c>
      <c r="D47" s="31">
        <v>46148.0</v>
      </c>
      <c r="F47" s="23" t="s">
        <v>632</v>
      </c>
      <c r="H47" s="21" t="s">
        <v>430</v>
      </c>
      <c r="I47" s="21" t="s">
        <v>633</v>
      </c>
      <c r="M47" s="21" t="s">
        <v>477</v>
      </c>
      <c r="N47" s="21">
        <v>38.0</v>
      </c>
      <c r="O47" s="21" t="s">
        <v>478</v>
      </c>
      <c r="Q47" s="23" t="s">
        <v>351</v>
      </c>
      <c r="U47" s="21" t="s">
        <v>253</v>
      </c>
      <c r="V47" s="21" t="s">
        <v>231</v>
      </c>
      <c r="W47" s="21" t="s">
        <v>418</v>
      </c>
      <c r="X47" s="23" t="s">
        <v>479</v>
      </c>
      <c r="Y47" s="21" t="s">
        <v>355</v>
      </c>
      <c r="Z47" s="21" t="s">
        <v>548</v>
      </c>
      <c r="AA47" s="23" t="s">
        <v>481</v>
      </c>
      <c r="AB47" s="21" t="s">
        <v>482</v>
      </c>
      <c r="AC47" s="21" t="s">
        <v>477</v>
      </c>
      <c r="AE47" s="21" t="s">
        <v>507</v>
      </c>
      <c r="AG47" s="21" t="s">
        <v>634</v>
      </c>
      <c r="AH47" s="21" t="s">
        <v>487</v>
      </c>
      <c r="AI47" s="21"/>
      <c r="AJ47" s="21" t="s">
        <v>488</v>
      </c>
      <c r="AK47" s="31">
        <v>46148.0</v>
      </c>
      <c r="AL47" s="25" t="str">
        <f t="array" ref="AL47">IF(
                AG47 = "",
                "",
                       IF(
                           AG47 ="FOTOGRAFIA",
                           "LINK",
                           "https://www.appsheet.com/template/gettablefileurl?appName=MEDICIÓNDEESPESORES-924373673&amp;tableName=1_general&amp;fileName="&amp;AG47                         )
                          )</f>
        <v>https://www.appsheet.com/template/gettablefileurl?appName=MEDICIÓNDEESPESORES-924373673&amp;tableName=1_general&amp;fileName=1_general_Images/REPORT_SCANdf60317c.firma.013341.png</v>
      </c>
      <c r="AM47" s="28" t="s">
        <v>635</v>
      </c>
      <c r="AN47" s="26"/>
      <c r="AO47" s="27" t="str">
        <f t="array" ref="AO47">IF(
                AM47 = "",
                "",
                       IF(
                           AM47 ="FOTOGRAFIA",
                           "LINK",
                           "https://www.appsheet.com/template/gettablefileurl?appName=MEDICIÓNDEESPESORES-924373673&amp;tableName=1_general&amp;fileName="&amp;AM47                         )
                          )</f>
        <v>https://www.appsheet.com/template/gettablefileurl?appName=MEDICIÓNDEESPESORES-924373673&amp;tableName=1_general&amp;fileName=1_general_Files_/REPORT_SCANdf60317c.lectura.215122.xlsx</v>
      </c>
      <c r="AP47" s="21" t="s">
        <v>364</v>
      </c>
    </row>
    <row r="48" ht="14.25" customHeight="1">
      <c r="A48" s="21" t="s">
        <v>636</v>
      </c>
      <c r="B48" s="21" t="s">
        <v>344</v>
      </c>
      <c r="D48" s="31">
        <v>46148.0</v>
      </c>
      <c r="F48" s="23" t="s">
        <v>637</v>
      </c>
      <c r="H48" s="21" t="s">
        <v>430</v>
      </c>
      <c r="I48" s="21" t="s">
        <v>638</v>
      </c>
      <c r="M48" s="21" t="s">
        <v>477</v>
      </c>
      <c r="N48" s="21">
        <v>38.0</v>
      </c>
      <c r="O48" s="21" t="s">
        <v>478</v>
      </c>
      <c r="Q48" s="23" t="s">
        <v>351</v>
      </c>
      <c r="U48" s="21" t="s">
        <v>253</v>
      </c>
      <c r="V48" s="21" t="s">
        <v>231</v>
      </c>
      <c r="W48" s="21" t="s">
        <v>418</v>
      </c>
      <c r="X48" s="23" t="s">
        <v>479</v>
      </c>
      <c r="Y48" s="21" t="s">
        <v>355</v>
      </c>
      <c r="Z48" s="21" t="s">
        <v>505</v>
      </c>
      <c r="AA48" s="23" t="s">
        <v>481</v>
      </c>
      <c r="AB48" s="21" t="s">
        <v>482</v>
      </c>
      <c r="AC48" s="21" t="s">
        <v>477</v>
      </c>
      <c r="AE48" s="21" t="s">
        <v>507</v>
      </c>
      <c r="AG48" s="21" t="s">
        <v>639</v>
      </c>
      <c r="AH48" s="21" t="s">
        <v>487</v>
      </c>
      <c r="AI48" s="21"/>
      <c r="AJ48" s="21" t="s">
        <v>488</v>
      </c>
      <c r="AK48" s="31">
        <v>46148.0</v>
      </c>
      <c r="AL48" s="25" t="str">
        <f t="array" ref="AL48">IF(
                AG48 = "",
                "",
                       IF(
                           AG48 ="FOTOGRAFIA",
                           "LINK",
                           "https://www.appsheet.com/template/gettablefileurl?appName=MEDICIÓNDEESPESORES-924373673&amp;tableName=1_general&amp;fileName="&amp;AG48                         )
                          )</f>
        <v>https://www.appsheet.com/template/gettablefileurl?appName=MEDICIÓNDEESPESORES-924373673&amp;tableName=1_general&amp;fileName=1_general_Images/REPORT_SCANdab5149e.firma.013808.png</v>
      </c>
      <c r="AM48" s="28" t="s">
        <v>640</v>
      </c>
      <c r="AN48" s="26"/>
      <c r="AO48" s="27" t="str">
        <f t="array" ref="AO48">IF(
                AM48 = "",
                "",
                       IF(
                           AM48 ="FOTOGRAFIA",
                           "LINK",
                           "https://www.appsheet.com/template/gettablefileurl?appName=MEDICIÓNDEESPESORES-924373673&amp;tableName=1_general&amp;fileName="&amp;AM48                         )
                          )</f>
        <v>https://www.appsheet.com/template/gettablefileurl?appName=MEDICIÓNDEESPESORES-924373673&amp;tableName=1_general&amp;fileName=1_general_Files_/REPORT_SCANdab5149e.lectura.215142.xlsx</v>
      </c>
      <c r="AP48" s="21" t="s">
        <v>364</v>
      </c>
    </row>
    <row r="49" ht="14.25" customHeight="1">
      <c r="A49" s="21" t="s">
        <v>641</v>
      </c>
      <c r="B49" s="21" t="s">
        <v>344</v>
      </c>
      <c r="C49" s="23" t="s">
        <v>412</v>
      </c>
      <c r="D49" s="31">
        <v>46149.0</v>
      </c>
      <c r="E49" s="21">
        <v>1.000322738E9</v>
      </c>
      <c r="F49" s="23" t="s">
        <v>573</v>
      </c>
      <c r="G49" s="21" t="s">
        <v>413</v>
      </c>
      <c r="H49" s="21" t="s">
        <v>430</v>
      </c>
      <c r="I49" s="21" t="s">
        <v>642</v>
      </c>
      <c r="K49" s="21" t="s">
        <v>416</v>
      </c>
      <c r="M49" s="21" t="s">
        <v>580</v>
      </c>
      <c r="N49" s="21">
        <v>40.0</v>
      </c>
      <c r="O49" s="21" t="s">
        <v>478</v>
      </c>
      <c r="T49" s="21" t="s">
        <v>324</v>
      </c>
      <c r="U49" s="21" t="s">
        <v>270</v>
      </c>
      <c r="V49" s="21" t="s">
        <v>271</v>
      </c>
      <c r="W49" s="21" t="s">
        <v>418</v>
      </c>
      <c r="X49" s="23" t="s">
        <v>419</v>
      </c>
      <c r="Y49" s="21" t="s">
        <v>561</v>
      </c>
      <c r="Z49" s="21" t="s">
        <v>548</v>
      </c>
      <c r="AA49" s="23" t="s">
        <v>421</v>
      </c>
      <c r="AC49" s="21" t="s">
        <v>580</v>
      </c>
      <c r="AD49" s="21" t="s">
        <v>581</v>
      </c>
      <c r="AE49" s="21" t="s">
        <v>435</v>
      </c>
      <c r="AF49" s="23" t="s">
        <v>607</v>
      </c>
      <c r="AG49" s="21" t="s">
        <v>643</v>
      </c>
      <c r="AH49" s="21" t="s">
        <v>425</v>
      </c>
      <c r="AI49" s="21"/>
      <c r="AJ49" s="21" t="s">
        <v>585</v>
      </c>
      <c r="AK49" s="31">
        <v>46149.0</v>
      </c>
      <c r="AL49" s="25" t="str">
        <f t="array" ref="AL49">IF(
                AG49 = "",
                "",
                       IF(
                           AG49 ="FOTOGRAFIA",
                           "LINK",
                           "https://www.appsheet.com/template/gettablefileurl?appName=MEDICIÓNDEESPESORES-924373673&amp;tableName=1_general&amp;fileName="&amp;AG49                         )
                          )</f>
        <v>https://www.appsheet.com/template/gettablefileurl?appName=MEDICIÓNDEESPESORES-924373673&amp;tableName=1_general&amp;fileName=1_general_Images/REPORT_SCAN050c4563.firma.143953.png</v>
      </c>
      <c r="AM49" s="28" t="s">
        <v>644</v>
      </c>
      <c r="AN49" s="26"/>
      <c r="AO49" s="27" t="str">
        <f t="array" ref="AO49">IF(
                AM49 = "",
                "",
                       IF(
                           AM49 ="FOTOGRAFIA",
                           "LINK",
                           "https://www.appsheet.com/template/gettablefileurl?appName=MEDICIÓNDEESPESORES-924373673&amp;tableName=1_general&amp;fileName="&amp;AM49                         )
                          )</f>
        <v>https://www.appsheet.com/template/gettablefileurl?appName=MEDICIÓNDEESPESORES-924373673&amp;tableName=1_general&amp;fileName=1_general_Files_/REPORT_SCAN050c4563.lectura.143953.xls</v>
      </c>
      <c r="AP49" s="21" t="s">
        <v>364</v>
      </c>
    </row>
    <row r="50" ht="14.25" customHeight="1">
      <c r="A50" s="21" t="s">
        <v>645</v>
      </c>
      <c r="B50" s="21" t="s">
        <v>344</v>
      </c>
      <c r="C50" s="23" t="s">
        <v>412</v>
      </c>
      <c r="D50" s="31">
        <v>46149.0</v>
      </c>
      <c r="E50" s="21">
        <v>1.000322738E9</v>
      </c>
      <c r="F50" s="23" t="s">
        <v>611</v>
      </c>
      <c r="G50" s="21" t="s">
        <v>413</v>
      </c>
      <c r="H50" s="21" t="s">
        <v>430</v>
      </c>
      <c r="I50" s="21" t="s">
        <v>646</v>
      </c>
      <c r="K50" s="21" t="s">
        <v>416</v>
      </c>
      <c r="M50" s="21" t="s">
        <v>580</v>
      </c>
      <c r="N50" s="21">
        <v>40.0</v>
      </c>
      <c r="T50" s="21" t="s">
        <v>324</v>
      </c>
      <c r="U50" s="21" t="s">
        <v>270</v>
      </c>
      <c r="V50" s="21" t="s">
        <v>271</v>
      </c>
      <c r="W50" s="21" t="s">
        <v>418</v>
      </c>
      <c r="X50" s="23" t="s">
        <v>419</v>
      </c>
      <c r="Y50" s="21" t="s">
        <v>561</v>
      </c>
      <c r="Z50" s="21" t="s">
        <v>548</v>
      </c>
      <c r="AA50" s="23" t="s">
        <v>421</v>
      </c>
      <c r="AC50" s="21" t="s">
        <v>580</v>
      </c>
      <c r="AD50" s="21" t="s">
        <v>581</v>
      </c>
      <c r="AE50" s="21" t="s">
        <v>435</v>
      </c>
      <c r="AF50" s="23" t="s">
        <v>607</v>
      </c>
      <c r="AG50" s="21" t="s">
        <v>647</v>
      </c>
      <c r="AH50" s="21" t="s">
        <v>425</v>
      </c>
      <c r="AI50" s="21"/>
      <c r="AJ50" s="21" t="s">
        <v>585</v>
      </c>
      <c r="AK50" s="31">
        <v>46149.0</v>
      </c>
      <c r="AL50" s="25" t="str">
        <f t="array" ref="AL50">IF(
                AG50 = "",
                "",
                       IF(
                           AG50 ="FOTOGRAFIA",
                           "LINK",
                           "https://www.appsheet.com/template/gettablefileurl?appName=MEDICIÓNDEESPESORES-924373673&amp;tableName=1_general&amp;fileName="&amp;AG50                         )
                          )</f>
        <v>https://www.appsheet.com/template/gettablefileurl?appName=MEDICIÓNDEESPESORES-924373673&amp;tableName=1_general&amp;fileName=1_general_Images/REPORT_SCANf9797762.firma.144633.png</v>
      </c>
      <c r="AM50" s="28" t="s">
        <v>648</v>
      </c>
      <c r="AN50" s="26"/>
      <c r="AO50" s="27" t="str">
        <f t="array" ref="AO50">IF(
                AM50 = "",
                "",
                       IF(
                           AM50 ="FOTOGRAFIA",
                           "LINK",
                           "https://www.appsheet.com/template/gettablefileurl?appName=MEDICIÓNDEESPESORES-924373673&amp;tableName=1_general&amp;fileName="&amp;AM50                         )
                          )</f>
        <v>https://www.appsheet.com/template/gettablefileurl?appName=MEDICIÓNDEESPESORES-924373673&amp;tableName=1_general&amp;fileName=1_general_Files_/REPORT_SCANf9797762.lectura.144633.xls</v>
      </c>
      <c r="AP50" s="21" t="s">
        <v>364</v>
      </c>
    </row>
    <row r="51" ht="14.25" customHeight="1">
      <c r="A51" s="21" t="s">
        <v>649</v>
      </c>
      <c r="B51" s="21" t="s">
        <v>344</v>
      </c>
      <c r="C51" s="23" t="s">
        <v>412</v>
      </c>
      <c r="D51" s="31">
        <v>46149.0</v>
      </c>
      <c r="E51" s="21">
        <v>1.000322738E9</v>
      </c>
      <c r="F51" s="23" t="s">
        <v>626</v>
      </c>
      <c r="G51" s="21" t="s">
        <v>413</v>
      </c>
      <c r="H51" s="21" t="s">
        <v>430</v>
      </c>
      <c r="I51" s="21" t="s">
        <v>650</v>
      </c>
      <c r="K51" s="21" t="s">
        <v>416</v>
      </c>
      <c r="M51" s="21" t="s">
        <v>580</v>
      </c>
      <c r="N51" s="21">
        <v>40.0</v>
      </c>
      <c r="T51" s="21" t="s">
        <v>324</v>
      </c>
      <c r="U51" s="21" t="s">
        <v>270</v>
      </c>
      <c r="V51" s="21" t="s">
        <v>271</v>
      </c>
      <c r="W51" s="21" t="s">
        <v>418</v>
      </c>
      <c r="X51" s="23" t="s">
        <v>419</v>
      </c>
      <c r="Y51" s="21" t="s">
        <v>561</v>
      </c>
      <c r="Z51" s="21" t="s">
        <v>548</v>
      </c>
      <c r="AA51" s="23" t="s">
        <v>421</v>
      </c>
      <c r="AC51" s="21" t="s">
        <v>580</v>
      </c>
      <c r="AD51" s="21" t="s">
        <v>581</v>
      </c>
      <c r="AE51" s="21" t="s">
        <v>435</v>
      </c>
      <c r="AF51" s="23" t="s">
        <v>607</v>
      </c>
      <c r="AG51" s="21" t="s">
        <v>651</v>
      </c>
      <c r="AH51" s="21" t="s">
        <v>425</v>
      </c>
      <c r="AI51" s="21"/>
      <c r="AJ51" s="21" t="s">
        <v>585</v>
      </c>
      <c r="AK51" s="31">
        <v>46149.0</v>
      </c>
      <c r="AL51" s="25" t="str">
        <f t="array" ref="AL51">IF(
                AG51 = "",
                "",
                       IF(
                           AG51 ="FOTOGRAFIA",
                           "LINK",
                           "https://www.appsheet.com/template/gettablefileurl?appName=MEDICIÓNDEESPESORES-924373673&amp;tableName=1_general&amp;fileName="&amp;AG51                         )
                          )</f>
        <v>https://www.appsheet.com/template/gettablefileurl?appName=MEDICIÓNDEESPESORES-924373673&amp;tableName=1_general&amp;fileName=1_general_Images/REPORT_SCAN32d81cbf.firma.150001.png</v>
      </c>
      <c r="AM51" s="28" t="s">
        <v>652</v>
      </c>
      <c r="AN51" s="26"/>
      <c r="AO51" s="27" t="str">
        <f t="array" ref="AO51">IF(
                AM51 = "",
                "",
                       IF(
                           AM51 ="FOTOGRAFIA",
                           "LINK",
                           "https://www.appsheet.com/template/gettablefileurl?appName=MEDICIÓNDEESPESORES-924373673&amp;tableName=1_general&amp;fileName="&amp;AM51                         )
                          )</f>
        <v>https://www.appsheet.com/template/gettablefileurl?appName=MEDICIÓNDEESPESORES-924373673&amp;tableName=1_general&amp;fileName=1_general_Files_/REPORT_SCAN32d81cbf.lectura.150001.xls</v>
      </c>
      <c r="AP51" s="21" t="s">
        <v>364</v>
      </c>
    </row>
    <row r="52" ht="14.25" customHeight="1">
      <c r="A52" s="21" t="s">
        <v>653</v>
      </c>
      <c r="B52" s="21" t="s">
        <v>344</v>
      </c>
      <c r="D52" s="31">
        <v>46149.0</v>
      </c>
      <c r="F52" s="23" t="s">
        <v>274</v>
      </c>
      <c r="H52" s="21" t="s">
        <v>430</v>
      </c>
      <c r="I52" s="21" t="s">
        <v>654</v>
      </c>
      <c r="M52" s="21" t="s">
        <v>477</v>
      </c>
      <c r="N52" s="21">
        <v>38.0</v>
      </c>
      <c r="O52" s="21" t="s">
        <v>478</v>
      </c>
      <c r="Q52" s="23" t="s">
        <v>351</v>
      </c>
      <c r="U52" s="21" t="s">
        <v>253</v>
      </c>
      <c r="V52" s="21" t="s">
        <v>231</v>
      </c>
      <c r="W52" s="21" t="s">
        <v>418</v>
      </c>
      <c r="X52" s="23" t="s">
        <v>479</v>
      </c>
      <c r="Y52" s="21" t="s">
        <v>355</v>
      </c>
      <c r="Z52" s="21" t="s">
        <v>505</v>
      </c>
      <c r="AA52" s="23" t="s">
        <v>481</v>
      </c>
      <c r="AB52" s="21" t="s">
        <v>482</v>
      </c>
      <c r="AC52" s="21" t="s">
        <v>477</v>
      </c>
      <c r="AE52" s="21" t="s">
        <v>507</v>
      </c>
      <c r="AF52" s="23" t="s">
        <v>655</v>
      </c>
      <c r="AG52" s="21" t="s">
        <v>656</v>
      </c>
      <c r="AH52" s="21" t="s">
        <v>487</v>
      </c>
      <c r="AI52" s="21"/>
      <c r="AJ52" s="21" t="s">
        <v>362</v>
      </c>
      <c r="AK52" s="31">
        <v>46149.0</v>
      </c>
      <c r="AL52" s="25" t="str">
        <f t="array" ref="AL52">IF(
                AG52 = "",
                "",
                       IF(
                           AG52 ="FOTOGRAFIA",
                           "LINK",
                           "https://www.appsheet.com/template/gettablefileurl?appName=MEDICIÓNDEESPESORES-924373673&amp;tableName=1_general&amp;fileName="&amp;AG52                         )
                          )</f>
        <v>https://www.appsheet.com/template/gettablefileurl?appName=MEDICIÓNDEESPESORES-924373673&amp;tableName=1_general&amp;fileName=1_general_Images/REPORT_SCANf91c04ac.firma.164901.png</v>
      </c>
      <c r="AM52" s="28" t="s">
        <v>657</v>
      </c>
      <c r="AN52" s="26"/>
      <c r="AO52" s="27" t="str">
        <f t="array" ref="AO52">IF(
                AM52 = "",
                "",
                       IF(
                           AM52 ="FOTOGRAFIA",
                           "LINK",
                           "https://www.appsheet.com/template/gettablefileurl?appName=MEDICIÓNDEESPESORES-924373673&amp;tableName=1_general&amp;fileName="&amp;AM52                         )
                          )</f>
        <v>https://www.appsheet.com/template/gettablefileurl?appName=MEDICIÓNDEESPESORES-924373673&amp;tableName=1_general&amp;fileName=1_general_Files_/REPORT_SCANf91c04ac.lectura.215216.xlsx</v>
      </c>
      <c r="AP52" s="21" t="s">
        <v>364</v>
      </c>
    </row>
    <row r="53" ht="14.25" customHeight="1">
      <c r="A53" s="21" t="s">
        <v>658</v>
      </c>
      <c r="B53" s="21" t="s">
        <v>344</v>
      </c>
      <c r="C53" s="23" t="s">
        <v>412</v>
      </c>
      <c r="D53" s="31">
        <v>46149.0</v>
      </c>
      <c r="F53" s="23" t="s">
        <v>632</v>
      </c>
      <c r="G53" s="21" t="s">
        <v>413</v>
      </c>
      <c r="H53" s="21" t="s">
        <v>430</v>
      </c>
      <c r="I53" s="21" t="s">
        <v>659</v>
      </c>
      <c r="K53" s="21" t="s">
        <v>416</v>
      </c>
      <c r="M53" s="21" t="s">
        <v>580</v>
      </c>
      <c r="N53" s="21">
        <v>40.0</v>
      </c>
      <c r="T53" s="21" t="s">
        <v>324</v>
      </c>
      <c r="U53" s="21" t="s">
        <v>270</v>
      </c>
      <c r="V53" s="21" t="s">
        <v>271</v>
      </c>
      <c r="W53" s="21" t="s">
        <v>418</v>
      </c>
      <c r="X53" s="23" t="s">
        <v>419</v>
      </c>
      <c r="Y53" s="21" t="s">
        <v>561</v>
      </c>
      <c r="Z53" s="21" t="s">
        <v>660</v>
      </c>
      <c r="AA53" s="23" t="s">
        <v>433</v>
      </c>
      <c r="AC53" s="21" t="s">
        <v>580</v>
      </c>
      <c r="AD53" s="21" t="s">
        <v>581</v>
      </c>
      <c r="AE53" s="21" t="s">
        <v>435</v>
      </c>
      <c r="AF53" s="23" t="s">
        <v>661</v>
      </c>
      <c r="AG53" s="21" t="s">
        <v>662</v>
      </c>
      <c r="AH53" s="21" t="s">
        <v>425</v>
      </c>
      <c r="AI53" s="21"/>
      <c r="AJ53" s="21" t="s">
        <v>585</v>
      </c>
      <c r="AK53" s="31">
        <v>46149.0</v>
      </c>
      <c r="AL53" s="25" t="str">
        <f t="array" ref="AL53">IF(
                AG53 = "",
                "",
                       IF(
                           AG53 ="FOTOGRAFIA",
                           "LINK",
                           "https://www.appsheet.com/template/gettablefileurl?appName=MEDICIÓNDEESPESORES-924373673&amp;tableName=1_general&amp;fileName="&amp;AG53                         )
                          )</f>
        <v>https://www.appsheet.com/template/gettablefileurl?appName=MEDICIÓNDEESPESORES-924373673&amp;tableName=1_general&amp;fileName=1_general_Images/REPORT_SCAN501e3aeb.firma.203052.png</v>
      </c>
      <c r="AM53" s="28" t="s">
        <v>663</v>
      </c>
      <c r="AN53" s="26"/>
      <c r="AO53" s="27" t="str">
        <f t="array" ref="AO53">IF(
                AM53 = "",
                "",
                       IF(
                           AM53 ="FOTOGRAFIA",
                           "LINK",
                           "https://www.appsheet.com/template/gettablefileurl?appName=MEDICIÓNDEESPESORES-924373673&amp;tableName=1_general&amp;fileName="&amp;AM53                         )
                          )</f>
        <v>https://www.appsheet.com/template/gettablefileurl?appName=MEDICIÓNDEESPESORES-924373673&amp;tableName=1_general&amp;fileName=1_general_Files_/REPORT_SCAN501e3aeb.lectura.203052.1.xls</v>
      </c>
      <c r="AP53" s="21" t="s">
        <v>364</v>
      </c>
    </row>
    <row r="54" ht="14.25" customHeight="1">
      <c r="A54" s="21" t="s">
        <v>664</v>
      </c>
      <c r="B54" s="21" t="s">
        <v>344</v>
      </c>
      <c r="C54" s="23" t="s">
        <v>412</v>
      </c>
      <c r="D54" s="31">
        <v>46149.0</v>
      </c>
      <c r="E54" s="21">
        <v>1.000322738E9</v>
      </c>
      <c r="F54" s="23" t="s">
        <v>637</v>
      </c>
      <c r="G54" s="21" t="s">
        <v>413</v>
      </c>
      <c r="H54" s="21" t="s">
        <v>430</v>
      </c>
      <c r="I54" s="21" t="s">
        <v>665</v>
      </c>
      <c r="K54" s="21" t="s">
        <v>416</v>
      </c>
      <c r="M54" s="21" t="s">
        <v>580</v>
      </c>
      <c r="N54" s="21">
        <v>40.0</v>
      </c>
      <c r="T54" s="21" t="s">
        <v>324</v>
      </c>
      <c r="U54" s="21" t="s">
        <v>270</v>
      </c>
      <c r="V54" s="21" t="s">
        <v>271</v>
      </c>
      <c r="W54" s="21" t="s">
        <v>418</v>
      </c>
      <c r="X54" s="23" t="s">
        <v>419</v>
      </c>
      <c r="Y54" s="21" t="s">
        <v>561</v>
      </c>
      <c r="Z54" s="21" t="s">
        <v>660</v>
      </c>
      <c r="AA54" s="23" t="s">
        <v>433</v>
      </c>
      <c r="AC54" s="21" t="s">
        <v>580</v>
      </c>
      <c r="AD54" s="21" t="s">
        <v>581</v>
      </c>
      <c r="AE54" s="21" t="s">
        <v>435</v>
      </c>
      <c r="AF54" s="23" t="s">
        <v>661</v>
      </c>
      <c r="AG54" s="21" t="s">
        <v>666</v>
      </c>
      <c r="AH54" s="21" t="s">
        <v>425</v>
      </c>
      <c r="AI54" s="21"/>
      <c r="AJ54" s="21" t="s">
        <v>585</v>
      </c>
      <c r="AK54" s="31">
        <v>46149.0</v>
      </c>
      <c r="AL54" s="25" t="str">
        <f t="array" ref="AL54">IF(
                AG54 = "",
                "",
                       IF(
                           AG54 ="FOTOGRAFIA",
                           "LINK",
                           "https://www.appsheet.com/template/gettablefileurl?appName=MEDICIÓNDEESPESORES-924373673&amp;tableName=1_general&amp;fileName="&amp;AG54                         )
                          )</f>
        <v>https://www.appsheet.com/template/gettablefileurl?appName=MEDICIÓNDEESPESORES-924373673&amp;tableName=1_general&amp;fileName=1_general_Images/REPORT_SCANe4ad7a73.firma.204322.png</v>
      </c>
      <c r="AM54" s="28" t="s">
        <v>667</v>
      </c>
      <c r="AN54" s="26"/>
      <c r="AO54" s="27" t="str">
        <f t="array" ref="AO54">IF(
                AM54 = "",
                "",
                       IF(
                           AM54 ="FOTOGRAFIA",
                           "LINK",
                           "https://www.appsheet.com/template/gettablefileurl?appName=MEDICIÓNDEESPESORES-924373673&amp;tableName=1_general&amp;fileName="&amp;AM54                         )
                          )</f>
        <v>https://www.appsheet.com/template/gettablefileurl?appName=MEDICIÓNDEESPESORES-924373673&amp;tableName=1_general&amp;fileName=1_general_Files_/REPORT_SCANe4ad7a73.lectura.204322.1.xls</v>
      </c>
      <c r="AP54" s="21" t="s">
        <v>364</v>
      </c>
    </row>
    <row r="55" ht="14.25" customHeight="1">
      <c r="A55" s="21" t="s">
        <v>668</v>
      </c>
      <c r="B55" s="21" t="s">
        <v>344</v>
      </c>
      <c r="C55" s="23" t="s">
        <v>412</v>
      </c>
      <c r="D55" s="31">
        <v>46149.0</v>
      </c>
      <c r="E55" s="21">
        <v>1.000322738E9</v>
      </c>
      <c r="F55" s="23" t="s">
        <v>274</v>
      </c>
      <c r="G55" s="21" t="s">
        <v>413</v>
      </c>
      <c r="H55" s="21" t="s">
        <v>430</v>
      </c>
      <c r="I55" s="21" t="s">
        <v>669</v>
      </c>
      <c r="K55" s="21" t="s">
        <v>416</v>
      </c>
      <c r="M55" s="21" t="s">
        <v>580</v>
      </c>
      <c r="N55" s="21">
        <v>40.0</v>
      </c>
      <c r="T55" s="21" t="s">
        <v>324</v>
      </c>
      <c r="U55" s="21" t="s">
        <v>270</v>
      </c>
      <c r="V55" s="21" t="s">
        <v>271</v>
      </c>
      <c r="W55" s="21" t="s">
        <v>418</v>
      </c>
      <c r="X55" s="23" t="s">
        <v>419</v>
      </c>
      <c r="Y55" s="21" t="s">
        <v>561</v>
      </c>
      <c r="Z55" s="21" t="s">
        <v>660</v>
      </c>
      <c r="AA55" s="23" t="s">
        <v>433</v>
      </c>
      <c r="AC55" s="21" t="s">
        <v>580</v>
      </c>
      <c r="AD55" s="21" t="s">
        <v>581</v>
      </c>
      <c r="AE55" s="21" t="s">
        <v>435</v>
      </c>
      <c r="AF55" s="23" t="s">
        <v>661</v>
      </c>
      <c r="AG55" s="21" t="s">
        <v>670</v>
      </c>
      <c r="AH55" s="21" t="s">
        <v>425</v>
      </c>
      <c r="AI55" s="21"/>
      <c r="AJ55" s="21" t="s">
        <v>585</v>
      </c>
      <c r="AK55" s="31">
        <v>46149.0</v>
      </c>
      <c r="AL55" s="25" t="str">
        <f t="array" ref="AL55">IF(
                AG55 = "",
                "",
                       IF(
                           AG55 ="FOTOGRAFIA",
                           "LINK",
                           "https://www.appsheet.com/template/gettablefileurl?appName=MEDICIÓNDEESPESORES-924373673&amp;tableName=1_general&amp;fileName="&amp;AG55                         )
                          )</f>
        <v>https://www.appsheet.com/template/gettablefileurl?appName=MEDICIÓNDEESPESORES-924373673&amp;tableName=1_general&amp;fileName=1_general_Images/REPORT_SCAN461cb1f7.firma.210417.png</v>
      </c>
      <c r="AM55" s="28" t="s">
        <v>671</v>
      </c>
      <c r="AN55" s="26"/>
      <c r="AO55" s="27" t="str">
        <f t="array" ref="AO55">IF(
                AM55 = "",
                "",
                       IF(
                           AM55 ="FOTOGRAFIA",
                           "LINK",
                           "https://www.appsheet.com/template/gettablefileurl?appName=MEDICIÓNDEESPESORES-924373673&amp;tableName=1_general&amp;fileName="&amp;AM55                         )
                          )</f>
        <v>https://www.appsheet.com/template/gettablefileurl?appName=MEDICIÓNDEESPESORES-924373673&amp;tableName=1_general&amp;fileName=1_general_Files_/REPORT_SCAN461cb1f7.lectura.211935.1.xls</v>
      </c>
      <c r="AP55" s="21" t="s">
        <v>364</v>
      </c>
    </row>
    <row r="56" ht="14.25" customHeight="1">
      <c r="A56" s="21" t="s">
        <v>672</v>
      </c>
      <c r="B56" s="21" t="s">
        <v>344</v>
      </c>
      <c r="C56" s="23" t="s">
        <v>412</v>
      </c>
      <c r="D56" s="31">
        <v>46149.0</v>
      </c>
      <c r="E56" s="21">
        <v>1.000322738E9</v>
      </c>
      <c r="F56" s="23" t="s">
        <v>673</v>
      </c>
      <c r="G56" s="21" t="s">
        <v>413</v>
      </c>
      <c r="H56" s="21" t="s">
        <v>430</v>
      </c>
      <c r="I56" s="21" t="s">
        <v>674</v>
      </c>
      <c r="K56" s="21" t="s">
        <v>416</v>
      </c>
      <c r="M56" s="21" t="s">
        <v>580</v>
      </c>
      <c r="N56" s="21">
        <v>40.0</v>
      </c>
      <c r="T56" s="21" t="s">
        <v>324</v>
      </c>
      <c r="U56" s="21" t="s">
        <v>270</v>
      </c>
      <c r="V56" s="21" t="s">
        <v>271</v>
      </c>
      <c r="W56" s="21" t="s">
        <v>418</v>
      </c>
      <c r="X56" s="23" t="s">
        <v>419</v>
      </c>
      <c r="Y56" s="21" t="s">
        <v>561</v>
      </c>
      <c r="Z56" s="21" t="s">
        <v>660</v>
      </c>
      <c r="AA56" s="23" t="s">
        <v>433</v>
      </c>
      <c r="AC56" s="21" t="s">
        <v>580</v>
      </c>
      <c r="AD56" s="21" t="s">
        <v>581</v>
      </c>
      <c r="AE56" s="21" t="s">
        <v>435</v>
      </c>
      <c r="AF56" s="23" t="s">
        <v>661</v>
      </c>
      <c r="AG56" s="21" t="s">
        <v>675</v>
      </c>
      <c r="AH56" s="21" t="s">
        <v>425</v>
      </c>
      <c r="AI56" s="21"/>
      <c r="AJ56" s="21" t="s">
        <v>585</v>
      </c>
      <c r="AK56" s="31">
        <v>46149.0</v>
      </c>
      <c r="AL56" s="25" t="str">
        <f t="array" ref="AL56">IF(
                AG56 = "",
                "",
                       IF(
                           AG56 ="FOTOGRAFIA",
                           "LINK",
                           "https://www.appsheet.com/template/gettablefileurl?appName=MEDICIÓNDEESPESORES-924373673&amp;tableName=1_general&amp;fileName="&amp;AG56                         )
                          )</f>
        <v>https://www.appsheet.com/template/gettablefileurl?appName=MEDICIÓNDEESPESORES-924373673&amp;tableName=1_general&amp;fileName=1_general_Images/REPORT_SCAN9f28359a.firma.212235.png</v>
      </c>
      <c r="AM56" s="28" t="s">
        <v>676</v>
      </c>
      <c r="AN56" s="26"/>
      <c r="AO56" s="27" t="str">
        <f t="array" ref="AO56">IF(
                AM56 = "",
                "",
                       IF(
                           AM56 ="FOTOGRAFIA",
                           "LINK",
                           "https://www.appsheet.com/template/gettablefileurl?appName=MEDICIÓNDEESPESORES-924373673&amp;tableName=1_general&amp;fileName="&amp;AM56                         )
                          )</f>
        <v>https://www.appsheet.com/template/gettablefileurl?appName=MEDICIÓNDEESPESORES-924373673&amp;tableName=1_general&amp;fileName=1_general_Files_/REPORT_SCAN9f28359a.lectura.212235.1.xls</v>
      </c>
      <c r="AP56" s="21" t="s">
        <v>364</v>
      </c>
    </row>
    <row r="57" ht="14.25" customHeight="1">
      <c r="A57" s="21" t="s">
        <v>677</v>
      </c>
      <c r="B57" s="21" t="s">
        <v>344</v>
      </c>
      <c r="D57" s="31">
        <v>46152.0</v>
      </c>
      <c r="F57" s="23" t="s">
        <v>673</v>
      </c>
      <c r="H57" s="21" t="s">
        <v>430</v>
      </c>
      <c r="I57" s="21" t="s">
        <v>678</v>
      </c>
      <c r="M57" s="21" t="s">
        <v>477</v>
      </c>
      <c r="N57" s="21">
        <v>38.0</v>
      </c>
      <c r="O57" s="21" t="s">
        <v>478</v>
      </c>
      <c r="Q57" s="23" t="s">
        <v>351</v>
      </c>
      <c r="U57" s="21" t="s">
        <v>253</v>
      </c>
      <c r="V57" s="21" t="s">
        <v>231</v>
      </c>
      <c r="W57" s="21" t="s">
        <v>418</v>
      </c>
      <c r="X57" s="23" t="s">
        <v>479</v>
      </c>
      <c r="Y57" s="21" t="s">
        <v>355</v>
      </c>
      <c r="Z57" s="21" t="s">
        <v>505</v>
      </c>
      <c r="AA57" s="23" t="s">
        <v>481</v>
      </c>
      <c r="AB57" s="21" t="s">
        <v>482</v>
      </c>
      <c r="AC57" s="21" t="s">
        <v>477</v>
      </c>
      <c r="AE57" s="21" t="s">
        <v>507</v>
      </c>
      <c r="AF57" s="23" t="s">
        <v>679</v>
      </c>
      <c r="AG57" s="21" t="s">
        <v>680</v>
      </c>
      <c r="AH57" s="21" t="s">
        <v>487</v>
      </c>
      <c r="AI57" s="21"/>
      <c r="AJ57" s="21" t="s">
        <v>362</v>
      </c>
      <c r="AK57" s="31">
        <v>46152.0</v>
      </c>
      <c r="AL57" s="25" t="str">
        <f t="array" ref="AL57">IF(
                AG57 = "",
                "",
                       IF(
                           AG57 ="FOTOGRAFIA",
                           "LINK",
                           "https://www.appsheet.com/template/gettablefileurl?appName=MEDICIÓNDEESPESORES-924373673&amp;tableName=1_general&amp;fileName="&amp;AG57                         )
                          )</f>
        <v>https://www.appsheet.com/template/gettablefileurl?appName=MEDICIÓNDEESPESORES-924373673&amp;tableName=1_general&amp;fileName=1_general_Images/REPORT_SCAN6ee5e288.firma.142251.png</v>
      </c>
      <c r="AM57" s="28" t="s">
        <v>681</v>
      </c>
      <c r="AN57" s="26"/>
      <c r="AO57" s="27" t="str">
        <f t="array" ref="AO57">IF(
                AM57 = "",
                "",
                       IF(
                           AM57 ="FOTOGRAFIA",
                           "LINK",
                           "https://www.appsheet.com/template/gettablefileurl?appName=MEDICIÓNDEESPESORES-924373673&amp;tableName=1_general&amp;fileName="&amp;AM57                         )
                          )</f>
        <v>https://www.appsheet.com/template/gettablefileurl?appName=MEDICIÓNDEESPESORES-924373673&amp;tableName=1_general&amp;fileName=1_general_Files_/REPORT_SCAN6ee5e288.lectura.215439.xlsx</v>
      </c>
      <c r="AP57" s="21" t="s">
        <v>364</v>
      </c>
    </row>
    <row r="58" ht="14.25" customHeight="1">
      <c r="A58" s="21" t="s">
        <v>682</v>
      </c>
      <c r="B58" s="21" t="s">
        <v>344</v>
      </c>
      <c r="D58" s="31">
        <v>46153.0</v>
      </c>
      <c r="F58" s="23" t="s">
        <v>683</v>
      </c>
      <c r="H58" s="21" t="s">
        <v>430</v>
      </c>
      <c r="I58" s="21" t="s">
        <v>684</v>
      </c>
      <c r="M58" s="21" t="s">
        <v>483</v>
      </c>
      <c r="N58" s="21">
        <v>38.0</v>
      </c>
      <c r="O58" s="21" t="s">
        <v>478</v>
      </c>
      <c r="Q58" s="23" t="s">
        <v>351</v>
      </c>
      <c r="U58" s="21" t="s">
        <v>253</v>
      </c>
      <c r="V58" s="21" t="s">
        <v>231</v>
      </c>
      <c r="W58" s="21" t="s">
        <v>418</v>
      </c>
      <c r="X58" s="23" t="s">
        <v>479</v>
      </c>
      <c r="Y58" s="21" t="s">
        <v>355</v>
      </c>
      <c r="Z58" s="21" t="s">
        <v>505</v>
      </c>
      <c r="AA58" s="23" t="s">
        <v>481</v>
      </c>
      <c r="AB58" s="21" t="s">
        <v>482</v>
      </c>
      <c r="AC58" s="21" t="s">
        <v>477</v>
      </c>
      <c r="AE58" s="21" t="s">
        <v>484</v>
      </c>
      <c r="AF58" s="23" t="s">
        <v>679</v>
      </c>
      <c r="AG58" s="21" t="s">
        <v>685</v>
      </c>
      <c r="AH58" s="21" t="s">
        <v>487</v>
      </c>
      <c r="AI58" s="21"/>
      <c r="AJ58" s="21" t="s">
        <v>488</v>
      </c>
      <c r="AK58" s="31">
        <v>46153.0</v>
      </c>
      <c r="AL58" s="25" t="str">
        <f t="array" ref="AL58">IF(
                AG58 = "",
                "",
                       IF(
                           AG58 ="FOTOGRAFIA",
                           "LINK",
                           "https://www.appsheet.com/template/gettablefileurl?appName=MEDICIÓNDEESPESORES-924373673&amp;tableName=1_general&amp;fileName="&amp;AG58                         )
                          )</f>
        <v>https://www.appsheet.com/template/gettablefileurl?appName=MEDICIÓNDEESPESORES-924373673&amp;tableName=1_general&amp;fileName=1_general_Images/REPORT_SCANc622fe53.firma.215955.png</v>
      </c>
      <c r="AM58" s="28" t="s">
        <v>686</v>
      </c>
      <c r="AN58" s="26"/>
      <c r="AO58" s="41" t="str">
        <f t="array" ref="AO58">IF(
                AM58 = "",
                "",
                       IF(
                           AM58 ="FOTOGRAFIA",
                           "LINK",
                           "https://www.appsheet.com/template/gettablefileurl?appName=MEDICIÓNDEESPESORES-924373673&amp;tableName=1_general&amp;fileName="&amp;AM58                         )
                          )</f>
        <v>https://www.appsheet.com/template/gettablefileurl?appName=MEDICIÓNDEESPESORES-924373673&amp;tableName=1_general&amp;fileName=1_general_Files_/REPORT_SCANc622fe53.lectura.220143.xlsx</v>
      </c>
      <c r="AP58" s="21" t="s">
        <v>364</v>
      </c>
    </row>
    <row r="59" ht="14.25" customHeight="1">
      <c r="A59" s="21" t="s">
        <v>687</v>
      </c>
      <c r="B59" s="21" t="s">
        <v>688</v>
      </c>
      <c r="D59" s="31">
        <v>46154.0</v>
      </c>
      <c r="I59" s="21" t="s">
        <v>689</v>
      </c>
      <c r="T59" s="21" t="s">
        <v>324</v>
      </c>
      <c r="AG59" s="21" t="s">
        <v>690</v>
      </c>
      <c r="AH59" s="21" t="s">
        <v>691</v>
      </c>
      <c r="AI59" s="21"/>
      <c r="AJ59" s="21" t="s">
        <v>692</v>
      </c>
      <c r="AL59" s="25" t="str">
        <f t="array" ref="AL59">IF(
                AG59 = "",
                "",
                       IF(
                           AG59 ="FOTOGRAFIA",
                           "LINK",
                           "https://www.appsheet.com/template/gettablefileurl?appName=MEDICIÓNDEESPESORES-924373673&amp;tableName=1_general&amp;fileName="&amp;AG59                         )
                          )</f>
        <v>https://www.appsheet.com/template/gettablefileurl?appName=MEDICIÓNDEESPESORES-924373673&amp;tableName=1_general&amp;fileName=1_general_Images/REPORT_SCAN3a259b3a.firma.191216.png</v>
      </c>
      <c r="AM59" s="26"/>
      <c r="AN59" s="26"/>
      <c r="AO59" s="28" t="str">
        <f t="array" ref="AO59">IF(
                AM59 = "",
                "",
                       IF(
                           AM59 ="FOTOGRAFIA",
                           "LINK",
                           "https://www.appsheet.com/template/gettablefileurl?appName=MEDICIÓNDEESPESORES-924373673&amp;tableName=1_general&amp;fileName="&amp;AM59                         )
                          )</f>
        <v/>
      </c>
    </row>
    <row r="60" ht="14.25" customHeight="1">
      <c r="A60" s="21" t="s">
        <v>693</v>
      </c>
      <c r="B60" s="21" t="s">
        <v>344</v>
      </c>
      <c r="D60" s="31">
        <v>46154.0</v>
      </c>
      <c r="F60" s="23" t="s">
        <v>694</v>
      </c>
      <c r="H60" s="21" t="s">
        <v>430</v>
      </c>
      <c r="I60" s="21" t="s">
        <v>695</v>
      </c>
      <c r="M60" s="21" t="s">
        <v>477</v>
      </c>
      <c r="N60" s="21">
        <v>38.0</v>
      </c>
      <c r="O60" s="21" t="s">
        <v>478</v>
      </c>
      <c r="Q60" s="23" t="s">
        <v>351</v>
      </c>
      <c r="U60" s="21" t="s">
        <v>253</v>
      </c>
      <c r="V60" s="21" t="s">
        <v>231</v>
      </c>
      <c r="W60" s="21" t="s">
        <v>418</v>
      </c>
      <c r="X60" s="23" t="s">
        <v>479</v>
      </c>
      <c r="Y60" s="21" t="s">
        <v>355</v>
      </c>
      <c r="Z60" s="21" t="s">
        <v>505</v>
      </c>
      <c r="AA60" s="23" t="s">
        <v>481</v>
      </c>
      <c r="AB60" s="21" t="s">
        <v>482</v>
      </c>
      <c r="AC60" s="21" t="s">
        <v>477</v>
      </c>
      <c r="AE60" s="21" t="s">
        <v>696</v>
      </c>
      <c r="AF60" s="23" t="s">
        <v>697</v>
      </c>
      <c r="AG60" s="21" t="s">
        <v>698</v>
      </c>
      <c r="AH60" s="21" t="s">
        <v>487</v>
      </c>
      <c r="AI60" s="21"/>
      <c r="AJ60" s="21" t="s">
        <v>488</v>
      </c>
      <c r="AK60" s="31">
        <v>46154.0</v>
      </c>
      <c r="AL60" s="25" t="str">
        <f t="array" ref="AL60">IF(
                AG60 = "",
                "",
                       IF(
                           AG60 ="FOTOGRAFIA",
                           "LINK",
                           "https://www.appsheet.com/template/gettablefileurl?appName=MEDICIÓNDEESPESORES-924373673&amp;tableName=1_general&amp;fileName="&amp;AG60                         )
                          )</f>
        <v>https://www.appsheet.com/template/gettablefileurl?appName=MEDICIÓNDEESPESORES-924373673&amp;tableName=1_general&amp;fileName=1_general_Images/REPORT_SCAN35fdfb62.firma.201049.png</v>
      </c>
      <c r="AM60" s="28" t="s">
        <v>699</v>
      </c>
      <c r="AN60" s="26"/>
      <c r="AO60" s="27" t="str">
        <f t="array" ref="AO60">IF(
                AM60 = "",
                "",
                       IF(
                           AM60 ="FOTOGRAFIA",
                           "LINK",
                           "https://www.appsheet.com/template/gettablefileurl?appName=MEDICIÓNDEESPESORES-924373673&amp;tableName=1_general&amp;fileName="&amp;AM60                         )
                          )</f>
        <v>https://www.appsheet.com/template/gettablefileurl?appName=MEDICIÓNDEESPESORES-924373673&amp;tableName=1_general&amp;fileName=1_general_Files_/REPORT_SCAN35fdfb62.lectura.201500.xlsx</v>
      </c>
      <c r="AP60" s="21" t="s">
        <v>364</v>
      </c>
    </row>
    <row r="61" ht="14.25" customHeight="1">
      <c r="A61" s="21" t="s">
        <v>700</v>
      </c>
      <c r="B61" s="21" t="s">
        <v>344</v>
      </c>
      <c r="D61" s="31">
        <v>46157.0</v>
      </c>
      <c r="E61" s="21">
        <v>1.00032365E9</v>
      </c>
      <c r="G61" s="21" t="s">
        <v>413</v>
      </c>
      <c r="H61" s="21" t="s">
        <v>430</v>
      </c>
      <c r="I61" s="21" t="s">
        <v>701</v>
      </c>
      <c r="M61" s="21" t="s">
        <v>580</v>
      </c>
      <c r="N61" s="21">
        <v>40.0</v>
      </c>
      <c r="T61" s="21" t="s">
        <v>324</v>
      </c>
      <c r="U61" s="21" t="s">
        <v>270</v>
      </c>
      <c r="V61" s="21" t="s">
        <v>271</v>
      </c>
      <c r="X61" s="23" t="s">
        <v>702</v>
      </c>
      <c r="Y61" s="21" t="s">
        <v>561</v>
      </c>
      <c r="Z61" s="21" t="s">
        <v>505</v>
      </c>
      <c r="AA61" s="23" t="s">
        <v>421</v>
      </c>
      <c r="AC61" s="21" t="s">
        <v>580</v>
      </c>
      <c r="AD61" s="21" t="s">
        <v>703</v>
      </c>
      <c r="AE61" s="21" t="s">
        <v>435</v>
      </c>
      <c r="AF61" s="23" t="s">
        <v>704</v>
      </c>
      <c r="AG61" s="21" t="s">
        <v>705</v>
      </c>
      <c r="AH61" s="21" t="s">
        <v>425</v>
      </c>
      <c r="AI61" s="21"/>
      <c r="AJ61" s="21" t="s">
        <v>585</v>
      </c>
      <c r="AK61" s="31">
        <v>46157.0</v>
      </c>
      <c r="AM61" s="28" t="s">
        <v>706</v>
      </c>
      <c r="AN61" s="26"/>
      <c r="AO61" s="27" t="str">
        <f t="array" ref="AO61">IF(
                AM61 = "",
                "",
                       IF(
                           AM61 ="FOTOGRAFIA",
                           "LINK",
                           "https://www.appsheet.com/template/gettablefileurl?appName=MEDICIÓNDEESPESORES-924373673&amp;tableName=1_general&amp;fileName="&amp;AM61                         )
                          )</f>
        <v>https://www.appsheet.com/template/gettablefileurl?appName=MEDICIÓNDEESPESORES-924373673&amp;tableName=1_general&amp;fileName=1_general_Files_/REPORT_SCAN5e93f51b.lectura.201023.xlsx</v>
      </c>
    </row>
    <row r="62" ht="14.25" customHeight="1">
      <c r="A62" s="21" t="s">
        <v>707</v>
      </c>
      <c r="B62" s="21" t="s">
        <v>344</v>
      </c>
      <c r="D62" s="31">
        <v>46165.0</v>
      </c>
      <c r="E62" s="21">
        <v>1.00032279E9</v>
      </c>
      <c r="G62" s="21" t="s">
        <v>413</v>
      </c>
      <c r="H62" s="21" t="s">
        <v>430</v>
      </c>
      <c r="I62" s="21" t="s">
        <v>708</v>
      </c>
      <c r="K62" s="21" t="s">
        <v>416</v>
      </c>
      <c r="M62" s="21" t="s">
        <v>580</v>
      </c>
      <c r="N62" s="21">
        <v>40.0</v>
      </c>
      <c r="T62" s="21" t="s">
        <v>324</v>
      </c>
      <c r="U62" s="21" t="s">
        <v>270</v>
      </c>
      <c r="V62" s="21" t="s">
        <v>271</v>
      </c>
      <c r="W62" s="21" t="s">
        <v>418</v>
      </c>
      <c r="X62" s="23" t="s">
        <v>419</v>
      </c>
      <c r="Y62" s="21" t="s">
        <v>561</v>
      </c>
      <c r="Z62" s="21" t="s">
        <v>548</v>
      </c>
      <c r="AA62" s="23" t="s">
        <v>421</v>
      </c>
      <c r="AC62" s="21" t="s">
        <v>580</v>
      </c>
      <c r="AD62" s="21" t="s">
        <v>709</v>
      </c>
      <c r="AE62" s="21" t="s">
        <v>435</v>
      </c>
      <c r="AF62" s="23" t="s">
        <v>710</v>
      </c>
      <c r="AG62" s="21" t="s">
        <v>711</v>
      </c>
      <c r="AH62" s="21" t="s">
        <v>425</v>
      </c>
      <c r="AI62" s="21"/>
      <c r="AJ62" s="21" t="s">
        <v>712</v>
      </c>
      <c r="AK62" s="31">
        <v>46165.0</v>
      </c>
      <c r="AM62" s="28" t="s">
        <v>713</v>
      </c>
      <c r="AN62" s="26"/>
      <c r="AO62" s="27" t="str">
        <f t="array" ref="AO62">IF(
                AM62 = "",
                "",
                       IF(
                           AM62 ="FOTOGRAFIA",
                           "LINK",
                           "https://www.appsheet.com/template/gettablefileurl?appName=MEDICIÓNDEESPESORES-924373673&amp;tableName=1_general&amp;fileName="&amp;AM62                         )
                          )</f>
        <v>https://www.appsheet.com/template/gettablefileurl?appName=MEDICIÓNDEESPESORES-924373673&amp;tableName=1_general&amp;fileName=1_general_Files_/REPORT_SCAN8d23f065.lectura.201206.xlsx</v>
      </c>
    </row>
    <row r="63" ht="14.25" customHeight="1">
      <c r="A63" s="21" t="s">
        <v>714</v>
      </c>
      <c r="B63" s="21" t="s">
        <v>344</v>
      </c>
      <c r="D63" s="31">
        <v>46165.0</v>
      </c>
      <c r="E63" s="21">
        <v>1.000322792E9</v>
      </c>
      <c r="G63" s="21" t="s">
        <v>413</v>
      </c>
      <c r="H63" s="21" t="s">
        <v>430</v>
      </c>
      <c r="I63" s="21" t="s">
        <v>715</v>
      </c>
      <c r="K63" s="21" t="s">
        <v>416</v>
      </c>
      <c r="M63" s="21" t="s">
        <v>580</v>
      </c>
      <c r="N63" s="21">
        <v>40.0</v>
      </c>
      <c r="T63" s="21" t="s">
        <v>324</v>
      </c>
      <c r="U63" s="21" t="s">
        <v>270</v>
      </c>
      <c r="V63" s="21" t="s">
        <v>271</v>
      </c>
      <c r="W63" s="21" t="s">
        <v>418</v>
      </c>
      <c r="X63" s="23" t="s">
        <v>419</v>
      </c>
      <c r="Y63" s="21" t="s">
        <v>561</v>
      </c>
      <c r="Z63" s="21" t="s">
        <v>548</v>
      </c>
      <c r="AA63" s="23" t="s">
        <v>421</v>
      </c>
      <c r="AC63" s="21" t="s">
        <v>580</v>
      </c>
      <c r="AD63" s="21" t="s">
        <v>581</v>
      </c>
      <c r="AE63" s="21" t="s">
        <v>435</v>
      </c>
      <c r="AF63" s="23" t="s">
        <v>716</v>
      </c>
      <c r="AG63" s="21" t="s">
        <v>717</v>
      </c>
      <c r="AH63" s="21" t="s">
        <v>425</v>
      </c>
      <c r="AI63" s="21"/>
      <c r="AJ63" s="21" t="s">
        <v>585</v>
      </c>
      <c r="AK63" s="31">
        <v>46165.0</v>
      </c>
      <c r="AM63" s="28" t="s">
        <v>718</v>
      </c>
      <c r="AN63" s="26"/>
      <c r="AO63" s="27" t="str">
        <f t="array" ref="AO63">IF(
                AM63 = "",
                "",
                       IF(
                           AM63 ="FOTOGRAFIA",
                           "LINK",
                           "https://www.appsheet.com/template/gettablefileurl?appName=MEDICIÓNDEESPESORES-924373673&amp;tableName=1_general&amp;fileName="&amp;AM63                         )
                          )</f>
        <v>https://www.appsheet.com/template/gettablefileurl?appName=MEDICIÓNDEESPESORES-924373673&amp;tableName=1_general&amp;fileName=1_general_Files_/REPORT_SCAN76c789fc.lectura.201525.xlsx</v>
      </c>
    </row>
    <row r="64" ht="14.25" customHeight="1">
      <c r="A64" s="21" t="s">
        <v>719</v>
      </c>
      <c r="B64" s="21" t="s">
        <v>344</v>
      </c>
      <c r="D64" s="31">
        <v>46165.0</v>
      </c>
      <c r="E64" s="21">
        <v>1.000322792E9</v>
      </c>
      <c r="G64" s="21" t="s">
        <v>413</v>
      </c>
      <c r="H64" s="21" t="s">
        <v>430</v>
      </c>
      <c r="I64" s="21" t="s">
        <v>720</v>
      </c>
      <c r="K64" s="21" t="s">
        <v>416</v>
      </c>
      <c r="M64" s="21" t="s">
        <v>580</v>
      </c>
      <c r="N64" s="21">
        <v>40.0</v>
      </c>
      <c r="O64" s="30" t="str">
        <f>IFERROR(__xludf.DUMMYFUNCTION("AI(""Completa un valor adecuado para esta celda en función del contexto de la tabla"")"),"Sin Recubrimiento")</f>
        <v>Sin Recubrimiento</v>
      </c>
      <c r="T64" s="21" t="s">
        <v>324</v>
      </c>
      <c r="U64" s="21" t="s">
        <v>270</v>
      </c>
      <c r="V64" s="21" t="s">
        <v>271</v>
      </c>
      <c r="W64" s="21" t="s">
        <v>418</v>
      </c>
      <c r="X64" s="23" t="s">
        <v>419</v>
      </c>
      <c r="Y64" s="21" t="s">
        <v>561</v>
      </c>
      <c r="Z64" s="21" t="s">
        <v>548</v>
      </c>
      <c r="AA64" s="23" t="s">
        <v>421</v>
      </c>
      <c r="AC64" s="21" t="s">
        <v>721</v>
      </c>
      <c r="AD64" s="21" t="s">
        <v>709</v>
      </c>
      <c r="AE64" s="21" t="s">
        <v>435</v>
      </c>
      <c r="AF64" s="23" t="s">
        <v>722</v>
      </c>
      <c r="AG64" s="21" t="s">
        <v>723</v>
      </c>
      <c r="AH64" s="21" t="s">
        <v>425</v>
      </c>
      <c r="AI64" s="21"/>
      <c r="AJ64" s="21" t="s">
        <v>585</v>
      </c>
      <c r="AK64" s="31">
        <v>46165.0</v>
      </c>
      <c r="AM64" s="28" t="s">
        <v>724</v>
      </c>
      <c r="AN64" s="26"/>
      <c r="AO64" s="27" t="str">
        <f t="array" ref="AO64">IF(
                AM64 = "",
                "",
                       IF(
                           AM64 ="FOTOGRAFIA",
                           "LINK",
                           "https://www.appsheet.com/template/gettablefileurl?appName=MEDICIÓNDEESPESORES-924373673&amp;tableName=1_general&amp;fileName="&amp;AM64                         )
                          )</f>
        <v>https://www.appsheet.com/template/gettablefileurl?appName=MEDICIÓNDEESPESORES-924373673&amp;tableName=1_general&amp;fileName=1_general_Files_/REPORT_SCAN22a5c561.lectura.170947.xlsx</v>
      </c>
    </row>
    <row r="65" ht="14.25" customHeight="1">
      <c r="A65" s="21" t="s">
        <v>725</v>
      </c>
      <c r="B65" s="21" t="s">
        <v>344</v>
      </c>
      <c r="D65" s="31">
        <v>46168.0</v>
      </c>
      <c r="F65" s="23" t="s">
        <v>287</v>
      </c>
      <c r="H65" s="21" t="s">
        <v>430</v>
      </c>
      <c r="I65" s="21" t="s">
        <v>726</v>
      </c>
      <c r="M65" s="21" t="s">
        <v>483</v>
      </c>
      <c r="N65" s="21">
        <v>55.0</v>
      </c>
      <c r="O65" s="21" t="s">
        <v>478</v>
      </c>
      <c r="U65" s="21" t="s">
        <v>253</v>
      </c>
      <c r="V65" s="21" t="s">
        <v>231</v>
      </c>
      <c r="W65" s="21" t="s">
        <v>418</v>
      </c>
      <c r="X65" s="23" t="s">
        <v>727</v>
      </c>
      <c r="Y65" s="21" t="s">
        <v>355</v>
      </c>
      <c r="Z65" s="21" t="s">
        <v>505</v>
      </c>
      <c r="AA65" s="23" t="s">
        <v>481</v>
      </c>
      <c r="AB65" s="21" t="s">
        <v>482</v>
      </c>
      <c r="AC65" s="21" t="s">
        <v>477</v>
      </c>
      <c r="AE65" s="21" t="s">
        <v>484</v>
      </c>
      <c r="AF65" s="23" t="s">
        <v>728</v>
      </c>
      <c r="AG65" s="21" t="s">
        <v>729</v>
      </c>
      <c r="AH65" s="21" t="s">
        <v>487</v>
      </c>
      <c r="AI65" s="21"/>
      <c r="AJ65" s="21" t="s">
        <v>488</v>
      </c>
      <c r="AK65" s="31">
        <v>46168.0</v>
      </c>
      <c r="AM65" s="28" t="s">
        <v>730</v>
      </c>
      <c r="AN65" s="26"/>
      <c r="AO65" s="27" t="str">
        <f t="array" ref="AO65">IF(
                AM65 = "",
                "",
                       IF(
                           AM65 ="FOTOGRAFIA",
                           "LINK",
                           "https://www.appsheet.com/template/gettablefileurl?appName=MEDICIÓNDEESPESORES-924373673&amp;tableName=1_general&amp;fileName="&amp;AM65                         )
                          )</f>
        <v>https://www.appsheet.com/template/gettablefileurl?appName=MEDICIÓNDEESPESORES-924373673&amp;tableName=1_general&amp;fileName=1_general_Files_/REPORT_SCAN4f05635f.lectura.213735.xlsx</v>
      </c>
    </row>
    <row r="66" ht="14.25" customHeight="1">
      <c r="A66" s="21" t="s">
        <v>731</v>
      </c>
      <c r="B66" s="21" t="s">
        <v>344</v>
      </c>
      <c r="D66" s="31">
        <v>46168.0</v>
      </c>
      <c r="F66" s="23" t="s">
        <v>421</v>
      </c>
      <c r="H66" s="21" t="s">
        <v>430</v>
      </c>
      <c r="I66" s="21" t="s">
        <v>732</v>
      </c>
      <c r="M66" s="21" t="s">
        <v>506</v>
      </c>
      <c r="N66" s="21">
        <v>38.0</v>
      </c>
      <c r="O66" s="21" t="s">
        <v>733</v>
      </c>
      <c r="P66" s="21" t="s">
        <v>350</v>
      </c>
      <c r="R66" s="21">
        <v>14.7</v>
      </c>
      <c r="U66" s="21" t="s">
        <v>253</v>
      </c>
      <c r="V66" s="21" t="s">
        <v>231</v>
      </c>
      <c r="W66" s="21" t="s">
        <v>418</v>
      </c>
      <c r="X66" s="23" t="s">
        <v>727</v>
      </c>
      <c r="Y66" s="21" t="s">
        <v>355</v>
      </c>
      <c r="Z66" s="21" t="s">
        <v>505</v>
      </c>
      <c r="AA66" s="23" t="s">
        <v>481</v>
      </c>
      <c r="AB66" s="21" t="s">
        <v>482</v>
      </c>
      <c r="AC66" s="21" t="s">
        <v>477</v>
      </c>
      <c r="AE66" s="21" t="s">
        <v>484</v>
      </c>
      <c r="AF66" s="23" t="s">
        <v>728</v>
      </c>
      <c r="AG66" s="21" t="s">
        <v>734</v>
      </c>
      <c r="AH66" s="21" t="s">
        <v>487</v>
      </c>
      <c r="AI66" s="21"/>
      <c r="AJ66" s="21" t="s">
        <v>488</v>
      </c>
      <c r="AK66" s="31">
        <v>46168.0</v>
      </c>
      <c r="AM66" s="28" t="s">
        <v>735</v>
      </c>
      <c r="AN66" s="26"/>
      <c r="AO66" s="27" t="str">
        <f t="array" ref="AO66">IF(
                AM66 = "",
                "",
                       IF(
                           AM66 ="FOTOGRAFIA",
                           "LINK",
                           "https://www.appsheet.com/template/gettablefileurl?appName=MEDICIÓNDEESPESORES-924373673&amp;tableName=1_general&amp;fileName="&amp;AM66                         )
                          )</f>
        <v>https://www.appsheet.com/template/gettablefileurl?appName=MEDICIÓNDEESPESORES-924373673&amp;tableName=1_general&amp;fileName=1_general_Files_/REPORT_SCAN79868e2e.lectura.213756.xlsx</v>
      </c>
    </row>
    <row r="67" ht="14.25" customHeight="1">
      <c r="A67" s="21" t="s">
        <v>736</v>
      </c>
      <c r="B67" s="21" t="s">
        <v>344</v>
      </c>
      <c r="D67" s="31">
        <v>46168.0</v>
      </c>
      <c r="F67" s="23" t="s">
        <v>737</v>
      </c>
      <c r="H67" s="21" t="s">
        <v>430</v>
      </c>
      <c r="I67" s="21" t="s">
        <v>738</v>
      </c>
      <c r="M67" s="21" t="s">
        <v>477</v>
      </c>
      <c r="N67" s="21">
        <v>38.0</v>
      </c>
      <c r="O67" s="21" t="s">
        <v>478</v>
      </c>
      <c r="Q67" s="23" t="s">
        <v>351</v>
      </c>
      <c r="U67" s="21" t="s">
        <v>253</v>
      </c>
      <c r="V67" s="21" t="s">
        <v>231</v>
      </c>
      <c r="W67" s="21" t="s">
        <v>418</v>
      </c>
      <c r="X67" s="23" t="s">
        <v>479</v>
      </c>
      <c r="Y67" s="21" t="s">
        <v>355</v>
      </c>
      <c r="Z67" s="21" t="s">
        <v>505</v>
      </c>
      <c r="AA67" s="23" t="s">
        <v>481</v>
      </c>
      <c r="AB67" s="21" t="s">
        <v>482</v>
      </c>
      <c r="AC67" s="21" t="s">
        <v>477</v>
      </c>
      <c r="AE67" s="21" t="s">
        <v>484</v>
      </c>
      <c r="AF67" s="23" t="s">
        <v>728</v>
      </c>
      <c r="AG67" s="21" t="s">
        <v>739</v>
      </c>
      <c r="AH67" s="21" t="s">
        <v>487</v>
      </c>
      <c r="AI67" s="21"/>
      <c r="AJ67" s="21" t="s">
        <v>488</v>
      </c>
      <c r="AK67" s="31">
        <v>46168.0</v>
      </c>
      <c r="AM67" s="28" t="s">
        <v>740</v>
      </c>
      <c r="AN67" s="26"/>
      <c r="AO67" s="27" t="str">
        <f t="array" ref="AO67">IF(
                AM67 = "",
                "",
                       IF(
                           AM67 ="FOTOGRAFIA",
                           "LINK",
                           "https://www.appsheet.com/template/gettablefileurl?appName=MEDICIÓNDEESPESORES-924373673&amp;tableName=1_general&amp;fileName="&amp;AM67                         )
                          )</f>
        <v>https://www.appsheet.com/template/gettablefileurl?appName=MEDICIÓNDEESPESORES-924373673&amp;tableName=1_general&amp;fileName=1_general_Files_/REPORT_SCAN24445409.lectura.214854.xlsx</v>
      </c>
    </row>
    <row r="68" ht="14.25" customHeight="1">
      <c r="A68" s="21" t="s">
        <v>741</v>
      </c>
      <c r="B68" s="21" t="s">
        <v>344</v>
      </c>
      <c r="D68" s="31">
        <v>46169.0</v>
      </c>
      <c r="E68" s="21">
        <v>1.000322785E9</v>
      </c>
      <c r="G68" s="21" t="s">
        <v>413</v>
      </c>
      <c r="H68" s="21" t="s">
        <v>430</v>
      </c>
      <c r="I68" s="21" t="s">
        <v>742</v>
      </c>
      <c r="K68" s="21" t="s">
        <v>416</v>
      </c>
      <c r="M68" s="21" t="s">
        <v>580</v>
      </c>
      <c r="N68" s="21">
        <v>40.0</v>
      </c>
      <c r="T68" s="21" t="s">
        <v>324</v>
      </c>
      <c r="U68" s="21" t="s">
        <v>270</v>
      </c>
      <c r="V68" s="21" t="s">
        <v>271</v>
      </c>
      <c r="W68" s="21" t="s">
        <v>418</v>
      </c>
      <c r="X68" s="23" t="s">
        <v>419</v>
      </c>
      <c r="Y68" s="21" t="s">
        <v>561</v>
      </c>
      <c r="Z68" s="21" t="s">
        <v>548</v>
      </c>
      <c r="AA68" s="23" t="s">
        <v>421</v>
      </c>
      <c r="AC68" s="21" t="s">
        <v>580</v>
      </c>
      <c r="AD68" s="21" t="s">
        <v>581</v>
      </c>
      <c r="AE68" s="21" t="s">
        <v>435</v>
      </c>
      <c r="AF68" s="23" t="s">
        <v>710</v>
      </c>
      <c r="AG68" s="21" t="s">
        <v>743</v>
      </c>
      <c r="AH68" s="21" t="s">
        <v>425</v>
      </c>
      <c r="AI68" s="21"/>
      <c r="AJ68" s="21" t="s">
        <v>712</v>
      </c>
      <c r="AK68" s="31">
        <v>46169.0</v>
      </c>
      <c r="AM68" s="28" t="s">
        <v>744</v>
      </c>
      <c r="AN68" s="26"/>
      <c r="AO68" s="27" t="str">
        <f t="array" ref="AO68">IF(
                AM68 = "",
                "",
                       IF(
                           AM68 ="FOTOGRAFIA",
                           "LINK",
                           "https://www.appsheet.com/template/gettablefileurl?appName=MEDICIÓNDEESPESORES-924373673&amp;tableName=1_general&amp;fileName="&amp;AM68                         )
                          )</f>
        <v>https://www.appsheet.com/template/gettablefileurl?appName=MEDICIÓNDEESPESORES-924373673&amp;tableName=1_general&amp;fileName=1_general_Files_/REPORT_SCAN7cb41477.lectura.134317.xlsx</v>
      </c>
    </row>
    <row r="69" ht="14.25" customHeight="1">
      <c r="A69" s="21" t="s">
        <v>745</v>
      </c>
      <c r="B69" s="21" t="s">
        <v>344</v>
      </c>
      <c r="D69" s="31">
        <v>46169.0</v>
      </c>
      <c r="E69" s="21">
        <v>1.000322786E9</v>
      </c>
      <c r="G69" s="21" t="s">
        <v>413</v>
      </c>
      <c r="H69" s="21" t="s">
        <v>430</v>
      </c>
      <c r="I69" s="21" t="s">
        <v>746</v>
      </c>
      <c r="K69" s="21" t="s">
        <v>416</v>
      </c>
      <c r="M69" s="21" t="s">
        <v>747</v>
      </c>
      <c r="N69" s="21">
        <v>40.0</v>
      </c>
      <c r="T69" s="21" t="s">
        <v>324</v>
      </c>
      <c r="U69" s="21" t="s">
        <v>270</v>
      </c>
      <c r="V69" s="21" t="s">
        <v>271</v>
      </c>
      <c r="W69" s="21" t="s">
        <v>418</v>
      </c>
      <c r="X69" s="23" t="s">
        <v>419</v>
      </c>
      <c r="Y69" s="21" t="s">
        <v>561</v>
      </c>
      <c r="Z69" s="21" t="s">
        <v>548</v>
      </c>
      <c r="AA69" s="23" t="s">
        <v>421</v>
      </c>
      <c r="AC69" s="21" t="s">
        <v>580</v>
      </c>
      <c r="AD69" s="21" t="s">
        <v>748</v>
      </c>
      <c r="AE69" s="21" t="s">
        <v>435</v>
      </c>
      <c r="AF69" s="23" t="s">
        <v>716</v>
      </c>
      <c r="AG69" s="21" t="s">
        <v>749</v>
      </c>
      <c r="AH69" s="21" t="s">
        <v>425</v>
      </c>
      <c r="AI69" s="21"/>
      <c r="AJ69" s="21" t="s">
        <v>585</v>
      </c>
      <c r="AK69" s="31">
        <v>46169.0</v>
      </c>
      <c r="AM69" s="28" t="s">
        <v>750</v>
      </c>
      <c r="AN69" s="26"/>
      <c r="AO69" s="27" t="str">
        <f t="array" ref="AO69">IF(
                AM69 = "",
                "",
                       IF(
                           AM69 ="FOTOGRAFIA",
                           "LINK",
                           "https://www.appsheet.com/template/gettablefileurl?appName=MEDICIÓNDEESPESORES-924373673&amp;tableName=1_general&amp;fileName="&amp;AM69                         )
                          )</f>
        <v>https://www.appsheet.com/template/gettablefileurl?appName=MEDICIÓNDEESPESORES-924373673&amp;tableName=1_general&amp;fileName=1_general_Files_/REPORT_SCANadace40a.lectura.134735.xlsx</v>
      </c>
    </row>
    <row r="70" ht="14.25" customHeight="1">
      <c r="A70" s="21" t="s">
        <v>751</v>
      </c>
      <c r="B70" s="21" t="s">
        <v>344</v>
      </c>
      <c r="D70" s="31">
        <v>46169.0</v>
      </c>
      <c r="E70" s="21">
        <v>1.000322787E9</v>
      </c>
      <c r="G70" s="21" t="s">
        <v>413</v>
      </c>
      <c r="H70" s="21" t="s">
        <v>430</v>
      </c>
      <c r="I70" s="21" t="s">
        <v>752</v>
      </c>
      <c r="K70" s="21" t="s">
        <v>416</v>
      </c>
      <c r="M70" s="21" t="s">
        <v>580</v>
      </c>
      <c r="N70" s="21">
        <v>40.0</v>
      </c>
      <c r="T70" s="21" t="s">
        <v>324</v>
      </c>
      <c r="U70" s="21" t="s">
        <v>270</v>
      </c>
      <c r="V70" s="21" t="s">
        <v>271</v>
      </c>
      <c r="W70" s="21" t="s">
        <v>418</v>
      </c>
      <c r="X70" s="23" t="s">
        <v>419</v>
      </c>
      <c r="Y70" s="21" t="s">
        <v>561</v>
      </c>
      <c r="Z70" s="21" t="s">
        <v>753</v>
      </c>
      <c r="AA70" s="23" t="s">
        <v>421</v>
      </c>
      <c r="AC70" s="21" t="s">
        <v>580</v>
      </c>
      <c r="AD70" s="21" t="s">
        <v>581</v>
      </c>
      <c r="AE70" s="21" t="s">
        <v>435</v>
      </c>
      <c r="AF70" s="23" t="s">
        <v>754</v>
      </c>
      <c r="AG70" s="21" t="s">
        <v>755</v>
      </c>
      <c r="AH70" s="21" t="s">
        <v>425</v>
      </c>
      <c r="AI70" s="21"/>
      <c r="AJ70" s="21" t="s">
        <v>585</v>
      </c>
      <c r="AK70" s="31">
        <v>46169.0</v>
      </c>
      <c r="AM70" s="28" t="s">
        <v>756</v>
      </c>
      <c r="AN70" s="26"/>
      <c r="AO70" s="27" t="str">
        <f t="array" ref="AO70">IF(
                AM70 = "",
                "",
                       IF(
                           AM70 ="FOTOGRAFIA",
                           "LINK",
                           "https://www.appsheet.com/template/gettablefileurl?appName=MEDICIÓNDEESPESORES-924373673&amp;tableName=1_general&amp;fileName="&amp;AM70                         )
                          )</f>
        <v>https://www.appsheet.com/template/gettablefileurl?appName=MEDICIÓNDEESPESORES-924373673&amp;tableName=1_general&amp;fileName=1_general_Files_/REPORT_SCANf4170335.lectura.135241.xlsx</v>
      </c>
    </row>
    <row r="71" ht="14.25" customHeight="1">
      <c r="A71" s="21" t="s">
        <v>757</v>
      </c>
      <c r="B71" s="21" t="s">
        <v>344</v>
      </c>
      <c r="D71" s="31">
        <v>46169.0</v>
      </c>
      <c r="E71" s="21">
        <v>1.000322788E9</v>
      </c>
      <c r="G71" s="21" t="s">
        <v>413</v>
      </c>
      <c r="H71" s="21" t="s">
        <v>430</v>
      </c>
      <c r="I71" s="21" t="s">
        <v>758</v>
      </c>
      <c r="K71" s="21" t="s">
        <v>416</v>
      </c>
      <c r="M71" s="21" t="s">
        <v>580</v>
      </c>
      <c r="N71" s="21">
        <v>40.0</v>
      </c>
      <c r="T71" s="21" t="s">
        <v>324</v>
      </c>
      <c r="U71" s="21" t="s">
        <v>270</v>
      </c>
      <c r="V71" s="21" t="s">
        <v>271</v>
      </c>
      <c r="W71" s="21" t="s">
        <v>418</v>
      </c>
      <c r="X71" s="23" t="s">
        <v>419</v>
      </c>
      <c r="Y71" s="21" t="s">
        <v>561</v>
      </c>
      <c r="Z71" s="21" t="s">
        <v>505</v>
      </c>
      <c r="AA71" s="23" t="s">
        <v>421</v>
      </c>
      <c r="AC71" s="21" t="s">
        <v>580</v>
      </c>
      <c r="AD71" s="21" t="s">
        <v>581</v>
      </c>
      <c r="AE71" s="21" t="s">
        <v>435</v>
      </c>
      <c r="AF71" s="23" t="s">
        <v>722</v>
      </c>
      <c r="AG71" s="21" t="s">
        <v>759</v>
      </c>
      <c r="AH71" s="21" t="s">
        <v>425</v>
      </c>
      <c r="AI71" s="21"/>
      <c r="AJ71" s="21" t="s">
        <v>585</v>
      </c>
      <c r="AK71" s="31">
        <v>46169.0</v>
      </c>
      <c r="AM71" s="28" t="s">
        <v>760</v>
      </c>
      <c r="AN71" s="26"/>
      <c r="AO71" s="27" t="str">
        <f t="array" ref="AO71">IF(
                AM71 = "",
                "",
                       IF(
                           AM71 ="FOTOGRAFIA",
                           "LINK",
                           "https://www.appsheet.com/template/gettablefileurl?appName=MEDICIÓNDEESPESORES-924373673&amp;tableName=1_general&amp;fileName="&amp;AM71                         )
                          )</f>
        <v>https://www.appsheet.com/template/gettablefileurl?appName=MEDICIÓNDEESPESORES-924373673&amp;tableName=1_general&amp;fileName=1_general_Files_/REPORT_SCAN61ef3ec8.lectura.135655.xlsx</v>
      </c>
    </row>
    <row r="72" ht="14.25" customHeight="1">
      <c r="A72" s="21" t="s">
        <v>761</v>
      </c>
      <c r="B72" s="21" t="s">
        <v>344</v>
      </c>
      <c r="D72" s="31">
        <v>46169.0</v>
      </c>
      <c r="E72" s="21">
        <v>1.000322767E9</v>
      </c>
      <c r="G72" s="21" t="s">
        <v>413</v>
      </c>
      <c r="H72" s="21" t="s">
        <v>430</v>
      </c>
      <c r="I72" s="21" t="s">
        <v>762</v>
      </c>
      <c r="K72" s="21" t="s">
        <v>763</v>
      </c>
      <c r="M72" s="21" t="s">
        <v>764</v>
      </c>
      <c r="N72" s="21">
        <v>40.0</v>
      </c>
      <c r="O72" s="21" t="s">
        <v>349</v>
      </c>
      <c r="P72" s="21" t="s">
        <v>350</v>
      </c>
      <c r="Q72" s="21" t="s">
        <v>765</v>
      </c>
      <c r="R72" s="21">
        <v>80.0</v>
      </c>
      <c r="T72" s="21" t="s">
        <v>324</v>
      </c>
      <c r="U72" s="21" t="s">
        <v>270</v>
      </c>
      <c r="V72" s="21" t="s">
        <v>271</v>
      </c>
      <c r="W72" s="21" t="s">
        <v>418</v>
      </c>
      <c r="X72" s="23" t="s">
        <v>419</v>
      </c>
      <c r="Y72" s="21" t="s">
        <v>561</v>
      </c>
      <c r="Z72" s="21" t="s">
        <v>660</v>
      </c>
      <c r="AA72" s="23" t="s">
        <v>766</v>
      </c>
      <c r="AC72" s="21" t="s">
        <v>464</v>
      </c>
      <c r="AD72" s="21" t="s">
        <v>581</v>
      </c>
      <c r="AE72" s="21" t="s">
        <v>435</v>
      </c>
      <c r="AF72" s="23" t="s">
        <v>240</v>
      </c>
      <c r="AG72" s="21" t="s">
        <v>767</v>
      </c>
      <c r="AH72" s="21" t="s">
        <v>425</v>
      </c>
      <c r="AI72" s="21"/>
      <c r="AJ72" s="21" t="s">
        <v>585</v>
      </c>
      <c r="AK72" s="31">
        <v>46169.0</v>
      </c>
      <c r="AL72" s="25" t="str">
        <f t="array" ref="AL72">IF(
                AG72 = "",
                "",
                       IF(
                           AG72 ="FOTOGRAFIA",
                           "LINK",
                           "https://www.appsheet.com/template/gettablefileurl?appName=MEDICIÓNDEESPESORES-924373673&amp;tableName=1_general&amp;fileName="&amp;AG72                         )
                          )</f>
        <v>https://www.appsheet.com/template/gettablefileurl?appName=MEDICIÓNDEESPESORES-924373673&amp;tableName=1_general&amp;fileName=1_general_Images/REPORT_SCAN0bb62339.firma.140327.png</v>
      </c>
      <c r="AM72" s="28" t="s">
        <v>768</v>
      </c>
      <c r="AN72" s="27" t="s">
        <v>769</v>
      </c>
      <c r="AO72" s="27" t="str">
        <f t="array" ref="AO72">IF(
                AM72 = "",
                "",
                       IF(
                           AM72 ="FOTOGRAFIA",
                           "LINK",
                           "https://www.appsheet.com/template/gettablefileurl?appName=MEDICIÓNDEESPESORES-924373673&amp;tableName=1_general&amp;fileName="&amp;AM72                         )
                          )</f>
        <v>https://www.appsheet.com/template/gettablefileurl?appName=MEDICIÓNDEESPESORES-924373673&amp;tableName=1_general&amp;fileName=1_general_Files_/REPORT_SCAN0bb62339.lectura.140327.xlsx</v>
      </c>
      <c r="AP72" s="21" t="s">
        <v>428</v>
      </c>
    </row>
    <row r="73" ht="14.25" customHeight="1">
      <c r="A73" s="21" t="s">
        <v>770</v>
      </c>
      <c r="B73" s="21" t="s">
        <v>344</v>
      </c>
      <c r="D73" s="31">
        <v>46169.0</v>
      </c>
      <c r="E73" s="21">
        <v>1.000322765E9</v>
      </c>
      <c r="G73" s="21" t="s">
        <v>413</v>
      </c>
      <c r="H73" s="21" t="s">
        <v>430</v>
      </c>
      <c r="I73" s="21" t="s">
        <v>771</v>
      </c>
      <c r="K73" s="21" t="s">
        <v>772</v>
      </c>
      <c r="M73" s="21" t="s">
        <v>464</v>
      </c>
      <c r="N73" s="21">
        <v>40.0</v>
      </c>
      <c r="O73" s="21" t="s">
        <v>349</v>
      </c>
      <c r="P73" s="21" t="s">
        <v>350</v>
      </c>
      <c r="Q73" s="21" t="s">
        <v>773</v>
      </c>
      <c r="R73" s="21">
        <v>80.0</v>
      </c>
      <c r="T73" s="21" t="s">
        <v>324</v>
      </c>
      <c r="U73" s="21" t="s">
        <v>270</v>
      </c>
      <c r="V73" s="21" t="s">
        <v>271</v>
      </c>
      <c r="W73" s="21" t="s">
        <v>418</v>
      </c>
      <c r="X73" s="23" t="s">
        <v>419</v>
      </c>
      <c r="Y73" s="21" t="s">
        <v>561</v>
      </c>
      <c r="Z73" s="21" t="s">
        <v>660</v>
      </c>
      <c r="AA73" s="23" t="s">
        <v>766</v>
      </c>
      <c r="AC73" s="21" t="s">
        <v>464</v>
      </c>
      <c r="AD73" s="21" t="s">
        <v>581</v>
      </c>
      <c r="AE73" s="21" t="s">
        <v>435</v>
      </c>
      <c r="AF73" s="23" t="s">
        <v>774</v>
      </c>
      <c r="AG73" s="21" t="s">
        <v>775</v>
      </c>
      <c r="AH73" s="21" t="s">
        <v>425</v>
      </c>
      <c r="AI73" s="21"/>
      <c r="AJ73" s="21" t="s">
        <v>776</v>
      </c>
      <c r="AK73" s="31">
        <v>46169.0</v>
      </c>
      <c r="AL73" s="25" t="str">
        <f t="array" ref="AL73">IF(
                AG73 = "",
                "",
                       IF(
                           AG73 ="FOTOGRAFIA",
                           "LINK",
                           "https://www.appsheet.com/template/gettablefileurl?appName=MEDICIÓNDEESPESORES-924373673&amp;tableName=1_general&amp;fileName="&amp;AG73                         )
                          )</f>
        <v>https://www.appsheet.com/template/gettablefileurl?appName=MEDICIÓNDEESPESORES-924373673&amp;tableName=1_general&amp;fileName=1_general_Images/REPORT_SCANe48fbd25.firma.140647.png</v>
      </c>
      <c r="AM73" s="28" t="s">
        <v>777</v>
      </c>
      <c r="AN73" s="27" t="s">
        <v>778</v>
      </c>
      <c r="AO73" s="27" t="str">
        <f t="array" ref="AO73">IF(
                AM73 = "",
                "",
                       IF(
                           AM73 ="FOTOGRAFIA",
                           "LINK",
                           "https://www.appsheet.com/template/gettablefileurl?appName=MEDICIÓNDEESPESORES-924373673&amp;tableName=1_general&amp;fileName="&amp;AM73                         )
                          )</f>
        <v>https://www.appsheet.com/template/gettablefileurl?appName=MEDICIÓNDEESPESORES-924373673&amp;tableName=1_general&amp;fileName=1_general_Files_/REPORT_SCANe48fbd25.lectura.140647.xlsx</v>
      </c>
      <c r="AP73" s="21" t="s">
        <v>428</v>
      </c>
    </row>
    <row r="74" ht="14.25" customHeight="1">
      <c r="A74" s="21" t="s">
        <v>779</v>
      </c>
      <c r="B74" s="21" t="s">
        <v>344</v>
      </c>
      <c r="D74" s="31">
        <v>46169.0</v>
      </c>
      <c r="E74" s="21">
        <v>1.000322741E9</v>
      </c>
      <c r="G74" s="21" t="s">
        <v>413</v>
      </c>
      <c r="H74" s="21" t="s">
        <v>430</v>
      </c>
      <c r="I74" s="21" t="s">
        <v>780</v>
      </c>
      <c r="K74" s="21" t="s">
        <v>781</v>
      </c>
      <c r="M74" s="21" t="s">
        <v>464</v>
      </c>
      <c r="N74" s="21">
        <v>40.0</v>
      </c>
      <c r="O74" s="21" t="s">
        <v>349</v>
      </c>
      <c r="P74" s="21" t="s">
        <v>350</v>
      </c>
      <c r="Q74" s="21" t="s">
        <v>782</v>
      </c>
      <c r="R74" s="21">
        <v>80.0</v>
      </c>
      <c r="T74" s="21" t="s">
        <v>324</v>
      </c>
      <c r="U74" s="21" t="s">
        <v>270</v>
      </c>
      <c r="V74" s="21" t="s">
        <v>271</v>
      </c>
      <c r="W74" s="21" t="s">
        <v>418</v>
      </c>
      <c r="X74" s="23" t="s">
        <v>419</v>
      </c>
      <c r="Y74" s="21" t="s">
        <v>561</v>
      </c>
      <c r="Z74" s="21" t="s">
        <v>660</v>
      </c>
      <c r="AA74" s="23" t="s">
        <v>766</v>
      </c>
      <c r="AC74" s="21" t="s">
        <v>464</v>
      </c>
      <c r="AD74" s="21" t="s">
        <v>709</v>
      </c>
      <c r="AE74" s="21" t="s">
        <v>435</v>
      </c>
      <c r="AF74" s="23" t="s">
        <v>783</v>
      </c>
      <c r="AG74" s="21" t="s">
        <v>784</v>
      </c>
      <c r="AH74" s="21" t="s">
        <v>425</v>
      </c>
      <c r="AI74" s="21"/>
      <c r="AJ74" s="21" t="s">
        <v>712</v>
      </c>
      <c r="AK74" s="31">
        <v>46169.0</v>
      </c>
      <c r="AL74" s="25" t="str">
        <f t="array" ref="AL74">IF(
                AG74 = "",
                "",
                       IF(
                           AG74 ="FOTOGRAFIA",
                           "LINK",
                           "https://www.appsheet.com/template/gettablefileurl?appName=MEDICIÓNDEESPESORES-924373673&amp;tableName=1_general&amp;fileName="&amp;AG74                         )
                          )</f>
        <v>https://www.appsheet.com/template/gettablefileurl?appName=MEDICIÓNDEESPESORES-924373673&amp;tableName=1_general&amp;fileName=1_general_Images/REPORT_SCANc10e7570.firma.140952.png</v>
      </c>
      <c r="AM74" s="28" t="s">
        <v>785</v>
      </c>
      <c r="AN74" s="27" t="s">
        <v>786</v>
      </c>
      <c r="AO74" s="27" t="str">
        <f t="array" ref="AO74">IF(
                AM74 = "",
                "",
                       IF(
                           AM74 ="FOTOGRAFIA",
                           "LINK",
                           "https://www.appsheet.com/template/gettablefileurl?appName=MEDICIÓNDEESPESORES-924373673&amp;tableName=1_general&amp;fileName="&amp;AM74                         )
                          )</f>
        <v>https://www.appsheet.com/template/gettablefileurl?appName=MEDICIÓNDEESPESORES-924373673&amp;tableName=1_general&amp;fileName=1_general_Files_/REPORT_SCANc10e7570.lectura.140952.xlsx</v>
      </c>
      <c r="AP74" s="21" t="s">
        <v>428</v>
      </c>
    </row>
    <row r="75" ht="14.25" customHeight="1">
      <c r="A75" s="21" t="s">
        <v>787</v>
      </c>
      <c r="B75" s="21" t="s">
        <v>344</v>
      </c>
      <c r="D75" s="31">
        <v>46169.0</v>
      </c>
      <c r="E75" s="21">
        <v>1.000322736E9</v>
      </c>
      <c r="G75" s="21" t="s">
        <v>413</v>
      </c>
      <c r="H75" s="21" t="s">
        <v>430</v>
      </c>
      <c r="I75" s="21" t="s">
        <v>788</v>
      </c>
      <c r="K75" s="21" t="s">
        <v>789</v>
      </c>
      <c r="M75" s="21" t="s">
        <v>764</v>
      </c>
      <c r="N75" s="21">
        <v>40.0</v>
      </c>
      <c r="O75" s="21" t="s">
        <v>349</v>
      </c>
      <c r="P75" s="21" t="s">
        <v>350</v>
      </c>
      <c r="Q75" s="21" t="s">
        <v>790</v>
      </c>
      <c r="R75" s="21">
        <v>80.0</v>
      </c>
      <c r="T75" s="21" t="s">
        <v>324</v>
      </c>
      <c r="U75" s="21" t="s">
        <v>270</v>
      </c>
      <c r="V75" s="21" t="s">
        <v>271</v>
      </c>
      <c r="W75" s="21" t="s">
        <v>418</v>
      </c>
      <c r="X75" s="23" t="s">
        <v>419</v>
      </c>
      <c r="Y75" s="21" t="s">
        <v>561</v>
      </c>
      <c r="Z75" s="21" t="s">
        <v>660</v>
      </c>
      <c r="AA75" s="23" t="s">
        <v>766</v>
      </c>
      <c r="AC75" s="21" t="s">
        <v>464</v>
      </c>
      <c r="AD75" s="21" t="s">
        <v>581</v>
      </c>
      <c r="AE75" s="21" t="s">
        <v>435</v>
      </c>
      <c r="AF75" s="23" t="s">
        <v>774</v>
      </c>
      <c r="AG75" s="21" t="s">
        <v>791</v>
      </c>
      <c r="AH75" s="21" t="s">
        <v>425</v>
      </c>
      <c r="AI75" s="21"/>
      <c r="AJ75" s="21" t="s">
        <v>712</v>
      </c>
      <c r="AK75" s="31">
        <v>46169.0</v>
      </c>
      <c r="AL75" s="25" t="str">
        <f t="array" ref="AL75">IF(
                AG75 = "",
                "",
                       IF(
                           AG75 ="FOTOGRAFIA",
                           "LINK",
                           "https://www.appsheet.com/template/gettablefileurl?appName=MEDICIÓNDEESPESORES-924373673&amp;tableName=1_general&amp;fileName="&amp;AG75                         )
                          )</f>
        <v>https://www.appsheet.com/template/gettablefileurl?appName=MEDICIÓNDEESPESORES-924373673&amp;tableName=1_general&amp;fileName=1_general_Images/REPORT_SCAN59a6701b.firma.141247.png</v>
      </c>
      <c r="AM75" s="28" t="s">
        <v>792</v>
      </c>
      <c r="AN75" s="27" t="s">
        <v>793</v>
      </c>
      <c r="AO75" s="27" t="str">
        <f t="array" ref="AO75">IF(
                AM75 = "",
                "",
                       IF(
                           AM75 ="FOTOGRAFIA",
                           "LINK",
                           "https://www.appsheet.com/template/gettablefileurl?appName=MEDICIÓNDEESPESORES-924373673&amp;tableName=1_general&amp;fileName="&amp;AM75                         )
                          )</f>
        <v>https://www.appsheet.com/template/gettablefileurl?appName=MEDICIÓNDEESPESORES-924373673&amp;tableName=1_general&amp;fileName=1_general_Files_/REPORT_SCAN59a6701b.lectura.141247.xlsx</v>
      </c>
      <c r="AP75" s="21" t="s">
        <v>428</v>
      </c>
    </row>
    <row r="76" ht="14.25" customHeight="1">
      <c r="A76" s="21" t="s">
        <v>794</v>
      </c>
      <c r="B76" s="21" t="s">
        <v>344</v>
      </c>
      <c r="D76" s="31">
        <v>46169.0</v>
      </c>
      <c r="E76" s="21">
        <v>1.000323593E9</v>
      </c>
      <c r="G76" s="21" t="s">
        <v>413</v>
      </c>
      <c r="H76" s="21" t="s">
        <v>430</v>
      </c>
      <c r="I76" s="21" t="s">
        <v>795</v>
      </c>
      <c r="K76" s="21" t="s">
        <v>796</v>
      </c>
      <c r="M76" s="21" t="s">
        <v>464</v>
      </c>
      <c r="N76" s="21">
        <v>40.0</v>
      </c>
      <c r="O76" s="21" t="s">
        <v>349</v>
      </c>
      <c r="P76" s="21" t="s">
        <v>350</v>
      </c>
      <c r="Q76" s="21" t="s">
        <v>797</v>
      </c>
      <c r="R76" s="21">
        <v>80.0</v>
      </c>
      <c r="T76" s="21" t="s">
        <v>324</v>
      </c>
      <c r="U76" s="21" t="s">
        <v>270</v>
      </c>
      <c r="V76" s="21" t="s">
        <v>271</v>
      </c>
      <c r="W76" s="21" t="s">
        <v>418</v>
      </c>
      <c r="X76" s="23" t="s">
        <v>419</v>
      </c>
      <c r="Y76" s="21" t="s">
        <v>561</v>
      </c>
      <c r="Z76" s="21" t="s">
        <v>660</v>
      </c>
      <c r="AA76" s="23" t="s">
        <v>766</v>
      </c>
      <c r="AC76" s="21" t="s">
        <v>464</v>
      </c>
      <c r="AD76" s="21" t="s">
        <v>581</v>
      </c>
      <c r="AE76" s="21" t="s">
        <v>435</v>
      </c>
      <c r="AF76" s="23" t="s">
        <v>798</v>
      </c>
      <c r="AG76" s="21" t="s">
        <v>799</v>
      </c>
      <c r="AH76" s="21" t="s">
        <v>584</v>
      </c>
      <c r="AI76" s="21"/>
      <c r="AJ76" s="21" t="s">
        <v>585</v>
      </c>
      <c r="AK76" s="31">
        <v>46169.0</v>
      </c>
      <c r="AL76" s="25" t="str">
        <f t="array" ref="AL76">IF(
                AG76 = "",
                "",
                       IF(
                           AG76 ="FOTOGRAFIA",
                           "LINK",
                           "https://www.appsheet.com/template/gettablefileurl?appName=MEDICIÓNDEESPESORES-924373673&amp;tableName=1_general&amp;fileName="&amp;AG76                         )
                          )</f>
        <v>https://www.appsheet.com/template/gettablefileurl?appName=MEDICIÓNDEESPESORES-924373673&amp;tableName=1_general&amp;fileName=1_general_Images/REPORT_SCANac75be1f.firma.141711.png</v>
      </c>
      <c r="AM76" s="28" t="s">
        <v>800</v>
      </c>
      <c r="AN76" s="27" t="s">
        <v>801</v>
      </c>
      <c r="AO76" s="27" t="str">
        <f t="array" ref="AO76">IF(
                AM76 = "",
                "",
                       IF(
                           AM76 ="FOTOGRAFIA",
                           "LINK",
                           "https://www.appsheet.com/template/gettablefileurl?appName=MEDICIÓNDEESPESORES-924373673&amp;tableName=1_general&amp;fileName="&amp;AM76                         )
                          )</f>
        <v>https://www.appsheet.com/template/gettablefileurl?appName=MEDICIÓNDEESPESORES-924373673&amp;tableName=1_general&amp;fileName=1_general_Files_/REPORT_SCANac75be1f.lectura.141711.xlsx</v>
      </c>
      <c r="AP76" s="21" t="s">
        <v>428</v>
      </c>
    </row>
    <row r="77" ht="14.25" customHeight="1">
      <c r="A77" s="21" t="s">
        <v>802</v>
      </c>
      <c r="B77" s="21" t="s">
        <v>344</v>
      </c>
      <c r="D77" s="31">
        <v>46169.0</v>
      </c>
      <c r="E77" s="21">
        <v>1.00032365E9</v>
      </c>
      <c r="G77" s="21" t="s">
        <v>413</v>
      </c>
      <c r="H77" s="21" t="s">
        <v>430</v>
      </c>
      <c r="I77" s="21" t="s">
        <v>803</v>
      </c>
      <c r="K77" s="21" t="s">
        <v>416</v>
      </c>
      <c r="M77" s="21" t="s">
        <v>580</v>
      </c>
      <c r="N77" s="21">
        <v>40.0</v>
      </c>
      <c r="T77" s="21" t="s">
        <v>324</v>
      </c>
      <c r="U77" s="21" t="s">
        <v>270</v>
      </c>
      <c r="V77" s="21" t="s">
        <v>271</v>
      </c>
      <c r="W77" s="21" t="s">
        <v>418</v>
      </c>
      <c r="X77" s="23" t="s">
        <v>419</v>
      </c>
      <c r="Y77" s="21" t="s">
        <v>561</v>
      </c>
      <c r="Z77" s="21" t="s">
        <v>548</v>
      </c>
      <c r="AA77" s="23" t="s">
        <v>421</v>
      </c>
      <c r="AC77" s="21" t="s">
        <v>580</v>
      </c>
      <c r="AD77" s="21" t="s">
        <v>581</v>
      </c>
      <c r="AE77" s="21" t="s">
        <v>435</v>
      </c>
      <c r="AF77" s="23" t="s">
        <v>704</v>
      </c>
      <c r="AG77" s="21" t="s">
        <v>804</v>
      </c>
      <c r="AH77" s="21" t="s">
        <v>425</v>
      </c>
      <c r="AI77" s="21"/>
      <c r="AJ77" s="21" t="s">
        <v>712</v>
      </c>
      <c r="AK77" s="31">
        <v>46169.0</v>
      </c>
      <c r="AM77" s="28" t="s">
        <v>805</v>
      </c>
      <c r="AN77" s="26"/>
      <c r="AO77" s="27" t="str">
        <f t="array" ref="AO77">IF(
                AM77 = "",
                "",
                       IF(
                           AM77 ="FOTOGRAFIA",
                           "LINK",
                           "https://www.appsheet.com/template/gettablefileurl?appName=MEDICIÓNDEESPESORES-924373673&amp;tableName=1_general&amp;fileName="&amp;AM77                         )
                          )</f>
        <v>https://www.appsheet.com/template/gettablefileurl?appName=MEDICIÓNDEESPESORES-924373673&amp;tableName=1_general&amp;fileName=1_general_Files_/REPORT_SCANa734b956.lectura.142627.xlsx</v>
      </c>
    </row>
    <row r="78" ht="14.25" customHeight="1">
      <c r="A78" s="21" t="s">
        <v>806</v>
      </c>
      <c r="B78" s="21" t="s">
        <v>344</v>
      </c>
      <c r="D78" s="31">
        <v>46180.0</v>
      </c>
      <c r="F78" s="23" t="s">
        <v>807</v>
      </c>
      <c r="H78" s="21" t="s">
        <v>430</v>
      </c>
      <c r="I78" s="21" t="s">
        <v>808</v>
      </c>
      <c r="M78" s="21" t="s">
        <v>477</v>
      </c>
      <c r="N78" s="21">
        <v>38.0</v>
      </c>
      <c r="O78" s="21" t="s">
        <v>478</v>
      </c>
      <c r="Q78" s="23" t="s">
        <v>351</v>
      </c>
      <c r="T78" s="21" t="s">
        <v>324</v>
      </c>
      <c r="U78" s="21" t="s">
        <v>253</v>
      </c>
      <c r="V78" s="21" t="s">
        <v>231</v>
      </c>
      <c r="W78" s="21" t="s">
        <v>232</v>
      </c>
      <c r="X78" s="23" t="s">
        <v>299</v>
      </c>
      <c r="Y78" s="21" t="s">
        <v>355</v>
      </c>
      <c r="Z78" s="21" t="s">
        <v>505</v>
      </c>
      <c r="AA78" s="23" t="s">
        <v>809</v>
      </c>
      <c r="AB78" s="21" t="s">
        <v>482</v>
      </c>
      <c r="AC78" s="21" t="s">
        <v>477</v>
      </c>
      <c r="AE78" s="21" t="s">
        <v>484</v>
      </c>
      <c r="AF78" s="23" t="s">
        <v>810</v>
      </c>
      <c r="AG78" s="21" t="s">
        <v>811</v>
      </c>
      <c r="AH78" s="21" t="s">
        <v>487</v>
      </c>
      <c r="AI78" s="21"/>
      <c r="AJ78" s="21" t="s">
        <v>488</v>
      </c>
      <c r="AK78" s="31">
        <v>46180.0</v>
      </c>
      <c r="AM78" s="28" t="s">
        <v>812</v>
      </c>
      <c r="AN78" s="26"/>
      <c r="AO78" s="27" t="str">
        <f t="array" ref="AO78">IF(
                AM78 = "",
                "",
                       IF(
                           AM78 ="FOTOGRAFIA",
                           "LINK",
                           "https://www.appsheet.com/template/gettablefileurl?appName=MEDICIÓNDEESPESORES-924373673&amp;tableName=1_general&amp;fileName="&amp;AM78                         )
                          )</f>
        <v>https://www.appsheet.com/template/gettablefileurl?appName=MEDICIÓNDEESPESORES-924373673&amp;tableName=1_general&amp;fileName=1_general_Files_/REPORT_SCANc49da5c0.lectura.201142.xlsx</v>
      </c>
    </row>
    <row r="79" ht="14.25" customHeight="1">
      <c r="A79" s="21" t="s">
        <v>813</v>
      </c>
      <c r="B79" s="21" t="s">
        <v>344</v>
      </c>
      <c r="C79" s="21" t="s">
        <v>814</v>
      </c>
      <c r="D79" s="31">
        <v>46182.0</v>
      </c>
      <c r="F79" s="23" t="s">
        <v>815</v>
      </c>
      <c r="G79" s="21" t="s">
        <v>816</v>
      </c>
      <c r="H79" s="21" t="s">
        <v>430</v>
      </c>
      <c r="I79" s="21" t="s">
        <v>817</v>
      </c>
      <c r="M79" s="21" t="s">
        <v>477</v>
      </c>
      <c r="N79" s="21">
        <v>35.0</v>
      </c>
      <c r="T79" s="21" t="s">
        <v>324</v>
      </c>
      <c r="U79" s="21" t="s">
        <v>270</v>
      </c>
      <c r="V79" s="21" t="s">
        <v>271</v>
      </c>
      <c r="W79" s="21" t="s">
        <v>232</v>
      </c>
      <c r="X79" s="23" t="s">
        <v>299</v>
      </c>
      <c r="Y79" s="21" t="s">
        <v>561</v>
      </c>
      <c r="Z79" s="21" t="s">
        <v>818</v>
      </c>
      <c r="AB79" s="21" t="s">
        <v>819</v>
      </c>
      <c r="AC79" s="21" t="s">
        <v>417</v>
      </c>
      <c r="AD79" s="21" t="s">
        <v>237</v>
      </c>
      <c r="AE79" s="21" t="s">
        <v>820</v>
      </c>
      <c r="AF79" s="23" t="s">
        <v>821</v>
      </c>
      <c r="AG79" s="21" t="s">
        <v>822</v>
      </c>
      <c r="AH79" s="21" t="s">
        <v>823</v>
      </c>
      <c r="AI79" s="21"/>
      <c r="AJ79" s="21" t="s">
        <v>824</v>
      </c>
      <c r="AM79" s="28" t="s">
        <v>825</v>
      </c>
      <c r="AN79" s="26"/>
      <c r="AO79" s="26"/>
    </row>
    <row r="80" ht="14.25" customHeight="1">
      <c r="A80" s="21" t="s">
        <v>826</v>
      </c>
      <c r="B80" s="21" t="s">
        <v>344</v>
      </c>
      <c r="D80" s="31">
        <v>46182.0</v>
      </c>
      <c r="E80" s="21">
        <v>1000323.0</v>
      </c>
      <c r="G80" s="21" t="s">
        <v>413</v>
      </c>
      <c r="H80" s="21" t="s">
        <v>430</v>
      </c>
      <c r="I80" s="21" t="s">
        <v>827</v>
      </c>
      <c r="K80" s="21" t="s">
        <v>416</v>
      </c>
      <c r="M80" s="21" t="s">
        <v>580</v>
      </c>
      <c r="N80" s="21">
        <v>40.0</v>
      </c>
      <c r="T80" s="21" t="s">
        <v>324</v>
      </c>
      <c r="U80" s="21" t="s">
        <v>270</v>
      </c>
      <c r="V80" s="21" t="s">
        <v>271</v>
      </c>
      <c r="W80" s="21" t="s">
        <v>418</v>
      </c>
      <c r="X80" s="23" t="s">
        <v>419</v>
      </c>
      <c r="Y80" s="21" t="s">
        <v>561</v>
      </c>
      <c r="Z80" s="21" t="s">
        <v>548</v>
      </c>
      <c r="AA80" s="23" t="s">
        <v>421</v>
      </c>
      <c r="AC80" s="21" t="s">
        <v>580</v>
      </c>
      <c r="AD80" s="21" t="s">
        <v>709</v>
      </c>
      <c r="AE80" s="21" t="s">
        <v>435</v>
      </c>
      <c r="AF80" s="23" t="s">
        <v>828</v>
      </c>
      <c r="AG80" s="21" t="s">
        <v>829</v>
      </c>
      <c r="AH80" s="21" t="s">
        <v>425</v>
      </c>
      <c r="AI80" s="21"/>
      <c r="AJ80" s="21" t="s">
        <v>585</v>
      </c>
      <c r="AK80" s="31">
        <v>46182.0</v>
      </c>
      <c r="AM80" s="28" t="s">
        <v>830</v>
      </c>
      <c r="AN80" s="26"/>
      <c r="AO80" s="27" t="str">
        <f t="array" ref="AO80">IF(
                AM80 = "",
                "",
                       IF(
                           AM80 ="FOTOGRAFIA",
                           "LINK",
                           "https://www.appsheet.com/template/gettablefileurl?appName=MEDICIÓNDEESPESORES-924373673&amp;tableName=1_general&amp;fileName="&amp;AM80                         )
                          )</f>
        <v>https://www.appsheet.com/template/gettablefileurl?appName=MEDICIÓNDEESPESORES-924373673&amp;tableName=1_general&amp;fileName=1_general_Files_/REPORT_SCAN73aca863.lectura.183753.xlsx</v>
      </c>
    </row>
    <row r="81" ht="14.25" customHeight="1">
      <c r="A81" s="21" t="s">
        <v>831</v>
      </c>
      <c r="B81" s="21" t="s">
        <v>344</v>
      </c>
      <c r="D81" s="31">
        <v>46182.0</v>
      </c>
      <c r="E81" s="21">
        <v>1.000323594E9</v>
      </c>
      <c r="G81" s="21" t="s">
        <v>413</v>
      </c>
      <c r="H81" s="21" t="s">
        <v>832</v>
      </c>
      <c r="I81" s="21" t="s">
        <v>833</v>
      </c>
      <c r="K81" s="21" t="s">
        <v>416</v>
      </c>
      <c r="M81" s="21" t="s">
        <v>834</v>
      </c>
      <c r="N81" s="21">
        <v>40.0</v>
      </c>
      <c r="T81" s="21" t="s">
        <v>324</v>
      </c>
      <c r="U81" s="21" t="s">
        <v>270</v>
      </c>
      <c r="V81" s="21" t="s">
        <v>271</v>
      </c>
      <c r="W81" s="21" t="s">
        <v>418</v>
      </c>
      <c r="X81" s="23" t="s">
        <v>419</v>
      </c>
      <c r="Y81" s="21" t="s">
        <v>561</v>
      </c>
      <c r="Z81" s="21" t="s">
        <v>835</v>
      </c>
      <c r="AA81" s="23" t="s">
        <v>421</v>
      </c>
      <c r="AC81" s="21" t="s">
        <v>580</v>
      </c>
      <c r="AD81" s="21" t="s">
        <v>581</v>
      </c>
      <c r="AE81" s="21" t="s">
        <v>435</v>
      </c>
      <c r="AF81" s="23" t="s">
        <v>836</v>
      </c>
      <c r="AG81" s="21" t="s">
        <v>837</v>
      </c>
      <c r="AH81" s="21" t="s">
        <v>425</v>
      </c>
      <c r="AI81" s="21"/>
      <c r="AJ81" s="21" t="s">
        <v>585</v>
      </c>
      <c r="AK81" s="31">
        <v>46182.0</v>
      </c>
      <c r="AM81" s="28" t="s">
        <v>838</v>
      </c>
      <c r="AN81" s="26"/>
      <c r="AO81" s="27" t="str">
        <f t="array" ref="AO81">IF(
                AM81 = "",
                "",
                       IF(
                           AM81 ="FOTOGRAFIA",
                           "LINK",
                           "https://www.appsheet.com/template/gettablefileurl?appName=MEDICIÓNDEESPESORES-924373673&amp;tableName=1_general&amp;fileName="&amp;AM81                         )
                          )</f>
        <v>https://www.appsheet.com/template/gettablefileurl?appName=MEDICIÓNDEESPESORES-924373673&amp;tableName=1_general&amp;fileName=1_general_Files_/REPORT_SCAN1ee6c350.lectura.184228.xlsx</v>
      </c>
    </row>
    <row r="82" ht="14.25" customHeight="1">
      <c r="A82" s="21" t="s">
        <v>839</v>
      </c>
      <c r="B82" s="21" t="s">
        <v>344</v>
      </c>
      <c r="D82" s="31">
        <v>46182.0</v>
      </c>
      <c r="E82" s="21">
        <v>1.000323595E9</v>
      </c>
      <c r="G82" s="21" t="s">
        <v>413</v>
      </c>
      <c r="H82" s="21" t="s">
        <v>430</v>
      </c>
      <c r="I82" s="21" t="s">
        <v>840</v>
      </c>
      <c r="K82" s="21" t="s">
        <v>416</v>
      </c>
      <c r="M82" s="21" t="s">
        <v>580</v>
      </c>
      <c r="N82" s="21">
        <v>40.0</v>
      </c>
      <c r="T82" s="21" t="s">
        <v>324</v>
      </c>
      <c r="U82" s="21" t="s">
        <v>270</v>
      </c>
      <c r="V82" s="21" t="s">
        <v>271</v>
      </c>
      <c r="W82" s="21" t="s">
        <v>418</v>
      </c>
      <c r="X82" s="23" t="s">
        <v>841</v>
      </c>
      <c r="Y82" s="21" t="s">
        <v>561</v>
      </c>
      <c r="Z82" s="21" t="s">
        <v>548</v>
      </c>
      <c r="AA82" s="23" t="s">
        <v>421</v>
      </c>
      <c r="AC82" s="21" t="s">
        <v>580</v>
      </c>
      <c r="AD82" s="21" t="s">
        <v>709</v>
      </c>
      <c r="AE82" s="21" t="s">
        <v>435</v>
      </c>
      <c r="AF82" s="23" t="s">
        <v>842</v>
      </c>
      <c r="AG82" s="21" t="s">
        <v>843</v>
      </c>
      <c r="AH82" s="21" t="s">
        <v>425</v>
      </c>
      <c r="AI82" s="21"/>
      <c r="AJ82" s="21" t="s">
        <v>585</v>
      </c>
      <c r="AK82" s="31">
        <v>46182.0</v>
      </c>
      <c r="AM82" s="28" t="s">
        <v>844</v>
      </c>
      <c r="AN82" s="26"/>
      <c r="AO82" s="27" t="str">
        <f t="array" ref="AO82">IF(
                AM82 = "",
                "",
                       IF(
                           AM82 ="FOTOGRAFIA",
                           "LINK",
                           "https://www.appsheet.com/template/gettablefileurl?appName=MEDICIÓNDEESPESORES-924373673&amp;tableName=1_general&amp;fileName="&amp;AM82                         )
                          )</f>
        <v>https://www.appsheet.com/template/gettablefileurl?appName=MEDICIÓNDEESPESORES-924373673&amp;tableName=1_general&amp;fileName=1_general_Files_/REPORT_SCANf1188163.lectura.184739.xlsx</v>
      </c>
    </row>
    <row r="83" ht="14.25" customHeight="1">
      <c r="A83" s="21" t="s">
        <v>845</v>
      </c>
      <c r="B83" s="21" t="s">
        <v>344</v>
      </c>
      <c r="D83" s="31">
        <v>46182.0</v>
      </c>
      <c r="G83" s="21" t="s">
        <v>413</v>
      </c>
      <c r="H83" s="21" t="s">
        <v>430</v>
      </c>
      <c r="I83" s="21" t="s">
        <v>846</v>
      </c>
      <c r="K83" s="21" t="s">
        <v>416</v>
      </c>
      <c r="M83" s="21" t="s">
        <v>580</v>
      </c>
      <c r="N83" s="21">
        <v>40.0</v>
      </c>
      <c r="T83" s="21" t="s">
        <v>324</v>
      </c>
      <c r="U83" s="21" t="s">
        <v>270</v>
      </c>
      <c r="V83" s="21" t="s">
        <v>271</v>
      </c>
      <c r="W83" s="21" t="s">
        <v>418</v>
      </c>
      <c r="X83" s="23" t="s">
        <v>841</v>
      </c>
      <c r="Y83" s="21" t="s">
        <v>561</v>
      </c>
      <c r="Z83" s="21" t="s">
        <v>548</v>
      </c>
      <c r="AA83" s="23" t="s">
        <v>421</v>
      </c>
      <c r="AC83" s="21" t="s">
        <v>580</v>
      </c>
      <c r="AD83" s="21" t="s">
        <v>709</v>
      </c>
      <c r="AE83" s="21" t="s">
        <v>435</v>
      </c>
      <c r="AF83" s="23" t="s">
        <v>847</v>
      </c>
      <c r="AG83" s="21" t="s">
        <v>848</v>
      </c>
      <c r="AH83" s="21" t="s">
        <v>425</v>
      </c>
      <c r="AI83" s="21"/>
      <c r="AJ83" s="21" t="s">
        <v>585</v>
      </c>
      <c r="AK83" s="31">
        <v>46182.0</v>
      </c>
      <c r="AM83" s="28" t="s">
        <v>849</v>
      </c>
      <c r="AN83" s="26"/>
      <c r="AO83" s="27" t="str">
        <f t="array" ref="AO83">IF(
                AM83 = "",
                "",
                       IF(
                           AM83 ="FOTOGRAFIA",
                           "LINK",
                           "https://www.appsheet.com/template/gettablefileurl?appName=MEDICIÓNDEESPESORES-924373673&amp;tableName=1_general&amp;fileName="&amp;AM83                         )
                          )</f>
        <v>https://www.appsheet.com/template/gettablefileurl?appName=MEDICIÓNDEESPESORES-924373673&amp;tableName=1_general&amp;fileName=1_general_Files_/REPORT_SCANe4264bc3.lectura.185349.xlsx</v>
      </c>
    </row>
    <row r="84" ht="14.25" customHeight="1">
      <c r="A84" s="21" t="s">
        <v>850</v>
      </c>
      <c r="B84" s="21" t="s">
        <v>344</v>
      </c>
      <c r="C84" s="21" t="s">
        <v>814</v>
      </c>
      <c r="D84" s="31">
        <v>46182.0</v>
      </c>
      <c r="F84" s="23" t="s">
        <v>851</v>
      </c>
      <c r="G84" s="21" t="s">
        <v>816</v>
      </c>
      <c r="H84" s="21" t="s">
        <v>430</v>
      </c>
      <c r="I84" s="21" t="s">
        <v>852</v>
      </c>
      <c r="M84" s="21" t="s">
        <v>853</v>
      </c>
      <c r="N84" s="21">
        <v>40.0</v>
      </c>
      <c r="T84" s="21" t="s">
        <v>324</v>
      </c>
      <c r="U84" s="21" t="s">
        <v>270</v>
      </c>
      <c r="V84" s="21" t="s">
        <v>271</v>
      </c>
      <c r="W84" s="21" t="s">
        <v>232</v>
      </c>
      <c r="X84" s="23" t="s">
        <v>299</v>
      </c>
      <c r="Y84" s="21" t="s">
        <v>561</v>
      </c>
      <c r="Z84" s="21" t="s">
        <v>854</v>
      </c>
      <c r="AB84" s="21" t="s">
        <v>855</v>
      </c>
      <c r="AC84" s="21" t="s">
        <v>856</v>
      </c>
      <c r="AE84" s="21" t="s">
        <v>820</v>
      </c>
      <c r="AF84" s="23" t="s">
        <v>857</v>
      </c>
      <c r="AG84" s="21" t="s">
        <v>858</v>
      </c>
      <c r="AH84" s="21" t="s">
        <v>859</v>
      </c>
      <c r="AI84" s="21"/>
      <c r="AJ84" s="21" t="s">
        <v>824</v>
      </c>
      <c r="AM84" s="28" t="s">
        <v>860</v>
      </c>
      <c r="AN84" s="26"/>
      <c r="AO84" s="26"/>
    </row>
    <row r="85" ht="14.25" customHeight="1">
      <c r="A85" s="21" t="s">
        <v>861</v>
      </c>
      <c r="B85" s="21" t="s">
        <v>344</v>
      </c>
      <c r="D85" s="31">
        <v>46182.0</v>
      </c>
      <c r="G85" s="21" t="s">
        <v>413</v>
      </c>
      <c r="H85" s="21" t="s">
        <v>430</v>
      </c>
      <c r="I85" s="21" t="s">
        <v>862</v>
      </c>
      <c r="K85" s="21" t="s">
        <v>416</v>
      </c>
      <c r="M85" s="21" t="s">
        <v>580</v>
      </c>
      <c r="N85" s="21">
        <v>40.0</v>
      </c>
      <c r="T85" s="21" t="s">
        <v>324</v>
      </c>
      <c r="U85" s="21" t="s">
        <v>270</v>
      </c>
      <c r="V85" s="21" t="s">
        <v>271</v>
      </c>
      <c r="W85" s="21" t="s">
        <v>418</v>
      </c>
      <c r="X85" s="23" t="s">
        <v>841</v>
      </c>
      <c r="Y85" s="21" t="s">
        <v>561</v>
      </c>
      <c r="Z85" s="21" t="s">
        <v>548</v>
      </c>
      <c r="AA85" s="23" t="s">
        <v>421</v>
      </c>
      <c r="AC85" s="21" t="s">
        <v>580</v>
      </c>
      <c r="AD85" s="21" t="s">
        <v>581</v>
      </c>
      <c r="AE85" s="21" t="s">
        <v>435</v>
      </c>
      <c r="AF85" s="23" t="s">
        <v>842</v>
      </c>
      <c r="AG85" s="21" t="s">
        <v>863</v>
      </c>
      <c r="AH85" s="21" t="s">
        <v>425</v>
      </c>
      <c r="AI85" s="21"/>
      <c r="AJ85" s="21" t="s">
        <v>585</v>
      </c>
      <c r="AK85" s="31">
        <v>46182.0</v>
      </c>
      <c r="AM85" s="28" t="s">
        <v>864</v>
      </c>
      <c r="AN85" s="26"/>
      <c r="AO85" s="27" t="str">
        <f t="array" ref="AO85">IF(
                AM85 = "",
                "",
                       IF(
                           AM85 ="FOTOGRAFIA",
                           "LINK",
                           "https://www.appsheet.com/template/gettablefileurl?appName=MEDICIÓNDEESPESORES-924373673&amp;tableName=1_general&amp;fileName="&amp;AM85                         )
                          )</f>
        <v>https://www.appsheet.com/template/gettablefileurl?appName=MEDICIÓNDEESPESORES-924373673&amp;tableName=1_general&amp;fileName=1_general_Files_/REPORT_SCAN6e44caee.lectura.185755.xlsx</v>
      </c>
    </row>
    <row r="86" ht="14.25" customHeight="1">
      <c r="A86" s="21" t="s">
        <v>865</v>
      </c>
      <c r="B86" s="21" t="s">
        <v>344</v>
      </c>
      <c r="D86" s="31">
        <v>46182.0</v>
      </c>
      <c r="G86" s="21" t="s">
        <v>413</v>
      </c>
      <c r="H86" s="21" t="s">
        <v>430</v>
      </c>
      <c r="I86" s="21" t="s">
        <v>866</v>
      </c>
      <c r="K86" s="21" t="s">
        <v>416</v>
      </c>
      <c r="M86" s="21" t="s">
        <v>580</v>
      </c>
      <c r="N86" s="21">
        <v>40.0</v>
      </c>
      <c r="T86" s="21" t="s">
        <v>324</v>
      </c>
      <c r="U86" s="21" t="s">
        <v>270</v>
      </c>
      <c r="V86" s="21" t="s">
        <v>271</v>
      </c>
      <c r="W86" s="21" t="s">
        <v>418</v>
      </c>
      <c r="X86" s="23" t="s">
        <v>841</v>
      </c>
      <c r="Y86" s="21" t="s">
        <v>561</v>
      </c>
      <c r="Z86" s="21" t="s">
        <v>548</v>
      </c>
      <c r="AA86" s="23" t="s">
        <v>421</v>
      </c>
      <c r="AC86" s="21" t="s">
        <v>580</v>
      </c>
      <c r="AD86" s="21" t="s">
        <v>581</v>
      </c>
      <c r="AE86" s="21" t="s">
        <v>435</v>
      </c>
      <c r="AF86" s="23" t="s">
        <v>867</v>
      </c>
      <c r="AG86" s="21" t="s">
        <v>868</v>
      </c>
      <c r="AH86" s="21" t="s">
        <v>425</v>
      </c>
      <c r="AI86" s="21"/>
      <c r="AJ86" s="21" t="s">
        <v>585</v>
      </c>
      <c r="AK86" s="31">
        <v>46182.0</v>
      </c>
      <c r="AM86" s="28" t="s">
        <v>869</v>
      </c>
      <c r="AN86" s="26"/>
      <c r="AO86" s="27" t="str">
        <f t="array" ref="AO86">IF(
                AM86 = "",
                "",
                       IF(
                           AM86 ="FOTOGRAFIA",
                           "LINK",
                           "https://www.appsheet.com/template/gettablefileurl?appName=MEDICIÓNDEESPESORES-924373673&amp;tableName=1_general&amp;fileName="&amp;AM86                         )
                          )</f>
        <v>https://www.appsheet.com/template/gettablefileurl?appName=MEDICIÓNDEESPESORES-924373673&amp;tableName=1_general&amp;fileName=1_general_Files_/REPORT_SCAN88e5638c.lectura.190430.xlsx</v>
      </c>
    </row>
    <row r="87" ht="14.25" customHeight="1">
      <c r="A87" s="21" t="s">
        <v>870</v>
      </c>
      <c r="B87" s="21" t="s">
        <v>344</v>
      </c>
      <c r="D87" s="31">
        <v>46182.0</v>
      </c>
      <c r="E87" s="21">
        <v>1.000323599E9</v>
      </c>
      <c r="G87" s="21" t="s">
        <v>413</v>
      </c>
      <c r="H87" s="21" t="s">
        <v>430</v>
      </c>
      <c r="I87" s="21" t="s">
        <v>871</v>
      </c>
      <c r="K87" s="21" t="s">
        <v>872</v>
      </c>
      <c r="M87" s="21" t="s">
        <v>580</v>
      </c>
      <c r="N87" s="21">
        <v>40.0</v>
      </c>
      <c r="T87" s="21" t="s">
        <v>324</v>
      </c>
      <c r="U87" s="21" t="s">
        <v>270</v>
      </c>
      <c r="V87" s="21" t="s">
        <v>271</v>
      </c>
      <c r="W87" s="21" t="s">
        <v>418</v>
      </c>
      <c r="X87" s="23" t="s">
        <v>841</v>
      </c>
      <c r="Y87" s="21" t="s">
        <v>561</v>
      </c>
      <c r="Z87" s="21" t="s">
        <v>548</v>
      </c>
      <c r="AA87" s="23" t="s">
        <v>421</v>
      </c>
      <c r="AC87" s="21" t="s">
        <v>580</v>
      </c>
      <c r="AD87" s="21" t="s">
        <v>581</v>
      </c>
      <c r="AE87" s="21" t="s">
        <v>435</v>
      </c>
      <c r="AF87" s="23" t="s">
        <v>873</v>
      </c>
      <c r="AG87" s="21" t="s">
        <v>874</v>
      </c>
      <c r="AH87" s="21" t="s">
        <v>425</v>
      </c>
      <c r="AI87" s="21"/>
      <c r="AJ87" s="21" t="s">
        <v>585</v>
      </c>
      <c r="AK87" s="31">
        <v>46182.0</v>
      </c>
      <c r="AM87" s="28" t="s">
        <v>875</v>
      </c>
      <c r="AN87" s="26"/>
      <c r="AO87" s="27" t="str">
        <f t="array" ref="AO87">IF(
                AM87 = "",
                "",
                       IF(
                           AM87 ="FOTOGRAFIA",
                           "LINK",
                           "https://www.appsheet.com/template/gettablefileurl?appName=MEDICIÓNDEESPESORES-924373673&amp;tableName=1_general&amp;fileName="&amp;AM87                         )
                          )</f>
        <v>https://www.appsheet.com/template/gettablefileurl?appName=MEDICIÓNDEESPESORES-924373673&amp;tableName=1_general&amp;fileName=1_general_Files_/REPORT_SCAN29a25249.lectura.190945.xlsx</v>
      </c>
    </row>
    <row r="88" ht="14.25" customHeight="1">
      <c r="A88" s="21" t="s">
        <v>876</v>
      </c>
      <c r="B88" s="21" t="s">
        <v>344</v>
      </c>
      <c r="D88" s="31">
        <v>46182.0</v>
      </c>
      <c r="E88" s="21">
        <v>1.000323602E9</v>
      </c>
      <c r="G88" s="21" t="s">
        <v>413</v>
      </c>
      <c r="H88" s="21" t="s">
        <v>430</v>
      </c>
      <c r="I88" s="21" t="s">
        <v>877</v>
      </c>
      <c r="K88" s="21" t="s">
        <v>416</v>
      </c>
      <c r="M88" s="21" t="s">
        <v>580</v>
      </c>
      <c r="N88" s="21">
        <v>40.0</v>
      </c>
      <c r="T88" s="21" t="s">
        <v>324</v>
      </c>
      <c r="U88" s="21" t="s">
        <v>270</v>
      </c>
      <c r="V88" s="21" t="s">
        <v>271</v>
      </c>
      <c r="W88" s="21" t="s">
        <v>418</v>
      </c>
      <c r="X88" s="23" t="s">
        <v>841</v>
      </c>
      <c r="Y88" s="21" t="s">
        <v>561</v>
      </c>
      <c r="Z88" s="21" t="s">
        <v>548</v>
      </c>
      <c r="AA88" s="23" t="s">
        <v>421</v>
      </c>
      <c r="AC88" s="21" t="s">
        <v>580</v>
      </c>
      <c r="AD88" s="21" t="s">
        <v>581</v>
      </c>
      <c r="AE88" s="21" t="s">
        <v>435</v>
      </c>
      <c r="AF88" s="23" t="s">
        <v>867</v>
      </c>
      <c r="AG88" s="21" t="s">
        <v>878</v>
      </c>
      <c r="AH88" s="21" t="s">
        <v>425</v>
      </c>
      <c r="AI88" s="21"/>
      <c r="AJ88" s="21" t="s">
        <v>585</v>
      </c>
      <c r="AK88" s="31">
        <v>46182.0</v>
      </c>
      <c r="AM88" s="28" t="s">
        <v>879</v>
      </c>
      <c r="AN88" s="26"/>
      <c r="AO88" s="27" t="str">
        <f t="array" ref="AO88">IF(
                AM88 = "",
                "",
                       IF(
                           AM88 ="FOTOGRAFIA",
                           "LINK",
                           "https://www.appsheet.com/template/gettablefileurl?appName=MEDICIÓNDEESPESORES-924373673&amp;tableName=1_general&amp;fileName="&amp;AM88                         )
                          )</f>
        <v>https://www.appsheet.com/template/gettablefileurl?appName=MEDICIÓNDEESPESORES-924373673&amp;tableName=1_general&amp;fileName=1_general_Files_/REPORT_SCAN8523d3c6.lectura.191324.xlsx</v>
      </c>
    </row>
    <row r="89" ht="14.25" customHeight="1">
      <c r="A89" s="21" t="s">
        <v>880</v>
      </c>
      <c r="B89" s="21" t="s">
        <v>344</v>
      </c>
      <c r="D89" s="31">
        <v>46182.0</v>
      </c>
      <c r="E89" s="21">
        <v>1.000323598E9</v>
      </c>
      <c r="G89" s="21" t="s">
        <v>413</v>
      </c>
      <c r="H89" s="21" t="s">
        <v>430</v>
      </c>
      <c r="I89" s="21" t="s">
        <v>881</v>
      </c>
      <c r="K89" s="21" t="s">
        <v>416</v>
      </c>
      <c r="M89" s="21" t="s">
        <v>580</v>
      </c>
      <c r="N89" s="21">
        <v>40.0</v>
      </c>
      <c r="T89" s="21" t="s">
        <v>324</v>
      </c>
      <c r="U89" s="21" t="s">
        <v>270</v>
      </c>
      <c r="V89" s="21" t="s">
        <v>271</v>
      </c>
      <c r="W89" s="21" t="s">
        <v>418</v>
      </c>
      <c r="X89" s="23" t="s">
        <v>841</v>
      </c>
      <c r="Y89" s="21" t="s">
        <v>561</v>
      </c>
      <c r="Z89" s="21" t="s">
        <v>548</v>
      </c>
      <c r="AA89" s="23" t="s">
        <v>421</v>
      </c>
      <c r="AC89" s="21" t="s">
        <v>580</v>
      </c>
      <c r="AD89" s="21" t="s">
        <v>581</v>
      </c>
      <c r="AE89" s="21" t="s">
        <v>435</v>
      </c>
      <c r="AF89" s="23" t="s">
        <v>873</v>
      </c>
      <c r="AG89" s="21" t="s">
        <v>882</v>
      </c>
      <c r="AH89" s="21" t="s">
        <v>425</v>
      </c>
      <c r="AI89" s="21"/>
      <c r="AJ89" s="21" t="s">
        <v>585</v>
      </c>
      <c r="AK89" s="31">
        <v>46182.0</v>
      </c>
      <c r="AM89" s="28" t="s">
        <v>883</v>
      </c>
      <c r="AN89" s="26"/>
      <c r="AO89" s="27" t="str">
        <f t="array" ref="AO89">IF(
                AM89 = "",
                "",
                       IF(
                           AM89 ="FOTOGRAFIA",
                           "LINK",
                           "https://www.appsheet.com/template/gettablefileurl?appName=MEDICIÓNDEESPESORES-924373673&amp;tableName=1_general&amp;fileName="&amp;AM89                         )
                          )</f>
        <v>https://www.appsheet.com/template/gettablefileurl?appName=MEDICIÓNDEESPESORES-924373673&amp;tableName=1_general&amp;fileName=1_general_Files_/REPORT_SCANdf155cc3.lectura.191854.xlsx</v>
      </c>
    </row>
    <row r="90" ht="14.25" customHeight="1">
      <c r="A90" s="21" t="s">
        <v>884</v>
      </c>
      <c r="B90" s="21" t="s">
        <v>344</v>
      </c>
      <c r="D90" s="31">
        <v>46182.0</v>
      </c>
      <c r="E90" s="21">
        <v>1.0003236E9</v>
      </c>
      <c r="G90" s="21" t="s">
        <v>413</v>
      </c>
      <c r="H90" s="21" t="s">
        <v>430</v>
      </c>
      <c r="I90" s="21" t="s">
        <v>885</v>
      </c>
      <c r="K90" s="21" t="s">
        <v>416</v>
      </c>
      <c r="M90" s="21" t="s">
        <v>580</v>
      </c>
      <c r="N90" s="21">
        <v>40.0</v>
      </c>
      <c r="T90" s="21" t="s">
        <v>324</v>
      </c>
      <c r="U90" s="21" t="s">
        <v>270</v>
      </c>
      <c r="V90" s="21" t="s">
        <v>271</v>
      </c>
      <c r="W90" s="21" t="s">
        <v>418</v>
      </c>
      <c r="X90" s="23" t="s">
        <v>841</v>
      </c>
      <c r="Y90" s="21" t="s">
        <v>561</v>
      </c>
      <c r="Z90" s="21" t="s">
        <v>548</v>
      </c>
      <c r="AA90" s="23" t="s">
        <v>421</v>
      </c>
      <c r="AC90" s="21" t="s">
        <v>580</v>
      </c>
      <c r="AD90" s="21" t="s">
        <v>581</v>
      </c>
      <c r="AE90" s="21" t="s">
        <v>435</v>
      </c>
      <c r="AF90" s="23" t="s">
        <v>867</v>
      </c>
      <c r="AG90" s="21" t="s">
        <v>886</v>
      </c>
      <c r="AH90" s="21" t="s">
        <v>425</v>
      </c>
      <c r="AI90" s="21"/>
      <c r="AJ90" s="21" t="s">
        <v>585</v>
      </c>
      <c r="AK90" s="31">
        <v>46182.0</v>
      </c>
      <c r="AM90" s="28" t="s">
        <v>887</v>
      </c>
      <c r="AN90" s="26"/>
      <c r="AO90" s="27" t="str">
        <f t="array" ref="AO90">IF(
                AM90 = "",
                "",
                       IF(
                           AM90 ="FOTOGRAFIA",
                           "LINK",
                           "https://www.appsheet.com/template/gettablefileurl?appName=MEDICIÓNDEESPESORES-924373673&amp;tableName=1_general&amp;fileName="&amp;AM90                         )
                          )</f>
        <v>https://www.appsheet.com/template/gettablefileurl?appName=MEDICIÓNDEESPESORES-924373673&amp;tableName=1_general&amp;fileName=1_general_Files_/REPORT_SCAN1f88d790.lectura.192255.xlsx</v>
      </c>
    </row>
    <row r="91" ht="14.25" customHeight="1">
      <c r="A91" s="21" t="s">
        <v>888</v>
      </c>
      <c r="B91" s="21" t="s">
        <v>344</v>
      </c>
      <c r="D91" s="31">
        <v>46182.0</v>
      </c>
      <c r="E91" s="21">
        <v>1.000323601E9</v>
      </c>
      <c r="G91" s="21" t="s">
        <v>413</v>
      </c>
      <c r="H91" s="21" t="s">
        <v>430</v>
      </c>
      <c r="I91" s="21" t="s">
        <v>889</v>
      </c>
      <c r="K91" s="21" t="s">
        <v>416</v>
      </c>
      <c r="M91" s="21" t="s">
        <v>580</v>
      </c>
      <c r="N91" s="21">
        <v>40.0</v>
      </c>
      <c r="T91" s="21" t="s">
        <v>324</v>
      </c>
      <c r="U91" s="21" t="s">
        <v>270</v>
      </c>
      <c r="V91" s="21" t="s">
        <v>271</v>
      </c>
      <c r="W91" s="21" t="s">
        <v>418</v>
      </c>
      <c r="X91" s="23" t="s">
        <v>841</v>
      </c>
      <c r="Y91" s="21" t="s">
        <v>561</v>
      </c>
      <c r="Z91" s="21" t="s">
        <v>548</v>
      </c>
      <c r="AA91" s="23" t="s">
        <v>421</v>
      </c>
      <c r="AC91" s="21" t="s">
        <v>580</v>
      </c>
      <c r="AD91" s="21" t="s">
        <v>581</v>
      </c>
      <c r="AE91" s="21" t="s">
        <v>435</v>
      </c>
      <c r="AF91" s="23" t="s">
        <v>890</v>
      </c>
      <c r="AG91" s="21" t="s">
        <v>891</v>
      </c>
      <c r="AH91" s="21" t="s">
        <v>425</v>
      </c>
      <c r="AI91" s="21"/>
      <c r="AJ91" s="21" t="s">
        <v>585</v>
      </c>
      <c r="AK91" s="31">
        <v>46182.0</v>
      </c>
      <c r="AM91" s="28" t="s">
        <v>892</v>
      </c>
      <c r="AN91" s="26"/>
      <c r="AO91" s="27" t="str">
        <f t="array" ref="AO91">IF(
                AM91 = "",
                "",
                       IF(
                           AM91 ="FOTOGRAFIA",
                           "LINK",
                           "https://www.appsheet.com/template/gettablefileurl?appName=MEDICIÓNDEESPESORES-924373673&amp;tableName=1_general&amp;fileName="&amp;AM91                         )
                          )</f>
        <v>https://www.appsheet.com/template/gettablefileurl?appName=MEDICIÓNDEESPESORES-924373673&amp;tableName=1_general&amp;fileName=1_general_Files_/REPORT_SCANc38533d4.lectura.192645.xlsx</v>
      </c>
    </row>
    <row r="92" ht="14.25" customHeight="1">
      <c r="A92" s="21" t="s">
        <v>893</v>
      </c>
      <c r="B92" s="21" t="s">
        <v>344</v>
      </c>
      <c r="D92" s="31">
        <v>46182.0</v>
      </c>
      <c r="G92" s="21" t="s">
        <v>413</v>
      </c>
      <c r="H92" s="21" t="s">
        <v>430</v>
      </c>
      <c r="I92" s="21" t="s">
        <v>894</v>
      </c>
      <c r="K92" s="21" t="s">
        <v>416</v>
      </c>
      <c r="M92" s="21" t="s">
        <v>580</v>
      </c>
      <c r="N92" s="21">
        <v>40.0</v>
      </c>
      <c r="T92" s="21" t="s">
        <v>324</v>
      </c>
      <c r="U92" s="21" t="s">
        <v>270</v>
      </c>
      <c r="V92" s="21" t="s">
        <v>271</v>
      </c>
      <c r="W92" s="21" t="s">
        <v>418</v>
      </c>
      <c r="X92" s="23" t="s">
        <v>895</v>
      </c>
      <c r="Y92" s="21" t="s">
        <v>561</v>
      </c>
      <c r="Z92" s="21" t="s">
        <v>548</v>
      </c>
      <c r="AA92" s="23" t="s">
        <v>421</v>
      </c>
      <c r="AC92" s="21" t="s">
        <v>580</v>
      </c>
      <c r="AD92" s="21" t="s">
        <v>581</v>
      </c>
      <c r="AE92" s="21" t="s">
        <v>435</v>
      </c>
      <c r="AF92" s="23" t="s">
        <v>828</v>
      </c>
      <c r="AG92" s="21" t="s">
        <v>896</v>
      </c>
      <c r="AH92" s="21" t="s">
        <v>897</v>
      </c>
      <c r="AI92" s="21"/>
      <c r="AJ92" s="21" t="s">
        <v>362</v>
      </c>
      <c r="AK92" s="31">
        <v>46182.0</v>
      </c>
      <c r="AM92" s="28" t="s">
        <v>898</v>
      </c>
      <c r="AN92" s="26"/>
      <c r="AO92" s="26"/>
    </row>
    <row r="93" ht="14.25" customHeight="1">
      <c r="A93" s="21" t="s">
        <v>899</v>
      </c>
      <c r="B93" s="21" t="s">
        <v>344</v>
      </c>
      <c r="D93" s="31">
        <v>46182.0</v>
      </c>
      <c r="E93" s="21">
        <v>1.000323596E9</v>
      </c>
      <c r="G93" s="21" t="s">
        <v>413</v>
      </c>
      <c r="H93" s="21" t="s">
        <v>430</v>
      </c>
      <c r="I93" s="21" t="s">
        <v>900</v>
      </c>
      <c r="K93" s="21" t="s">
        <v>872</v>
      </c>
      <c r="M93" s="21" t="s">
        <v>580</v>
      </c>
      <c r="N93" s="21">
        <v>40.0</v>
      </c>
      <c r="T93" s="21" t="s">
        <v>324</v>
      </c>
      <c r="U93" s="21" t="s">
        <v>270</v>
      </c>
      <c r="V93" s="21" t="s">
        <v>271</v>
      </c>
      <c r="W93" s="21" t="s">
        <v>418</v>
      </c>
      <c r="X93" s="23" t="s">
        <v>841</v>
      </c>
      <c r="Y93" s="21" t="s">
        <v>561</v>
      </c>
      <c r="Z93" s="21" t="s">
        <v>548</v>
      </c>
      <c r="AA93" s="23" t="s">
        <v>421</v>
      </c>
      <c r="AC93" s="21" t="s">
        <v>580</v>
      </c>
      <c r="AD93" s="21" t="s">
        <v>581</v>
      </c>
      <c r="AE93" s="21" t="s">
        <v>901</v>
      </c>
      <c r="AF93" s="23" t="s">
        <v>902</v>
      </c>
      <c r="AG93" s="21" t="s">
        <v>903</v>
      </c>
      <c r="AH93" s="21" t="s">
        <v>425</v>
      </c>
      <c r="AI93" s="21"/>
      <c r="AJ93" s="21" t="s">
        <v>585</v>
      </c>
      <c r="AK93" s="31">
        <v>46182.0</v>
      </c>
      <c r="AM93" s="28" t="s">
        <v>904</v>
      </c>
      <c r="AN93" s="26"/>
      <c r="AO93" s="27" t="str">
        <f t="array" ref="AO93">IF(
                AM93 = "",
                "",
                       IF(
                           AM93 ="FOTOGRAFIA",
                           "LINK",
                           "https://www.appsheet.com/template/gettablefileurl?appName=MEDICIÓNDEESPESORES-924373673&amp;tableName=1_general&amp;fileName="&amp;AM93                         )
                          )</f>
        <v>https://www.appsheet.com/template/gettablefileurl?appName=MEDICIÓNDEESPESORES-924373673&amp;tableName=1_general&amp;fileName=1_general_Files_/REPORT_SCAN2d7b3846.lectura.193333.xlsx</v>
      </c>
    </row>
    <row r="94" ht="14.25" customHeight="1">
      <c r="A94" s="21" t="s">
        <v>905</v>
      </c>
      <c r="B94" s="21" t="s">
        <v>344</v>
      </c>
      <c r="D94" s="31">
        <v>46182.0</v>
      </c>
      <c r="E94" s="21">
        <v>1.000343648E9</v>
      </c>
      <c r="G94" s="21" t="s">
        <v>413</v>
      </c>
      <c r="H94" s="21" t="s">
        <v>430</v>
      </c>
      <c r="I94" s="21" t="s">
        <v>906</v>
      </c>
      <c r="K94" s="21" t="s">
        <v>416</v>
      </c>
      <c r="M94" s="21" t="s">
        <v>580</v>
      </c>
      <c r="N94" s="21">
        <v>40.0</v>
      </c>
      <c r="T94" s="21" t="s">
        <v>324</v>
      </c>
      <c r="U94" s="21" t="s">
        <v>270</v>
      </c>
      <c r="V94" s="21" t="s">
        <v>271</v>
      </c>
      <c r="W94" s="21" t="s">
        <v>418</v>
      </c>
      <c r="X94" s="23" t="s">
        <v>841</v>
      </c>
      <c r="Y94" s="21" t="s">
        <v>561</v>
      </c>
      <c r="Z94" s="21" t="s">
        <v>548</v>
      </c>
      <c r="AA94" s="23" t="s">
        <v>421</v>
      </c>
      <c r="AC94" s="21" t="s">
        <v>580</v>
      </c>
      <c r="AD94" s="21" t="s">
        <v>581</v>
      </c>
      <c r="AE94" s="21" t="s">
        <v>435</v>
      </c>
      <c r="AF94" s="23" t="s">
        <v>907</v>
      </c>
      <c r="AG94" s="21" t="s">
        <v>908</v>
      </c>
      <c r="AH94" s="21" t="s">
        <v>425</v>
      </c>
      <c r="AI94" s="21"/>
      <c r="AJ94" s="21" t="s">
        <v>585</v>
      </c>
      <c r="AK94" s="31">
        <v>46182.0</v>
      </c>
      <c r="AM94" s="28" t="s">
        <v>909</v>
      </c>
      <c r="AN94" s="26"/>
      <c r="AO94" s="27" t="str">
        <f t="array" ref="AO94">IF(
                AM94 = "",
                "",
                       IF(
                           AM94 ="FOTOGRAFIA",
                           "LINK",
                           "https://www.appsheet.com/template/gettablefileurl?appName=MEDICIÓNDEESPESORES-924373673&amp;tableName=1_general&amp;fileName="&amp;AM94                         )
                          )</f>
        <v>https://www.appsheet.com/template/gettablefileurl?appName=MEDICIÓNDEESPESORES-924373673&amp;tableName=1_general&amp;fileName=1_general_Files_/REPORT_SCANe25dd713.lectura.193745.xlsx</v>
      </c>
    </row>
    <row r="95" ht="14.25" customHeight="1">
      <c r="A95" s="21" t="s">
        <v>910</v>
      </c>
      <c r="B95" s="21" t="s">
        <v>344</v>
      </c>
      <c r="D95" s="31">
        <v>46182.0</v>
      </c>
      <c r="G95" s="21" t="s">
        <v>413</v>
      </c>
      <c r="H95" s="21" t="s">
        <v>430</v>
      </c>
      <c r="I95" s="23" t="s">
        <v>911</v>
      </c>
      <c r="K95" s="21" t="s">
        <v>416</v>
      </c>
      <c r="M95" s="21" t="s">
        <v>580</v>
      </c>
      <c r="N95" s="21">
        <v>40.0</v>
      </c>
      <c r="T95" s="21" t="s">
        <v>324</v>
      </c>
      <c r="U95" s="21" t="s">
        <v>270</v>
      </c>
      <c r="V95" s="21" t="s">
        <v>271</v>
      </c>
      <c r="W95" s="21" t="s">
        <v>418</v>
      </c>
      <c r="X95" s="23" t="s">
        <v>912</v>
      </c>
      <c r="Y95" s="21" t="s">
        <v>561</v>
      </c>
      <c r="Z95" s="21" t="s">
        <v>548</v>
      </c>
      <c r="AA95" s="23" t="s">
        <v>421</v>
      </c>
      <c r="AC95" s="21" t="s">
        <v>913</v>
      </c>
      <c r="AD95" s="21" t="s">
        <v>581</v>
      </c>
      <c r="AE95" s="21" t="s">
        <v>435</v>
      </c>
      <c r="AF95" s="23" t="s">
        <v>508</v>
      </c>
      <c r="AG95" s="21" t="s">
        <v>914</v>
      </c>
      <c r="AH95" s="21" t="s">
        <v>425</v>
      </c>
      <c r="AI95" s="21"/>
      <c r="AJ95" s="21" t="s">
        <v>585</v>
      </c>
      <c r="AK95" s="31">
        <v>46182.0</v>
      </c>
      <c r="AM95" s="28" t="s">
        <v>915</v>
      </c>
      <c r="AN95" s="26"/>
      <c r="AO95" s="27" t="str">
        <f t="array" ref="AO95">IF(
                AM95 = "",
                "",
                       IF(
                           AM95 ="FOTOGRAFIA",
                           "LINK",
                           "https://www.appsheet.com/template/gettablefileurl?appName=MEDICIÓNDEESPESORES-924373673&amp;tableName=1_general&amp;fileName="&amp;AM95                         )
                          )</f>
        <v>https://www.appsheet.com/template/gettablefileurl?appName=MEDICIÓNDEESPESORES-924373673&amp;tableName=1_general&amp;fileName=1_general_Files_/REPORT_SCAN38999f50.lectura.194103.xlsx</v>
      </c>
    </row>
    <row r="96" ht="14.25" customHeight="1">
      <c r="A96" s="21" t="s">
        <v>916</v>
      </c>
      <c r="B96" s="21" t="s">
        <v>344</v>
      </c>
      <c r="D96" s="31">
        <v>46182.0</v>
      </c>
      <c r="E96" s="21">
        <v>1.000322823E9</v>
      </c>
      <c r="G96" s="21" t="s">
        <v>413</v>
      </c>
      <c r="H96" s="21" t="s">
        <v>430</v>
      </c>
      <c r="I96" s="21" t="s">
        <v>917</v>
      </c>
      <c r="K96" s="21" t="s">
        <v>918</v>
      </c>
      <c r="M96" s="21" t="s">
        <v>580</v>
      </c>
      <c r="N96" s="21">
        <v>40.0</v>
      </c>
      <c r="T96" s="21" t="s">
        <v>324</v>
      </c>
      <c r="U96" s="21" t="s">
        <v>270</v>
      </c>
      <c r="V96" s="21" t="s">
        <v>271</v>
      </c>
      <c r="W96" s="21" t="s">
        <v>418</v>
      </c>
      <c r="X96" s="23" t="s">
        <v>919</v>
      </c>
      <c r="Y96" s="21" t="s">
        <v>561</v>
      </c>
      <c r="Z96" s="21" t="s">
        <v>548</v>
      </c>
      <c r="AA96" s="23" t="s">
        <v>421</v>
      </c>
      <c r="AC96" s="21" t="s">
        <v>580</v>
      </c>
      <c r="AD96" s="21" t="s">
        <v>581</v>
      </c>
      <c r="AE96" s="21" t="s">
        <v>435</v>
      </c>
      <c r="AF96" s="23" t="s">
        <v>842</v>
      </c>
      <c r="AG96" s="21" t="s">
        <v>920</v>
      </c>
      <c r="AH96" s="21" t="s">
        <v>425</v>
      </c>
      <c r="AI96" s="21"/>
      <c r="AJ96" s="21" t="s">
        <v>585</v>
      </c>
      <c r="AK96" s="31">
        <v>46182.0</v>
      </c>
      <c r="AM96" s="28" t="s">
        <v>921</v>
      </c>
      <c r="AN96" s="26"/>
      <c r="AO96" s="27" t="str">
        <f t="array" ref="AO96">IF(
                AM96 = "",
                "",
                       IF(
                           AM96 ="FOTOGRAFIA",
                           "LINK",
                           "https://www.appsheet.com/template/gettablefileurl?appName=MEDICIÓNDEESPESORES-924373673&amp;tableName=1_general&amp;fileName="&amp;AM96                         )
                          )</f>
        <v>https://www.appsheet.com/template/gettablefileurl?appName=MEDICIÓNDEESPESORES-924373673&amp;tableName=1_general&amp;fileName=1_general_Files_/REPORT_SCAN786eb1ae.lectura.194651.xlsx</v>
      </c>
    </row>
    <row r="97" ht="14.25" customHeight="1">
      <c r="A97" s="21" t="s">
        <v>922</v>
      </c>
      <c r="B97" s="21" t="s">
        <v>344</v>
      </c>
      <c r="D97" s="31">
        <v>46182.0</v>
      </c>
      <c r="E97" s="21">
        <v>1.000322818E9</v>
      </c>
      <c r="G97" s="21" t="s">
        <v>413</v>
      </c>
      <c r="H97" s="21" t="s">
        <v>430</v>
      </c>
      <c r="I97" s="21" t="s">
        <v>923</v>
      </c>
      <c r="K97" s="21" t="s">
        <v>416</v>
      </c>
      <c r="M97" s="21" t="s">
        <v>580</v>
      </c>
      <c r="N97" s="21">
        <v>40.0</v>
      </c>
      <c r="T97" s="21" t="s">
        <v>324</v>
      </c>
      <c r="U97" s="21" t="s">
        <v>270</v>
      </c>
      <c r="V97" s="21" t="s">
        <v>271</v>
      </c>
      <c r="W97" s="21" t="s">
        <v>418</v>
      </c>
      <c r="X97" s="23" t="s">
        <v>841</v>
      </c>
      <c r="Y97" s="21" t="s">
        <v>561</v>
      </c>
      <c r="Z97" s="21" t="s">
        <v>548</v>
      </c>
      <c r="AA97" s="23" t="s">
        <v>421</v>
      </c>
      <c r="AC97" s="21" t="s">
        <v>580</v>
      </c>
      <c r="AD97" s="21" t="s">
        <v>581</v>
      </c>
      <c r="AE97" s="21" t="s">
        <v>435</v>
      </c>
      <c r="AF97" s="23" t="s">
        <v>508</v>
      </c>
      <c r="AG97" s="21" t="s">
        <v>924</v>
      </c>
      <c r="AH97" s="21" t="s">
        <v>425</v>
      </c>
      <c r="AI97" s="21"/>
      <c r="AJ97" s="21" t="s">
        <v>585</v>
      </c>
      <c r="AK97" s="31">
        <v>46182.0</v>
      </c>
      <c r="AM97" s="28" t="s">
        <v>925</v>
      </c>
      <c r="AN97" s="26"/>
      <c r="AO97" s="27" t="str">
        <f t="array" ref="AO97">IF(
                AM97 = "",
                "",
                       IF(
                           AM97 ="FOTOGRAFIA",
                           "LINK",
                           "https://www.appsheet.com/template/gettablefileurl?appName=MEDICIÓNDEESPESORES-924373673&amp;tableName=1_general&amp;fileName="&amp;AM97                         )
                          )</f>
        <v>https://www.appsheet.com/template/gettablefileurl?appName=MEDICIÓNDEESPESORES-924373673&amp;tableName=1_general&amp;fileName=1_general_Files_/REPORT_SCAN3196612b.lectura.195151.1.xlsx</v>
      </c>
    </row>
    <row r="98" ht="14.25" customHeight="1">
      <c r="A98" s="21" t="s">
        <v>926</v>
      </c>
      <c r="B98" s="21" t="s">
        <v>344</v>
      </c>
      <c r="D98" s="31">
        <v>46182.0</v>
      </c>
      <c r="E98" s="21">
        <v>1.000322819E9</v>
      </c>
      <c r="G98" s="21" t="s">
        <v>413</v>
      </c>
      <c r="H98" s="21" t="s">
        <v>430</v>
      </c>
      <c r="I98" s="21" t="s">
        <v>927</v>
      </c>
      <c r="K98" s="21" t="s">
        <v>416</v>
      </c>
      <c r="M98" s="21" t="s">
        <v>928</v>
      </c>
      <c r="N98" s="21">
        <v>40.0</v>
      </c>
      <c r="T98" s="21" t="s">
        <v>324</v>
      </c>
      <c r="U98" s="21" t="s">
        <v>270</v>
      </c>
      <c r="V98" s="21" t="s">
        <v>271</v>
      </c>
      <c r="W98" s="21" t="s">
        <v>418</v>
      </c>
      <c r="X98" s="23" t="s">
        <v>841</v>
      </c>
      <c r="Y98" s="21" t="s">
        <v>561</v>
      </c>
      <c r="Z98" s="21" t="s">
        <v>548</v>
      </c>
      <c r="AA98" s="23" t="s">
        <v>421</v>
      </c>
      <c r="AC98" s="21" t="s">
        <v>580</v>
      </c>
      <c r="AD98" s="21" t="s">
        <v>581</v>
      </c>
      <c r="AE98" s="21" t="s">
        <v>435</v>
      </c>
      <c r="AF98" s="23" t="s">
        <v>508</v>
      </c>
      <c r="AG98" s="21" t="s">
        <v>929</v>
      </c>
      <c r="AH98" s="21" t="s">
        <v>425</v>
      </c>
      <c r="AI98" s="21"/>
      <c r="AJ98" s="21" t="s">
        <v>930</v>
      </c>
      <c r="AK98" s="31">
        <v>46182.0</v>
      </c>
      <c r="AM98" s="28" t="s">
        <v>931</v>
      </c>
      <c r="AN98" s="26"/>
      <c r="AO98" s="27" t="str">
        <f t="array" ref="AO98">IF(
                AM98 = "",
                "",
                       IF(
                           AM98 ="FOTOGRAFIA",
                           "LINK",
                           "https://www.appsheet.com/template/gettablefileurl?appName=MEDICIÓNDEESPESORES-924373673&amp;tableName=1_general&amp;fileName="&amp;AM98                         )
                          )</f>
        <v>https://www.appsheet.com/template/gettablefileurl?appName=MEDICIÓNDEESPESORES-924373673&amp;tableName=1_general&amp;fileName=1_general_Files_/REPORT_SCAN77f92055.lectura.195434.2.xlsx</v>
      </c>
    </row>
    <row r="99" ht="14.25" customHeight="1">
      <c r="A99" s="21" t="s">
        <v>932</v>
      </c>
      <c r="B99" s="21" t="s">
        <v>344</v>
      </c>
      <c r="D99" s="31">
        <v>46182.0</v>
      </c>
      <c r="E99" s="21">
        <v>1.00032282E9</v>
      </c>
      <c r="G99" s="21" t="s">
        <v>413</v>
      </c>
      <c r="H99" s="21" t="s">
        <v>430</v>
      </c>
      <c r="I99" s="21" t="s">
        <v>933</v>
      </c>
      <c r="K99" s="21" t="s">
        <v>416</v>
      </c>
      <c r="M99" s="21" t="s">
        <v>580</v>
      </c>
      <c r="N99" s="21">
        <v>40.0</v>
      </c>
      <c r="T99" s="21" t="s">
        <v>324</v>
      </c>
      <c r="U99" s="21" t="s">
        <v>270</v>
      </c>
      <c r="V99" s="21" t="s">
        <v>271</v>
      </c>
      <c r="W99" s="21" t="s">
        <v>418</v>
      </c>
      <c r="X99" s="23" t="s">
        <v>841</v>
      </c>
      <c r="Y99" s="21" t="s">
        <v>561</v>
      </c>
      <c r="Z99" s="21" t="s">
        <v>548</v>
      </c>
      <c r="AA99" s="23" t="s">
        <v>421</v>
      </c>
      <c r="AC99" s="21" t="s">
        <v>580</v>
      </c>
      <c r="AD99" s="21" t="s">
        <v>581</v>
      </c>
      <c r="AE99" s="21" t="s">
        <v>435</v>
      </c>
      <c r="AF99" s="23" t="s">
        <v>508</v>
      </c>
      <c r="AG99" s="21" t="s">
        <v>934</v>
      </c>
      <c r="AH99" s="21" t="s">
        <v>425</v>
      </c>
      <c r="AI99" s="21"/>
      <c r="AJ99" s="21" t="s">
        <v>585</v>
      </c>
      <c r="AK99" s="31">
        <v>46182.0</v>
      </c>
      <c r="AM99" s="28" t="s">
        <v>935</v>
      </c>
      <c r="AN99" s="26"/>
      <c r="AO99" s="27" t="str">
        <f t="array" ref="AO99">IF(
                AM99 = "",
                "",
                       IF(
                           AM99 ="FOTOGRAFIA",
                           "LINK",
                           "https://www.appsheet.com/template/gettablefileurl?appName=MEDICIÓNDEESPESORES-924373673&amp;tableName=1_general&amp;fileName="&amp;AM99                         )
                          )</f>
        <v>https://www.appsheet.com/template/gettablefileurl?appName=MEDICIÓNDEESPESORES-924373673&amp;tableName=1_general&amp;fileName=1_general_Files_/REPORT_SCANf238c56e.lectura.195715.3.xlsx</v>
      </c>
    </row>
    <row r="100" ht="14.25" customHeight="1">
      <c r="A100" s="21" t="s">
        <v>936</v>
      </c>
      <c r="B100" s="21" t="s">
        <v>344</v>
      </c>
      <c r="D100" s="31">
        <v>46182.0</v>
      </c>
      <c r="E100" s="21">
        <v>1.000322821E9</v>
      </c>
      <c r="G100" s="21" t="s">
        <v>413</v>
      </c>
      <c r="H100" s="21" t="s">
        <v>430</v>
      </c>
      <c r="I100" s="21" t="s">
        <v>937</v>
      </c>
      <c r="K100" s="21" t="s">
        <v>416</v>
      </c>
      <c r="M100" s="21" t="s">
        <v>580</v>
      </c>
      <c r="N100" s="21">
        <v>40.0</v>
      </c>
      <c r="T100" s="21" t="s">
        <v>324</v>
      </c>
      <c r="U100" s="21" t="s">
        <v>270</v>
      </c>
      <c r="V100" s="21" t="s">
        <v>271</v>
      </c>
      <c r="W100" s="21" t="s">
        <v>418</v>
      </c>
      <c r="X100" s="23" t="s">
        <v>841</v>
      </c>
      <c r="Y100" s="21" t="s">
        <v>561</v>
      </c>
      <c r="Z100" s="21" t="s">
        <v>548</v>
      </c>
      <c r="AA100" s="23" t="s">
        <v>421</v>
      </c>
      <c r="AC100" s="21" t="s">
        <v>580</v>
      </c>
      <c r="AD100" s="21" t="s">
        <v>581</v>
      </c>
      <c r="AE100" s="21" t="s">
        <v>435</v>
      </c>
      <c r="AF100" s="23" t="s">
        <v>508</v>
      </c>
      <c r="AG100" s="21" t="s">
        <v>938</v>
      </c>
      <c r="AH100" s="21" t="s">
        <v>425</v>
      </c>
      <c r="AI100" s="21"/>
      <c r="AJ100" s="21" t="s">
        <v>585</v>
      </c>
      <c r="AK100" s="31">
        <v>46182.0</v>
      </c>
      <c r="AM100" s="28" t="s">
        <v>939</v>
      </c>
      <c r="AN100" s="26"/>
      <c r="AO100" s="27" t="str">
        <f t="array" ref="AO100">IF(
                AM100 = "",
                "",
                       IF(
                           AM100 ="FOTOGRAFIA",
                           "LINK",
                           "https://www.appsheet.com/template/gettablefileurl?appName=MEDICIÓNDEESPESORES-924373673&amp;tableName=1_general&amp;fileName="&amp;AM100                         )
                          )</f>
        <v>https://www.appsheet.com/template/gettablefileurl?appName=MEDICIÓNDEESPESORES-924373673&amp;tableName=1_general&amp;fileName=1_general_Files_/REPORT_SCAN84444071.lectura.195933.4xlsx.xlsx</v>
      </c>
    </row>
    <row r="101" ht="14.25" customHeight="1">
      <c r="A101" s="21" t="s">
        <v>940</v>
      </c>
      <c r="B101" s="21" t="s">
        <v>344</v>
      </c>
      <c r="C101" s="21" t="s">
        <v>814</v>
      </c>
      <c r="D101" s="31">
        <v>46182.0</v>
      </c>
      <c r="G101" s="21" t="s">
        <v>816</v>
      </c>
      <c r="H101" s="21" t="s">
        <v>430</v>
      </c>
      <c r="I101" s="21" t="s">
        <v>941</v>
      </c>
      <c r="J101" s="21" t="s">
        <v>942</v>
      </c>
      <c r="M101" s="21" t="s">
        <v>303</v>
      </c>
      <c r="N101" s="21">
        <v>40.0</v>
      </c>
      <c r="O101" s="21" t="s">
        <v>733</v>
      </c>
      <c r="P101" s="21" t="s">
        <v>350</v>
      </c>
      <c r="T101" s="21" t="s">
        <v>324</v>
      </c>
      <c r="U101" s="21" t="s">
        <v>270</v>
      </c>
      <c r="V101" s="21" t="s">
        <v>271</v>
      </c>
      <c r="W101" s="21" t="s">
        <v>232</v>
      </c>
      <c r="X101" s="23" t="s">
        <v>299</v>
      </c>
      <c r="Y101" s="21" t="s">
        <v>561</v>
      </c>
      <c r="Z101" s="21" t="s">
        <v>854</v>
      </c>
      <c r="AB101" s="21" t="s">
        <v>237</v>
      </c>
      <c r="AC101" s="21" t="s">
        <v>303</v>
      </c>
      <c r="AE101" s="21" t="s">
        <v>943</v>
      </c>
      <c r="AF101" s="23" t="s">
        <v>240</v>
      </c>
      <c r="AG101" s="21" t="s">
        <v>944</v>
      </c>
      <c r="AH101" s="21" t="s">
        <v>859</v>
      </c>
      <c r="AI101" s="21"/>
      <c r="AJ101" s="21" t="s">
        <v>824</v>
      </c>
      <c r="AM101" s="28" t="s">
        <v>945</v>
      </c>
      <c r="AN101" s="26"/>
      <c r="AO101" s="27" t="str">
        <f t="array" ref="AO101">IF(
                AM101 = "",
                "",
                       IF(
                           AM101 ="FOTOGRAFIA",
                           "LINK",
                           "https://www.appsheet.com/template/gettablefileurl?appName=MEDICIÓNDEESPESORES-924373673&amp;tableName=1_general&amp;fileName="&amp;AM101                         )
                          )</f>
        <v>https://www.appsheet.com/template/gettablefileurl?appName=MEDICIÓNDEESPESORES-924373673&amp;tableName=1_general&amp;fileName=1_general_Files_/REPORT_SCAN1af23d4f.lectura.222036.xlsx</v>
      </c>
    </row>
    <row r="102" ht="14.25" customHeight="1">
      <c r="A102" s="21" t="s">
        <v>946</v>
      </c>
      <c r="B102" s="21" t="s">
        <v>344</v>
      </c>
      <c r="C102" s="21" t="s">
        <v>814</v>
      </c>
      <c r="D102" s="31">
        <v>46182.0</v>
      </c>
      <c r="G102" s="21" t="s">
        <v>816</v>
      </c>
      <c r="H102" s="21" t="s">
        <v>430</v>
      </c>
      <c r="I102" s="21" t="s">
        <v>947</v>
      </c>
      <c r="J102" s="21" t="s">
        <v>948</v>
      </c>
      <c r="M102" s="21" t="s">
        <v>949</v>
      </c>
      <c r="N102" s="21">
        <v>40.0</v>
      </c>
      <c r="O102" s="21" t="s">
        <v>733</v>
      </c>
      <c r="P102" s="21" t="s">
        <v>950</v>
      </c>
      <c r="T102" s="21" t="s">
        <v>324</v>
      </c>
      <c r="U102" s="21" t="s">
        <v>270</v>
      </c>
      <c r="V102" s="21" t="s">
        <v>271</v>
      </c>
      <c r="W102" s="21" t="s">
        <v>232</v>
      </c>
      <c r="X102" s="23" t="s">
        <v>299</v>
      </c>
      <c r="Y102" s="21" t="s">
        <v>561</v>
      </c>
      <c r="Z102" s="21" t="s">
        <v>854</v>
      </c>
      <c r="AA102" s="21" t="s">
        <v>951</v>
      </c>
      <c r="AB102" s="21" t="s">
        <v>237</v>
      </c>
      <c r="AC102" s="21" t="s">
        <v>373</v>
      </c>
      <c r="AE102" s="21" t="s">
        <v>952</v>
      </c>
      <c r="AF102" s="23" t="s">
        <v>240</v>
      </c>
      <c r="AG102" s="21" t="s">
        <v>953</v>
      </c>
      <c r="AH102" s="21" t="s">
        <v>859</v>
      </c>
      <c r="AI102" s="21"/>
      <c r="AJ102" s="21" t="s">
        <v>362</v>
      </c>
      <c r="AM102" s="28" t="s">
        <v>954</v>
      </c>
      <c r="AN102" s="26"/>
      <c r="AO102" s="27" t="str">
        <f t="array" ref="AO102">IF(
                AM102 = "",
                "",
                       IF(
                           AM102 ="FOTOGRAFIA",
                           "LINK",
                           "https://www.appsheet.com/template/gettablefileurl?appName=MEDICIÓNDEESPESORES-924373673&amp;tableName=1_general&amp;fileName="&amp;AM102                         )
                          )</f>
        <v>https://www.appsheet.com/template/gettablefileurl?appName=MEDICIÓNDEESPESORES-924373673&amp;tableName=1_general&amp;fileName=1_general_Files_/REPORT_SCAN7ca89b47.lectura.222342.xlsx</v>
      </c>
    </row>
    <row r="103" ht="14.25" customHeight="1">
      <c r="A103" s="21" t="s">
        <v>955</v>
      </c>
      <c r="B103" s="21" t="s">
        <v>344</v>
      </c>
      <c r="C103" s="21" t="s">
        <v>814</v>
      </c>
      <c r="D103" s="31">
        <v>46182.0</v>
      </c>
      <c r="G103" s="21" t="s">
        <v>816</v>
      </c>
      <c r="H103" s="21" t="s">
        <v>430</v>
      </c>
      <c r="I103" s="21" t="s">
        <v>956</v>
      </c>
      <c r="J103" s="21" t="s">
        <v>957</v>
      </c>
      <c r="M103" s="21" t="s">
        <v>958</v>
      </c>
      <c r="N103" s="21">
        <v>40.0</v>
      </c>
      <c r="O103" s="21" t="s">
        <v>733</v>
      </c>
      <c r="P103" s="21" t="s">
        <v>227</v>
      </c>
      <c r="T103" s="21" t="s">
        <v>324</v>
      </c>
      <c r="U103" s="21" t="s">
        <v>270</v>
      </c>
      <c r="V103" s="21" t="s">
        <v>271</v>
      </c>
      <c r="W103" s="21" t="s">
        <v>232</v>
      </c>
      <c r="X103" s="23" t="s">
        <v>299</v>
      </c>
      <c r="Y103" s="21" t="s">
        <v>561</v>
      </c>
      <c r="Z103" s="21" t="s">
        <v>854</v>
      </c>
      <c r="AA103" s="21" t="s">
        <v>959</v>
      </c>
      <c r="AB103" s="21" t="s">
        <v>237</v>
      </c>
      <c r="AC103" s="21" t="s">
        <v>303</v>
      </c>
      <c r="AE103" s="21" t="s">
        <v>952</v>
      </c>
      <c r="AF103" s="23" t="s">
        <v>240</v>
      </c>
      <c r="AG103" s="21" t="s">
        <v>960</v>
      </c>
      <c r="AH103" s="21" t="s">
        <v>823</v>
      </c>
      <c r="AI103" s="21"/>
      <c r="AJ103" s="21" t="s">
        <v>824</v>
      </c>
      <c r="AM103" s="28" t="s">
        <v>961</v>
      </c>
      <c r="AN103" s="26"/>
      <c r="AO103" s="27" t="str">
        <f t="array" ref="AO103">IF(
                AM103 = "",
                "",
                       IF(
                           AM103 ="FOTOGRAFIA",
                           "LINK",
                           "https://www.appsheet.com/template/gettablefileurl?appName=MEDICIÓNDEESPESORES-924373673&amp;tableName=1_general&amp;fileName="&amp;AM103                         )
                          )</f>
        <v>https://www.appsheet.com/template/gettablefileurl?appName=MEDICIÓNDEESPESORES-924373673&amp;tableName=1_general&amp;fileName=1_general_Files_/REPORT_SCANc270f5c0.lectura.222705.xlsx</v>
      </c>
    </row>
    <row r="104" ht="14.25" customHeight="1">
      <c r="A104" s="21" t="s">
        <v>962</v>
      </c>
      <c r="B104" s="21" t="s">
        <v>344</v>
      </c>
      <c r="D104" s="31">
        <v>46182.0</v>
      </c>
      <c r="F104" s="23" t="s">
        <v>963</v>
      </c>
      <c r="H104" s="21" t="s">
        <v>430</v>
      </c>
      <c r="I104" s="21" t="s">
        <v>964</v>
      </c>
      <c r="M104" s="21" t="s">
        <v>303</v>
      </c>
      <c r="N104" s="21">
        <v>38.0</v>
      </c>
      <c r="O104" s="21" t="s">
        <v>349</v>
      </c>
      <c r="P104" s="21" t="s">
        <v>350</v>
      </c>
      <c r="T104" s="21" t="s">
        <v>324</v>
      </c>
      <c r="U104" s="21" t="s">
        <v>253</v>
      </c>
      <c r="V104" s="21" t="s">
        <v>231</v>
      </c>
      <c r="W104" s="21" t="s">
        <v>232</v>
      </c>
      <c r="X104" s="23" t="s">
        <v>299</v>
      </c>
      <c r="Y104" s="21" t="s">
        <v>355</v>
      </c>
      <c r="Z104" s="23" t="s">
        <v>965</v>
      </c>
      <c r="AA104" s="21" t="s">
        <v>563</v>
      </c>
      <c r="AB104" s="21" t="s">
        <v>966</v>
      </c>
      <c r="AC104" s="21" t="s">
        <v>303</v>
      </c>
      <c r="AE104" s="21" t="s">
        <v>484</v>
      </c>
      <c r="AF104" s="23" t="s">
        <v>967</v>
      </c>
      <c r="AG104" s="21" t="s">
        <v>968</v>
      </c>
      <c r="AH104" s="21" t="s">
        <v>487</v>
      </c>
      <c r="AI104" s="21"/>
      <c r="AJ104" s="21" t="s">
        <v>488</v>
      </c>
      <c r="AK104" s="31">
        <v>46182.0</v>
      </c>
      <c r="AM104" s="28" t="s">
        <v>969</v>
      </c>
      <c r="AN104" s="26"/>
      <c r="AO104" s="27" t="str">
        <f t="array" ref="AO104">IF(
                AM104 = "",
                "",
                       IF(
                           AM104 ="FOTOGRAFIA",
                           "LINK",
                           "https://www.appsheet.com/template/gettablefileurl?appName=MEDICIÓNDEESPESORES-924373673&amp;tableName=1_general&amp;fileName="&amp;AM104                         )
                          )</f>
        <v>https://www.appsheet.com/template/gettablefileurl?appName=MEDICIÓNDEESPESORES-924373673&amp;tableName=1_general&amp;fileName=1_general_Files_/REPORT_SCAN3efbd41c.lectura.235813.xlsx</v>
      </c>
    </row>
    <row r="105" ht="14.25" customHeight="1">
      <c r="A105" s="21" t="s">
        <v>970</v>
      </c>
      <c r="B105" s="21" t="s">
        <v>344</v>
      </c>
      <c r="D105" s="31">
        <v>46182.0</v>
      </c>
      <c r="F105" s="23" t="s">
        <v>971</v>
      </c>
      <c r="H105" s="21" t="s">
        <v>430</v>
      </c>
      <c r="I105" s="21" t="s">
        <v>972</v>
      </c>
      <c r="M105" s="21" t="s">
        <v>303</v>
      </c>
      <c r="N105" s="21">
        <v>38.0</v>
      </c>
      <c r="O105" s="21" t="s">
        <v>349</v>
      </c>
      <c r="P105" s="21" t="s">
        <v>350</v>
      </c>
      <c r="T105" s="21" t="s">
        <v>324</v>
      </c>
      <c r="U105" s="21" t="s">
        <v>253</v>
      </c>
      <c r="V105" s="21" t="s">
        <v>231</v>
      </c>
      <c r="W105" s="21" t="s">
        <v>232</v>
      </c>
      <c r="X105" s="23" t="s">
        <v>299</v>
      </c>
      <c r="Y105" s="21" t="s">
        <v>355</v>
      </c>
      <c r="Z105" s="23" t="s">
        <v>965</v>
      </c>
      <c r="AA105" s="21" t="s">
        <v>563</v>
      </c>
      <c r="AB105" s="21" t="s">
        <v>966</v>
      </c>
      <c r="AC105" s="21" t="s">
        <v>303</v>
      </c>
      <c r="AE105" s="21" t="s">
        <v>484</v>
      </c>
      <c r="AF105" s="23" t="s">
        <v>967</v>
      </c>
      <c r="AG105" s="21" t="s">
        <v>973</v>
      </c>
      <c r="AH105" s="21" t="s">
        <v>487</v>
      </c>
      <c r="AI105" s="21"/>
      <c r="AJ105" s="21" t="s">
        <v>488</v>
      </c>
      <c r="AK105" s="31">
        <v>46182.0</v>
      </c>
      <c r="AM105" s="26"/>
      <c r="AN105" s="26"/>
      <c r="AO105" s="28" t="str">
        <f t="array" ref="AO105">IF(
                AM105 = "",
                "",
                       IF(
                           AM105 ="FOTOGRAFIA",
                           "LINK",
                           "https://www.appsheet.com/template/gettablefileurl?appName=MEDICIÓNDEESPESORES-924373673&amp;tableName=1_general&amp;fileName="&amp;AM105                         )
                          )</f>
        <v/>
      </c>
    </row>
    <row r="106" ht="14.25" customHeight="1">
      <c r="A106" s="21" t="s">
        <v>974</v>
      </c>
      <c r="B106" s="21" t="s">
        <v>344</v>
      </c>
      <c r="D106" s="31">
        <v>46190.0</v>
      </c>
      <c r="F106" s="23" t="s">
        <v>809</v>
      </c>
      <c r="H106" s="21" t="s">
        <v>430</v>
      </c>
      <c r="I106" s="21" t="s">
        <v>975</v>
      </c>
      <c r="M106" s="21" t="s">
        <v>303</v>
      </c>
      <c r="N106" s="21">
        <v>38.0</v>
      </c>
      <c r="O106" s="21" t="s">
        <v>349</v>
      </c>
      <c r="P106" s="21" t="s">
        <v>227</v>
      </c>
      <c r="T106" s="21" t="s">
        <v>324</v>
      </c>
      <c r="U106" s="21" t="s">
        <v>253</v>
      </c>
      <c r="V106" s="21" t="s">
        <v>231</v>
      </c>
      <c r="W106" s="21" t="s">
        <v>232</v>
      </c>
      <c r="X106" s="23" t="s">
        <v>976</v>
      </c>
      <c r="Y106" s="21" t="s">
        <v>355</v>
      </c>
      <c r="Z106" s="21" t="s">
        <v>562</v>
      </c>
      <c r="AA106" s="21" t="s">
        <v>563</v>
      </c>
      <c r="AB106" s="21" t="s">
        <v>966</v>
      </c>
      <c r="AC106" s="21" t="s">
        <v>303</v>
      </c>
      <c r="AE106" s="21" t="s">
        <v>484</v>
      </c>
      <c r="AF106" s="23" t="s">
        <v>977</v>
      </c>
      <c r="AG106" s="21" t="s">
        <v>978</v>
      </c>
      <c r="AH106" s="21" t="s">
        <v>487</v>
      </c>
      <c r="AI106" s="21"/>
      <c r="AJ106" s="21" t="s">
        <v>488</v>
      </c>
      <c r="AK106" s="31">
        <v>46190.0</v>
      </c>
      <c r="AM106" s="28" t="s">
        <v>979</v>
      </c>
      <c r="AN106" s="26"/>
      <c r="AO106" s="27" t="str">
        <f t="array" ref="AO106">IF(
                AM106 = "",
                "",
                       IF(
                           AM106 ="FOTOGRAFIA",
                           "LINK",
                           "https://www.appsheet.com/template/gettablefileurl?appName=MEDICIÓNDEESPESORES-924373673&amp;tableName=1_general&amp;fileName="&amp;AM106                         )
                          )</f>
        <v>https://www.appsheet.com/template/gettablefileurl?appName=MEDICIÓNDEESPESORES-924373673&amp;tableName=1_general&amp;fileName=1_general_Files_/REPORT_SCANb2a62cd3.lectura.221703.000113.xlsx</v>
      </c>
    </row>
    <row r="107" ht="14.25" customHeight="1">
      <c r="A107" s="21" t="s">
        <v>980</v>
      </c>
      <c r="B107" s="21" t="s">
        <v>344</v>
      </c>
      <c r="D107" s="31">
        <v>46191.0</v>
      </c>
      <c r="F107" s="23" t="s">
        <v>481</v>
      </c>
      <c r="H107" s="21" t="s">
        <v>430</v>
      </c>
      <c r="I107" s="21" t="s">
        <v>981</v>
      </c>
      <c r="M107" s="21" t="s">
        <v>303</v>
      </c>
      <c r="N107" s="21">
        <v>38.0</v>
      </c>
      <c r="O107" s="21" t="s">
        <v>349</v>
      </c>
      <c r="P107" s="21" t="s">
        <v>350</v>
      </c>
      <c r="T107" s="21" t="s">
        <v>324</v>
      </c>
      <c r="U107" s="21" t="s">
        <v>253</v>
      </c>
      <c r="V107" s="21" t="s">
        <v>231</v>
      </c>
      <c r="W107" s="21" t="s">
        <v>232</v>
      </c>
      <c r="X107" s="23" t="s">
        <v>325</v>
      </c>
      <c r="Y107" s="21" t="s">
        <v>355</v>
      </c>
      <c r="Z107" s="23" t="s">
        <v>965</v>
      </c>
      <c r="AA107" s="21" t="s">
        <v>982</v>
      </c>
      <c r="AB107" s="21" t="s">
        <v>966</v>
      </c>
      <c r="AC107" s="21" t="s">
        <v>303</v>
      </c>
      <c r="AE107" s="21" t="s">
        <v>484</v>
      </c>
      <c r="AF107" s="23" t="s">
        <v>977</v>
      </c>
      <c r="AG107" s="21" t="s">
        <v>983</v>
      </c>
      <c r="AH107" s="21" t="s">
        <v>487</v>
      </c>
      <c r="AI107" s="21"/>
      <c r="AJ107" s="21" t="s">
        <v>488</v>
      </c>
      <c r="AK107" s="31">
        <v>46191.0</v>
      </c>
      <c r="AM107" s="28" t="s">
        <v>984</v>
      </c>
      <c r="AN107" s="26"/>
      <c r="AO107" s="27" t="str">
        <f t="array" ref="AO107">IF(
                AM107 = "",
                "",
                       IF(
                           AM107 ="FOTOGRAFIA",
                           "LINK",
                           "https://www.appsheet.com/template/gettablefileurl?appName=MEDICIÓNDEESPESORES-924373673&amp;tableName=1_general&amp;fileName="&amp;AM107                         )
                          )</f>
        <v>https://www.appsheet.com/template/gettablefileurl?appName=MEDICIÓNDEESPESORES-924373673&amp;tableName=1_general&amp;fileName=1_general_Files_/REPORT_SCAN963ed28d.lectura.010114.1.xlsx</v>
      </c>
    </row>
    <row r="108" ht="14.25" customHeight="1">
      <c r="A108" s="21" t="s">
        <v>985</v>
      </c>
      <c r="B108" s="21" t="s">
        <v>344</v>
      </c>
      <c r="D108" s="31">
        <v>46191.0</v>
      </c>
      <c r="F108" s="23" t="s">
        <v>236</v>
      </c>
      <c r="H108" s="21" t="s">
        <v>430</v>
      </c>
      <c r="I108" s="21" t="s">
        <v>986</v>
      </c>
      <c r="M108" s="21" t="s">
        <v>303</v>
      </c>
      <c r="N108" s="21">
        <v>38.0</v>
      </c>
      <c r="O108" s="21" t="s">
        <v>349</v>
      </c>
      <c r="P108" s="21" t="s">
        <v>350</v>
      </c>
      <c r="T108" s="21" t="s">
        <v>324</v>
      </c>
      <c r="U108" s="21" t="s">
        <v>253</v>
      </c>
      <c r="V108" s="21" t="s">
        <v>231</v>
      </c>
      <c r="W108" s="21" t="s">
        <v>232</v>
      </c>
      <c r="X108" s="23" t="s">
        <v>325</v>
      </c>
      <c r="Y108" s="21" t="s">
        <v>355</v>
      </c>
      <c r="Z108" s="23" t="s">
        <v>965</v>
      </c>
      <c r="AA108" s="21" t="s">
        <v>982</v>
      </c>
      <c r="AB108" s="21" t="s">
        <v>966</v>
      </c>
      <c r="AC108" s="21" t="s">
        <v>303</v>
      </c>
      <c r="AE108" s="21" t="s">
        <v>696</v>
      </c>
      <c r="AF108" s="23" t="s">
        <v>977</v>
      </c>
      <c r="AG108" s="21" t="s">
        <v>987</v>
      </c>
      <c r="AH108" s="21" t="s">
        <v>487</v>
      </c>
      <c r="AI108" s="21"/>
      <c r="AJ108" s="21" t="s">
        <v>488</v>
      </c>
      <c r="AK108" s="31">
        <v>46191.0</v>
      </c>
      <c r="AM108" s="28" t="s">
        <v>988</v>
      </c>
      <c r="AN108" s="26"/>
      <c r="AO108" s="27" t="str">
        <f t="array" ref="AO108">IF(
                AM108 = "",
                "",
                       IF(
                           AM108 ="FOTOGRAFIA",
                           "LINK",
                           "https://www.appsheet.com/template/gettablefileurl?appName=MEDICIÓNDEESPESORES-924373673&amp;tableName=1_general&amp;fileName="&amp;AM108                         )
                          )</f>
        <v>https://www.appsheet.com/template/gettablefileurl?appName=MEDICIÓNDEESPESORES-924373673&amp;tableName=1_general&amp;fileName=1_general_Files_/REPORT_SCAN9cc6994d.lectura.010128.3.xlsx</v>
      </c>
    </row>
    <row r="109" ht="14.25" customHeight="1">
      <c r="A109" s="21" t="s">
        <v>989</v>
      </c>
      <c r="B109" s="21" t="s">
        <v>344</v>
      </c>
      <c r="D109" s="31">
        <v>46191.0</v>
      </c>
      <c r="F109" s="23" t="s">
        <v>236</v>
      </c>
      <c r="H109" s="21" t="s">
        <v>430</v>
      </c>
      <c r="I109" s="21" t="s">
        <v>990</v>
      </c>
      <c r="M109" s="21" t="s">
        <v>303</v>
      </c>
      <c r="N109" s="21">
        <v>38.0</v>
      </c>
      <c r="O109" s="21" t="s">
        <v>349</v>
      </c>
      <c r="P109" s="21" t="s">
        <v>350</v>
      </c>
      <c r="T109" s="21" t="s">
        <v>324</v>
      </c>
      <c r="U109" s="21" t="s">
        <v>253</v>
      </c>
      <c r="V109" s="21" t="s">
        <v>231</v>
      </c>
      <c r="W109" s="21" t="s">
        <v>232</v>
      </c>
      <c r="X109" s="23" t="s">
        <v>325</v>
      </c>
      <c r="Y109" s="21" t="s">
        <v>355</v>
      </c>
      <c r="Z109" s="23" t="s">
        <v>991</v>
      </c>
      <c r="AA109" s="21" t="s">
        <v>982</v>
      </c>
      <c r="AB109" s="21" t="s">
        <v>966</v>
      </c>
      <c r="AC109" s="21" t="s">
        <v>303</v>
      </c>
      <c r="AE109" s="21" t="s">
        <v>484</v>
      </c>
      <c r="AF109" s="23" t="s">
        <v>977</v>
      </c>
      <c r="AG109" s="21" t="s">
        <v>992</v>
      </c>
      <c r="AH109" s="21" t="s">
        <v>487</v>
      </c>
      <c r="AI109" s="21"/>
      <c r="AJ109" s="21" t="s">
        <v>488</v>
      </c>
      <c r="AK109" s="31">
        <v>46191.0</v>
      </c>
      <c r="AM109" s="28" t="s">
        <v>993</v>
      </c>
      <c r="AN109" s="26"/>
      <c r="AO109" s="27" t="str">
        <f t="array" ref="AO109">IF(
                AM109 = "",
                "",
                       IF(
                           AM109 ="FOTOGRAFIA",
                           "LINK",
                           "https://www.appsheet.com/template/gettablefileurl?appName=MEDICIÓNDEESPESORES-924373673&amp;tableName=1_general&amp;fileName="&amp;AM109                         )
                          )</f>
        <v>https://www.appsheet.com/template/gettablefileurl?appName=MEDICIÓNDEESPESORES-924373673&amp;tableName=1_general&amp;fileName=1_general_Files_/REPORT_SCAN486bccdc.lectura.010148.5.xlsx</v>
      </c>
    </row>
    <row r="110" ht="14.25" customHeight="1">
      <c r="A110" s="21" t="s">
        <v>994</v>
      </c>
      <c r="B110" s="21" t="s">
        <v>344</v>
      </c>
      <c r="D110" s="31">
        <v>46191.0</v>
      </c>
      <c r="F110" s="23" t="s">
        <v>995</v>
      </c>
      <c r="H110" s="21" t="s">
        <v>430</v>
      </c>
      <c r="I110" s="21" t="s">
        <v>996</v>
      </c>
      <c r="M110" s="21" t="s">
        <v>303</v>
      </c>
      <c r="N110" s="21">
        <v>38.0</v>
      </c>
      <c r="O110" s="21" t="s">
        <v>349</v>
      </c>
      <c r="P110" s="21" t="s">
        <v>350</v>
      </c>
      <c r="T110" s="21" t="s">
        <v>324</v>
      </c>
      <c r="U110" s="21" t="s">
        <v>253</v>
      </c>
      <c r="V110" s="21" t="s">
        <v>231</v>
      </c>
      <c r="W110" s="21" t="s">
        <v>232</v>
      </c>
      <c r="X110" s="23" t="s">
        <v>325</v>
      </c>
      <c r="Y110" s="21" t="s">
        <v>355</v>
      </c>
      <c r="Z110" s="23" t="s">
        <v>965</v>
      </c>
      <c r="AA110" s="21" t="s">
        <v>982</v>
      </c>
      <c r="AB110" s="21" t="s">
        <v>966</v>
      </c>
      <c r="AC110" s="21" t="s">
        <v>303</v>
      </c>
      <c r="AE110" s="21" t="s">
        <v>484</v>
      </c>
      <c r="AF110" s="23" t="s">
        <v>977</v>
      </c>
      <c r="AG110" s="21" t="s">
        <v>997</v>
      </c>
      <c r="AH110" s="21" t="s">
        <v>487</v>
      </c>
      <c r="AI110" s="21"/>
      <c r="AJ110" s="21" t="s">
        <v>488</v>
      </c>
      <c r="AK110" s="31">
        <v>46191.0</v>
      </c>
      <c r="AM110" s="28" t="s">
        <v>998</v>
      </c>
      <c r="AN110" s="26"/>
      <c r="AO110" s="27" t="str">
        <f t="array" ref="AO110">IF(
                AM110 = "",
                "",
                       IF(
                           AM110 ="FOTOGRAFIA",
                           "LINK",
                           "https://www.appsheet.com/template/gettablefileurl?appName=MEDICIÓNDEESPESORES-924373673&amp;tableName=1_general&amp;fileName="&amp;AM110                         )
                          )</f>
        <v>https://www.appsheet.com/template/gettablefileurl?appName=MEDICIÓNDEESPESORES-924373673&amp;tableName=1_general&amp;fileName=1_general_Files_/REPORT_SCANd18bfa5c.lectura.010206.7.xlsx</v>
      </c>
    </row>
    <row r="111" ht="14.25" customHeight="1">
      <c r="A111" s="43" t="s">
        <v>999</v>
      </c>
      <c r="B111" s="43" t="s">
        <v>344</v>
      </c>
      <c r="C111" s="44" t="s">
        <v>391</v>
      </c>
      <c r="D111" s="45">
        <v>46195.0</v>
      </c>
      <c r="E111" s="43">
        <v>1.00032632E9</v>
      </c>
      <c r="F111" s="44" t="s">
        <v>292</v>
      </c>
      <c r="G111" s="43" t="s">
        <v>1000</v>
      </c>
      <c r="H111" s="43" t="s">
        <v>1001</v>
      </c>
      <c r="I111" s="43" t="s">
        <v>1002</v>
      </c>
      <c r="J111" s="43" t="s">
        <v>1003</v>
      </c>
      <c r="K111" s="43" t="s">
        <v>333</v>
      </c>
      <c r="L111" s="43" t="s">
        <v>1004</v>
      </c>
      <c r="M111" s="43" t="s">
        <v>303</v>
      </c>
      <c r="N111" s="46"/>
      <c r="O111" s="43" t="s">
        <v>733</v>
      </c>
      <c r="P111" s="43" t="s">
        <v>227</v>
      </c>
      <c r="Q111" s="44" t="s">
        <v>351</v>
      </c>
      <c r="R111" s="43">
        <v>92.0</v>
      </c>
      <c r="S111" s="46"/>
      <c r="T111" s="43" t="s">
        <v>324</v>
      </c>
      <c r="U111" s="43" t="s">
        <v>1005</v>
      </c>
      <c r="V111" s="43" t="s">
        <v>1006</v>
      </c>
      <c r="W111" s="43" t="s">
        <v>1007</v>
      </c>
      <c r="X111" s="44" t="s">
        <v>317</v>
      </c>
      <c r="Y111" s="43"/>
      <c r="Z111" s="43"/>
      <c r="AA111" s="43"/>
      <c r="AB111" s="43" t="s">
        <v>302</v>
      </c>
      <c r="AC111" s="43" t="s">
        <v>303</v>
      </c>
      <c r="AD111" s="43" t="s">
        <v>566</v>
      </c>
      <c r="AE111" s="43" t="s">
        <v>1008</v>
      </c>
      <c r="AF111" s="44" t="s">
        <v>240</v>
      </c>
      <c r="AG111" s="43" t="s">
        <v>1009</v>
      </c>
      <c r="AH111" s="43" t="s">
        <v>1010</v>
      </c>
      <c r="AI111" s="43"/>
      <c r="AJ111" s="43" t="s">
        <v>488</v>
      </c>
      <c r="AK111" s="45">
        <v>46195.0</v>
      </c>
      <c r="AL111" s="46"/>
      <c r="AM111" s="47"/>
      <c r="AN111" s="48" t="s">
        <v>1011</v>
      </c>
      <c r="AO111" s="28" t="str">
        <f t="array" ref="AO111">IF(
                AM111 = "",
                "",
                       IF(
                           AM111 ="FOTOGRAFIA",
                           "LINK",
                           "https://www.appsheet.com/template/gettablefileurl?appName=MEDICIÓNDEESPESORES-924373673&amp;tableName=1_general&amp;fileName="&amp;AM111                         )
                          )</f>
        <v/>
      </c>
      <c r="AP111" s="46"/>
    </row>
    <row r="112" ht="14.25" customHeight="1">
      <c r="A112" s="43" t="s">
        <v>1012</v>
      </c>
      <c r="B112" s="43" t="s">
        <v>344</v>
      </c>
      <c r="C112" s="44" t="s">
        <v>391</v>
      </c>
      <c r="D112" s="45">
        <v>46195.0</v>
      </c>
      <c r="E112" s="43">
        <v>1.000326316E9</v>
      </c>
      <c r="F112" s="44" t="s">
        <v>292</v>
      </c>
      <c r="G112" s="43" t="s">
        <v>1000</v>
      </c>
      <c r="H112" s="43" t="s">
        <v>1001</v>
      </c>
      <c r="I112" s="43" t="s">
        <v>1013</v>
      </c>
      <c r="J112" s="43" t="s">
        <v>1014</v>
      </c>
      <c r="K112" s="43" t="s">
        <v>333</v>
      </c>
      <c r="L112" s="43" t="s">
        <v>1004</v>
      </c>
      <c r="M112" s="43" t="s">
        <v>303</v>
      </c>
      <c r="N112" s="46"/>
      <c r="O112" s="43" t="s">
        <v>733</v>
      </c>
      <c r="P112" s="43" t="s">
        <v>227</v>
      </c>
      <c r="Q112" s="44" t="s">
        <v>351</v>
      </c>
      <c r="R112" s="46"/>
      <c r="S112" s="46"/>
      <c r="T112" s="43" t="s">
        <v>324</v>
      </c>
      <c r="U112" s="43" t="s">
        <v>1015</v>
      </c>
      <c r="V112" s="43" t="s">
        <v>1006</v>
      </c>
      <c r="W112" s="43" t="s">
        <v>1007</v>
      </c>
      <c r="X112" s="44" t="s">
        <v>1016</v>
      </c>
      <c r="Y112" s="43"/>
      <c r="Z112" s="43"/>
      <c r="AA112" s="43"/>
      <c r="AB112" s="43" t="s">
        <v>302</v>
      </c>
      <c r="AC112" s="43" t="s">
        <v>303</v>
      </c>
      <c r="AD112" s="43" t="s">
        <v>566</v>
      </c>
      <c r="AE112" s="43" t="s">
        <v>1008</v>
      </c>
      <c r="AF112" s="44" t="s">
        <v>240</v>
      </c>
      <c r="AG112" s="43" t="s">
        <v>1017</v>
      </c>
      <c r="AH112" s="43" t="s">
        <v>1010</v>
      </c>
      <c r="AI112" s="43"/>
      <c r="AJ112" s="43" t="s">
        <v>488</v>
      </c>
      <c r="AK112" s="45">
        <v>46195.0</v>
      </c>
      <c r="AL112" s="46"/>
      <c r="AM112" s="47"/>
      <c r="AN112" s="48" t="s">
        <v>1018</v>
      </c>
      <c r="AO112" s="28" t="str">
        <f t="array" ref="AO112">IF(
                AM112 = "",
                "",
                       IF(
                           AM112 ="FOTOGRAFIA",
                           "LINK",
                           "https://www.appsheet.com/template/gettablefileurl?appName=MEDICIÓNDEESPESORES-924373673&amp;tableName=1_general&amp;fileName="&amp;AM112                         )
                          )</f>
        <v/>
      </c>
      <c r="AP112" s="46"/>
    </row>
    <row r="113" ht="14.25" customHeight="1">
      <c r="A113" s="43" t="s">
        <v>1019</v>
      </c>
      <c r="B113" s="43" t="s">
        <v>344</v>
      </c>
      <c r="C113" s="44" t="s">
        <v>391</v>
      </c>
      <c r="D113" s="45">
        <v>46195.0</v>
      </c>
      <c r="E113" s="43">
        <v>1.000326316E9</v>
      </c>
      <c r="F113" s="44" t="s">
        <v>292</v>
      </c>
      <c r="G113" s="43" t="s">
        <v>1000</v>
      </c>
      <c r="H113" s="43" t="s">
        <v>1020</v>
      </c>
      <c r="I113" s="43" t="s">
        <v>1021</v>
      </c>
      <c r="J113" s="46"/>
      <c r="K113" s="43" t="s">
        <v>1004</v>
      </c>
      <c r="L113" s="43" t="s">
        <v>1004</v>
      </c>
      <c r="M113" s="43" t="s">
        <v>1022</v>
      </c>
      <c r="N113" s="43">
        <v>115.0</v>
      </c>
      <c r="O113" s="43" t="s">
        <v>733</v>
      </c>
      <c r="P113" s="43" t="s">
        <v>227</v>
      </c>
      <c r="Q113" s="44" t="s">
        <v>351</v>
      </c>
      <c r="R113" s="43">
        <v>92.0</v>
      </c>
      <c r="S113" s="44" t="s">
        <v>1023</v>
      </c>
      <c r="T113" s="43" t="s">
        <v>324</v>
      </c>
      <c r="U113" s="43" t="s">
        <v>270</v>
      </c>
      <c r="V113" s="43" t="s">
        <v>231</v>
      </c>
      <c r="W113" s="43" t="s">
        <v>1024</v>
      </c>
      <c r="X113" s="44" t="s">
        <v>299</v>
      </c>
      <c r="Y113" s="43" t="s">
        <v>355</v>
      </c>
      <c r="Z113" s="43" t="s">
        <v>854</v>
      </c>
      <c r="AA113" s="43" t="s">
        <v>1025</v>
      </c>
      <c r="AB113" s="43" t="s">
        <v>302</v>
      </c>
      <c r="AC113" s="43" t="s">
        <v>303</v>
      </c>
      <c r="AD113" s="46"/>
      <c r="AE113" s="43" t="s">
        <v>1026</v>
      </c>
      <c r="AF113" s="43" t="s">
        <v>1027</v>
      </c>
      <c r="AG113" s="43" t="s">
        <v>1028</v>
      </c>
      <c r="AH113" s="43" t="s">
        <v>1029</v>
      </c>
      <c r="AI113" s="43"/>
      <c r="AJ113" s="43" t="s">
        <v>488</v>
      </c>
      <c r="AK113" s="45">
        <v>46195.0</v>
      </c>
      <c r="AL113" s="46"/>
      <c r="AM113" s="49" t="s">
        <v>1030</v>
      </c>
      <c r="AN113" s="48" t="s">
        <v>1031</v>
      </c>
      <c r="AO113" s="27" t="str">
        <f t="array" ref="AO113">IF(
                AM113 = "",
                "",
                       IF(
                           AM113 ="FOTOGRAFIA",
                           "LINK",
                           "https://www.appsheet.com/template/gettablefileurl?appName=MEDICIÓNDEESPESORES-924373673&amp;tableName=1_general&amp;fileName="&amp;AM113                         )
                          )</f>
        <v>https://www.appsheet.com/template/gettablefileurl?appName=MEDICIÓNDEESPESORES-924373673&amp;tableName=1_general&amp;fileName=1_general_Files_/REPORT_SCAN57e2ff22.lectura.174906.xlsx</v>
      </c>
      <c r="AP113" s="43" t="s">
        <v>364</v>
      </c>
    </row>
    <row r="114" ht="14.25" customHeight="1">
      <c r="A114" s="43" t="s">
        <v>1032</v>
      </c>
      <c r="B114" s="43" t="s">
        <v>344</v>
      </c>
      <c r="C114" s="44" t="s">
        <v>391</v>
      </c>
      <c r="D114" s="45">
        <v>46195.0</v>
      </c>
      <c r="E114" s="43">
        <v>1.000326322E9</v>
      </c>
      <c r="F114" s="44" t="s">
        <v>292</v>
      </c>
      <c r="G114" s="43" t="s">
        <v>1000</v>
      </c>
      <c r="H114" s="43" t="s">
        <v>1033</v>
      </c>
      <c r="I114" s="43" t="s">
        <v>1034</v>
      </c>
      <c r="J114" s="43" t="s">
        <v>1035</v>
      </c>
      <c r="K114" s="43" t="s">
        <v>333</v>
      </c>
      <c r="L114" s="43" t="s">
        <v>1004</v>
      </c>
      <c r="M114" s="43" t="s">
        <v>303</v>
      </c>
      <c r="N114" s="46"/>
      <c r="O114" s="43" t="s">
        <v>733</v>
      </c>
      <c r="P114" s="43" t="s">
        <v>350</v>
      </c>
      <c r="Q114" s="44" t="s">
        <v>351</v>
      </c>
      <c r="R114" s="46"/>
      <c r="S114" s="46"/>
      <c r="T114" s="43" t="s">
        <v>324</v>
      </c>
      <c r="U114" s="43" t="s">
        <v>1036</v>
      </c>
      <c r="V114" s="43" t="s">
        <v>1006</v>
      </c>
      <c r="W114" s="43" t="s">
        <v>1007</v>
      </c>
      <c r="X114" s="44" t="s">
        <v>1016</v>
      </c>
      <c r="Y114" s="43"/>
      <c r="Z114" s="43"/>
      <c r="AA114" s="43"/>
      <c r="AB114" s="43" t="s">
        <v>302</v>
      </c>
      <c r="AC114" s="43" t="s">
        <v>303</v>
      </c>
      <c r="AD114" s="43" t="s">
        <v>566</v>
      </c>
      <c r="AE114" s="43" t="s">
        <v>1008</v>
      </c>
      <c r="AF114" s="44" t="s">
        <v>240</v>
      </c>
      <c r="AG114" s="43" t="s">
        <v>1037</v>
      </c>
      <c r="AH114" s="43" t="s">
        <v>1010</v>
      </c>
      <c r="AI114" s="43"/>
      <c r="AJ114" s="43" t="s">
        <v>488</v>
      </c>
      <c r="AK114" s="45">
        <v>46195.0</v>
      </c>
      <c r="AL114" s="46"/>
      <c r="AM114" s="49" t="s">
        <v>1038</v>
      </c>
      <c r="AN114" s="48" t="s">
        <v>1039</v>
      </c>
      <c r="AO114" s="28" t="str">
        <f t="array" ref="AO114">IF(
                AM114 = "",
                "",
                       IF(
                           AM114 ="FOTOGRAFIA",
                           "LINK",
                           "https://www.appsheet.com/template/gettablefileurl?appName=MEDICIÓNDEESPESORES-924373673&amp;tableName=1_general&amp;fileName="&amp;AM114                         )
                          )</f>
        <v>https://www.appsheet.com/template/gettablefileurl?appName=MEDICIÓNDEESPESORES-924373673&amp;tableName=1_general&amp;fileName=Unable to load image data. Image may be missing or upload size may be too large for this device. The image may still be in the camera roll on the device.#filename=321-DEC-425F%2520CRAWLER%2520FORMATO.xlsx</v>
      </c>
      <c r="AP114" s="46"/>
    </row>
    <row r="115" ht="14.25" customHeight="1">
      <c r="A115" s="43" t="s">
        <v>1040</v>
      </c>
      <c r="B115" s="43" t="s">
        <v>344</v>
      </c>
      <c r="C115" s="44" t="s">
        <v>391</v>
      </c>
      <c r="D115" s="45">
        <v>46195.0</v>
      </c>
      <c r="E115" s="43">
        <v>1.00032632E9</v>
      </c>
      <c r="F115" s="44" t="s">
        <v>292</v>
      </c>
      <c r="G115" s="43" t="s">
        <v>1000</v>
      </c>
      <c r="H115" s="43" t="s">
        <v>1020</v>
      </c>
      <c r="I115" s="43" t="s">
        <v>1041</v>
      </c>
      <c r="J115" s="43" t="s">
        <v>1042</v>
      </c>
      <c r="K115" s="43" t="s">
        <v>1004</v>
      </c>
      <c r="L115" s="43" t="s">
        <v>1004</v>
      </c>
      <c r="M115" s="43" t="s">
        <v>303</v>
      </c>
      <c r="N115" s="43">
        <v>115.0</v>
      </c>
      <c r="O115" s="43" t="s">
        <v>733</v>
      </c>
      <c r="P115" s="43" t="s">
        <v>227</v>
      </c>
      <c r="Q115" s="44" t="s">
        <v>351</v>
      </c>
      <c r="R115" s="43">
        <v>92.0</v>
      </c>
      <c r="S115" s="44" t="s">
        <v>1023</v>
      </c>
      <c r="T115" s="43" t="s">
        <v>324</v>
      </c>
      <c r="U115" s="43" t="s">
        <v>270</v>
      </c>
      <c r="V115" s="43" t="s">
        <v>231</v>
      </c>
      <c r="W115" s="43" t="s">
        <v>1024</v>
      </c>
      <c r="X115" s="44" t="s">
        <v>299</v>
      </c>
      <c r="Y115" s="43" t="s">
        <v>355</v>
      </c>
      <c r="Z115" s="43" t="s">
        <v>854</v>
      </c>
      <c r="AA115" s="43" t="s">
        <v>1025</v>
      </c>
      <c r="AB115" s="43" t="s">
        <v>302</v>
      </c>
      <c r="AC115" s="43" t="s">
        <v>303</v>
      </c>
      <c r="AD115" s="46"/>
      <c r="AE115" s="43" t="s">
        <v>1043</v>
      </c>
      <c r="AF115" s="44" t="s">
        <v>1044</v>
      </c>
      <c r="AG115" s="43" t="s">
        <v>1045</v>
      </c>
      <c r="AH115" s="43" t="s">
        <v>1029</v>
      </c>
      <c r="AI115" s="43"/>
      <c r="AJ115" s="43" t="s">
        <v>488</v>
      </c>
      <c r="AK115" s="45">
        <v>46195.0</v>
      </c>
      <c r="AL115" s="46"/>
      <c r="AM115" s="49" t="s">
        <v>1046</v>
      </c>
      <c r="AN115" s="49"/>
      <c r="AO115" s="27" t="str">
        <f t="array" ref="AO115">IF(
                AM115 = "",
                "",
                       IF(
                           AM115 ="FOTOGRAFIA",
                           "LINK",
                           "https://www.appsheet.com/template/gettablefileurl?appName=MEDICIÓNDEESPESORES-924373673&amp;tableName=1_general&amp;fileName="&amp;AM115                         )
                          )</f>
        <v>https://www.appsheet.com/template/gettablefileurl?appName=MEDICIÓNDEESPESORES-924373673&amp;tableName=1_general&amp;fileName=1_general_Files_/REPORT_SCAN9672b919.lectura.222740.xlsx</v>
      </c>
      <c r="AP115" s="43" t="s">
        <v>364</v>
      </c>
    </row>
    <row r="116" ht="14.25" customHeight="1">
      <c r="A116" s="43" t="s">
        <v>1047</v>
      </c>
      <c r="B116" s="43" t="s">
        <v>344</v>
      </c>
      <c r="C116" s="44" t="s">
        <v>391</v>
      </c>
      <c r="D116" s="45">
        <v>46195.0</v>
      </c>
      <c r="E116" s="46"/>
      <c r="F116" s="44" t="s">
        <v>292</v>
      </c>
      <c r="G116" s="43" t="s">
        <v>1000</v>
      </c>
      <c r="H116" s="43" t="s">
        <v>1001</v>
      </c>
      <c r="I116" s="43" t="s">
        <v>1048</v>
      </c>
      <c r="J116" s="43" t="s">
        <v>1049</v>
      </c>
      <c r="K116" s="43" t="s">
        <v>333</v>
      </c>
      <c r="L116" s="43" t="s">
        <v>1004</v>
      </c>
      <c r="M116" s="43" t="s">
        <v>1050</v>
      </c>
      <c r="N116" s="46"/>
      <c r="O116" s="43" t="s">
        <v>733</v>
      </c>
      <c r="P116" s="43" t="s">
        <v>350</v>
      </c>
      <c r="Q116" s="44" t="s">
        <v>351</v>
      </c>
      <c r="R116" s="46"/>
      <c r="S116" s="46"/>
      <c r="T116" s="43" t="s">
        <v>324</v>
      </c>
      <c r="U116" s="43" t="s">
        <v>1036</v>
      </c>
      <c r="V116" s="43" t="s">
        <v>1006</v>
      </c>
      <c r="W116" s="43" t="s">
        <v>1007</v>
      </c>
      <c r="X116" s="44" t="s">
        <v>1016</v>
      </c>
      <c r="Y116" s="43" t="s">
        <v>1051</v>
      </c>
      <c r="Z116" s="46"/>
      <c r="AA116" s="46"/>
      <c r="AB116" s="43" t="s">
        <v>302</v>
      </c>
      <c r="AC116" s="43" t="s">
        <v>303</v>
      </c>
      <c r="AD116" s="43" t="s">
        <v>566</v>
      </c>
      <c r="AE116" s="43" t="s">
        <v>1008</v>
      </c>
      <c r="AF116" s="44" t="s">
        <v>240</v>
      </c>
      <c r="AG116" s="43" t="s">
        <v>1052</v>
      </c>
      <c r="AH116" s="43" t="s">
        <v>1010</v>
      </c>
      <c r="AI116" s="43"/>
      <c r="AJ116" s="43" t="s">
        <v>488</v>
      </c>
      <c r="AK116" s="45">
        <v>46195.0</v>
      </c>
      <c r="AL116" s="46"/>
      <c r="AM116" s="49" t="s">
        <v>1053</v>
      </c>
      <c r="AN116" s="49"/>
      <c r="AO116" s="27" t="str">
        <f t="array" ref="AO116">IF(
                AM116 = "",
                "",
                       IF(
                           AM116 ="FOTOGRAFIA",
                           "LINK",
                           "https://www.appsheet.com/template/gettablefileurl?appName=MEDICIÓNDEESPESORES-924373673&amp;tableName=1_general&amp;fileName="&amp;AM116                         )
                          )</f>
        <v>https://www.appsheet.com/template/gettablefileurl?appName=MEDICIÓNDEESPESORES-924373673&amp;tableName=1_general&amp;fileName=1_general_Files_/REPORT_SCAN1ccf396b.lectura.214425.xlsx</v>
      </c>
      <c r="AP116" s="43" t="s">
        <v>364</v>
      </c>
    </row>
    <row r="117" ht="14.25" customHeight="1">
      <c r="A117" s="43" t="s">
        <v>1054</v>
      </c>
      <c r="B117" s="43" t="s">
        <v>344</v>
      </c>
      <c r="C117" s="44" t="s">
        <v>391</v>
      </c>
      <c r="D117" s="45">
        <v>46195.0</v>
      </c>
      <c r="E117" s="43">
        <v>1.000326324E9</v>
      </c>
      <c r="F117" s="44" t="s">
        <v>292</v>
      </c>
      <c r="G117" s="43" t="s">
        <v>1000</v>
      </c>
      <c r="H117" s="43" t="s">
        <v>1055</v>
      </c>
      <c r="I117" s="43" t="s">
        <v>1056</v>
      </c>
      <c r="J117" s="43" t="s">
        <v>1042</v>
      </c>
      <c r="K117" s="43" t="s">
        <v>1004</v>
      </c>
      <c r="L117" s="43" t="s">
        <v>1004</v>
      </c>
      <c r="M117" s="43" t="s">
        <v>303</v>
      </c>
      <c r="N117" s="43">
        <v>85.0</v>
      </c>
      <c r="O117" s="43" t="s">
        <v>733</v>
      </c>
      <c r="P117" s="43" t="s">
        <v>350</v>
      </c>
      <c r="Q117" s="44" t="s">
        <v>351</v>
      </c>
      <c r="R117" s="43">
        <v>14.69</v>
      </c>
      <c r="S117" s="44" t="s">
        <v>1057</v>
      </c>
      <c r="T117" s="43" t="s">
        <v>324</v>
      </c>
      <c r="U117" s="43" t="s">
        <v>270</v>
      </c>
      <c r="V117" s="43" t="s">
        <v>231</v>
      </c>
      <c r="W117" s="43" t="s">
        <v>1024</v>
      </c>
      <c r="X117" s="44" t="s">
        <v>299</v>
      </c>
      <c r="Y117" s="43" t="s">
        <v>355</v>
      </c>
      <c r="Z117" s="43" t="s">
        <v>854</v>
      </c>
      <c r="AA117" s="43" t="s">
        <v>1025</v>
      </c>
      <c r="AB117" s="43" t="s">
        <v>302</v>
      </c>
      <c r="AC117" s="43" t="s">
        <v>303</v>
      </c>
      <c r="AD117" s="46"/>
      <c r="AE117" s="43" t="s">
        <v>1026</v>
      </c>
      <c r="AF117" s="44" t="s">
        <v>1044</v>
      </c>
      <c r="AG117" s="43" t="s">
        <v>1058</v>
      </c>
      <c r="AH117" s="43" t="s">
        <v>1029</v>
      </c>
      <c r="AI117" s="43"/>
      <c r="AJ117" s="43" t="s">
        <v>488</v>
      </c>
      <c r="AK117" s="45">
        <v>46195.0</v>
      </c>
      <c r="AL117" s="46"/>
      <c r="AM117" s="49" t="s">
        <v>1059</v>
      </c>
      <c r="AN117" s="49"/>
      <c r="AO117" s="27" t="str">
        <f t="array" ref="AO117">IF(
                AM117 = "",
                "",
                       IF(
                           AM117 ="FOTOGRAFIA",
                           "LINK",
                           "https://www.appsheet.com/template/gettablefileurl?appName=MEDICIÓNDEESPESORES-924373673&amp;tableName=1_general&amp;fileName="&amp;AM117                         )
                          )</f>
        <v>https://www.appsheet.com/template/gettablefileurl?appName=MEDICIÓNDEESPESORES-924373673&amp;tableName=1_general&amp;fileName=1_general_Files_/REPORT_SCANdc7ebee6.lectura.222933.xlsx</v>
      </c>
      <c r="AP117" s="43" t="s">
        <v>364</v>
      </c>
    </row>
    <row r="118" ht="14.25" customHeight="1">
      <c r="A118" s="43" t="s">
        <v>1060</v>
      </c>
      <c r="B118" s="43" t="s">
        <v>344</v>
      </c>
      <c r="C118" s="44" t="s">
        <v>391</v>
      </c>
      <c r="D118" s="45">
        <v>46195.0</v>
      </c>
      <c r="E118" s="43">
        <v>1.000326322E9</v>
      </c>
      <c r="F118" s="44" t="s">
        <v>292</v>
      </c>
      <c r="G118" s="43" t="s">
        <v>1000</v>
      </c>
      <c r="H118" s="43" t="s">
        <v>1055</v>
      </c>
      <c r="I118" s="43" t="s">
        <v>1061</v>
      </c>
      <c r="J118" s="43" t="s">
        <v>1042</v>
      </c>
      <c r="K118" s="43" t="s">
        <v>1004</v>
      </c>
      <c r="L118" s="43" t="s">
        <v>1004</v>
      </c>
      <c r="M118" s="43" t="s">
        <v>303</v>
      </c>
      <c r="N118" s="43">
        <v>85.0</v>
      </c>
      <c r="O118" s="43" t="s">
        <v>733</v>
      </c>
      <c r="P118" s="43" t="s">
        <v>350</v>
      </c>
      <c r="Q118" s="44" t="s">
        <v>351</v>
      </c>
      <c r="R118" s="43">
        <v>14.69</v>
      </c>
      <c r="S118" s="44" t="s">
        <v>1057</v>
      </c>
      <c r="T118" s="43" t="s">
        <v>324</v>
      </c>
      <c r="U118" s="43" t="s">
        <v>270</v>
      </c>
      <c r="V118" s="43" t="s">
        <v>231</v>
      </c>
      <c r="W118" s="43" t="s">
        <v>1024</v>
      </c>
      <c r="X118" s="44" t="s">
        <v>299</v>
      </c>
      <c r="Y118" s="43" t="s">
        <v>355</v>
      </c>
      <c r="Z118" s="43" t="s">
        <v>854</v>
      </c>
      <c r="AA118" s="43" t="s">
        <v>1025</v>
      </c>
      <c r="AB118" s="43" t="s">
        <v>302</v>
      </c>
      <c r="AC118" s="43" t="s">
        <v>303</v>
      </c>
      <c r="AD118" s="46"/>
      <c r="AE118" s="43" t="s">
        <v>1026</v>
      </c>
      <c r="AF118" s="44" t="s">
        <v>1044</v>
      </c>
      <c r="AG118" s="43" t="s">
        <v>1062</v>
      </c>
      <c r="AH118" s="43" t="s">
        <v>1029</v>
      </c>
      <c r="AI118" s="43"/>
      <c r="AJ118" s="43" t="s">
        <v>488</v>
      </c>
      <c r="AK118" s="45">
        <v>46195.0</v>
      </c>
      <c r="AL118" s="46"/>
      <c r="AM118" s="49" t="s">
        <v>1063</v>
      </c>
      <c r="AN118" s="49"/>
      <c r="AO118" s="27" t="str">
        <f t="array" ref="AO118">IF(
                AM118 = "",
                "",
                       IF(
                           AM118 ="FOTOGRAFIA",
                           "LINK",
                           "https://www.appsheet.com/template/gettablefileurl?appName=MEDICIÓNDEESPESORES-924373673&amp;tableName=1_general&amp;fileName="&amp;AM118                         )
                          )</f>
        <v>https://www.appsheet.com/template/gettablefileurl?appName=MEDICIÓNDEESPESORES-924373673&amp;tableName=1_general&amp;fileName=1_general_Files_/REPORT_SCAN4b9b28fc.lectura.235704.xlsx</v>
      </c>
      <c r="AP118" s="43" t="s">
        <v>364</v>
      </c>
    </row>
    <row r="119" ht="14.25" customHeight="1">
      <c r="A119" s="43" t="s">
        <v>1064</v>
      </c>
      <c r="B119" s="43" t="s">
        <v>344</v>
      </c>
      <c r="C119" s="44" t="s">
        <v>391</v>
      </c>
      <c r="D119" s="45">
        <v>46195.0</v>
      </c>
      <c r="E119" s="43">
        <v>1.00032632E9</v>
      </c>
      <c r="F119" s="44" t="s">
        <v>292</v>
      </c>
      <c r="G119" s="43" t="s">
        <v>1000</v>
      </c>
      <c r="H119" s="43" t="s">
        <v>1020</v>
      </c>
      <c r="I119" s="43" t="s">
        <v>1065</v>
      </c>
      <c r="J119" s="43" t="s">
        <v>359</v>
      </c>
      <c r="K119" s="43" t="s">
        <v>1004</v>
      </c>
      <c r="L119" s="43" t="s">
        <v>1004</v>
      </c>
      <c r="M119" s="43" t="s">
        <v>1066</v>
      </c>
      <c r="N119" s="46"/>
      <c r="O119" s="43" t="s">
        <v>349</v>
      </c>
      <c r="P119" s="43" t="s">
        <v>350</v>
      </c>
      <c r="Q119" s="44" t="s">
        <v>351</v>
      </c>
      <c r="R119" s="46"/>
      <c r="S119" s="46"/>
      <c r="T119" s="43" t="s">
        <v>1067</v>
      </c>
      <c r="U119" s="43" t="s">
        <v>270</v>
      </c>
      <c r="V119" s="43" t="s">
        <v>271</v>
      </c>
      <c r="W119" s="43" t="s">
        <v>1068</v>
      </c>
      <c r="X119" s="44" t="s">
        <v>299</v>
      </c>
      <c r="Y119" s="43" t="s">
        <v>355</v>
      </c>
      <c r="Z119" s="43" t="s">
        <v>854</v>
      </c>
      <c r="AA119" s="43" t="s">
        <v>1025</v>
      </c>
      <c r="AB119" s="43" t="s">
        <v>302</v>
      </c>
      <c r="AC119" s="43" t="s">
        <v>303</v>
      </c>
      <c r="AD119" s="43" t="s">
        <v>1069</v>
      </c>
      <c r="AE119" s="43" t="s">
        <v>1043</v>
      </c>
      <c r="AF119" s="44" t="s">
        <v>1044</v>
      </c>
      <c r="AG119" s="43" t="s">
        <v>1070</v>
      </c>
      <c r="AH119" s="43" t="s">
        <v>1071</v>
      </c>
      <c r="AI119" s="43"/>
      <c r="AJ119" s="43" t="s">
        <v>1072</v>
      </c>
      <c r="AK119" s="45">
        <v>46195.0</v>
      </c>
      <c r="AL119" s="46"/>
      <c r="AM119" s="49" t="s">
        <v>1073</v>
      </c>
      <c r="AN119" s="48" t="s">
        <v>1074</v>
      </c>
      <c r="AO119" s="27" t="str">
        <f t="array" ref="AO119">IF(
                AM119 = "",
                "",
                       IF(
                           AM119 ="FOTOGRAFIA",
                           "LINK",
                           "https://www.appsheet.com/template/gettablefileurl?appName=MEDICIÓNDEESPESORES-924373673&amp;tableName=1_general&amp;fileName="&amp;AM119                         )
                          )</f>
        <v>https://www.appsheet.com/template/gettablefileurl?appName=MEDICIÓNDEESPESORES-924373673&amp;tableName=1_general&amp;fileName=1_general_Files_/REPORT_SCAN924c7298.lectura.004954.xlsx</v>
      </c>
      <c r="AP119" s="43" t="s">
        <v>364</v>
      </c>
    </row>
    <row r="120" ht="14.25" customHeight="1">
      <c r="A120" s="43" t="s">
        <v>1075</v>
      </c>
      <c r="B120" s="43" t="s">
        <v>344</v>
      </c>
      <c r="C120" s="44" t="s">
        <v>391</v>
      </c>
      <c r="D120" s="45">
        <v>46196.0</v>
      </c>
      <c r="E120" s="43">
        <v>1.000326324E9</v>
      </c>
      <c r="F120" s="44" t="s">
        <v>292</v>
      </c>
      <c r="G120" s="43" t="s">
        <v>1000</v>
      </c>
      <c r="H120" s="43" t="s">
        <v>1076</v>
      </c>
      <c r="I120" s="43" t="s">
        <v>1077</v>
      </c>
      <c r="J120" s="43" t="s">
        <v>1078</v>
      </c>
      <c r="K120" s="43" t="s">
        <v>333</v>
      </c>
      <c r="L120" s="43" t="s">
        <v>1004</v>
      </c>
      <c r="M120" s="43" t="s">
        <v>1050</v>
      </c>
      <c r="N120" s="46"/>
      <c r="O120" s="43" t="s">
        <v>733</v>
      </c>
      <c r="P120" s="43" t="s">
        <v>350</v>
      </c>
      <c r="Q120" s="44" t="s">
        <v>351</v>
      </c>
      <c r="R120" s="46"/>
      <c r="S120" s="46"/>
      <c r="T120" s="43" t="s">
        <v>324</v>
      </c>
      <c r="U120" s="43" t="s">
        <v>1036</v>
      </c>
      <c r="V120" s="43" t="s">
        <v>1006</v>
      </c>
      <c r="W120" s="43" t="s">
        <v>1007</v>
      </c>
      <c r="X120" s="44" t="s">
        <v>1016</v>
      </c>
      <c r="Y120" s="43" t="s">
        <v>1051</v>
      </c>
      <c r="Z120" s="46"/>
      <c r="AA120" s="46"/>
      <c r="AB120" s="43" t="s">
        <v>302</v>
      </c>
      <c r="AC120" s="43" t="s">
        <v>303</v>
      </c>
      <c r="AD120" s="43" t="s">
        <v>566</v>
      </c>
      <c r="AE120" s="43" t="s">
        <v>1008</v>
      </c>
      <c r="AF120" s="44" t="s">
        <v>240</v>
      </c>
      <c r="AG120" s="43" t="s">
        <v>1079</v>
      </c>
      <c r="AH120" s="43" t="s">
        <v>1010</v>
      </c>
      <c r="AI120" s="43"/>
      <c r="AJ120" s="43" t="s">
        <v>488</v>
      </c>
      <c r="AK120" s="45">
        <v>46196.0</v>
      </c>
      <c r="AL120" s="46"/>
      <c r="AM120" s="49" t="s">
        <v>1080</v>
      </c>
      <c r="AN120" s="49"/>
      <c r="AO120" s="27" t="str">
        <f t="array" ref="AO120">IF(
                AM120 = "",
                "",
                       IF(
                           AM120 ="FOTOGRAFIA",
                           "LINK",
                           "https://www.appsheet.com/template/gettablefileurl?appName=MEDICIÓNDEESPESORES-924373673&amp;tableName=1_general&amp;fileName="&amp;AM120                         )
                          )</f>
        <v>https://www.appsheet.com/template/gettablefileurl?appName=MEDICIÓNDEESPESORES-924373673&amp;tableName=1_general&amp;fileName=1_general_Files_/REPORT_SCANc805d86c.lectura.155352.xlsx</v>
      </c>
      <c r="AP120" s="43" t="s">
        <v>364</v>
      </c>
    </row>
    <row r="121" ht="14.25" customHeight="1">
      <c r="AM121" s="26"/>
      <c r="AN121" s="26"/>
      <c r="AO121" s="26"/>
    </row>
    <row r="122" ht="14.25" customHeight="1">
      <c r="AM122" s="26"/>
      <c r="AN122" s="26"/>
      <c r="AO122" s="26"/>
    </row>
    <row r="123" ht="14.25" customHeight="1">
      <c r="AM123" s="26"/>
      <c r="AN123" s="26"/>
      <c r="AO123" s="26"/>
    </row>
    <row r="124" ht="14.25" customHeight="1">
      <c r="AM124" s="26"/>
      <c r="AN124" s="26"/>
      <c r="AO124" s="26"/>
    </row>
    <row r="125" ht="14.25" customHeight="1">
      <c r="AM125" s="26"/>
      <c r="AN125" s="26"/>
      <c r="AO125" s="26"/>
    </row>
    <row r="126" ht="14.25" customHeight="1">
      <c r="AM126" s="26"/>
      <c r="AN126" s="26"/>
      <c r="AO126" s="26"/>
    </row>
    <row r="127" ht="14.25" customHeight="1">
      <c r="AM127" s="26"/>
      <c r="AN127" s="26"/>
      <c r="AO127" s="26"/>
    </row>
    <row r="128" ht="14.25" customHeight="1">
      <c r="AM128" s="26"/>
      <c r="AN128" s="26"/>
      <c r="AO128" s="26"/>
    </row>
    <row r="129" ht="14.25" customHeight="1">
      <c r="AM129" s="26"/>
      <c r="AN129" s="26"/>
      <c r="AO129" s="26"/>
    </row>
    <row r="130" ht="14.25" customHeight="1">
      <c r="AM130" s="26"/>
      <c r="AN130" s="26"/>
      <c r="AO130" s="26"/>
    </row>
    <row r="131" ht="14.25" customHeight="1">
      <c r="AM131" s="26"/>
      <c r="AN131" s="26"/>
      <c r="AO131" s="26"/>
    </row>
    <row r="132" ht="14.25" customHeight="1">
      <c r="AM132" s="26"/>
      <c r="AN132" s="26"/>
      <c r="AO132" s="26"/>
    </row>
    <row r="133" ht="14.25" customHeight="1">
      <c r="AM133" s="26"/>
      <c r="AN133" s="26"/>
      <c r="AO133" s="26"/>
    </row>
    <row r="134" ht="14.25" customHeight="1">
      <c r="AM134" s="26"/>
      <c r="AN134" s="26"/>
      <c r="AO134" s="26"/>
    </row>
    <row r="135" ht="14.25" customHeight="1">
      <c r="AM135" s="26"/>
      <c r="AN135" s="26"/>
      <c r="AO135" s="26"/>
    </row>
    <row r="136" ht="14.25" customHeight="1">
      <c r="AM136" s="26"/>
      <c r="AN136" s="26"/>
      <c r="AO136" s="26"/>
    </row>
    <row r="137" ht="14.25" customHeight="1">
      <c r="AM137" s="26"/>
      <c r="AN137" s="26"/>
      <c r="AO137" s="26"/>
    </row>
    <row r="138" ht="14.25" customHeight="1">
      <c r="AM138" s="26"/>
      <c r="AN138" s="26"/>
      <c r="AO138" s="26"/>
    </row>
    <row r="139" ht="14.25" customHeight="1">
      <c r="AM139" s="26"/>
      <c r="AN139" s="26"/>
      <c r="AO139" s="26"/>
    </row>
    <row r="140" ht="14.25" customHeight="1">
      <c r="AM140" s="26"/>
      <c r="AN140" s="26"/>
      <c r="AO140" s="26"/>
    </row>
    <row r="141" ht="14.25" customHeight="1">
      <c r="AM141" s="26"/>
      <c r="AN141" s="26"/>
      <c r="AO141" s="26"/>
    </row>
    <row r="142" ht="14.25" customHeight="1">
      <c r="AM142" s="26"/>
      <c r="AN142" s="26"/>
      <c r="AO142" s="26"/>
    </row>
    <row r="143" ht="14.25" customHeight="1">
      <c r="AM143" s="26"/>
      <c r="AN143" s="26"/>
      <c r="AO143" s="26"/>
    </row>
    <row r="144" ht="14.25" customHeight="1">
      <c r="AM144" s="26"/>
      <c r="AN144" s="26"/>
      <c r="AO144" s="26"/>
    </row>
    <row r="145" ht="14.25" customHeight="1">
      <c r="AM145" s="26"/>
      <c r="AN145" s="26"/>
      <c r="AO145" s="26"/>
    </row>
    <row r="146" ht="14.25" customHeight="1">
      <c r="AM146" s="26"/>
      <c r="AN146" s="26"/>
      <c r="AO146" s="26"/>
    </row>
    <row r="147" ht="14.25" customHeight="1">
      <c r="AM147" s="26"/>
      <c r="AN147" s="26"/>
      <c r="AO147" s="26"/>
    </row>
    <row r="148" ht="14.25" customHeight="1">
      <c r="AM148" s="26"/>
      <c r="AN148" s="26"/>
      <c r="AO148" s="26"/>
    </row>
    <row r="149" ht="14.25" customHeight="1">
      <c r="AM149" s="26"/>
      <c r="AN149" s="26"/>
      <c r="AO149" s="26"/>
    </row>
    <row r="150" ht="14.25" customHeight="1">
      <c r="AM150" s="26"/>
      <c r="AN150" s="26"/>
      <c r="AO150" s="26"/>
    </row>
    <row r="151" ht="14.25" customHeight="1">
      <c r="AM151" s="26"/>
      <c r="AN151" s="26"/>
      <c r="AO151" s="26"/>
    </row>
    <row r="152" ht="14.25" customHeight="1">
      <c r="AM152" s="26"/>
      <c r="AN152" s="26"/>
      <c r="AO152" s="26"/>
    </row>
    <row r="153" ht="14.25" customHeight="1">
      <c r="AM153" s="26"/>
      <c r="AN153" s="26"/>
      <c r="AO153" s="26"/>
    </row>
    <row r="154" ht="14.25" customHeight="1">
      <c r="AM154" s="26"/>
      <c r="AN154" s="26"/>
      <c r="AO154" s="26"/>
    </row>
    <row r="155" ht="14.25" customHeight="1">
      <c r="AM155" s="26"/>
      <c r="AN155" s="26"/>
      <c r="AO155" s="26"/>
    </row>
    <row r="156" ht="14.25" customHeight="1">
      <c r="AM156" s="26"/>
      <c r="AN156" s="26"/>
      <c r="AO156" s="26"/>
    </row>
    <row r="157" ht="14.25" customHeight="1">
      <c r="AM157" s="26"/>
      <c r="AN157" s="26"/>
      <c r="AO157" s="26"/>
    </row>
    <row r="158" ht="14.25" customHeight="1">
      <c r="AM158" s="26"/>
      <c r="AN158" s="26"/>
      <c r="AO158" s="26"/>
    </row>
    <row r="159" ht="14.25" customHeight="1">
      <c r="AM159" s="26"/>
      <c r="AN159" s="26"/>
      <c r="AO159" s="26"/>
    </row>
    <row r="160" ht="14.25" customHeight="1">
      <c r="AM160" s="26"/>
      <c r="AN160" s="26"/>
      <c r="AO160" s="26"/>
    </row>
    <row r="161" ht="14.25" customHeight="1">
      <c r="AM161" s="26"/>
      <c r="AN161" s="26"/>
      <c r="AO161" s="26"/>
    </row>
    <row r="162" ht="14.25" customHeight="1">
      <c r="AM162" s="26"/>
      <c r="AN162" s="26"/>
      <c r="AO162" s="26"/>
    </row>
    <row r="163" ht="14.25" customHeight="1">
      <c r="AM163" s="26"/>
      <c r="AN163" s="26"/>
      <c r="AO163" s="26"/>
    </row>
    <row r="164" ht="14.25" customHeight="1">
      <c r="AM164" s="26"/>
      <c r="AN164" s="26"/>
      <c r="AO164" s="26"/>
    </row>
    <row r="165" ht="14.25" customHeight="1">
      <c r="AM165" s="26"/>
      <c r="AN165" s="26"/>
      <c r="AO165" s="26"/>
    </row>
    <row r="166" ht="14.25" customHeight="1">
      <c r="AM166" s="26"/>
      <c r="AN166" s="26"/>
      <c r="AO166" s="26"/>
    </row>
    <row r="167" ht="14.25" customHeight="1">
      <c r="AM167" s="26"/>
      <c r="AN167" s="26"/>
      <c r="AO167" s="26"/>
    </row>
    <row r="168" ht="14.25" customHeight="1">
      <c r="AM168" s="26"/>
      <c r="AN168" s="26"/>
      <c r="AO168" s="26"/>
    </row>
    <row r="169" ht="14.25" customHeight="1">
      <c r="AM169" s="26"/>
      <c r="AN169" s="26"/>
      <c r="AO169" s="26"/>
    </row>
    <row r="170" ht="14.25" customHeight="1">
      <c r="AM170" s="26"/>
      <c r="AN170" s="26"/>
      <c r="AO170" s="26"/>
    </row>
    <row r="171" ht="14.25" customHeight="1">
      <c r="AM171" s="26"/>
      <c r="AN171" s="26"/>
      <c r="AO171" s="26"/>
    </row>
    <row r="172" ht="14.25" customHeight="1">
      <c r="AM172" s="26"/>
      <c r="AN172" s="26"/>
      <c r="AO172" s="26"/>
    </row>
    <row r="173" ht="14.25" customHeight="1">
      <c r="AM173" s="26"/>
      <c r="AN173" s="26"/>
      <c r="AO173" s="26"/>
    </row>
    <row r="174" ht="14.25" customHeight="1">
      <c r="AM174" s="26"/>
      <c r="AN174" s="26"/>
      <c r="AO174" s="26"/>
    </row>
    <row r="175" ht="14.25" customHeight="1">
      <c r="AM175" s="26"/>
      <c r="AN175" s="26"/>
      <c r="AO175" s="26"/>
    </row>
    <row r="176" ht="14.25" customHeight="1">
      <c r="AM176" s="26"/>
      <c r="AN176" s="26"/>
      <c r="AO176" s="26"/>
    </row>
    <row r="177" ht="14.25" customHeight="1">
      <c r="AM177" s="26"/>
      <c r="AN177" s="26"/>
      <c r="AO177" s="26"/>
    </row>
    <row r="178" ht="14.25" customHeight="1">
      <c r="AM178" s="26"/>
      <c r="AN178" s="26"/>
      <c r="AO178" s="26"/>
    </row>
    <row r="179" ht="14.25" customHeight="1">
      <c r="AM179" s="26"/>
      <c r="AN179" s="26"/>
      <c r="AO179" s="26"/>
    </row>
    <row r="180" ht="14.25" customHeight="1">
      <c r="AM180" s="26"/>
      <c r="AN180" s="26"/>
      <c r="AO180" s="26"/>
    </row>
    <row r="181" ht="14.25" customHeight="1">
      <c r="AM181" s="26"/>
      <c r="AN181" s="26"/>
      <c r="AO181" s="26"/>
    </row>
    <row r="182" ht="14.25" customHeight="1">
      <c r="AM182" s="26"/>
      <c r="AN182" s="26"/>
      <c r="AO182" s="26"/>
    </row>
    <row r="183" ht="14.25" customHeight="1">
      <c r="AM183" s="26"/>
      <c r="AN183" s="26"/>
      <c r="AO183" s="26"/>
    </row>
    <row r="184" ht="14.25" customHeight="1">
      <c r="AM184" s="26"/>
      <c r="AN184" s="26"/>
      <c r="AO184" s="26"/>
    </row>
    <row r="185" ht="14.25" customHeight="1">
      <c r="AM185" s="26"/>
      <c r="AN185" s="26"/>
      <c r="AO185" s="26"/>
    </row>
    <row r="186" ht="14.25" customHeight="1">
      <c r="AM186" s="26"/>
      <c r="AN186" s="26"/>
      <c r="AO186" s="26"/>
    </row>
    <row r="187" ht="14.25" customHeight="1">
      <c r="AM187" s="26"/>
      <c r="AN187" s="26"/>
      <c r="AO187" s="26"/>
    </row>
    <row r="188" ht="14.25" customHeight="1">
      <c r="AM188" s="26"/>
      <c r="AN188" s="26"/>
      <c r="AO188" s="26"/>
    </row>
    <row r="189" ht="14.25" customHeight="1">
      <c r="AM189" s="26"/>
      <c r="AN189" s="26"/>
      <c r="AO189" s="26"/>
    </row>
    <row r="190" ht="14.25" customHeight="1">
      <c r="AM190" s="26"/>
      <c r="AN190" s="26"/>
      <c r="AO190" s="26"/>
    </row>
    <row r="191" ht="14.25" customHeight="1">
      <c r="AM191" s="26"/>
      <c r="AN191" s="26"/>
      <c r="AO191" s="26"/>
    </row>
    <row r="192" ht="14.25" customHeight="1">
      <c r="AM192" s="26"/>
      <c r="AN192" s="26"/>
      <c r="AO192" s="26"/>
    </row>
    <row r="193" ht="14.25" customHeight="1">
      <c r="AM193" s="26"/>
      <c r="AN193" s="26"/>
      <c r="AO193" s="26"/>
    </row>
    <row r="194" ht="14.25" customHeight="1">
      <c r="AM194" s="26"/>
      <c r="AN194" s="26"/>
      <c r="AO194" s="26"/>
    </row>
    <row r="195" ht="14.25" customHeight="1">
      <c r="AM195" s="26"/>
      <c r="AN195" s="26"/>
      <c r="AO195" s="26"/>
    </row>
    <row r="196" ht="14.25" customHeight="1">
      <c r="AM196" s="26"/>
      <c r="AN196" s="26"/>
      <c r="AO196" s="26"/>
    </row>
    <row r="197" ht="14.25" customHeight="1">
      <c r="AM197" s="26"/>
      <c r="AN197" s="26"/>
      <c r="AO197" s="26"/>
    </row>
    <row r="198" ht="14.25" customHeight="1">
      <c r="AM198" s="26"/>
      <c r="AN198" s="26"/>
      <c r="AO198" s="26"/>
    </row>
    <row r="199" ht="14.25" customHeight="1">
      <c r="AM199" s="26"/>
      <c r="AN199" s="26"/>
      <c r="AO199" s="26"/>
    </row>
    <row r="200" ht="14.25" customHeight="1">
      <c r="AM200" s="26"/>
      <c r="AN200" s="26"/>
      <c r="AO200" s="26"/>
    </row>
    <row r="201" ht="14.25" customHeight="1">
      <c r="AM201" s="50"/>
      <c r="AN201" s="50"/>
      <c r="AO201" s="50"/>
    </row>
    <row r="202" ht="14.25" customHeight="1">
      <c r="AM202" s="50"/>
      <c r="AN202" s="50"/>
      <c r="AO202" s="50"/>
    </row>
    <row r="203" ht="14.25" customHeight="1">
      <c r="AM203" s="50"/>
      <c r="AN203" s="50"/>
      <c r="AO203" s="50"/>
    </row>
    <row r="204" ht="14.25" customHeight="1">
      <c r="AM204" s="50"/>
      <c r="AN204" s="50"/>
      <c r="AO204" s="50"/>
    </row>
    <row r="205" ht="14.25" customHeight="1">
      <c r="AM205" s="50"/>
      <c r="AN205" s="50"/>
      <c r="AO205" s="50"/>
    </row>
    <row r="206" ht="14.25" customHeight="1">
      <c r="AM206" s="50"/>
      <c r="AN206" s="50"/>
      <c r="AO206" s="50"/>
    </row>
    <row r="207" ht="14.25" customHeight="1">
      <c r="AM207" s="50"/>
      <c r="AN207" s="50"/>
      <c r="AO207" s="50"/>
    </row>
    <row r="208" ht="14.25" customHeight="1">
      <c r="AM208" s="50"/>
      <c r="AN208" s="50"/>
      <c r="AO208" s="50"/>
    </row>
    <row r="209" ht="14.25" customHeight="1">
      <c r="AM209" s="50"/>
      <c r="AN209" s="50"/>
      <c r="AO209" s="50"/>
    </row>
    <row r="210" ht="14.25" customHeight="1">
      <c r="AM210" s="50"/>
      <c r="AN210" s="50"/>
      <c r="AO210" s="50"/>
    </row>
    <row r="211" ht="14.25" customHeight="1">
      <c r="AM211" s="50"/>
      <c r="AN211" s="50"/>
      <c r="AO211" s="50"/>
    </row>
    <row r="212" ht="14.25" customHeight="1">
      <c r="AM212" s="50"/>
      <c r="AN212" s="50"/>
      <c r="AO212" s="50"/>
    </row>
    <row r="213" ht="14.25" customHeight="1">
      <c r="AM213" s="50"/>
      <c r="AN213" s="50"/>
      <c r="AO213" s="50"/>
    </row>
    <row r="214" ht="14.25" customHeight="1">
      <c r="AM214" s="50"/>
      <c r="AN214" s="50"/>
      <c r="AO214" s="50"/>
    </row>
    <row r="215" ht="14.25" customHeight="1">
      <c r="AM215" s="50"/>
      <c r="AN215" s="50"/>
      <c r="AO215" s="50"/>
    </row>
    <row r="216" ht="14.25" customHeight="1">
      <c r="AM216" s="50"/>
      <c r="AN216" s="50"/>
      <c r="AO216" s="50"/>
    </row>
    <row r="217" ht="14.25" customHeight="1">
      <c r="AM217" s="50"/>
      <c r="AN217" s="50"/>
      <c r="AO217" s="50"/>
    </row>
    <row r="218" ht="14.25" customHeight="1">
      <c r="AM218" s="50"/>
      <c r="AN218" s="50"/>
      <c r="AO218" s="50"/>
    </row>
    <row r="219" ht="14.25" customHeight="1">
      <c r="AM219" s="50"/>
      <c r="AN219" s="50"/>
      <c r="AO219" s="50"/>
    </row>
    <row r="220" ht="14.25" customHeight="1">
      <c r="AM220" s="50"/>
      <c r="AN220" s="50"/>
      <c r="AO220" s="50"/>
    </row>
    <row r="221" ht="14.25" customHeight="1">
      <c r="AM221" s="50"/>
      <c r="AN221" s="50"/>
      <c r="AO221" s="50"/>
    </row>
    <row r="222" ht="14.25" customHeight="1">
      <c r="AM222" s="50"/>
      <c r="AN222" s="50"/>
      <c r="AO222" s="50"/>
    </row>
    <row r="223" ht="14.25" customHeight="1">
      <c r="AM223" s="50"/>
      <c r="AN223" s="50"/>
      <c r="AO223" s="50"/>
    </row>
    <row r="224" ht="14.25" customHeight="1">
      <c r="AM224" s="50"/>
      <c r="AN224" s="50"/>
      <c r="AO224" s="50"/>
    </row>
    <row r="225" ht="14.25" customHeight="1">
      <c r="AM225" s="50"/>
      <c r="AN225" s="50"/>
      <c r="AO225" s="50"/>
    </row>
    <row r="226" ht="14.25" customHeight="1">
      <c r="AM226" s="50"/>
      <c r="AN226" s="50"/>
      <c r="AO226" s="50"/>
    </row>
    <row r="227" ht="14.25" customHeight="1">
      <c r="AM227" s="50"/>
      <c r="AN227" s="50"/>
      <c r="AO227" s="50"/>
    </row>
    <row r="228" ht="14.25" customHeight="1">
      <c r="AM228" s="50"/>
      <c r="AN228" s="50"/>
      <c r="AO228" s="50"/>
    </row>
    <row r="229" ht="14.25" customHeight="1">
      <c r="AM229" s="50"/>
      <c r="AN229" s="50"/>
      <c r="AO229" s="50"/>
    </row>
    <row r="230" ht="14.25" customHeight="1">
      <c r="AM230" s="50"/>
      <c r="AN230" s="50"/>
      <c r="AO230" s="50"/>
    </row>
    <row r="231" ht="14.25" customHeight="1">
      <c r="AM231" s="50"/>
      <c r="AN231" s="50"/>
      <c r="AO231" s="50"/>
    </row>
    <row r="232" ht="14.25" customHeight="1">
      <c r="AM232" s="50"/>
      <c r="AN232" s="50"/>
      <c r="AO232" s="50"/>
    </row>
    <row r="233" ht="14.25" customHeight="1">
      <c r="AM233" s="50"/>
      <c r="AN233" s="50"/>
      <c r="AO233" s="50"/>
    </row>
    <row r="234" ht="14.25" customHeight="1">
      <c r="AM234" s="50"/>
      <c r="AN234" s="50"/>
      <c r="AO234" s="50"/>
    </row>
    <row r="235" ht="14.25" customHeight="1">
      <c r="AM235" s="50"/>
      <c r="AN235" s="50"/>
      <c r="AO235" s="50"/>
    </row>
    <row r="236" ht="14.25" customHeight="1">
      <c r="AM236" s="50"/>
      <c r="AN236" s="50"/>
      <c r="AO236" s="50"/>
    </row>
    <row r="237" ht="14.25" customHeight="1">
      <c r="AM237" s="50"/>
      <c r="AN237" s="50"/>
      <c r="AO237" s="50"/>
    </row>
    <row r="238" ht="14.25" customHeight="1">
      <c r="AM238" s="50"/>
      <c r="AN238" s="50"/>
      <c r="AO238" s="50"/>
    </row>
    <row r="239" ht="14.25" customHeight="1">
      <c r="AM239" s="50"/>
      <c r="AN239" s="50"/>
      <c r="AO239" s="50"/>
    </row>
    <row r="240" ht="14.25" customHeight="1">
      <c r="AM240" s="50"/>
      <c r="AN240" s="50"/>
      <c r="AO240" s="50"/>
    </row>
    <row r="241" ht="14.25" customHeight="1">
      <c r="AM241" s="50"/>
      <c r="AN241" s="50"/>
      <c r="AO241" s="50"/>
    </row>
    <row r="242" ht="14.25" customHeight="1">
      <c r="AM242" s="50"/>
      <c r="AN242" s="50"/>
      <c r="AO242" s="50"/>
    </row>
    <row r="243" ht="14.25" customHeight="1">
      <c r="AM243" s="50"/>
      <c r="AN243" s="50"/>
      <c r="AO243" s="50"/>
    </row>
    <row r="244" ht="14.25" customHeight="1">
      <c r="AM244" s="50"/>
      <c r="AN244" s="50"/>
      <c r="AO244" s="50"/>
    </row>
    <row r="245" ht="14.25" customHeight="1">
      <c r="AM245" s="50"/>
      <c r="AN245" s="50"/>
      <c r="AO245" s="50"/>
    </row>
    <row r="246" ht="14.25" customHeight="1">
      <c r="AM246" s="50"/>
      <c r="AN246" s="50"/>
      <c r="AO246" s="50"/>
    </row>
    <row r="247" ht="14.25" customHeight="1">
      <c r="AM247" s="50"/>
      <c r="AN247" s="50"/>
      <c r="AO247" s="50"/>
    </row>
    <row r="248" ht="14.25" customHeight="1">
      <c r="AM248" s="50"/>
      <c r="AN248" s="50"/>
      <c r="AO248" s="50"/>
    </row>
    <row r="249" ht="14.25" customHeight="1">
      <c r="AM249" s="50"/>
      <c r="AN249" s="50"/>
      <c r="AO249" s="50"/>
    </row>
    <row r="250" ht="14.25" customHeight="1">
      <c r="AM250" s="50"/>
      <c r="AN250" s="50"/>
      <c r="AO250" s="50"/>
    </row>
    <row r="251" ht="14.25" customHeight="1">
      <c r="AM251" s="50"/>
      <c r="AN251" s="50"/>
      <c r="AO251" s="50"/>
    </row>
    <row r="252" ht="14.25" customHeight="1">
      <c r="AM252" s="50"/>
      <c r="AN252" s="50"/>
      <c r="AO252" s="50"/>
    </row>
    <row r="253" ht="14.25" customHeight="1">
      <c r="AM253" s="50"/>
      <c r="AN253" s="50"/>
      <c r="AO253" s="50"/>
    </row>
    <row r="254" ht="14.25" customHeight="1">
      <c r="AM254" s="50"/>
      <c r="AN254" s="50"/>
      <c r="AO254" s="50"/>
    </row>
    <row r="255" ht="14.25" customHeight="1">
      <c r="AM255" s="50"/>
      <c r="AN255" s="50"/>
      <c r="AO255" s="50"/>
    </row>
    <row r="256" ht="14.25" customHeight="1">
      <c r="AM256" s="50"/>
      <c r="AN256" s="50"/>
      <c r="AO256" s="50"/>
    </row>
    <row r="257" ht="14.25" customHeight="1">
      <c r="AM257" s="50"/>
      <c r="AN257" s="50"/>
      <c r="AO257" s="50"/>
    </row>
    <row r="258" ht="14.25" customHeight="1">
      <c r="AM258" s="50"/>
      <c r="AN258" s="50"/>
      <c r="AO258" s="50"/>
    </row>
    <row r="259" ht="14.25" customHeight="1">
      <c r="AM259" s="50"/>
      <c r="AN259" s="50"/>
      <c r="AO259" s="50"/>
    </row>
    <row r="260" ht="14.25" customHeight="1">
      <c r="AM260" s="50"/>
      <c r="AN260" s="50"/>
      <c r="AO260" s="50"/>
    </row>
    <row r="261" ht="14.25" customHeight="1">
      <c r="AM261" s="50"/>
      <c r="AN261" s="50"/>
      <c r="AO261" s="50"/>
    </row>
    <row r="262" ht="14.25" customHeight="1">
      <c r="AM262" s="50"/>
      <c r="AN262" s="50"/>
      <c r="AO262" s="50"/>
    </row>
    <row r="263" ht="14.25" customHeight="1">
      <c r="AM263" s="50"/>
      <c r="AN263" s="50"/>
      <c r="AO263" s="50"/>
    </row>
    <row r="264" ht="14.25" customHeight="1">
      <c r="AM264" s="50"/>
      <c r="AN264" s="50"/>
      <c r="AO264" s="50"/>
    </row>
    <row r="265" ht="14.25" customHeight="1">
      <c r="AM265" s="50"/>
      <c r="AN265" s="50"/>
      <c r="AO265" s="50"/>
    </row>
    <row r="266" ht="14.25" customHeight="1">
      <c r="AM266" s="50"/>
      <c r="AN266" s="50"/>
      <c r="AO266" s="50"/>
    </row>
    <row r="267" ht="14.25" customHeight="1">
      <c r="AM267" s="50"/>
      <c r="AN267" s="50"/>
      <c r="AO267" s="50"/>
    </row>
    <row r="268" ht="14.25" customHeight="1">
      <c r="AM268" s="50"/>
      <c r="AN268" s="50"/>
      <c r="AO268" s="50"/>
    </row>
    <row r="269" ht="14.25" customHeight="1">
      <c r="AM269" s="50"/>
      <c r="AN269" s="50"/>
      <c r="AO269" s="50"/>
    </row>
    <row r="270" ht="14.25" customHeight="1">
      <c r="AM270" s="50"/>
      <c r="AN270" s="50"/>
      <c r="AO270" s="50"/>
    </row>
    <row r="271" ht="14.25" customHeight="1">
      <c r="AM271" s="50"/>
      <c r="AN271" s="50"/>
      <c r="AO271" s="50"/>
    </row>
    <row r="272" ht="14.25" customHeight="1">
      <c r="AM272" s="50"/>
      <c r="AN272" s="50"/>
      <c r="AO272" s="50"/>
    </row>
    <row r="273" ht="14.25" customHeight="1">
      <c r="AM273" s="50"/>
      <c r="AN273" s="50"/>
      <c r="AO273" s="50"/>
    </row>
    <row r="274" ht="14.25" customHeight="1">
      <c r="AM274" s="50"/>
      <c r="AN274" s="50"/>
      <c r="AO274" s="50"/>
    </row>
    <row r="275" ht="14.25" customHeight="1">
      <c r="AM275" s="50"/>
      <c r="AN275" s="50"/>
      <c r="AO275" s="50"/>
    </row>
    <row r="276" ht="14.25" customHeight="1">
      <c r="AM276" s="50"/>
      <c r="AN276" s="50"/>
      <c r="AO276" s="50"/>
    </row>
    <row r="277" ht="14.25" customHeight="1">
      <c r="AM277" s="50"/>
      <c r="AN277" s="50"/>
      <c r="AO277" s="50"/>
    </row>
    <row r="278" ht="14.25" customHeight="1">
      <c r="AM278" s="50"/>
      <c r="AN278" s="50"/>
      <c r="AO278" s="50"/>
    </row>
    <row r="279" ht="14.25" customHeight="1">
      <c r="AM279" s="50"/>
      <c r="AN279" s="50"/>
      <c r="AO279" s="50"/>
    </row>
    <row r="280" ht="14.25" customHeight="1">
      <c r="AM280" s="50"/>
      <c r="AN280" s="50"/>
      <c r="AO280" s="50"/>
    </row>
    <row r="281" ht="14.25" customHeight="1">
      <c r="AM281" s="50"/>
      <c r="AN281" s="50"/>
      <c r="AO281" s="50"/>
    </row>
    <row r="282" ht="14.25" customHeight="1">
      <c r="AM282" s="50"/>
      <c r="AN282" s="50"/>
      <c r="AO282" s="50"/>
    </row>
    <row r="283" ht="14.25" customHeight="1">
      <c r="AM283" s="50"/>
      <c r="AN283" s="50"/>
      <c r="AO283" s="50"/>
    </row>
    <row r="284" ht="14.25" customHeight="1">
      <c r="AM284" s="50"/>
      <c r="AN284" s="50"/>
      <c r="AO284" s="50"/>
    </row>
    <row r="285" ht="14.25" customHeight="1">
      <c r="AM285" s="50"/>
      <c r="AN285" s="50"/>
      <c r="AO285" s="50"/>
    </row>
    <row r="286" ht="14.25" customHeight="1">
      <c r="AM286" s="50"/>
      <c r="AN286" s="50"/>
      <c r="AO286" s="50"/>
    </row>
    <row r="287" ht="14.25" customHeight="1">
      <c r="AM287" s="50"/>
      <c r="AN287" s="50"/>
      <c r="AO287" s="50"/>
    </row>
    <row r="288" ht="14.25" customHeight="1">
      <c r="AM288" s="50"/>
      <c r="AN288" s="50"/>
      <c r="AO288" s="50"/>
    </row>
    <row r="289" ht="14.25" customHeight="1">
      <c r="AM289" s="50"/>
      <c r="AN289" s="50"/>
      <c r="AO289" s="50"/>
    </row>
    <row r="290" ht="14.25" customHeight="1">
      <c r="AM290" s="50"/>
      <c r="AN290" s="50"/>
      <c r="AO290" s="50"/>
    </row>
    <row r="291" ht="14.25" customHeight="1">
      <c r="AM291" s="50"/>
      <c r="AN291" s="50"/>
      <c r="AO291" s="50"/>
    </row>
    <row r="292" ht="14.25" customHeight="1">
      <c r="AM292" s="50"/>
      <c r="AN292" s="50"/>
      <c r="AO292" s="50"/>
    </row>
    <row r="293" ht="14.25" customHeight="1">
      <c r="AM293" s="50"/>
      <c r="AN293" s="50"/>
      <c r="AO293" s="50"/>
    </row>
    <row r="294" ht="14.25" customHeight="1">
      <c r="AM294" s="50"/>
      <c r="AN294" s="50"/>
      <c r="AO294" s="50"/>
    </row>
    <row r="295" ht="14.25" customHeight="1">
      <c r="AM295" s="50"/>
      <c r="AN295" s="50"/>
      <c r="AO295" s="50"/>
    </row>
    <row r="296" ht="14.25" customHeight="1">
      <c r="AM296" s="50"/>
      <c r="AN296" s="50"/>
      <c r="AO296" s="50"/>
    </row>
    <row r="297" ht="14.25" customHeight="1">
      <c r="AM297" s="50"/>
      <c r="AN297" s="50"/>
      <c r="AO297" s="50"/>
    </row>
    <row r="298" ht="14.25" customHeight="1">
      <c r="AM298" s="50"/>
      <c r="AN298" s="50"/>
      <c r="AO298" s="50"/>
    </row>
    <row r="299" ht="14.25" customHeight="1">
      <c r="AM299" s="50"/>
      <c r="AN299" s="50"/>
      <c r="AO299" s="50"/>
    </row>
    <row r="300" ht="14.25" customHeight="1">
      <c r="AM300" s="50"/>
      <c r="AN300" s="50"/>
      <c r="AO300" s="50"/>
    </row>
    <row r="301" ht="14.25" customHeight="1">
      <c r="AM301" s="50"/>
      <c r="AN301" s="50"/>
      <c r="AO301" s="50"/>
    </row>
    <row r="302" ht="14.25" customHeight="1">
      <c r="AM302" s="50"/>
      <c r="AN302" s="50"/>
      <c r="AO302" s="50"/>
    </row>
    <row r="303" ht="14.25" customHeight="1">
      <c r="AM303" s="50"/>
      <c r="AN303" s="50"/>
      <c r="AO303" s="50"/>
    </row>
    <row r="304" ht="14.25" customHeight="1">
      <c r="AM304" s="50"/>
      <c r="AN304" s="50"/>
      <c r="AO304" s="50"/>
    </row>
    <row r="305" ht="14.25" customHeight="1">
      <c r="AM305" s="50"/>
      <c r="AN305" s="50"/>
      <c r="AO305" s="50"/>
    </row>
    <row r="306" ht="14.25" customHeight="1">
      <c r="AM306" s="50"/>
      <c r="AN306" s="50"/>
      <c r="AO306" s="50"/>
    </row>
    <row r="307" ht="14.25" customHeight="1">
      <c r="AM307" s="50"/>
      <c r="AN307" s="50"/>
      <c r="AO307" s="50"/>
    </row>
    <row r="308" ht="14.25" customHeight="1">
      <c r="AM308" s="50"/>
      <c r="AN308" s="50"/>
      <c r="AO308" s="50"/>
    </row>
    <row r="309" ht="14.25" customHeight="1">
      <c r="AM309" s="50"/>
      <c r="AN309" s="50"/>
      <c r="AO309" s="50"/>
    </row>
    <row r="310" ht="14.25" customHeight="1">
      <c r="AM310" s="50"/>
      <c r="AN310" s="50"/>
      <c r="AO310" s="50"/>
    </row>
    <row r="311" ht="14.25" customHeight="1">
      <c r="AM311" s="50"/>
      <c r="AN311" s="50"/>
      <c r="AO311" s="50"/>
    </row>
    <row r="312" ht="14.25" customHeight="1">
      <c r="AM312" s="50"/>
      <c r="AN312" s="50"/>
      <c r="AO312" s="50"/>
    </row>
    <row r="313" ht="14.25" customHeight="1">
      <c r="AM313" s="50"/>
      <c r="AN313" s="50"/>
      <c r="AO313" s="50"/>
    </row>
    <row r="314" ht="14.25" customHeight="1">
      <c r="AM314" s="50"/>
      <c r="AN314" s="50"/>
      <c r="AO314" s="50"/>
    </row>
    <row r="315" ht="14.25" customHeight="1">
      <c r="AM315" s="50"/>
      <c r="AN315" s="50"/>
      <c r="AO315" s="50"/>
    </row>
    <row r="316" ht="14.25" customHeight="1">
      <c r="AM316" s="50"/>
      <c r="AN316" s="50"/>
      <c r="AO316" s="50"/>
    </row>
    <row r="317" ht="14.25" customHeight="1">
      <c r="AM317" s="50"/>
      <c r="AN317" s="50"/>
      <c r="AO317" s="50"/>
    </row>
    <row r="318" ht="14.25" customHeight="1">
      <c r="AM318" s="50"/>
      <c r="AN318" s="50"/>
      <c r="AO318" s="50"/>
    </row>
    <row r="319" ht="14.25" customHeight="1">
      <c r="AM319" s="50"/>
      <c r="AN319" s="50"/>
      <c r="AO319" s="50"/>
    </row>
    <row r="320" ht="14.25" customHeight="1">
      <c r="AM320" s="50"/>
      <c r="AN320" s="50"/>
      <c r="AO320" s="50"/>
    </row>
    <row r="321" ht="14.25" customHeight="1">
      <c r="AM321" s="50"/>
      <c r="AN321" s="50"/>
      <c r="AO321" s="50"/>
    </row>
    <row r="322" ht="14.25" customHeight="1">
      <c r="AM322" s="50"/>
      <c r="AN322" s="50"/>
      <c r="AO322" s="50"/>
    </row>
    <row r="323" ht="14.25" customHeight="1">
      <c r="AM323" s="50"/>
      <c r="AN323" s="50"/>
      <c r="AO323" s="50"/>
    </row>
    <row r="324" ht="14.25" customHeight="1">
      <c r="AM324" s="50"/>
      <c r="AN324" s="50"/>
      <c r="AO324" s="50"/>
    </row>
    <row r="325" ht="14.25" customHeight="1">
      <c r="AM325" s="50"/>
      <c r="AN325" s="50"/>
      <c r="AO325" s="50"/>
    </row>
    <row r="326" ht="14.25" customHeight="1">
      <c r="AM326" s="50"/>
      <c r="AN326" s="50"/>
      <c r="AO326" s="50"/>
    </row>
    <row r="327" ht="14.25" customHeight="1">
      <c r="AM327" s="50"/>
      <c r="AN327" s="50"/>
      <c r="AO327" s="50"/>
    </row>
    <row r="328" ht="14.25" customHeight="1">
      <c r="AM328" s="50"/>
      <c r="AN328" s="50"/>
      <c r="AO328" s="50"/>
    </row>
    <row r="329" ht="14.25" customHeight="1">
      <c r="AM329" s="50"/>
      <c r="AN329" s="50"/>
      <c r="AO329" s="50"/>
    </row>
    <row r="330" ht="14.25" customHeight="1">
      <c r="AM330" s="50"/>
      <c r="AN330" s="50"/>
      <c r="AO330" s="50"/>
    </row>
    <row r="331" ht="14.25" customHeight="1">
      <c r="AM331" s="50"/>
      <c r="AN331" s="50"/>
      <c r="AO331" s="50"/>
    </row>
    <row r="332" ht="14.25" customHeight="1">
      <c r="AM332" s="50"/>
      <c r="AN332" s="50"/>
      <c r="AO332" s="50"/>
    </row>
    <row r="333" ht="14.25" customHeight="1">
      <c r="AM333" s="50"/>
      <c r="AN333" s="50"/>
      <c r="AO333" s="50"/>
    </row>
    <row r="334" ht="14.25" customHeight="1">
      <c r="AM334" s="50"/>
      <c r="AN334" s="50"/>
      <c r="AO334" s="50"/>
    </row>
    <row r="335" ht="14.25" customHeight="1">
      <c r="AM335" s="50"/>
      <c r="AN335" s="50"/>
      <c r="AO335" s="50"/>
    </row>
    <row r="336" ht="14.25" customHeight="1">
      <c r="AM336" s="50"/>
      <c r="AN336" s="50"/>
      <c r="AO336" s="50"/>
    </row>
    <row r="337" ht="14.25" customHeight="1">
      <c r="AM337" s="50"/>
      <c r="AN337" s="50"/>
      <c r="AO337" s="50"/>
    </row>
    <row r="338" ht="14.25" customHeight="1">
      <c r="AM338" s="50"/>
      <c r="AN338" s="50"/>
      <c r="AO338" s="50"/>
    </row>
    <row r="339" ht="14.25" customHeight="1">
      <c r="AM339" s="50"/>
      <c r="AN339" s="50"/>
      <c r="AO339" s="50"/>
    </row>
    <row r="340" ht="14.25" customHeight="1">
      <c r="AM340" s="50"/>
      <c r="AN340" s="50"/>
      <c r="AO340" s="50"/>
    </row>
    <row r="341" ht="14.25" customHeight="1">
      <c r="AM341" s="50"/>
      <c r="AN341" s="50"/>
      <c r="AO341" s="50"/>
    </row>
    <row r="342" ht="14.25" customHeight="1">
      <c r="AM342" s="50"/>
      <c r="AN342" s="50"/>
      <c r="AO342" s="50"/>
    </row>
    <row r="343" ht="14.25" customHeight="1">
      <c r="AM343" s="50"/>
      <c r="AN343" s="50"/>
      <c r="AO343" s="50"/>
    </row>
    <row r="344" ht="14.25" customHeight="1">
      <c r="AM344" s="50"/>
      <c r="AN344" s="50"/>
      <c r="AO344" s="50"/>
    </row>
    <row r="345" ht="14.25" customHeight="1">
      <c r="AM345" s="50"/>
      <c r="AN345" s="50"/>
      <c r="AO345" s="50"/>
    </row>
    <row r="346" ht="14.25" customHeight="1">
      <c r="AM346" s="50"/>
      <c r="AN346" s="50"/>
      <c r="AO346" s="50"/>
    </row>
    <row r="347" ht="14.25" customHeight="1">
      <c r="AM347" s="50"/>
      <c r="AN347" s="50"/>
      <c r="AO347" s="50"/>
    </row>
    <row r="348" ht="14.25" customHeight="1">
      <c r="AM348" s="50"/>
      <c r="AN348" s="50"/>
      <c r="AO348" s="50"/>
    </row>
    <row r="349" ht="14.25" customHeight="1">
      <c r="AM349" s="50"/>
      <c r="AN349" s="50"/>
      <c r="AO349" s="50"/>
    </row>
    <row r="350" ht="14.25" customHeight="1">
      <c r="AM350" s="50"/>
      <c r="AN350" s="50"/>
      <c r="AO350" s="50"/>
    </row>
    <row r="351" ht="14.25" customHeight="1">
      <c r="AM351" s="50"/>
      <c r="AN351" s="50"/>
      <c r="AO351" s="50"/>
    </row>
    <row r="352" ht="14.25" customHeight="1">
      <c r="AM352" s="50"/>
      <c r="AN352" s="50"/>
      <c r="AO352" s="50"/>
    </row>
    <row r="353" ht="14.25" customHeight="1">
      <c r="AM353" s="50"/>
      <c r="AN353" s="50"/>
      <c r="AO353" s="50"/>
    </row>
    <row r="354" ht="14.25" customHeight="1">
      <c r="AM354" s="50"/>
      <c r="AN354" s="50"/>
      <c r="AO354" s="50"/>
    </row>
    <row r="355" ht="14.25" customHeight="1">
      <c r="AM355" s="50"/>
      <c r="AN355" s="50"/>
      <c r="AO355" s="50"/>
    </row>
    <row r="356" ht="14.25" customHeight="1">
      <c r="AM356" s="50"/>
      <c r="AN356" s="50"/>
      <c r="AO356" s="50"/>
    </row>
    <row r="357" ht="14.25" customHeight="1">
      <c r="AM357" s="50"/>
      <c r="AN357" s="50"/>
      <c r="AO357" s="50"/>
    </row>
    <row r="358" ht="14.25" customHeight="1">
      <c r="AM358" s="50"/>
      <c r="AN358" s="50"/>
      <c r="AO358" s="50"/>
    </row>
    <row r="359" ht="14.25" customHeight="1">
      <c r="AM359" s="50"/>
      <c r="AN359" s="50"/>
      <c r="AO359" s="50"/>
    </row>
    <row r="360" ht="14.25" customHeight="1">
      <c r="AM360" s="50"/>
      <c r="AN360" s="50"/>
      <c r="AO360" s="50"/>
    </row>
    <row r="361" ht="14.25" customHeight="1">
      <c r="AM361" s="50"/>
      <c r="AN361" s="50"/>
      <c r="AO361" s="50"/>
    </row>
    <row r="362" ht="14.25" customHeight="1">
      <c r="AM362" s="50"/>
      <c r="AN362" s="50"/>
      <c r="AO362" s="50"/>
    </row>
    <row r="363" ht="14.25" customHeight="1">
      <c r="AM363" s="50"/>
      <c r="AN363" s="50"/>
      <c r="AO363" s="50"/>
    </row>
    <row r="364" ht="14.25" customHeight="1">
      <c r="AM364" s="50"/>
      <c r="AN364" s="50"/>
      <c r="AO364" s="50"/>
    </row>
    <row r="365" ht="14.25" customHeight="1">
      <c r="AM365" s="50"/>
      <c r="AN365" s="50"/>
      <c r="AO365" s="50"/>
    </row>
    <row r="366" ht="14.25" customHeight="1">
      <c r="AM366" s="50"/>
      <c r="AN366" s="50"/>
      <c r="AO366" s="50"/>
    </row>
    <row r="367" ht="14.25" customHeight="1">
      <c r="AM367" s="50"/>
      <c r="AN367" s="50"/>
      <c r="AO367" s="50"/>
    </row>
    <row r="368" ht="14.25" customHeight="1">
      <c r="AM368" s="50"/>
      <c r="AN368" s="50"/>
      <c r="AO368" s="50"/>
    </row>
    <row r="369" ht="14.25" customHeight="1">
      <c r="AM369" s="50"/>
      <c r="AN369" s="50"/>
      <c r="AO369" s="50"/>
    </row>
    <row r="370" ht="14.25" customHeight="1">
      <c r="AM370" s="50"/>
      <c r="AN370" s="50"/>
      <c r="AO370" s="50"/>
    </row>
    <row r="371" ht="14.25" customHeight="1">
      <c r="AM371" s="50"/>
      <c r="AN371" s="50"/>
      <c r="AO371" s="50"/>
    </row>
    <row r="372" ht="14.25" customHeight="1">
      <c r="AM372" s="50"/>
      <c r="AN372" s="50"/>
      <c r="AO372" s="50"/>
    </row>
    <row r="373" ht="14.25" customHeight="1">
      <c r="AM373" s="50"/>
      <c r="AN373" s="50"/>
      <c r="AO373" s="50"/>
    </row>
    <row r="374" ht="14.25" customHeight="1">
      <c r="AM374" s="50"/>
      <c r="AN374" s="50"/>
      <c r="AO374" s="50"/>
    </row>
    <row r="375" ht="14.25" customHeight="1">
      <c r="AM375" s="50"/>
      <c r="AN375" s="50"/>
      <c r="AO375" s="50"/>
    </row>
    <row r="376" ht="14.25" customHeight="1">
      <c r="AM376" s="50"/>
      <c r="AN376" s="50"/>
      <c r="AO376" s="50"/>
    </row>
    <row r="377" ht="14.25" customHeight="1">
      <c r="AM377" s="50"/>
      <c r="AN377" s="50"/>
      <c r="AO377" s="50"/>
    </row>
    <row r="378" ht="14.25" customHeight="1">
      <c r="AM378" s="50"/>
      <c r="AN378" s="50"/>
      <c r="AO378" s="50"/>
    </row>
    <row r="379" ht="14.25" customHeight="1">
      <c r="AM379" s="50"/>
      <c r="AN379" s="50"/>
      <c r="AO379" s="50"/>
    </row>
    <row r="380" ht="14.25" customHeight="1">
      <c r="AM380" s="50"/>
      <c r="AN380" s="50"/>
      <c r="AO380" s="50"/>
    </row>
    <row r="381" ht="14.25" customHeight="1">
      <c r="AM381" s="50"/>
      <c r="AN381" s="50"/>
      <c r="AO381" s="50"/>
    </row>
    <row r="382" ht="14.25" customHeight="1">
      <c r="AM382" s="50"/>
      <c r="AN382" s="50"/>
      <c r="AO382" s="50"/>
    </row>
    <row r="383" ht="14.25" customHeight="1">
      <c r="AM383" s="50"/>
      <c r="AN383" s="50"/>
      <c r="AO383" s="50"/>
    </row>
    <row r="384" ht="14.25" customHeight="1">
      <c r="AM384" s="50"/>
      <c r="AN384" s="50"/>
      <c r="AO384" s="50"/>
    </row>
    <row r="385" ht="14.25" customHeight="1">
      <c r="AM385" s="50"/>
      <c r="AN385" s="50"/>
      <c r="AO385" s="50"/>
    </row>
    <row r="386" ht="14.25" customHeight="1">
      <c r="AM386" s="50"/>
      <c r="AN386" s="50"/>
      <c r="AO386" s="50"/>
    </row>
    <row r="387" ht="14.25" customHeight="1">
      <c r="AM387" s="50"/>
      <c r="AN387" s="50"/>
      <c r="AO387" s="50"/>
    </row>
    <row r="388" ht="14.25" customHeight="1">
      <c r="AM388" s="50"/>
      <c r="AN388" s="50"/>
      <c r="AO388" s="50"/>
    </row>
    <row r="389" ht="14.25" customHeight="1">
      <c r="AM389" s="50"/>
      <c r="AN389" s="50"/>
      <c r="AO389" s="50"/>
    </row>
    <row r="390" ht="14.25" customHeight="1">
      <c r="AM390" s="50"/>
      <c r="AN390" s="50"/>
      <c r="AO390" s="50"/>
    </row>
    <row r="391" ht="14.25" customHeight="1">
      <c r="AM391" s="50"/>
      <c r="AN391" s="50"/>
      <c r="AO391" s="50"/>
    </row>
    <row r="392" ht="14.25" customHeight="1">
      <c r="AM392" s="50"/>
      <c r="AN392" s="50"/>
      <c r="AO392" s="50"/>
    </row>
    <row r="393" ht="14.25" customHeight="1">
      <c r="AM393" s="50"/>
      <c r="AN393" s="50"/>
      <c r="AO393" s="50"/>
    </row>
    <row r="394" ht="14.25" customHeight="1">
      <c r="AM394" s="50"/>
      <c r="AN394" s="50"/>
      <c r="AO394" s="50"/>
    </row>
    <row r="395" ht="14.25" customHeight="1">
      <c r="AM395" s="50"/>
      <c r="AN395" s="50"/>
      <c r="AO395" s="50"/>
    </row>
    <row r="396" ht="14.25" customHeight="1">
      <c r="AM396" s="50"/>
      <c r="AN396" s="50"/>
      <c r="AO396" s="50"/>
    </row>
    <row r="397" ht="14.25" customHeight="1">
      <c r="AM397" s="50"/>
      <c r="AN397" s="50"/>
      <c r="AO397" s="50"/>
    </row>
    <row r="398" ht="14.25" customHeight="1">
      <c r="AM398" s="50"/>
      <c r="AN398" s="50"/>
      <c r="AO398" s="50"/>
    </row>
    <row r="399" ht="14.25" customHeight="1">
      <c r="AM399" s="50"/>
      <c r="AN399" s="50"/>
      <c r="AO399" s="50"/>
    </row>
    <row r="400" ht="14.25" customHeight="1">
      <c r="AM400" s="50"/>
      <c r="AN400" s="50"/>
      <c r="AO400" s="50"/>
    </row>
    <row r="401" ht="14.25" customHeight="1">
      <c r="AM401" s="50"/>
      <c r="AN401" s="50"/>
      <c r="AO401" s="50"/>
    </row>
    <row r="402" ht="14.25" customHeight="1">
      <c r="AM402" s="50"/>
      <c r="AN402" s="50"/>
      <c r="AO402" s="50"/>
    </row>
    <row r="403" ht="14.25" customHeight="1">
      <c r="AM403" s="50"/>
      <c r="AN403" s="50"/>
      <c r="AO403" s="50"/>
    </row>
    <row r="404" ht="14.25" customHeight="1">
      <c r="AM404" s="50"/>
      <c r="AN404" s="50"/>
      <c r="AO404" s="50"/>
    </row>
    <row r="405" ht="14.25" customHeight="1">
      <c r="AM405" s="50"/>
      <c r="AN405" s="50"/>
      <c r="AO405" s="50"/>
    </row>
    <row r="406" ht="14.25" customHeight="1">
      <c r="AM406" s="50"/>
      <c r="AN406" s="50"/>
      <c r="AO406" s="50"/>
    </row>
    <row r="407" ht="14.25" customHeight="1">
      <c r="AM407" s="50"/>
      <c r="AN407" s="50"/>
      <c r="AO407" s="50"/>
    </row>
    <row r="408" ht="14.25" customHeight="1">
      <c r="AM408" s="50"/>
      <c r="AN408" s="50"/>
      <c r="AO408" s="50"/>
    </row>
    <row r="409" ht="14.25" customHeight="1">
      <c r="AM409" s="50"/>
      <c r="AN409" s="50"/>
      <c r="AO409" s="50"/>
    </row>
    <row r="410" ht="14.25" customHeight="1">
      <c r="AM410" s="50"/>
      <c r="AN410" s="50"/>
      <c r="AO410" s="50"/>
    </row>
    <row r="411" ht="14.25" customHeight="1">
      <c r="AM411" s="50"/>
      <c r="AN411" s="50"/>
      <c r="AO411" s="50"/>
    </row>
    <row r="412" ht="14.25" customHeight="1">
      <c r="AM412" s="50"/>
      <c r="AN412" s="50"/>
      <c r="AO412" s="50"/>
    </row>
    <row r="413" ht="14.25" customHeight="1">
      <c r="AM413" s="50"/>
      <c r="AN413" s="50"/>
      <c r="AO413" s="50"/>
    </row>
    <row r="414" ht="14.25" customHeight="1">
      <c r="AM414" s="50"/>
      <c r="AN414" s="50"/>
      <c r="AO414" s="50"/>
    </row>
    <row r="415" ht="14.25" customHeight="1">
      <c r="AM415" s="50"/>
      <c r="AN415" s="50"/>
      <c r="AO415" s="50"/>
    </row>
    <row r="416" ht="14.25" customHeight="1">
      <c r="AM416" s="50"/>
      <c r="AN416" s="50"/>
      <c r="AO416" s="50"/>
    </row>
    <row r="417" ht="14.25" customHeight="1">
      <c r="AM417" s="50"/>
      <c r="AN417" s="50"/>
      <c r="AO417" s="50"/>
    </row>
    <row r="418" ht="14.25" customHeight="1">
      <c r="AM418" s="50"/>
      <c r="AN418" s="50"/>
      <c r="AO418" s="50"/>
    </row>
    <row r="419" ht="14.25" customHeight="1">
      <c r="AM419" s="50"/>
      <c r="AN419" s="50"/>
      <c r="AO419" s="50"/>
    </row>
    <row r="420" ht="14.25" customHeight="1">
      <c r="AM420" s="50"/>
      <c r="AN420" s="50"/>
      <c r="AO420" s="50"/>
    </row>
    <row r="421" ht="14.25" customHeight="1">
      <c r="AM421" s="50"/>
      <c r="AN421" s="50"/>
      <c r="AO421" s="50"/>
    </row>
    <row r="422" ht="14.25" customHeight="1">
      <c r="AM422" s="50"/>
      <c r="AN422" s="50"/>
      <c r="AO422" s="50"/>
    </row>
    <row r="423" ht="14.25" customHeight="1">
      <c r="AM423" s="50"/>
      <c r="AN423" s="50"/>
      <c r="AO423" s="50"/>
    </row>
    <row r="424" ht="14.25" customHeight="1">
      <c r="AM424" s="50"/>
      <c r="AN424" s="50"/>
      <c r="AO424" s="50"/>
    </row>
    <row r="425" ht="14.25" customHeight="1">
      <c r="AM425" s="50"/>
      <c r="AN425" s="50"/>
      <c r="AO425" s="50"/>
    </row>
    <row r="426" ht="14.25" customHeight="1">
      <c r="AM426" s="50"/>
      <c r="AN426" s="50"/>
      <c r="AO426" s="50"/>
    </row>
    <row r="427" ht="14.25" customHeight="1">
      <c r="AM427" s="50"/>
      <c r="AN427" s="50"/>
      <c r="AO427" s="50"/>
    </row>
    <row r="428" ht="14.25" customHeight="1">
      <c r="AM428" s="50"/>
      <c r="AN428" s="50"/>
      <c r="AO428" s="50"/>
    </row>
    <row r="429" ht="14.25" customHeight="1">
      <c r="AM429" s="50"/>
      <c r="AN429" s="50"/>
      <c r="AO429" s="50"/>
    </row>
    <row r="430" ht="14.25" customHeight="1">
      <c r="AM430" s="50"/>
      <c r="AN430" s="50"/>
      <c r="AO430" s="50"/>
    </row>
    <row r="431" ht="14.25" customHeight="1">
      <c r="AM431" s="50"/>
      <c r="AN431" s="50"/>
      <c r="AO431" s="50"/>
    </row>
    <row r="432" ht="14.25" customHeight="1">
      <c r="AM432" s="50"/>
      <c r="AN432" s="50"/>
      <c r="AO432" s="50"/>
    </row>
    <row r="433" ht="14.25" customHeight="1">
      <c r="AM433" s="50"/>
      <c r="AN433" s="50"/>
      <c r="AO433" s="50"/>
    </row>
    <row r="434" ht="14.25" customHeight="1">
      <c r="AM434" s="50"/>
      <c r="AN434" s="50"/>
      <c r="AO434" s="50"/>
    </row>
    <row r="435" ht="14.25" customHeight="1">
      <c r="AM435" s="50"/>
      <c r="AN435" s="50"/>
      <c r="AO435" s="50"/>
    </row>
    <row r="436" ht="14.25" customHeight="1">
      <c r="AM436" s="50"/>
      <c r="AN436" s="50"/>
      <c r="AO436" s="50"/>
    </row>
    <row r="437" ht="14.25" customHeight="1">
      <c r="AM437" s="50"/>
      <c r="AN437" s="50"/>
      <c r="AO437" s="50"/>
    </row>
    <row r="438" ht="14.25" customHeight="1">
      <c r="AM438" s="50"/>
      <c r="AN438" s="50"/>
      <c r="AO438" s="50"/>
    </row>
    <row r="439" ht="14.25" customHeight="1">
      <c r="AM439" s="50"/>
      <c r="AN439" s="50"/>
      <c r="AO439" s="50"/>
    </row>
    <row r="440" ht="14.25" customHeight="1">
      <c r="AM440" s="50"/>
      <c r="AN440" s="50"/>
      <c r="AO440" s="50"/>
    </row>
    <row r="441" ht="14.25" customHeight="1">
      <c r="AM441" s="50"/>
      <c r="AN441" s="50"/>
      <c r="AO441" s="50"/>
    </row>
    <row r="442" ht="14.25" customHeight="1">
      <c r="AM442" s="50"/>
      <c r="AN442" s="50"/>
      <c r="AO442" s="50"/>
    </row>
    <row r="443" ht="14.25" customHeight="1">
      <c r="AM443" s="50"/>
      <c r="AN443" s="50"/>
      <c r="AO443" s="50"/>
    </row>
    <row r="444" ht="14.25" customHeight="1">
      <c r="AM444" s="50"/>
      <c r="AN444" s="50"/>
      <c r="AO444" s="50"/>
    </row>
    <row r="445" ht="14.25" customHeight="1">
      <c r="AM445" s="50"/>
      <c r="AN445" s="50"/>
      <c r="AO445" s="50"/>
    </row>
    <row r="446" ht="14.25" customHeight="1">
      <c r="AM446" s="50"/>
      <c r="AN446" s="50"/>
      <c r="AO446" s="50"/>
    </row>
    <row r="447" ht="14.25" customHeight="1">
      <c r="AM447" s="50"/>
      <c r="AN447" s="50"/>
      <c r="AO447" s="50"/>
    </row>
    <row r="448" ht="14.25" customHeight="1">
      <c r="AM448" s="50"/>
      <c r="AN448" s="50"/>
      <c r="AO448" s="50"/>
    </row>
    <row r="449" ht="14.25" customHeight="1">
      <c r="AM449" s="50"/>
      <c r="AN449" s="50"/>
      <c r="AO449" s="50"/>
    </row>
    <row r="450" ht="14.25" customHeight="1">
      <c r="AM450" s="50"/>
      <c r="AN450" s="50"/>
      <c r="AO450" s="50"/>
    </row>
    <row r="451" ht="14.25" customHeight="1">
      <c r="AM451" s="50"/>
      <c r="AN451" s="50"/>
      <c r="AO451" s="50"/>
    </row>
    <row r="452" ht="14.25" customHeight="1">
      <c r="AM452" s="50"/>
      <c r="AN452" s="50"/>
      <c r="AO452" s="50"/>
    </row>
    <row r="453" ht="14.25" customHeight="1">
      <c r="AM453" s="50"/>
      <c r="AN453" s="50"/>
      <c r="AO453" s="50"/>
    </row>
    <row r="454" ht="14.25" customHeight="1">
      <c r="AM454" s="50"/>
      <c r="AN454" s="50"/>
      <c r="AO454" s="50"/>
    </row>
    <row r="455" ht="14.25" customHeight="1">
      <c r="AM455" s="50"/>
      <c r="AN455" s="50"/>
      <c r="AO455" s="50"/>
    </row>
    <row r="456" ht="14.25" customHeight="1">
      <c r="AM456" s="50"/>
      <c r="AN456" s="50"/>
      <c r="AO456" s="50"/>
    </row>
    <row r="457" ht="14.25" customHeight="1">
      <c r="AM457" s="50"/>
      <c r="AN457" s="50"/>
      <c r="AO457" s="50"/>
    </row>
    <row r="458" ht="14.25" customHeight="1">
      <c r="AM458" s="50"/>
      <c r="AN458" s="50"/>
      <c r="AO458" s="50"/>
    </row>
    <row r="459" ht="14.25" customHeight="1">
      <c r="AM459" s="50"/>
      <c r="AN459" s="50"/>
      <c r="AO459" s="50"/>
    </row>
    <row r="460" ht="14.25" customHeight="1">
      <c r="AM460" s="50"/>
      <c r="AN460" s="50"/>
      <c r="AO460" s="50"/>
    </row>
    <row r="461" ht="14.25" customHeight="1">
      <c r="AM461" s="50"/>
      <c r="AN461" s="50"/>
      <c r="AO461" s="50"/>
    </row>
    <row r="462" ht="14.25" customHeight="1">
      <c r="AM462" s="50"/>
      <c r="AN462" s="50"/>
      <c r="AO462" s="50"/>
    </row>
    <row r="463" ht="14.25" customHeight="1">
      <c r="AM463" s="50"/>
      <c r="AN463" s="50"/>
      <c r="AO463" s="50"/>
    </row>
    <row r="464" ht="14.25" customHeight="1">
      <c r="AM464" s="50"/>
      <c r="AN464" s="50"/>
      <c r="AO464" s="50"/>
    </row>
    <row r="465" ht="14.25" customHeight="1">
      <c r="AM465" s="50"/>
      <c r="AN465" s="50"/>
      <c r="AO465" s="50"/>
    </row>
    <row r="466" ht="14.25" customHeight="1">
      <c r="AM466" s="50"/>
      <c r="AN466" s="50"/>
      <c r="AO466" s="50"/>
    </row>
    <row r="467" ht="14.25" customHeight="1">
      <c r="AM467" s="50"/>
      <c r="AN467" s="50"/>
      <c r="AO467" s="50"/>
    </row>
    <row r="468" ht="14.25" customHeight="1">
      <c r="AM468" s="50"/>
      <c r="AN468" s="50"/>
      <c r="AO468" s="50"/>
    </row>
    <row r="469" ht="14.25" customHeight="1">
      <c r="AM469" s="50"/>
      <c r="AN469" s="50"/>
      <c r="AO469" s="50"/>
    </row>
    <row r="470" ht="14.25" customHeight="1">
      <c r="AM470" s="50"/>
      <c r="AN470" s="50"/>
      <c r="AO470" s="50"/>
    </row>
    <row r="471" ht="14.25" customHeight="1">
      <c r="AM471" s="50"/>
      <c r="AN471" s="50"/>
      <c r="AO471" s="50"/>
    </row>
    <row r="472" ht="14.25" customHeight="1">
      <c r="AM472" s="50"/>
      <c r="AN472" s="50"/>
      <c r="AO472" s="50"/>
    </row>
    <row r="473" ht="14.25" customHeight="1">
      <c r="AM473" s="50"/>
      <c r="AN473" s="50"/>
      <c r="AO473" s="50"/>
    </row>
    <row r="474" ht="14.25" customHeight="1">
      <c r="AM474" s="50"/>
      <c r="AN474" s="50"/>
      <c r="AO474" s="50"/>
    </row>
    <row r="475" ht="14.25" customHeight="1">
      <c r="AM475" s="50"/>
      <c r="AN475" s="50"/>
      <c r="AO475" s="50"/>
    </row>
    <row r="476" ht="14.25" customHeight="1">
      <c r="AM476" s="50"/>
      <c r="AN476" s="50"/>
      <c r="AO476" s="50"/>
    </row>
    <row r="477" ht="14.25" customHeight="1">
      <c r="AM477" s="50"/>
      <c r="AN477" s="50"/>
      <c r="AO477" s="50"/>
    </row>
    <row r="478" ht="14.25" customHeight="1">
      <c r="AM478" s="50"/>
      <c r="AN478" s="50"/>
      <c r="AO478" s="50"/>
    </row>
    <row r="479" ht="14.25" customHeight="1">
      <c r="AM479" s="50"/>
      <c r="AN479" s="50"/>
      <c r="AO479" s="50"/>
    </row>
    <row r="480" ht="14.25" customHeight="1">
      <c r="AM480" s="50"/>
      <c r="AN480" s="50"/>
      <c r="AO480" s="50"/>
    </row>
    <row r="481" ht="14.25" customHeight="1">
      <c r="AM481" s="50"/>
      <c r="AN481" s="50"/>
      <c r="AO481" s="50"/>
    </row>
    <row r="482" ht="14.25" customHeight="1">
      <c r="AM482" s="50"/>
      <c r="AN482" s="50"/>
      <c r="AO482" s="50"/>
    </row>
    <row r="483" ht="14.25" customHeight="1">
      <c r="AM483" s="50"/>
      <c r="AN483" s="50"/>
      <c r="AO483" s="50"/>
    </row>
    <row r="484" ht="14.25" customHeight="1">
      <c r="AM484" s="50"/>
      <c r="AN484" s="50"/>
      <c r="AO484" s="50"/>
    </row>
    <row r="485" ht="14.25" customHeight="1">
      <c r="AM485" s="50"/>
      <c r="AN485" s="50"/>
      <c r="AO485" s="50"/>
    </row>
    <row r="486" ht="14.25" customHeight="1">
      <c r="AM486" s="50"/>
      <c r="AN486" s="50"/>
      <c r="AO486" s="50"/>
    </row>
    <row r="487" ht="14.25" customHeight="1">
      <c r="AM487" s="50"/>
      <c r="AN487" s="50"/>
      <c r="AO487" s="50"/>
    </row>
    <row r="488" ht="14.25" customHeight="1">
      <c r="AM488" s="50"/>
      <c r="AN488" s="50"/>
      <c r="AO488" s="50"/>
    </row>
    <row r="489" ht="14.25" customHeight="1">
      <c r="AM489" s="50"/>
      <c r="AN489" s="50"/>
      <c r="AO489" s="50"/>
    </row>
    <row r="490" ht="14.25" customHeight="1">
      <c r="AM490" s="50"/>
      <c r="AN490" s="50"/>
      <c r="AO490" s="50"/>
    </row>
    <row r="491" ht="14.25" customHeight="1">
      <c r="AM491" s="50"/>
      <c r="AN491" s="50"/>
      <c r="AO491" s="50"/>
    </row>
    <row r="492" ht="14.25" customHeight="1">
      <c r="AM492" s="50"/>
      <c r="AN492" s="50"/>
      <c r="AO492" s="50"/>
    </row>
    <row r="493" ht="14.25" customHeight="1">
      <c r="AM493" s="50"/>
      <c r="AN493" s="50"/>
      <c r="AO493" s="50"/>
    </row>
    <row r="494" ht="14.25" customHeight="1">
      <c r="AM494" s="50"/>
      <c r="AN494" s="50"/>
      <c r="AO494" s="50"/>
    </row>
    <row r="495" ht="14.25" customHeight="1">
      <c r="AM495" s="50"/>
      <c r="AN495" s="50"/>
      <c r="AO495" s="50"/>
    </row>
    <row r="496" ht="14.25" customHeight="1">
      <c r="AM496" s="50"/>
      <c r="AN496" s="50"/>
      <c r="AO496" s="50"/>
    </row>
    <row r="497" ht="14.25" customHeight="1">
      <c r="AM497" s="50"/>
      <c r="AN497" s="50"/>
      <c r="AO497" s="50"/>
    </row>
    <row r="498" ht="14.25" customHeight="1">
      <c r="AM498" s="50"/>
      <c r="AN498" s="50"/>
      <c r="AO498" s="50"/>
    </row>
    <row r="499" ht="14.25" customHeight="1">
      <c r="AM499" s="50"/>
      <c r="AN499" s="50"/>
      <c r="AO499" s="50"/>
    </row>
    <row r="500" ht="14.25" customHeight="1">
      <c r="AM500" s="50"/>
      <c r="AN500" s="50"/>
      <c r="AO500" s="50"/>
    </row>
    <row r="501" ht="14.25" customHeight="1">
      <c r="AM501" s="50"/>
      <c r="AN501" s="50"/>
      <c r="AO501" s="50"/>
    </row>
    <row r="502" ht="14.25" customHeight="1">
      <c r="AM502" s="50"/>
      <c r="AN502" s="50"/>
      <c r="AO502" s="50"/>
    </row>
    <row r="503" ht="14.25" customHeight="1">
      <c r="AM503" s="50"/>
      <c r="AN503" s="50"/>
      <c r="AO503" s="50"/>
    </row>
    <row r="504" ht="14.25" customHeight="1">
      <c r="AM504" s="50"/>
      <c r="AN504" s="50"/>
      <c r="AO504" s="50"/>
    </row>
    <row r="505" ht="14.25" customHeight="1">
      <c r="AM505" s="50"/>
      <c r="AN505" s="50"/>
      <c r="AO505" s="50"/>
    </row>
    <row r="506" ht="14.25" customHeight="1">
      <c r="AM506" s="50"/>
      <c r="AN506" s="50"/>
      <c r="AO506" s="50"/>
    </row>
    <row r="507" ht="14.25" customHeight="1">
      <c r="AM507" s="50"/>
      <c r="AN507" s="50"/>
      <c r="AO507" s="50"/>
    </row>
    <row r="508" ht="14.25" customHeight="1">
      <c r="AM508" s="50"/>
      <c r="AN508" s="50"/>
      <c r="AO508" s="50"/>
    </row>
    <row r="509" ht="14.25" customHeight="1">
      <c r="AM509" s="50"/>
      <c r="AN509" s="50"/>
      <c r="AO509" s="50"/>
    </row>
    <row r="510" ht="14.25" customHeight="1">
      <c r="AM510" s="50"/>
      <c r="AN510" s="50"/>
      <c r="AO510" s="50"/>
    </row>
    <row r="511" ht="14.25" customHeight="1">
      <c r="AM511" s="50"/>
      <c r="AN511" s="50"/>
      <c r="AO511" s="50"/>
    </row>
    <row r="512" ht="14.25" customHeight="1">
      <c r="AM512" s="50"/>
      <c r="AN512" s="50"/>
      <c r="AO512" s="50"/>
    </row>
    <row r="513" ht="14.25" customHeight="1">
      <c r="AM513" s="50"/>
      <c r="AN513" s="50"/>
      <c r="AO513" s="50"/>
    </row>
    <row r="514" ht="14.25" customHeight="1">
      <c r="AM514" s="50"/>
      <c r="AN514" s="50"/>
      <c r="AO514" s="50"/>
    </row>
    <row r="515" ht="14.25" customHeight="1">
      <c r="AM515" s="50"/>
      <c r="AN515" s="50"/>
      <c r="AO515" s="50"/>
    </row>
    <row r="516" ht="14.25" customHeight="1">
      <c r="AM516" s="50"/>
      <c r="AN516" s="50"/>
      <c r="AO516" s="50"/>
    </row>
    <row r="517" ht="14.25" customHeight="1">
      <c r="AM517" s="50"/>
      <c r="AN517" s="50"/>
      <c r="AO517" s="50"/>
    </row>
    <row r="518" ht="14.25" customHeight="1">
      <c r="AM518" s="50"/>
      <c r="AN518" s="50"/>
      <c r="AO518" s="50"/>
    </row>
    <row r="519" ht="14.25" customHeight="1">
      <c r="AM519" s="50"/>
      <c r="AN519" s="50"/>
      <c r="AO519" s="50"/>
    </row>
    <row r="520" ht="14.25" customHeight="1">
      <c r="AM520" s="50"/>
      <c r="AN520" s="50"/>
      <c r="AO520" s="50"/>
    </row>
    <row r="521" ht="14.25" customHeight="1">
      <c r="AM521" s="50"/>
      <c r="AN521" s="50"/>
      <c r="AO521" s="50"/>
    </row>
    <row r="522" ht="14.25" customHeight="1">
      <c r="AM522" s="50"/>
      <c r="AN522" s="50"/>
      <c r="AO522" s="50"/>
    </row>
    <row r="523" ht="14.25" customHeight="1">
      <c r="AM523" s="50"/>
      <c r="AN523" s="50"/>
      <c r="AO523" s="50"/>
    </row>
    <row r="524" ht="14.25" customHeight="1">
      <c r="AM524" s="50"/>
      <c r="AN524" s="50"/>
      <c r="AO524" s="50"/>
    </row>
    <row r="525" ht="14.25" customHeight="1">
      <c r="AM525" s="50"/>
      <c r="AN525" s="50"/>
      <c r="AO525" s="50"/>
    </row>
    <row r="526" ht="14.25" customHeight="1">
      <c r="AM526" s="50"/>
      <c r="AN526" s="50"/>
      <c r="AO526" s="50"/>
    </row>
    <row r="527" ht="14.25" customHeight="1">
      <c r="AM527" s="50"/>
      <c r="AN527" s="50"/>
      <c r="AO527" s="50"/>
    </row>
    <row r="528" ht="14.25" customHeight="1">
      <c r="AM528" s="50"/>
      <c r="AN528" s="50"/>
      <c r="AO528" s="50"/>
    </row>
    <row r="529" ht="14.25" customHeight="1">
      <c r="AM529" s="50"/>
      <c r="AN529" s="50"/>
      <c r="AO529" s="50"/>
    </row>
    <row r="530" ht="14.25" customHeight="1">
      <c r="AM530" s="50"/>
      <c r="AN530" s="50"/>
      <c r="AO530" s="50"/>
    </row>
    <row r="531" ht="14.25" customHeight="1">
      <c r="AM531" s="50"/>
      <c r="AN531" s="50"/>
      <c r="AO531" s="50"/>
    </row>
    <row r="532" ht="14.25" customHeight="1">
      <c r="AM532" s="50"/>
      <c r="AN532" s="50"/>
      <c r="AO532" s="50"/>
    </row>
    <row r="533" ht="14.25" customHeight="1">
      <c r="AM533" s="50"/>
      <c r="AN533" s="50"/>
      <c r="AO533" s="50"/>
    </row>
    <row r="534" ht="14.25" customHeight="1">
      <c r="AM534" s="50"/>
      <c r="AN534" s="50"/>
      <c r="AO534" s="50"/>
    </row>
    <row r="535" ht="14.25" customHeight="1">
      <c r="AM535" s="50"/>
      <c r="AN535" s="50"/>
      <c r="AO535" s="50"/>
    </row>
    <row r="536" ht="14.25" customHeight="1">
      <c r="AM536" s="50"/>
      <c r="AN536" s="50"/>
      <c r="AO536" s="50"/>
    </row>
    <row r="537" ht="14.25" customHeight="1">
      <c r="AM537" s="50"/>
      <c r="AN537" s="50"/>
      <c r="AO537" s="50"/>
    </row>
    <row r="538" ht="14.25" customHeight="1">
      <c r="AM538" s="50"/>
      <c r="AN538" s="50"/>
      <c r="AO538" s="50"/>
    </row>
    <row r="539" ht="14.25" customHeight="1">
      <c r="AM539" s="50"/>
      <c r="AN539" s="50"/>
      <c r="AO539" s="50"/>
    </row>
    <row r="540" ht="14.25" customHeight="1">
      <c r="AM540" s="50"/>
      <c r="AN540" s="50"/>
      <c r="AO540" s="50"/>
    </row>
    <row r="541" ht="14.25" customHeight="1">
      <c r="AM541" s="50"/>
      <c r="AN541" s="50"/>
      <c r="AO541" s="50"/>
    </row>
    <row r="542" ht="14.25" customHeight="1">
      <c r="AM542" s="50"/>
      <c r="AN542" s="50"/>
      <c r="AO542" s="50"/>
    </row>
    <row r="543" ht="14.25" customHeight="1">
      <c r="AM543" s="50"/>
      <c r="AN543" s="50"/>
      <c r="AO543" s="50"/>
    </row>
    <row r="544" ht="14.25" customHeight="1">
      <c r="AM544" s="50"/>
      <c r="AN544" s="50"/>
      <c r="AO544" s="50"/>
    </row>
    <row r="545" ht="14.25" customHeight="1">
      <c r="AM545" s="50"/>
      <c r="AN545" s="50"/>
      <c r="AO545" s="50"/>
    </row>
    <row r="546" ht="14.25" customHeight="1">
      <c r="AM546" s="50"/>
      <c r="AN546" s="50"/>
      <c r="AO546" s="50"/>
    </row>
    <row r="547" ht="14.25" customHeight="1">
      <c r="AM547" s="50"/>
      <c r="AN547" s="50"/>
      <c r="AO547" s="50"/>
    </row>
    <row r="548" ht="14.25" customHeight="1">
      <c r="AM548" s="50"/>
      <c r="AN548" s="50"/>
      <c r="AO548" s="50"/>
    </row>
    <row r="549" ht="14.25" customHeight="1">
      <c r="AM549" s="50"/>
      <c r="AN549" s="50"/>
      <c r="AO549" s="50"/>
    </row>
    <row r="550" ht="14.25" customHeight="1">
      <c r="AM550" s="50"/>
      <c r="AN550" s="50"/>
      <c r="AO550" s="50"/>
    </row>
    <row r="551" ht="14.25" customHeight="1">
      <c r="AM551" s="50"/>
      <c r="AN551" s="50"/>
      <c r="AO551" s="50"/>
    </row>
    <row r="552" ht="14.25" customHeight="1">
      <c r="AM552" s="50"/>
      <c r="AN552" s="50"/>
      <c r="AO552" s="50"/>
    </row>
    <row r="553" ht="14.25" customHeight="1">
      <c r="AM553" s="50"/>
      <c r="AN553" s="50"/>
      <c r="AO553" s="50"/>
    </row>
    <row r="554" ht="14.25" customHeight="1">
      <c r="AM554" s="50"/>
      <c r="AN554" s="50"/>
      <c r="AO554" s="50"/>
    </row>
    <row r="555" ht="14.25" customHeight="1">
      <c r="AM555" s="50"/>
      <c r="AN555" s="50"/>
      <c r="AO555" s="50"/>
    </row>
    <row r="556" ht="14.25" customHeight="1">
      <c r="AM556" s="50"/>
      <c r="AN556" s="50"/>
      <c r="AO556" s="50"/>
    </row>
    <row r="557" ht="14.25" customHeight="1">
      <c r="AM557" s="50"/>
      <c r="AN557" s="50"/>
      <c r="AO557" s="50"/>
    </row>
    <row r="558" ht="14.25" customHeight="1">
      <c r="AM558" s="50"/>
      <c r="AN558" s="50"/>
      <c r="AO558" s="50"/>
    </row>
    <row r="559" ht="14.25" customHeight="1">
      <c r="AM559" s="50"/>
      <c r="AN559" s="50"/>
      <c r="AO559" s="50"/>
    </row>
    <row r="560" ht="14.25" customHeight="1">
      <c r="AM560" s="50"/>
      <c r="AN560" s="50"/>
      <c r="AO560" s="50"/>
    </row>
    <row r="561" ht="14.25" customHeight="1">
      <c r="AM561" s="50"/>
      <c r="AN561" s="50"/>
      <c r="AO561" s="50"/>
    </row>
    <row r="562" ht="14.25" customHeight="1">
      <c r="AM562" s="50"/>
      <c r="AN562" s="50"/>
      <c r="AO562" s="50"/>
    </row>
    <row r="563" ht="14.25" customHeight="1">
      <c r="AM563" s="50"/>
      <c r="AN563" s="50"/>
      <c r="AO563" s="50"/>
    </row>
    <row r="564" ht="14.25" customHeight="1">
      <c r="AM564" s="50"/>
      <c r="AN564" s="50"/>
      <c r="AO564" s="50"/>
    </row>
    <row r="565" ht="14.25" customHeight="1">
      <c r="AM565" s="50"/>
      <c r="AN565" s="50"/>
      <c r="AO565" s="50"/>
    </row>
    <row r="566" ht="14.25" customHeight="1">
      <c r="AM566" s="50"/>
      <c r="AN566" s="50"/>
      <c r="AO566" s="50"/>
    </row>
    <row r="567" ht="14.25" customHeight="1">
      <c r="AM567" s="50"/>
      <c r="AN567" s="50"/>
      <c r="AO567" s="50"/>
    </row>
    <row r="568" ht="14.25" customHeight="1">
      <c r="AM568" s="50"/>
      <c r="AN568" s="50"/>
      <c r="AO568" s="50"/>
    </row>
    <row r="569" ht="14.25" customHeight="1">
      <c r="AM569" s="50"/>
      <c r="AN569" s="50"/>
      <c r="AO569" s="50"/>
    </row>
    <row r="570" ht="14.25" customHeight="1">
      <c r="AM570" s="50"/>
      <c r="AN570" s="50"/>
      <c r="AO570" s="50"/>
    </row>
    <row r="571" ht="14.25" customHeight="1">
      <c r="AM571" s="50"/>
      <c r="AN571" s="50"/>
      <c r="AO571" s="50"/>
    </row>
    <row r="572" ht="14.25" customHeight="1">
      <c r="AM572" s="50"/>
      <c r="AN572" s="50"/>
      <c r="AO572" s="50"/>
    </row>
    <row r="573" ht="14.25" customHeight="1">
      <c r="AM573" s="50"/>
      <c r="AN573" s="50"/>
      <c r="AO573" s="50"/>
    </row>
    <row r="574" ht="14.25" customHeight="1">
      <c r="AM574" s="50"/>
      <c r="AN574" s="50"/>
      <c r="AO574" s="50"/>
    </row>
    <row r="575" ht="14.25" customHeight="1">
      <c r="AM575" s="50"/>
      <c r="AN575" s="50"/>
      <c r="AO575" s="50"/>
    </row>
    <row r="576" ht="14.25" customHeight="1">
      <c r="AM576" s="50"/>
      <c r="AN576" s="50"/>
      <c r="AO576" s="50"/>
    </row>
    <row r="577" ht="14.25" customHeight="1">
      <c r="AM577" s="50"/>
      <c r="AN577" s="50"/>
      <c r="AO577" s="50"/>
    </row>
    <row r="578" ht="14.25" customHeight="1">
      <c r="AM578" s="50"/>
      <c r="AN578" s="50"/>
      <c r="AO578" s="50"/>
    </row>
    <row r="579" ht="14.25" customHeight="1">
      <c r="AM579" s="50"/>
      <c r="AN579" s="50"/>
      <c r="AO579" s="50"/>
    </row>
    <row r="580" ht="14.25" customHeight="1">
      <c r="AM580" s="50"/>
      <c r="AN580" s="50"/>
      <c r="AO580" s="50"/>
    </row>
    <row r="581" ht="14.25" customHeight="1">
      <c r="AM581" s="50"/>
      <c r="AN581" s="50"/>
      <c r="AO581" s="50"/>
    </row>
    <row r="582" ht="14.25" customHeight="1">
      <c r="AM582" s="50"/>
      <c r="AN582" s="50"/>
      <c r="AO582" s="50"/>
    </row>
    <row r="583" ht="14.25" customHeight="1">
      <c r="AM583" s="50"/>
      <c r="AN583" s="50"/>
      <c r="AO583" s="50"/>
    </row>
    <row r="584" ht="14.25" customHeight="1">
      <c r="AM584" s="50"/>
      <c r="AN584" s="50"/>
      <c r="AO584" s="50"/>
    </row>
    <row r="585" ht="14.25" customHeight="1">
      <c r="AM585" s="50"/>
      <c r="AN585" s="50"/>
      <c r="AO585" s="50"/>
    </row>
    <row r="586" ht="14.25" customHeight="1">
      <c r="AM586" s="50"/>
      <c r="AN586" s="50"/>
      <c r="AO586" s="50"/>
    </row>
    <row r="587" ht="14.25" customHeight="1">
      <c r="AM587" s="50"/>
      <c r="AN587" s="50"/>
      <c r="AO587" s="50"/>
    </row>
    <row r="588" ht="14.25" customHeight="1">
      <c r="AM588" s="50"/>
      <c r="AN588" s="50"/>
      <c r="AO588" s="50"/>
    </row>
    <row r="589" ht="14.25" customHeight="1">
      <c r="AM589" s="50"/>
      <c r="AN589" s="50"/>
      <c r="AO589" s="50"/>
    </row>
    <row r="590" ht="14.25" customHeight="1">
      <c r="AM590" s="50"/>
      <c r="AN590" s="50"/>
      <c r="AO590" s="50"/>
    </row>
    <row r="591" ht="14.25" customHeight="1">
      <c r="AM591" s="50"/>
      <c r="AN591" s="50"/>
      <c r="AO591" s="50"/>
    </row>
    <row r="592" ht="14.25" customHeight="1">
      <c r="AM592" s="50"/>
      <c r="AN592" s="50"/>
      <c r="AO592" s="50"/>
    </row>
    <row r="593" ht="14.25" customHeight="1">
      <c r="AM593" s="50"/>
      <c r="AN593" s="50"/>
      <c r="AO593" s="50"/>
    </row>
    <row r="594" ht="14.25" customHeight="1">
      <c r="AM594" s="50"/>
      <c r="AN594" s="50"/>
      <c r="AO594" s="50"/>
    </row>
    <row r="595" ht="14.25" customHeight="1">
      <c r="AM595" s="50"/>
      <c r="AN595" s="50"/>
      <c r="AO595" s="50"/>
    </row>
    <row r="596" ht="14.25" customHeight="1">
      <c r="AM596" s="50"/>
      <c r="AN596" s="50"/>
      <c r="AO596" s="50"/>
    </row>
    <row r="597" ht="14.25" customHeight="1">
      <c r="AM597" s="50"/>
      <c r="AN597" s="50"/>
      <c r="AO597" s="50"/>
    </row>
    <row r="598" ht="14.25" customHeight="1">
      <c r="AM598" s="50"/>
      <c r="AN598" s="50"/>
      <c r="AO598" s="50"/>
    </row>
    <row r="599" ht="14.25" customHeight="1">
      <c r="AM599" s="50"/>
      <c r="AN599" s="50"/>
      <c r="AO599" s="50"/>
    </row>
    <row r="600" ht="14.25" customHeight="1">
      <c r="AM600" s="50"/>
      <c r="AN600" s="50"/>
      <c r="AO600" s="50"/>
    </row>
    <row r="601" ht="14.25" customHeight="1">
      <c r="AM601" s="50"/>
      <c r="AN601" s="50"/>
      <c r="AO601" s="50"/>
    </row>
    <row r="602" ht="14.25" customHeight="1">
      <c r="AM602" s="50"/>
      <c r="AN602" s="50"/>
      <c r="AO602" s="50"/>
    </row>
    <row r="603" ht="14.25" customHeight="1">
      <c r="AM603" s="50"/>
      <c r="AN603" s="50"/>
      <c r="AO603" s="50"/>
    </row>
    <row r="604" ht="14.25" customHeight="1">
      <c r="AM604" s="50"/>
      <c r="AN604" s="50"/>
      <c r="AO604" s="50"/>
    </row>
    <row r="605" ht="14.25" customHeight="1">
      <c r="AM605" s="50"/>
      <c r="AN605" s="50"/>
      <c r="AO605" s="50"/>
    </row>
    <row r="606" ht="14.25" customHeight="1">
      <c r="AM606" s="50"/>
      <c r="AN606" s="50"/>
      <c r="AO606" s="50"/>
    </row>
    <row r="607" ht="14.25" customHeight="1">
      <c r="AM607" s="50"/>
      <c r="AN607" s="50"/>
      <c r="AO607" s="50"/>
    </row>
    <row r="608" ht="14.25" customHeight="1">
      <c r="AM608" s="50"/>
      <c r="AN608" s="50"/>
      <c r="AO608" s="50"/>
    </row>
    <row r="609" ht="14.25" customHeight="1">
      <c r="AM609" s="50"/>
      <c r="AN609" s="50"/>
      <c r="AO609" s="50"/>
    </row>
    <row r="610" ht="14.25" customHeight="1">
      <c r="AM610" s="50"/>
      <c r="AN610" s="50"/>
      <c r="AO610" s="50"/>
    </row>
    <row r="611" ht="14.25" customHeight="1">
      <c r="AM611" s="50"/>
      <c r="AN611" s="50"/>
      <c r="AO611" s="50"/>
    </row>
    <row r="612" ht="14.25" customHeight="1">
      <c r="AM612" s="50"/>
      <c r="AN612" s="50"/>
      <c r="AO612" s="50"/>
    </row>
    <row r="613" ht="14.25" customHeight="1">
      <c r="AM613" s="50"/>
      <c r="AN613" s="50"/>
      <c r="AO613" s="50"/>
    </row>
    <row r="614" ht="14.25" customHeight="1">
      <c r="AM614" s="50"/>
      <c r="AN614" s="50"/>
      <c r="AO614" s="50"/>
    </row>
    <row r="615" ht="14.25" customHeight="1">
      <c r="AM615" s="50"/>
      <c r="AN615" s="50"/>
      <c r="AO615" s="50"/>
    </row>
    <row r="616" ht="14.25" customHeight="1">
      <c r="AM616" s="50"/>
      <c r="AN616" s="50"/>
      <c r="AO616" s="50"/>
    </row>
    <row r="617" ht="14.25" customHeight="1">
      <c r="AM617" s="50"/>
      <c r="AN617" s="50"/>
      <c r="AO617" s="50"/>
    </row>
    <row r="618" ht="14.25" customHeight="1">
      <c r="AM618" s="50"/>
      <c r="AN618" s="50"/>
      <c r="AO618" s="50"/>
    </row>
    <row r="619" ht="14.25" customHeight="1">
      <c r="AM619" s="50"/>
      <c r="AN619" s="50"/>
      <c r="AO619" s="50"/>
    </row>
    <row r="620" ht="14.25" customHeight="1">
      <c r="AM620" s="50"/>
      <c r="AN620" s="50"/>
      <c r="AO620" s="50"/>
    </row>
    <row r="621" ht="14.25" customHeight="1">
      <c r="AM621" s="50"/>
      <c r="AN621" s="50"/>
      <c r="AO621" s="50"/>
    </row>
    <row r="622" ht="14.25" customHeight="1">
      <c r="AM622" s="50"/>
      <c r="AN622" s="50"/>
      <c r="AO622" s="50"/>
    </row>
    <row r="623" ht="14.25" customHeight="1">
      <c r="AM623" s="50"/>
      <c r="AN623" s="50"/>
      <c r="AO623" s="50"/>
    </row>
    <row r="624" ht="14.25" customHeight="1">
      <c r="AM624" s="50"/>
      <c r="AN624" s="50"/>
      <c r="AO624" s="50"/>
    </row>
    <row r="625" ht="14.25" customHeight="1">
      <c r="AM625" s="50"/>
      <c r="AN625" s="50"/>
      <c r="AO625" s="50"/>
    </row>
    <row r="626" ht="14.25" customHeight="1">
      <c r="AM626" s="50"/>
      <c r="AN626" s="50"/>
      <c r="AO626" s="50"/>
    </row>
    <row r="627" ht="14.25" customHeight="1">
      <c r="AM627" s="50"/>
      <c r="AN627" s="50"/>
      <c r="AO627" s="50"/>
    </row>
    <row r="628" ht="14.25" customHeight="1">
      <c r="AM628" s="50"/>
      <c r="AN628" s="50"/>
      <c r="AO628" s="50"/>
    </row>
    <row r="629" ht="14.25" customHeight="1">
      <c r="AM629" s="50"/>
      <c r="AN629" s="50"/>
      <c r="AO629" s="50"/>
    </row>
    <row r="630" ht="14.25" customHeight="1">
      <c r="AM630" s="50"/>
      <c r="AN630" s="50"/>
      <c r="AO630" s="50"/>
    </row>
    <row r="631" ht="14.25" customHeight="1">
      <c r="AM631" s="50"/>
      <c r="AN631" s="50"/>
      <c r="AO631" s="50"/>
    </row>
    <row r="632" ht="14.25" customHeight="1">
      <c r="AM632" s="50"/>
      <c r="AN632" s="50"/>
      <c r="AO632" s="50"/>
    </row>
    <row r="633" ht="14.25" customHeight="1">
      <c r="AM633" s="50"/>
      <c r="AN633" s="50"/>
      <c r="AO633" s="50"/>
    </row>
    <row r="634" ht="14.25" customHeight="1">
      <c r="AM634" s="50"/>
      <c r="AN634" s="50"/>
      <c r="AO634" s="50"/>
    </row>
    <row r="635" ht="14.25" customHeight="1">
      <c r="AM635" s="50"/>
      <c r="AN635" s="50"/>
      <c r="AO635" s="50"/>
    </row>
    <row r="636" ht="14.25" customHeight="1">
      <c r="AM636" s="50"/>
      <c r="AN636" s="50"/>
      <c r="AO636" s="50"/>
    </row>
    <row r="637" ht="14.25" customHeight="1">
      <c r="AM637" s="50"/>
      <c r="AN637" s="50"/>
      <c r="AO637" s="50"/>
    </row>
    <row r="638" ht="14.25" customHeight="1">
      <c r="AM638" s="50"/>
      <c r="AN638" s="50"/>
      <c r="AO638" s="50"/>
    </row>
    <row r="639" ht="14.25" customHeight="1">
      <c r="AM639" s="50"/>
      <c r="AN639" s="50"/>
      <c r="AO639" s="50"/>
    </row>
    <row r="640" ht="14.25" customHeight="1">
      <c r="AM640" s="50"/>
      <c r="AN640" s="50"/>
      <c r="AO640" s="50"/>
    </row>
    <row r="641" ht="14.25" customHeight="1">
      <c r="AM641" s="50"/>
      <c r="AN641" s="50"/>
      <c r="AO641" s="50"/>
    </row>
    <row r="642" ht="14.25" customHeight="1">
      <c r="AM642" s="50"/>
      <c r="AN642" s="50"/>
      <c r="AO642" s="50"/>
    </row>
    <row r="643" ht="14.25" customHeight="1">
      <c r="AM643" s="50"/>
      <c r="AN643" s="50"/>
      <c r="AO643" s="50"/>
    </row>
    <row r="644" ht="14.25" customHeight="1">
      <c r="AM644" s="50"/>
      <c r="AN644" s="50"/>
      <c r="AO644" s="50"/>
    </row>
    <row r="645" ht="14.25" customHeight="1">
      <c r="AM645" s="50"/>
      <c r="AN645" s="50"/>
      <c r="AO645" s="50"/>
    </row>
    <row r="646" ht="14.25" customHeight="1">
      <c r="AM646" s="50"/>
      <c r="AN646" s="50"/>
      <c r="AO646" s="50"/>
    </row>
    <row r="647" ht="14.25" customHeight="1">
      <c r="AM647" s="50"/>
      <c r="AN647" s="50"/>
      <c r="AO647" s="50"/>
    </row>
    <row r="648" ht="14.25" customHeight="1">
      <c r="AM648" s="50"/>
      <c r="AN648" s="50"/>
      <c r="AO648" s="50"/>
    </row>
    <row r="649" ht="14.25" customHeight="1">
      <c r="AM649" s="50"/>
      <c r="AN649" s="50"/>
      <c r="AO649" s="50"/>
    </row>
    <row r="650" ht="14.25" customHeight="1">
      <c r="AM650" s="50"/>
      <c r="AN650" s="50"/>
      <c r="AO650" s="50"/>
    </row>
    <row r="651" ht="14.25" customHeight="1">
      <c r="AM651" s="50"/>
      <c r="AN651" s="50"/>
      <c r="AO651" s="50"/>
    </row>
    <row r="652" ht="14.25" customHeight="1">
      <c r="AM652" s="50"/>
      <c r="AN652" s="50"/>
      <c r="AO652" s="50"/>
    </row>
    <row r="653" ht="14.25" customHeight="1">
      <c r="AM653" s="50"/>
      <c r="AN653" s="50"/>
      <c r="AO653" s="50"/>
    </row>
    <row r="654" ht="14.25" customHeight="1">
      <c r="AM654" s="50"/>
      <c r="AN654" s="50"/>
      <c r="AO654" s="50"/>
    </row>
    <row r="655" ht="14.25" customHeight="1">
      <c r="AM655" s="50"/>
      <c r="AN655" s="50"/>
      <c r="AO655" s="50"/>
    </row>
    <row r="656" ht="14.25" customHeight="1">
      <c r="AM656" s="50"/>
      <c r="AN656" s="50"/>
      <c r="AO656" s="50"/>
    </row>
    <row r="657" ht="14.25" customHeight="1">
      <c r="AM657" s="50"/>
      <c r="AN657" s="50"/>
      <c r="AO657" s="50"/>
    </row>
    <row r="658" ht="14.25" customHeight="1">
      <c r="AM658" s="50"/>
      <c r="AN658" s="50"/>
      <c r="AO658" s="50"/>
    </row>
    <row r="659" ht="14.25" customHeight="1">
      <c r="AM659" s="50"/>
      <c r="AN659" s="50"/>
      <c r="AO659" s="50"/>
    </row>
    <row r="660" ht="14.25" customHeight="1">
      <c r="AM660" s="50"/>
      <c r="AN660" s="50"/>
      <c r="AO660" s="50"/>
    </row>
    <row r="661" ht="14.25" customHeight="1">
      <c r="AM661" s="50"/>
      <c r="AN661" s="50"/>
      <c r="AO661" s="50"/>
    </row>
    <row r="662" ht="14.25" customHeight="1">
      <c r="AM662" s="50"/>
      <c r="AN662" s="50"/>
      <c r="AO662" s="50"/>
    </row>
    <row r="663" ht="14.25" customHeight="1">
      <c r="AM663" s="50"/>
      <c r="AN663" s="50"/>
      <c r="AO663" s="50"/>
    </row>
    <row r="664" ht="14.25" customHeight="1">
      <c r="AM664" s="50"/>
      <c r="AN664" s="50"/>
      <c r="AO664" s="50"/>
    </row>
    <row r="665" ht="14.25" customHeight="1">
      <c r="AM665" s="50"/>
      <c r="AN665" s="50"/>
      <c r="AO665" s="50"/>
    </row>
    <row r="666" ht="14.25" customHeight="1">
      <c r="AM666" s="50"/>
      <c r="AN666" s="50"/>
      <c r="AO666" s="50"/>
    </row>
    <row r="667" ht="14.25" customHeight="1">
      <c r="AM667" s="50"/>
      <c r="AN667" s="50"/>
      <c r="AO667" s="50"/>
    </row>
    <row r="668" ht="14.25" customHeight="1">
      <c r="AM668" s="50"/>
      <c r="AN668" s="50"/>
      <c r="AO668" s="50"/>
    </row>
    <row r="669" ht="14.25" customHeight="1">
      <c r="AM669" s="50"/>
      <c r="AN669" s="50"/>
      <c r="AO669" s="50"/>
    </row>
    <row r="670" ht="14.25" customHeight="1">
      <c r="AM670" s="50"/>
      <c r="AN670" s="50"/>
      <c r="AO670" s="50"/>
    </row>
    <row r="671" ht="14.25" customHeight="1">
      <c r="AM671" s="50"/>
      <c r="AN671" s="50"/>
      <c r="AO671" s="50"/>
    </row>
    <row r="672" ht="14.25" customHeight="1">
      <c r="AM672" s="50"/>
      <c r="AN672" s="50"/>
      <c r="AO672" s="50"/>
    </row>
    <row r="673" ht="14.25" customHeight="1">
      <c r="AM673" s="50"/>
      <c r="AN673" s="50"/>
      <c r="AO673" s="50"/>
    </row>
    <row r="674" ht="14.25" customHeight="1">
      <c r="AM674" s="50"/>
      <c r="AN674" s="50"/>
      <c r="AO674" s="50"/>
    </row>
    <row r="675" ht="14.25" customHeight="1">
      <c r="AM675" s="50"/>
      <c r="AN675" s="50"/>
      <c r="AO675" s="50"/>
    </row>
    <row r="676" ht="14.25" customHeight="1">
      <c r="AM676" s="50"/>
      <c r="AN676" s="50"/>
      <c r="AO676" s="50"/>
    </row>
    <row r="677" ht="14.25" customHeight="1">
      <c r="AM677" s="50"/>
      <c r="AN677" s="50"/>
      <c r="AO677" s="50"/>
    </row>
    <row r="678" ht="14.25" customHeight="1">
      <c r="AM678" s="50"/>
      <c r="AN678" s="50"/>
      <c r="AO678" s="50"/>
    </row>
    <row r="679" ht="14.25" customHeight="1">
      <c r="AM679" s="50"/>
      <c r="AN679" s="50"/>
      <c r="AO679" s="50"/>
    </row>
    <row r="680" ht="14.25" customHeight="1">
      <c r="AM680" s="50"/>
      <c r="AN680" s="50"/>
      <c r="AO680" s="50"/>
    </row>
    <row r="681" ht="14.25" customHeight="1">
      <c r="AM681" s="50"/>
      <c r="AN681" s="50"/>
      <c r="AO681" s="50"/>
    </row>
    <row r="682" ht="14.25" customHeight="1">
      <c r="AM682" s="50"/>
      <c r="AN682" s="50"/>
      <c r="AO682" s="50"/>
    </row>
    <row r="683" ht="14.25" customHeight="1">
      <c r="AM683" s="50"/>
      <c r="AN683" s="50"/>
      <c r="AO683" s="50"/>
    </row>
    <row r="684" ht="14.25" customHeight="1">
      <c r="AM684" s="50"/>
      <c r="AN684" s="50"/>
      <c r="AO684" s="50"/>
    </row>
    <row r="685" ht="14.25" customHeight="1">
      <c r="AM685" s="50"/>
      <c r="AN685" s="50"/>
      <c r="AO685" s="50"/>
    </row>
    <row r="686" ht="14.25" customHeight="1">
      <c r="AM686" s="50"/>
      <c r="AN686" s="50"/>
      <c r="AO686" s="50"/>
    </row>
    <row r="687" ht="14.25" customHeight="1">
      <c r="AM687" s="50"/>
      <c r="AN687" s="50"/>
      <c r="AO687" s="50"/>
    </row>
    <row r="688" ht="14.25" customHeight="1">
      <c r="AM688" s="50"/>
      <c r="AN688" s="50"/>
      <c r="AO688" s="50"/>
    </row>
    <row r="689" ht="14.25" customHeight="1">
      <c r="AM689" s="50"/>
      <c r="AN689" s="50"/>
      <c r="AO689" s="50"/>
    </row>
    <row r="690" ht="14.25" customHeight="1">
      <c r="AM690" s="50"/>
      <c r="AN690" s="50"/>
      <c r="AO690" s="50"/>
    </row>
    <row r="691" ht="14.25" customHeight="1">
      <c r="AM691" s="50"/>
      <c r="AN691" s="50"/>
      <c r="AO691" s="50"/>
    </row>
    <row r="692" ht="14.25" customHeight="1">
      <c r="AM692" s="50"/>
      <c r="AN692" s="50"/>
      <c r="AO692" s="50"/>
    </row>
    <row r="693" ht="14.25" customHeight="1">
      <c r="AM693" s="50"/>
      <c r="AN693" s="50"/>
      <c r="AO693" s="50"/>
    </row>
    <row r="694" ht="14.25" customHeight="1">
      <c r="AM694" s="50"/>
      <c r="AN694" s="50"/>
      <c r="AO694" s="50"/>
    </row>
    <row r="695" ht="14.25" customHeight="1">
      <c r="AM695" s="50"/>
      <c r="AN695" s="50"/>
      <c r="AO695" s="50"/>
    </row>
    <row r="696" ht="14.25" customHeight="1">
      <c r="AM696" s="50"/>
      <c r="AN696" s="50"/>
      <c r="AO696" s="50"/>
    </row>
    <row r="697" ht="14.25" customHeight="1">
      <c r="AM697" s="50"/>
      <c r="AN697" s="50"/>
      <c r="AO697" s="50"/>
    </row>
    <row r="698" ht="14.25" customHeight="1">
      <c r="AM698" s="50"/>
      <c r="AN698" s="50"/>
      <c r="AO698" s="50"/>
    </row>
    <row r="699" ht="14.25" customHeight="1">
      <c r="AM699" s="50"/>
      <c r="AN699" s="50"/>
      <c r="AO699" s="50"/>
    </row>
    <row r="700" ht="14.25" customHeight="1">
      <c r="AM700" s="50"/>
      <c r="AN700" s="50"/>
      <c r="AO700" s="50"/>
    </row>
    <row r="701" ht="14.25" customHeight="1">
      <c r="AM701" s="50"/>
      <c r="AN701" s="50"/>
      <c r="AO701" s="50"/>
    </row>
    <row r="702" ht="14.25" customHeight="1">
      <c r="AM702" s="50"/>
      <c r="AN702" s="50"/>
      <c r="AO702" s="50"/>
    </row>
    <row r="703" ht="14.25" customHeight="1">
      <c r="AM703" s="50"/>
      <c r="AN703" s="50"/>
      <c r="AO703" s="50"/>
    </row>
    <row r="704" ht="14.25" customHeight="1">
      <c r="AM704" s="50"/>
      <c r="AN704" s="50"/>
      <c r="AO704" s="50"/>
    </row>
    <row r="705" ht="14.25" customHeight="1">
      <c r="AM705" s="50"/>
      <c r="AN705" s="50"/>
      <c r="AO705" s="50"/>
    </row>
    <row r="706" ht="14.25" customHeight="1">
      <c r="AM706" s="50"/>
      <c r="AN706" s="50"/>
      <c r="AO706" s="50"/>
    </row>
    <row r="707" ht="14.25" customHeight="1">
      <c r="AM707" s="50"/>
      <c r="AN707" s="50"/>
      <c r="AO707" s="50"/>
    </row>
    <row r="708" ht="14.25" customHeight="1">
      <c r="AM708" s="50"/>
      <c r="AN708" s="50"/>
      <c r="AO708" s="50"/>
    </row>
    <row r="709" ht="14.25" customHeight="1">
      <c r="AM709" s="50"/>
      <c r="AN709" s="50"/>
      <c r="AO709" s="50"/>
    </row>
    <row r="710" ht="14.25" customHeight="1">
      <c r="AM710" s="50"/>
      <c r="AN710" s="50"/>
      <c r="AO710" s="50"/>
    </row>
    <row r="711" ht="14.25" customHeight="1">
      <c r="AM711" s="50"/>
      <c r="AN711" s="50"/>
      <c r="AO711" s="50"/>
    </row>
    <row r="712" ht="14.25" customHeight="1">
      <c r="AM712" s="50"/>
      <c r="AN712" s="50"/>
      <c r="AO712" s="50"/>
    </row>
    <row r="713" ht="14.25" customHeight="1">
      <c r="AM713" s="50"/>
      <c r="AN713" s="50"/>
      <c r="AO713" s="50"/>
    </row>
    <row r="714" ht="14.25" customHeight="1">
      <c r="AM714" s="50"/>
      <c r="AN714" s="50"/>
      <c r="AO714" s="50"/>
    </row>
    <row r="715" ht="14.25" customHeight="1">
      <c r="AM715" s="50"/>
      <c r="AN715" s="50"/>
      <c r="AO715" s="50"/>
    </row>
    <row r="716" ht="14.25" customHeight="1">
      <c r="AM716" s="50"/>
      <c r="AN716" s="50"/>
      <c r="AO716" s="50"/>
    </row>
    <row r="717" ht="14.25" customHeight="1">
      <c r="AM717" s="50"/>
      <c r="AN717" s="50"/>
      <c r="AO717" s="50"/>
    </row>
    <row r="718" ht="14.25" customHeight="1">
      <c r="AM718" s="50"/>
      <c r="AN718" s="50"/>
      <c r="AO718" s="50"/>
    </row>
    <row r="719" ht="14.25" customHeight="1">
      <c r="AM719" s="50"/>
      <c r="AN719" s="50"/>
      <c r="AO719" s="50"/>
    </row>
    <row r="720" ht="14.25" customHeight="1">
      <c r="AM720" s="50"/>
      <c r="AN720" s="50"/>
      <c r="AO720" s="50"/>
    </row>
    <row r="721" ht="14.25" customHeight="1">
      <c r="AM721" s="50"/>
      <c r="AN721" s="50"/>
      <c r="AO721" s="50"/>
    </row>
    <row r="722" ht="14.25" customHeight="1">
      <c r="AM722" s="50"/>
      <c r="AN722" s="50"/>
      <c r="AO722" s="50"/>
    </row>
    <row r="723" ht="14.25" customHeight="1">
      <c r="AM723" s="50"/>
      <c r="AN723" s="50"/>
      <c r="AO723" s="50"/>
    </row>
    <row r="724" ht="14.25" customHeight="1">
      <c r="AM724" s="50"/>
      <c r="AN724" s="50"/>
      <c r="AO724" s="50"/>
    </row>
    <row r="725" ht="14.25" customHeight="1">
      <c r="AM725" s="50"/>
      <c r="AN725" s="50"/>
      <c r="AO725" s="50"/>
    </row>
    <row r="726" ht="14.25" customHeight="1">
      <c r="AM726" s="50"/>
      <c r="AN726" s="50"/>
      <c r="AO726" s="50"/>
    </row>
    <row r="727" ht="14.25" customHeight="1">
      <c r="AM727" s="50"/>
      <c r="AN727" s="50"/>
      <c r="AO727" s="50"/>
    </row>
    <row r="728" ht="14.25" customHeight="1">
      <c r="AM728" s="50"/>
      <c r="AN728" s="50"/>
      <c r="AO728" s="50"/>
    </row>
    <row r="729" ht="14.25" customHeight="1">
      <c r="AM729" s="50"/>
      <c r="AN729" s="50"/>
      <c r="AO729" s="50"/>
    </row>
    <row r="730" ht="14.25" customHeight="1">
      <c r="AM730" s="50"/>
      <c r="AN730" s="50"/>
      <c r="AO730" s="50"/>
    </row>
    <row r="731" ht="14.25" customHeight="1">
      <c r="AM731" s="50"/>
      <c r="AN731" s="50"/>
      <c r="AO731" s="50"/>
    </row>
    <row r="732" ht="14.25" customHeight="1">
      <c r="AM732" s="50"/>
      <c r="AN732" s="50"/>
      <c r="AO732" s="50"/>
    </row>
    <row r="733" ht="14.25" customHeight="1">
      <c r="AM733" s="50"/>
      <c r="AN733" s="50"/>
      <c r="AO733" s="50"/>
    </row>
    <row r="734" ht="14.25" customHeight="1">
      <c r="AM734" s="50"/>
      <c r="AN734" s="50"/>
      <c r="AO734" s="50"/>
    </row>
    <row r="735" ht="14.25" customHeight="1">
      <c r="AM735" s="50"/>
      <c r="AN735" s="50"/>
      <c r="AO735" s="50"/>
    </row>
    <row r="736" ht="14.25" customHeight="1">
      <c r="AM736" s="50"/>
      <c r="AN736" s="50"/>
      <c r="AO736" s="50"/>
    </row>
    <row r="737" ht="14.25" customHeight="1">
      <c r="AM737" s="50"/>
      <c r="AN737" s="50"/>
      <c r="AO737" s="50"/>
    </row>
    <row r="738" ht="14.25" customHeight="1">
      <c r="AM738" s="50"/>
      <c r="AN738" s="50"/>
      <c r="AO738" s="50"/>
    </row>
    <row r="739" ht="14.25" customHeight="1">
      <c r="AM739" s="50"/>
      <c r="AN739" s="50"/>
      <c r="AO739" s="50"/>
    </row>
    <row r="740" ht="14.25" customHeight="1">
      <c r="AM740" s="50"/>
      <c r="AN740" s="50"/>
      <c r="AO740" s="50"/>
    </row>
    <row r="741" ht="14.25" customHeight="1">
      <c r="AM741" s="50"/>
      <c r="AN741" s="50"/>
      <c r="AO741" s="50"/>
    </row>
    <row r="742" ht="14.25" customHeight="1">
      <c r="AM742" s="50"/>
      <c r="AN742" s="50"/>
      <c r="AO742" s="50"/>
    </row>
    <row r="743" ht="14.25" customHeight="1">
      <c r="AM743" s="50"/>
      <c r="AN743" s="50"/>
      <c r="AO743" s="50"/>
    </row>
    <row r="744" ht="14.25" customHeight="1">
      <c r="AM744" s="50"/>
      <c r="AN744" s="50"/>
      <c r="AO744" s="50"/>
    </row>
    <row r="745" ht="14.25" customHeight="1">
      <c r="AM745" s="50"/>
      <c r="AN745" s="50"/>
      <c r="AO745" s="50"/>
    </row>
    <row r="746" ht="14.25" customHeight="1">
      <c r="AM746" s="50"/>
      <c r="AN746" s="50"/>
      <c r="AO746" s="50"/>
    </row>
    <row r="747" ht="14.25" customHeight="1">
      <c r="AM747" s="50"/>
      <c r="AN747" s="50"/>
      <c r="AO747" s="50"/>
    </row>
    <row r="748" ht="14.25" customHeight="1">
      <c r="AM748" s="50"/>
      <c r="AN748" s="50"/>
      <c r="AO748" s="50"/>
    </row>
    <row r="749" ht="14.25" customHeight="1">
      <c r="AM749" s="50"/>
      <c r="AN749" s="50"/>
      <c r="AO749" s="50"/>
    </row>
    <row r="750" ht="14.25" customHeight="1">
      <c r="AM750" s="50"/>
      <c r="AN750" s="50"/>
      <c r="AO750" s="50"/>
    </row>
    <row r="751" ht="14.25" customHeight="1">
      <c r="AM751" s="50"/>
      <c r="AN751" s="50"/>
      <c r="AO751" s="50"/>
    </row>
    <row r="752" ht="14.25" customHeight="1">
      <c r="AM752" s="50"/>
      <c r="AN752" s="50"/>
      <c r="AO752" s="50"/>
    </row>
    <row r="753" ht="14.25" customHeight="1">
      <c r="AM753" s="50"/>
      <c r="AN753" s="50"/>
      <c r="AO753" s="50"/>
    </row>
    <row r="754" ht="14.25" customHeight="1">
      <c r="AM754" s="50"/>
      <c r="AN754" s="50"/>
      <c r="AO754" s="50"/>
    </row>
    <row r="755" ht="14.25" customHeight="1">
      <c r="AM755" s="50"/>
      <c r="AN755" s="50"/>
      <c r="AO755" s="50"/>
    </row>
    <row r="756" ht="14.25" customHeight="1">
      <c r="AM756" s="50"/>
      <c r="AN756" s="50"/>
      <c r="AO756" s="50"/>
    </row>
    <row r="757" ht="14.25" customHeight="1">
      <c r="AM757" s="50"/>
      <c r="AN757" s="50"/>
      <c r="AO757" s="50"/>
    </row>
    <row r="758" ht="14.25" customHeight="1">
      <c r="AM758" s="50"/>
      <c r="AN758" s="50"/>
      <c r="AO758" s="50"/>
    </row>
    <row r="759" ht="14.25" customHeight="1">
      <c r="AM759" s="50"/>
      <c r="AN759" s="50"/>
      <c r="AO759" s="50"/>
    </row>
    <row r="760" ht="14.25" customHeight="1">
      <c r="AM760" s="50"/>
      <c r="AN760" s="50"/>
      <c r="AO760" s="50"/>
    </row>
    <row r="761" ht="14.25" customHeight="1">
      <c r="AM761" s="50"/>
      <c r="AN761" s="50"/>
      <c r="AO761" s="50"/>
    </row>
    <row r="762" ht="14.25" customHeight="1">
      <c r="AM762" s="50"/>
      <c r="AN762" s="50"/>
      <c r="AO762" s="50"/>
    </row>
    <row r="763" ht="14.25" customHeight="1">
      <c r="AM763" s="50"/>
      <c r="AN763" s="50"/>
      <c r="AO763" s="50"/>
    </row>
    <row r="764" ht="14.25" customHeight="1">
      <c r="AM764" s="50"/>
      <c r="AN764" s="50"/>
      <c r="AO764" s="50"/>
    </row>
    <row r="765" ht="14.25" customHeight="1">
      <c r="AM765" s="50"/>
      <c r="AN765" s="50"/>
      <c r="AO765" s="50"/>
    </row>
    <row r="766" ht="14.25" customHeight="1">
      <c r="AM766" s="50"/>
      <c r="AN766" s="50"/>
      <c r="AO766" s="50"/>
    </row>
    <row r="767" ht="14.25" customHeight="1">
      <c r="AM767" s="50"/>
      <c r="AN767" s="50"/>
      <c r="AO767" s="50"/>
    </row>
    <row r="768" ht="14.25" customHeight="1">
      <c r="AM768" s="50"/>
      <c r="AN768" s="50"/>
      <c r="AO768" s="50"/>
    </row>
    <row r="769" ht="14.25" customHeight="1">
      <c r="AM769" s="50"/>
      <c r="AN769" s="50"/>
      <c r="AO769" s="50"/>
    </row>
    <row r="770" ht="14.25" customHeight="1">
      <c r="AM770" s="50"/>
      <c r="AN770" s="50"/>
      <c r="AO770" s="50"/>
    </row>
    <row r="771" ht="14.25" customHeight="1">
      <c r="AM771" s="50"/>
      <c r="AN771" s="50"/>
      <c r="AO771" s="50"/>
    </row>
    <row r="772" ht="14.25" customHeight="1">
      <c r="AM772" s="50"/>
      <c r="AN772" s="50"/>
      <c r="AO772" s="50"/>
    </row>
    <row r="773" ht="14.25" customHeight="1">
      <c r="AM773" s="50"/>
      <c r="AN773" s="50"/>
      <c r="AO773" s="50"/>
    </row>
    <row r="774" ht="14.25" customHeight="1">
      <c r="AM774" s="50"/>
      <c r="AN774" s="50"/>
      <c r="AO774" s="50"/>
    </row>
    <row r="775" ht="14.25" customHeight="1">
      <c r="AM775" s="50"/>
      <c r="AN775" s="50"/>
      <c r="AO775" s="50"/>
    </row>
    <row r="776" ht="14.25" customHeight="1">
      <c r="AM776" s="50"/>
      <c r="AN776" s="50"/>
      <c r="AO776" s="50"/>
    </row>
    <row r="777" ht="14.25" customHeight="1">
      <c r="AM777" s="50"/>
      <c r="AN777" s="50"/>
      <c r="AO777" s="50"/>
    </row>
    <row r="778" ht="14.25" customHeight="1">
      <c r="AM778" s="50"/>
      <c r="AN778" s="50"/>
      <c r="AO778" s="50"/>
    </row>
    <row r="779" ht="14.25" customHeight="1">
      <c r="AM779" s="50"/>
      <c r="AN779" s="50"/>
      <c r="AO779" s="50"/>
    </row>
    <row r="780" ht="14.25" customHeight="1">
      <c r="AM780" s="50"/>
      <c r="AN780" s="50"/>
      <c r="AO780" s="50"/>
    </row>
    <row r="781" ht="14.25" customHeight="1">
      <c r="AM781" s="50"/>
      <c r="AN781" s="50"/>
      <c r="AO781" s="50"/>
    </row>
    <row r="782" ht="14.25" customHeight="1">
      <c r="AM782" s="50"/>
      <c r="AN782" s="50"/>
      <c r="AO782" s="50"/>
    </row>
    <row r="783" ht="14.25" customHeight="1">
      <c r="AM783" s="50"/>
      <c r="AN783" s="50"/>
      <c r="AO783" s="50"/>
    </row>
    <row r="784" ht="14.25" customHeight="1">
      <c r="AM784" s="50"/>
      <c r="AN784" s="50"/>
      <c r="AO784" s="50"/>
    </row>
    <row r="785" ht="14.25" customHeight="1">
      <c r="AM785" s="50"/>
      <c r="AN785" s="50"/>
      <c r="AO785" s="50"/>
    </row>
    <row r="786" ht="14.25" customHeight="1">
      <c r="AM786" s="50"/>
      <c r="AN786" s="50"/>
      <c r="AO786" s="50"/>
    </row>
    <row r="787" ht="14.25" customHeight="1">
      <c r="AM787" s="50"/>
      <c r="AN787" s="50"/>
      <c r="AO787" s="50"/>
    </row>
    <row r="788" ht="14.25" customHeight="1">
      <c r="AM788" s="50"/>
      <c r="AN788" s="50"/>
      <c r="AO788" s="50"/>
    </row>
    <row r="789" ht="14.25" customHeight="1">
      <c r="AM789" s="50"/>
      <c r="AN789" s="50"/>
      <c r="AO789" s="50"/>
    </row>
    <row r="790" ht="14.25" customHeight="1">
      <c r="AM790" s="50"/>
      <c r="AN790" s="50"/>
      <c r="AO790" s="50"/>
    </row>
    <row r="791" ht="14.25" customHeight="1">
      <c r="AM791" s="50"/>
      <c r="AN791" s="50"/>
      <c r="AO791" s="50"/>
    </row>
    <row r="792" ht="14.25" customHeight="1">
      <c r="AM792" s="50"/>
      <c r="AN792" s="50"/>
      <c r="AO792" s="50"/>
    </row>
    <row r="793" ht="14.25" customHeight="1">
      <c r="AM793" s="50"/>
      <c r="AN793" s="50"/>
      <c r="AO793" s="50"/>
    </row>
    <row r="794" ht="14.25" customHeight="1">
      <c r="AM794" s="50"/>
      <c r="AN794" s="50"/>
      <c r="AO794" s="50"/>
    </row>
    <row r="795" ht="14.25" customHeight="1">
      <c r="AM795" s="50"/>
      <c r="AN795" s="50"/>
      <c r="AO795" s="50"/>
    </row>
    <row r="796" ht="14.25" customHeight="1">
      <c r="AM796" s="50"/>
      <c r="AN796" s="50"/>
      <c r="AO796" s="50"/>
    </row>
    <row r="797" ht="14.25" customHeight="1">
      <c r="AM797" s="50"/>
      <c r="AN797" s="50"/>
      <c r="AO797" s="50"/>
    </row>
    <row r="798" ht="14.25" customHeight="1">
      <c r="AM798" s="50"/>
      <c r="AN798" s="50"/>
      <c r="AO798" s="50"/>
    </row>
    <row r="799" ht="14.25" customHeight="1">
      <c r="AM799" s="50"/>
      <c r="AN799" s="50"/>
      <c r="AO799" s="50"/>
    </row>
    <row r="800" ht="14.25" customHeight="1">
      <c r="AM800" s="50"/>
      <c r="AN800" s="50"/>
      <c r="AO800" s="50"/>
    </row>
    <row r="801" ht="14.25" customHeight="1">
      <c r="AM801" s="50"/>
      <c r="AN801" s="50"/>
      <c r="AO801" s="50"/>
    </row>
    <row r="802" ht="14.25" customHeight="1">
      <c r="AM802" s="50"/>
      <c r="AN802" s="50"/>
      <c r="AO802" s="50"/>
    </row>
    <row r="803" ht="14.25" customHeight="1">
      <c r="AM803" s="50"/>
      <c r="AN803" s="50"/>
      <c r="AO803" s="50"/>
    </row>
    <row r="804" ht="14.25" customHeight="1">
      <c r="AM804" s="50"/>
      <c r="AN804" s="50"/>
      <c r="AO804" s="50"/>
    </row>
    <row r="805" ht="14.25" customHeight="1">
      <c r="AM805" s="50"/>
      <c r="AN805" s="50"/>
      <c r="AO805" s="50"/>
    </row>
    <row r="806" ht="14.25" customHeight="1">
      <c r="AM806" s="50"/>
      <c r="AN806" s="50"/>
      <c r="AO806" s="50"/>
    </row>
    <row r="807" ht="14.25" customHeight="1">
      <c r="AM807" s="50"/>
      <c r="AN807" s="50"/>
      <c r="AO807" s="50"/>
    </row>
    <row r="808" ht="14.25" customHeight="1">
      <c r="AM808" s="50"/>
      <c r="AN808" s="50"/>
      <c r="AO808" s="50"/>
    </row>
    <row r="809" ht="14.25" customHeight="1">
      <c r="AM809" s="50"/>
      <c r="AN809" s="50"/>
      <c r="AO809" s="50"/>
    </row>
    <row r="810" ht="14.25" customHeight="1">
      <c r="AM810" s="50"/>
      <c r="AN810" s="50"/>
      <c r="AO810" s="50"/>
    </row>
    <row r="811" ht="14.25" customHeight="1">
      <c r="AM811" s="50"/>
      <c r="AN811" s="50"/>
      <c r="AO811" s="50"/>
    </row>
    <row r="812" ht="14.25" customHeight="1">
      <c r="AM812" s="50"/>
      <c r="AN812" s="50"/>
      <c r="AO812" s="50"/>
    </row>
    <row r="813" ht="14.25" customHeight="1">
      <c r="AM813" s="50"/>
      <c r="AN813" s="50"/>
      <c r="AO813" s="50"/>
    </row>
    <row r="814" ht="14.25" customHeight="1">
      <c r="AM814" s="50"/>
      <c r="AN814" s="50"/>
      <c r="AO814" s="50"/>
    </row>
    <row r="815" ht="14.25" customHeight="1">
      <c r="AM815" s="50"/>
      <c r="AN815" s="50"/>
      <c r="AO815" s="50"/>
    </row>
    <row r="816" ht="14.25" customHeight="1">
      <c r="AM816" s="50"/>
      <c r="AN816" s="50"/>
      <c r="AO816" s="50"/>
    </row>
    <row r="817" ht="14.25" customHeight="1">
      <c r="AM817" s="50"/>
      <c r="AN817" s="50"/>
      <c r="AO817" s="50"/>
    </row>
    <row r="818" ht="14.25" customHeight="1">
      <c r="AM818" s="50"/>
      <c r="AN818" s="50"/>
      <c r="AO818" s="50"/>
    </row>
    <row r="819" ht="14.25" customHeight="1">
      <c r="AM819" s="50"/>
      <c r="AN819" s="50"/>
      <c r="AO819" s="50"/>
    </row>
    <row r="820" ht="14.25" customHeight="1">
      <c r="AM820" s="50"/>
      <c r="AN820" s="50"/>
      <c r="AO820" s="50"/>
    </row>
    <row r="821" ht="14.25" customHeight="1">
      <c r="AM821" s="50"/>
      <c r="AN821" s="50"/>
      <c r="AO821" s="50"/>
    </row>
    <row r="822" ht="14.25" customHeight="1">
      <c r="AM822" s="50"/>
      <c r="AN822" s="50"/>
      <c r="AO822" s="50"/>
    </row>
    <row r="823" ht="14.25" customHeight="1">
      <c r="AM823" s="50"/>
      <c r="AN823" s="50"/>
      <c r="AO823" s="50"/>
    </row>
    <row r="824" ht="14.25" customHeight="1">
      <c r="AM824" s="50"/>
      <c r="AN824" s="50"/>
      <c r="AO824" s="50"/>
    </row>
    <row r="825" ht="14.25" customHeight="1">
      <c r="AM825" s="50"/>
      <c r="AN825" s="50"/>
      <c r="AO825" s="50"/>
    </row>
    <row r="826" ht="14.25" customHeight="1">
      <c r="AM826" s="50"/>
      <c r="AN826" s="50"/>
      <c r="AO826" s="50"/>
    </row>
    <row r="827" ht="14.25" customHeight="1">
      <c r="AM827" s="50"/>
      <c r="AN827" s="50"/>
      <c r="AO827" s="50"/>
    </row>
    <row r="828" ht="14.25" customHeight="1">
      <c r="AM828" s="50"/>
      <c r="AN828" s="50"/>
      <c r="AO828" s="50"/>
    </row>
    <row r="829" ht="14.25" customHeight="1">
      <c r="AM829" s="50"/>
      <c r="AN829" s="50"/>
      <c r="AO829" s="50"/>
    </row>
    <row r="830" ht="14.25" customHeight="1">
      <c r="AM830" s="50"/>
      <c r="AN830" s="50"/>
      <c r="AO830" s="50"/>
    </row>
    <row r="831" ht="14.25" customHeight="1">
      <c r="AM831" s="50"/>
      <c r="AN831" s="50"/>
      <c r="AO831" s="50"/>
    </row>
    <row r="832" ht="14.25" customHeight="1">
      <c r="AM832" s="50"/>
      <c r="AN832" s="50"/>
      <c r="AO832" s="50"/>
    </row>
    <row r="833" ht="14.25" customHeight="1">
      <c r="AM833" s="50"/>
      <c r="AN833" s="50"/>
      <c r="AO833" s="50"/>
    </row>
    <row r="834" ht="14.25" customHeight="1">
      <c r="AM834" s="50"/>
      <c r="AN834" s="50"/>
      <c r="AO834" s="50"/>
    </row>
    <row r="835" ht="14.25" customHeight="1">
      <c r="AM835" s="50"/>
      <c r="AN835" s="50"/>
      <c r="AO835" s="50"/>
    </row>
    <row r="836" ht="14.25" customHeight="1">
      <c r="AM836" s="50"/>
      <c r="AN836" s="50"/>
      <c r="AO836" s="50"/>
    </row>
    <row r="837" ht="14.25" customHeight="1">
      <c r="AM837" s="50"/>
      <c r="AN837" s="50"/>
      <c r="AO837" s="50"/>
    </row>
    <row r="838" ht="14.25" customHeight="1">
      <c r="AM838" s="50"/>
      <c r="AN838" s="50"/>
      <c r="AO838" s="50"/>
    </row>
    <row r="839" ht="14.25" customHeight="1">
      <c r="AM839" s="50"/>
      <c r="AN839" s="50"/>
      <c r="AO839" s="50"/>
    </row>
    <row r="840" ht="14.25" customHeight="1">
      <c r="AM840" s="50"/>
      <c r="AN840" s="50"/>
      <c r="AO840" s="50"/>
    </row>
    <row r="841" ht="14.25" customHeight="1">
      <c r="AM841" s="50"/>
      <c r="AN841" s="50"/>
      <c r="AO841" s="50"/>
    </row>
    <row r="842" ht="14.25" customHeight="1">
      <c r="AM842" s="50"/>
      <c r="AN842" s="50"/>
      <c r="AO842" s="50"/>
    </row>
    <row r="843" ht="14.25" customHeight="1">
      <c r="AM843" s="50"/>
      <c r="AN843" s="50"/>
      <c r="AO843" s="50"/>
    </row>
    <row r="844" ht="14.25" customHeight="1">
      <c r="AM844" s="50"/>
      <c r="AN844" s="50"/>
      <c r="AO844" s="50"/>
    </row>
    <row r="845" ht="14.25" customHeight="1">
      <c r="AM845" s="50"/>
      <c r="AN845" s="50"/>
      <c r="AO845" s="50"/>
    </row>
    <row r="846" ht="14.25" customHeight="1">
      <c r="AM846" s="50"/>
      <c r="AN846" s="50"/>
      <c r="AO846" s="50"/>
    </row>
    <row r="847" ht="14.25" customHeight="1">
      <c r="AM847" s="50"/>
      <c r="AN847" s="50"/>
      <c r="AO847" s="50"/>
    </row>
    <row r="848" ht="14.25" customHeight="1">
      <c r="AM848" s="50"/>
      <c r="AN848" s="50"/>
      <c r="AO848" s="50"/>
    </row>
    <row r="849" ht="14.25" customHeight="1">
      <c r="AM849" s="50"/>
      <c r="AN849" s="50"/>
      <c r="AO849" s="50"/>
    </row>
    <row r="850" ht="14.25" customHeight="1">
      <c r="AM850" s="50"/>
      <c r="AN850" s="50"/>
      <c r="AO850" s="50"/>
    </row>
    <row r="851" ht="14.25" customHeight="1">
      <c r="AM851" s="50"/>
      <c r="AN851" s="50"/>
      <c r="AO851" s="50"/>
    </row>
    <row r="852" ht="14.25" customHeight="1">
      <c r="AM852" s="50"/>
      <c r="AN852" s="50"/>
      <c r="AO852" s="50"/>
    </row>
    <row r="853" ht="14.25" customHeight="1">
      <c r="AM853" s="50"/>
      <c r="AN853" s="50"/>
      <c r="AO853" s="50"/>
    </row>
    <row r="854" ht="14.25" customHeight="1">
      <c r="AM854" s="50"/>
      <c r="AN854" s="50"/>
      <c r="AO854" s="50"/>
    </row>
    <row r="855" ht="14.25" customHeight="1">
      <c r="AM855" s="50"/>
      <c r="AN855" s="50"/>
      <c r="AO855" s="50"/>
    </row>
    <row r="856" ht="14.25" customHeight="1">
      <c r="AM856" s="50"/>
      <c r="AN856" s="50"/>
      <c r="AO856" s="50"/>
    </row>
    <row r="857" ht="14.25" customHeight="1">
      <c r="AM857" s="50"/>
      <c r="AN857" s="50"/>
      <c r="AO857" s="50"/>
    </row>
    <row r="858" ht="14.25" customHeight="1">
      <c r="AM858" s="50"/>
      <c r="AN858" s="50"/>
      <c r="AO858" s="50"/>
    </row>
    <row r="859" ht="14.25" customHeight="1">
      <c r="AM859" s="50"/>
      <c r="AN859" s="50"/>
      <c r="AO859" s="50"/>
    </row>
    <row r="860" ht="14.25" customHeight="1">
      <c r="AM860" s="50"/>
      <c r="AN860" s="50"/>
      <c r="AO860" s="50"/>
    </row>
    <row r="861" ht="14.25" customHeight="1">
      <c r="AM861" s="50"/>
      <c r="AN861" s="50"/>
      <c r="AO861" s="50"/>
    </row>
    <row r="862" ht="14.25" customHeight="1">
      <c r="AM862" s="50"/>
      <c r="AN862" s="50"/>
      <c r="AO862" s="50"/>
    </row>
    <row r="863" ht="14.25" customHeight="1">
      <c r="AM863" s="50"/>
      <c r="AN863" s="50"/>
      <c r="AO863" s="50"/>
    </row>
    <row r="864" ht="14.25" customHeight="1">
      <c r="AM864" s="50"/>
      <c r="AN864" s="50"/>
      <c r="AO864" s="50"/>
    </row>
    <row r="865" ht="14.25" customHeight="1">
      <c r="AM865" s="50"/>
      <c r="AN865" s="50"/>
      <c r="AO865" s="50"/>
    </row>
    <row r="866" ht="14.25" customHeight="1">
      <c r="AM866" s="50"/>
      <c r="AN866" s="50"/>
      <c r="AO866" s="50"/>
    </row>
    <row r="867" ht="14.25" customHeight="1">
      <c r="AM867" s="50"/>
      <c r="AN867" s="50"/>
      <c r="AO867" s="50"/>
    </row>
    <row r="868" ht="14.25" customHeight="1">
      <c r="AM868" s="50"/>
      <c r="AN868" s="50"/>
      <c r="AO868" s="50"/>
    </row>
    <row r="869" ht="14.25" customHeight="1">
      <c r="AM869" s="50"/>
      <c r="AN869" s="50"/>
      <c r="AO869" s="50"/>
    </row>
    <row r="870" ht="14.25" customHeight="1">
      <c r="AM870" s="50"/>
      <c r="AN870" s="50"/>
      <c r="AO870" s="50"/>
    </row>
    <row r="871" ht="14.25" customHeight="1">
      <c r="AM871" s="50"/>
      <c r="AN871" s="50"/>
      <c r="AO871" s="50"/>
    </row>
    <row r="872" ht="14.25" customHeight="1">
      <c r="AM872" s="50"/>
      <c r="AN872" s="50"/>
      <c r="AO872" s="50"/>
    </row>
    <row r="873" ht="14.25" customHeight="1">
      <c r="AM873" s="50"/>
      <c r="AN873" s="50"/>
      <c r="AO873" s="50"/>
    </row>
    <row r="874" ht="14.25" customHeight="1">
      <c r="AM874" s="50"/>
      <c r="AN874" s="50"/>
      <c r="AO874" s="50"/>
    </row>
    <row r="875" ht="14.25" customHeight="1">
      <c r="AM875" s="50"/>
      <c r="AN875" s="50"/>
      <c r="AO875" s="50"/>
    </row>
    <row r="876" ht="14.25" customHeight="1">
      <c r="AM876" s="50"/>
      <c r="AN876" s="50"/>
      <c r="AO876" s="50"/>
    </row>
    <row r="877" ht="14.25" customHeight="1">
      <c r="AM877" s="50"/>
      <c r="AN877" s="50"/>
      <c r="AO877" s="50"/>
    </row>
    <row r="878" ht="14.25" customHeight="1">
      <c r="AM878" s="50"/>
      <c r="AN878" s="50"/>
      <c r="AO878" s="50"/>
    </row>
    <row r="879" ht="14.25" customHeight="1">
      <c r="AM879" s="50"/>
      <c r="AN879" s="50"/>
      <c r="AO879" s="50"/>
    </row>
    <row r="880" ht="14.25" customHeight="1">
      <c r="AM880" s="50"/>
      <c r="AN880" s="50"/>
      <c r="AO880" s="50"/>
    </row>
    <row r="881" ht="14.25" customHeight="1">
      <c r="AM881" s="50"/>
      <c r="AN881" s="50"/>
      <c r="AO881" s="50"/>
    </row>
    <row r="882" ht="14.25" customHeight="1">
      <c r="AM882" s="50"/>
      <c r="AN882" s="50"/>
      <c r="AO882" s="50"/>
    </row>
    <row r="883" ht="14.25" customHeight="1">
      <c r="AM883" s="50"/>
      <c r="AN883" s="50"/>
      <c r="AO883" s="50"/>
    </row>
    <row r="884" ht="14.25" customHeight="1">
      <c r="AM884" s="50"/>
      <c r="AN884" s="50"/>
      <c r="AO884" s="50"/>
    </row>
    <row r="885" ht="14.25" customHeight="1">
      <c r="AM885" s="50"/>
      <c r="AN885" s="50"/>
      <c r="AO885" s="50"/>
    </row>
    <row r="886" ht="14.25" customHeight="1">
      <c r="AM886" s="50"/>
      <c r="AN886" s="50"/>
      <c r="AO886" s="50"/>
    </row>
    <row r="887" ht="14.25" customHeight="1">
      <c r="AM887" s="50"/>
      <c r="AN887" s="50"/>
      <c r="AO887" s="50"/>
    </row>
    <row r="888" ht="14.25" customHeight="1">
      <c r="AM888" s="50"/>
      <c r="AN888" s="50"/>
      <c r="AO888" s="50"/>
    </row>
    <row r="889" ht="14.25" customHeight="1">
      <c r="AM889" s="50"/>
      <c r="AN889" s="50"/>
      <c r="AO889" s="50"/>
    </row>
    <row r="890" ht="14.25" customHeight="1">
      <c r="AM890" s="50"/>
      <c r="AN890" s="50"/>
      <c r="AO890" s="50"/>
    </row>
    <row r="891" ht="14.25" customHeight="1">
      <c r="AM891" s="50"/>
      <c r="AN891" s="50"/>
      <c r="AO891" s="50"/>
    </row>
    <row r="892" ht="14.25" customHeight="1">
      <c r="AM892" s="50"/>
      <c r="AN892" s="50"/>
      <c r="AO892" s="50"/>
    </row>
    <row r="893" ht="14.25" customHeight="1">
      <c r="AM893" s="50"/>
      <c r="AN893" s="50"/>
      <c r="AO893" s="50"/>
    </row>
    <row r="894" ht="14.25" customHeight="1">
      <c r="AM894" s="50"/>
      <c r="AN894" s="50"/>
      <c r="AO894" s="50"/>
    </row>
    <row r="895" ht="14.25" customHeight="1">
      <c r="AM895" s="50"/>
      <c r="AN895" s="50"/>
      <c r="AO895" s="50"/>
    </row>
    <row r="896" ht="14.25" customHeight="1">
      <c r="AM896" s="50"/>
      <c r="AN896" s="50"/>
      <c r="AO896" s="50"/>
    </row>
    <row r="897" ht="14.25" customHeight="1">
      <c r="AM897" s="50"/>
      <c r="AN897" s="50"/>
      <c r="AO897" s="50"/>
    </row>
    <row r="898" ht="14.25" customHeight="1">
      <c r="AM898" s="50"/>
      <c r="AN898" s="50"/>
      <c r="AO898" s="50"/>
    </row>
    <row r="899" ht="14.25" customHeight="1">
      <c r="AM899" s="50"/>
      <c r="AN899" s="50"/>
      <c r="AO899" s="50"/>
    </row>
    <row r="900" ht="14.25" customHeight="1">
      <c r="AM900" s="50"/>
      <c r="AN900" s="50"/>
      <c r="AO900" s="50"/>
    </row>
    <row r="901" ht="14.25" customHeight="1">
      <c r="AM901" s="50"/>
      <c r="AN901" s="50"/>
      <c r="AO901" s="50"/>
    </row>
    <row r="902" ht="14.25" customHeight="1">
      <c r="AM902" s="50"/>
      <c r="AN902" s="50"/>
      <c r="AO902" s="50"/>
    </row>
    <row r="903" ht="14.25" customHeight="1">
      <c r="AM903" s="50"/>
      <c r="AN903" s="50"/>
      <c r="AO903" s="50"/>
    </row>
    <row r="904" ht="14.25" customHeight="1">
      <c r="AM904" s="50"/>
      <c r="AN904" s="50"/>
      <c r="AO904" s="50"/>
    </row>
    <row r="905" ht="14.25" customHeight="1">
      <c r="AM905" s="50"/>
      <c r="AN905" s="50"/>
      <c r="AO905" s="50"/>
    </row>
    <row r="906" ht="14.25" customHeight="1">
      <c r="AM906" s="50"/>
      <c r="AN906" s="50"/>
      <c r="AO906" s="50"/>
    </row>
    <row r="907" ht="14.25" customHeight="1">
      <c r="AM907" s="50"/>
      <c r="AN907" s="50"/>
      <c r="AO907" s="50"/>
    </row>
    <row r="908" ht="14.25" customHeight="1">
      <c r="AM908" s="50"/>
      <c r="AN908" s="50"/>
      <c r="AO908" s="50"/>
    </row>
    <row r="909" ht="14.25" customHeight="1">
      <c r="AM909" s="50"/>
      <c r="AN909" s="50"/>
      <c r="AO909" s="50"/>
    </row>
    <row r="910" ht="14.25" customHeight="1">
      <c r="AM910" s="50"/>
      <c r="AN910" s="50"/>
      <c r="AO910" s="50"/>
    </row>
    <row r="911" ht="14.25" customHeight="1">
      <c r="AM911" s="50"/>
      <c r="AN911" s="50"/>
      <c r="AO911" s="50"/>
    </row>
    <row r="912" ht="14.25" customHeight="1">
      <c r="AM912" s="50"/>
      <c r="AN912" s="50"/>
      <c r="AO912" s="50"/>
    </row>
    <row r="913" ht="14.25" customHeight="1">
      <c r="AM913" s="50"/>
      <c r="AN913" s="50"/>
      <c r="AO913" s="50"/>
    </row>
    <row r="914" ht="14.25" customHeight="1">
      <c r="AM914" s="50"/>
      <c r="AN914" s="50"/>
      <c r="AO914" s="50"/>
    </row>
    <row r="915" ht="14.25" customHeight="1">
      <c r="AM915" s="50"/>
      <c r="AN915" s="50"/>
      <c r="AO915" s="50"/>
    </row>
    <row r="916" ht="14.25" customHeight="1">
      <c r="AM916" s="50"/>
      <c r="AN916" s="50"/>
      <c r="AO916" s="50"/>
    </row>
    <row r="917" ht="14.25" customHeight="1">
      <c r="AM917" s="50"/>
      <c r="AN917" s="50"/>
      <c r="AO917" s="50"/>
    </row>
    <row r="918" ht="14.25" customHeight="1">
      <c r="AM918" s="50"/>
      <c r="AN918" s="50"/>
      <c r="AO918" s="50"/>
    </row>
    <row r="919" ht="14.25" customHeight="1">
      <c r="AM919" s="50"/>
      <c r="AN919" s="50"/>
      <c r="AO919" s="50"/>
    </row>
    <row r="920" ht="14.25" customHeight="1">
      <c r="AM920" s="50"/>
      <c r="AN920" s="50"/>
      <c r="AO920" s="50"/>
    </row>
    <row r="921" ht="14.25" customHeight="1">
      <c r="AM921" s="50"/>
      <c r="AN921" s="50"/>
      <c r="AO921" s="50"/>
    </row>
    <row r="922" ht="14.25" customHeight="1">
      <c r="AM922" s="50"/>
      <c r="AN922" s="50"/>
      <c r="AO922" s="50"/>
    </row>
    <row r="923" ht="14.25" customHeight="1">
      <c r="AM923" s="50"/>
      <c r="AN923" s="50"/>
      <c r="AO923" s="50"/>
    </row>
    <row r="924" ht="14.25" customHeight="1">
      <c r="AM924" s="50"/>
      <c r="AN924" s="50"/>
      <c r="AO924" s="50"/>
    </row>
    <row r="925" ht="14.25" customHeight="1">
      <c r="AM925" s="50"/>
      <c r="AN925" s="50"/>
      <c r="AO925" s="50"/>
    </row>
    <row r="926" ht="14.25" customHeight="1">
      <c r="AM926" s="50"/>
      <c r="AN926" s="50"/>
      <c r="AO926" s="50"/>
    </row>
    <row r="927" ht="14.25" customHeight="1">
      <c r="AM927" s="50"/>
      <c r="AN927" s="50"/>
      <c r="AO927" s="50"/>
    </row>
    <row r="928" ht="14.25" customHeight="1">
      <c r="AM928" s="50"/>
      <c r="AN928" s="50"/>
      <c r="AO928" s="50"/>
    </row>
    <row r="929" ht="14.25" customHeight="1">
      <c r="AM929" s="50"/>
      <c r="AN929" s="50"/>
      <c r="AO929" s="50"/>
    </row>
    <row r="930" ht="14.25" customHeight="1">
      <c r="AM930" s="50"/>
      <c r="AN930" s="50"/>
      <c r="AO930" s="50"/>
    </row>
    <row r="931" ht="14.25" customHeight="1">
      <c r="AM931" s="50"/>
      <c r="AN931" s="50"/>
      <c r="AO931" s="50"/>
    </row>
    <row r="932" ht="14.25" customHeight="1">
      <c r="AM932" s="50"/>
      <c r="AN932" s="50"/>
      <c r="AO932" s="50"/>
    </row>
    <row r="933" ht="14.25" customHeight="1">
      <c r="AM933" s="50"/>
      <c r="AN933" s="50"/>
      <c r="AO933" s="50"/>
    </row>
    <row r="934" ht="14.25" customHeight="1">
      <c r="AM934" s="50"/>
      <c r="AN934" s="50"/>
      <c r="AO934" s="50"/>
    </row>
    <row r="935" ht="14.25" customHeight="1">
      <c r="AM935" s="50"/>
      <c r="AN935" s="50"/>
      <c r="AO935" s="50"/>
    </row>
    <row r="936" ht="14.25" customHeight="1">
      <c r="AM936" s="50"/>
      <c r="AN936" s="50"/>
      <c r="AO936" s="50"/>
    </row>
    <row r="937" ht="14.25" customHeight="1">
      <c r="AM937" s="50"/>
      <c r="AN937" s="50"/>
      <c r="AO937" s="50"/>
    </row>
    <row r="938" ht="14.25" customHeight="1">
      <c r="AM938" s="50"/>
      <c r="AN938" s="50"/>
      <c r="AO938" s="50"/>
    </row>
    <row r="939" ht="14.25" customHeight="1">
      <c r="AM939" s="50"/>
      <c r="AN939" s="50"/>
      <c r="AO939" s="50"/>
    </row>
    <row r="940" ht="14.25" customHeight="1">
      <c r="AM940" s="50"/>
      <c r="AN940" s="50"/>
      <c r="AO940" s="50"/>
    </row>
    <row r="941" ht="14.25" customHeight="1">
      <c r="AM941" s="50"/>
      <c r="AN941" s="50"/>
      <c r="AO941" s="50"/>
    </row>
    <row r="942" ht="14.25" customHeight="1">
      <c r="AM942" s="50"/>
      <c r="AN942" s="50"/>
      <c r="AO942" s="50"/>
    </row>
    <row r="943" ht="14.25" customHeight="1">
      <c r="AM943" s="50"/>
      <c r="AN943" s="50"/>
      <c r="AO943" s="50"/>
    </row>
    <row r="944" ht="14.25" customHeight="1">
      <c r="AM944" s="50"/>
      <c r="AN944" s="50"/>
      <c r="AO944" s="50"/>
    </row>
    <row r="945" ht="14.25" customHeight="1">
      <c r="AM945" s="50"/>
      <c r="AN945" s="50"/>
      <c r="AO945" s="50"/>
    </row>
    <row r="946" ht="14.25" customHeight="1">
      <c r="AM946" s="50"/>
      <c r="AN946" s="50"/>
      <c r="AO946" s="50"/>
    </row>
    <row r="947" ht="14.25" customHeight="1">
      <c r="AM947" s="50"/>
      <c r="AN947" s="50"/>
      <c r="AO947" s="50"/>
    </row>
    <row r="948" ht="14.25" customHeight="1">
      <c r="AM948" s="50"/>
      <c r="AN948" s="50"/>
      <c r="AO948" s="50"/>
    </row>
    <row r="949" ht="14.25" customHeight="1">
      <c r="AM949" s="50"/>
      <c r="AN949" s="50"/>
      <c r="AO949" s="50"/>
    </row>
    <row r="950" ht="14.25" customHeight="1">
      <c r="AM950" s="50"/>
      <c r="AN950" s="50"/>
      <c r="AO950" s="50"/>
    </row>
    <row r="951" ht="14.25" customHeight="1">
      <c r="AM951" s="50"/>
      <c r="AN951" s="50"/>
      <c r="AO951" s="50"/>
    </row>
    <row r="952" ht="14.25" customHeight="1">
      <c r="AM952" s="50"/>
      <c r="AN952" s="50"/>
      <c r="AO952" s="50"/>
    </row>
    <row r="953" ht="14.25" customHeight="1">
      <c r="AM953" s="50"/>
      <c r="AN953" s="50"/>
      <c r="AO953" s="50"/>
    </row>
    <row r="954" ht="14.25" customHeight="1">
      <c r="AM954" s="50"/>
      <c r="AN954" s="50"/>
      <c r="AO954" s="50"/>
    </row>
    <row r="955" ht="14.25" customHeight="1">
      <c r="AM955" s="50"/>
      <c r="AN955" s="50"/>
      <c r="AO955" s="50"/>
    </row>
    <row r="956" ht="14.25" customHeight="1">
      <c r="AM956" s="50"/>
      <c r="AN956" s="50"/>
      <c r="AO956" s="50"/>
    </row>
    <row r="957" ht="14.25" customHeight="1">
      <c r="AM957" s="50"/>
      <c r="AN957" s="50"/>
      <c r="AO957" s="50"/>
    </row>
    <row r="958" ht="14.25" customHeight="1">
      <c r="AM958" s="50"/>
      <c r="AN958" s="50"/>
      <c r="AO958" s="50"/>
    </row>
    <row r="959" ht="14.25" customHeight="1">
      <c r="AM959" s="50"/>
      <c r="AN959" s="50"/>
      <c r="AO959" s="50"/>
    </row>
    <row r="960" ht="14.25" customHeight="1">
      <c r="AM960" s="50"/>
      <c r="AN960" s="50"/>
      <c r="AO960" s="50"/>
    </row>
    <row r="961" ht="14.25" customHeight="1">
      <c r="AM961" s="50"/>
      <c r="AN961" s="50"/>
      <c r="AO961" s="50"/>
    </row>
    <row r="962" ht="14.25" customHeight="1">
      <c r="AM962" s="50"/>
      <c r="AN962" s="50"/>
      <c r="AO962" s="50"/>
    </row>
    <row r="963" ht="14.25" customHeight="1">
      <c r="AM963" s="50"/>
      <c r="AN963" s="50"/>
      <c r="AO963" s="50"/>
    </row>
    <row r="964" ht="14.25" customHeight="1">
      <c r="AM964" s="50"/>
      <c r="AN964" s="50"/>
      <c r="AO964" s="50"/>
    </row>
    <row r="965" ht="14.25" customHeight="1">
      <c r="AM965" s="50"/>
      <c r="AN965" s="50"/>
      <c r="AO965" s="50"/>
    </row>
    <row r="966" ht="14.25" customHeight="1">
      <c r="AM966" s="50"/>
      <c r="AN966" s="50"/>
      <c r="AO966" s="50"/>
    </row>
    <row r="967" ht="14.25" customHeight="1">
      <c r="AM967" s="50"/>
      <c r="AN967" s="50"/>
      <c r="AO967" s="50"/>
    </row>
    <row r="968" ht="14.25" customHeight="1">
      <c r="AM968" s="50"/>
      <c r="AN968" s="50"/>
      <c r="AO968" s="50"/>
    </row>
    <row r="969" ht="14.25" customHeight="1">
      <c r="AM969" s="50"/>
      <c r="AN969" s="50"/>
      <c r="AO969" s="50"/>
    </row>
    <row r="970" ht="14.25" customHeight="1">
      <c r="AM970" s="50"/>
      <c r="AN970" s="50"/>
      <c r="AO970" s="50"/>
    </row>
    <row r="971" ht="14.25" customHeight="1">
      <c r="AM971" s="50"/>
      <c r="AN971" s="50"/>
      <c r="AO971" s="50"/>
    </row>
    <row r="972" ht="14.25" customHeight="1">
      <c r="AM972" s="50"/>
      <c r="AN972" s="50"/>
      <c r="AO972" s="50"/>
    </row>
    <row r="973" ht="14.25" customHeight="1">
      <c r="AM973" s="50"/>
      <c r="AN973" s="50"/>
      <c r="AO973" s="50"/>
    </row>
    <row r="974" ht="14.25" customHeight="1">
      <c r="AM974" s="50"/>
      <c r="AN974" s="50"/>
      <c r="AO974" s="50"/>
    </row>
    <row r="975" ht="14.25" customHeight="1">
      <c r="AM975" s="50"/>
      <c r="AN975" s="50"/>
      <c r="AO975" s="50"/>
    </row>
    <row r="976" ht="14.25" customHeight="1">
      <c r="AM976" s="50"/>
      <c r="AN976" s="50"/>
      <c r="AO976" s="50"/>
    </row>
    <row r="977" ht="14.25" customHeight="1">
      <c r="AM977" s="50"/>
      <c r="AN977" s="50"/>
      <c r="AO977" s="50"/>
    </row>
    <row r="978" ht="14.25" customHeight="1">
      <c r="AM978" s="50"/>
      <c r="AN978" s="50"/>
      <c r="AO978" s="50"/>
    </row>
    <row r="979" ht="14.25" customHeight="1">
      <c r="AM979" s="50"/>
      <c r="AN979" s="50"/>
      <c r="AO979" s="50"/>
    </row>
    <row r="980" ht="14.25" customHeight="1">
      <c r="AM980" s="50"/>
      <c r="AN980" s="50"/>
      <c r="AO980" s="50"/>
    </row>
    <row r="981" ht="14.25" customHeight="1">
      <c r="AM981" s="50"/>
      <c r="AN981" s="50"/>
      <c r="AO981" s="50"/>
    </row>
    <row r="982" ht="14.25" customHeight="1">
      <c r="AM982" s="50"/>
      <c r="AN982" s="50"/>
      <c r="AO982" s="50"/>
    </row>
    <row r="983" ht="14.25" customHeight="1">
      <c r="AM983" s="50"/>
      <c r="AN983" s="50"/>
      <c r="AO983" s="50"/>
    </row>
    <row r="984" ht="14.25" customHeight="1">
      <c r="AM984" s="50"/>
      <c r="AN984" s="50"/>
      <c r="AO984" s="50"/>
    </row>
    <row r="985" ht="14.25" customHeight="1">
      <c r="AM985" s="50"/>
      <c r="AN985" s="50"/>
      <c r="AO985" s="50"/>
    </row>
    <row r="986" ht="14.25" customHeight="1">
      <c r="AM986" s="50"/>
      <c r="AN986" s="50"/>
      <c r="AO986" s="50"/>
    </row>
    <row r="987" ht="14.25" customHeight="1">
      <c r="AM987" s="50"/>
      <c r="AN987" s="50"/>
      <c r="AO987" s="50"/>
    </row>
    <row r="988" ht="14.25" customHeight="1">
      <c r="AM988" s="50"/>
      <c r="AN988" s="50"/>
      <c r="AO988" s="50"/>
    </row>
    <row r="989" ht="14.25" customHeight="1">
      <c r="AM989" s="50"/>
      <c r="AN989" s="50"/>
      <c r="AO989" s="50"/>
    </row>
    <row r="990" ht="14.25" customHeight="1">
      <c r="AM990" s="50"/>
      <c r="AN990" s="50"/>
      <c r="AO990" s="50"/>
    </row>
    <row r="991" ht="14.25" customHeight="1">
      <c r="AM991" s="50"/>
      <c r="AN991" s="50"/>
      <c r="AO991" s="50"/>
    </row>
    <row r="992" ht="14.25" customHeight="1">
      <c r="AM992" s="50"/>
      <c r="AN992" s="50"/>
      <c r="AO992" s="50"/>
    </row>
    <row r="993" ht="14.25" customHeight="1">
      <c r="AM993" s="50"/>
      <c r="AN993" s="50"/>
      <c r="AO993" s="50"/>
    </row>
    <row r="994" ht="14.25" customHeight="1">
      <c r="AM994" s="50"/>
      <c r="AN994" s="50"/>
      <c r="AO994" s="50"/>
    </row>
    <row r="995" ht="14.25" customHeight="1">
      <c r="AM995" s="50"/>
      <c r="AN995" s="50"/>
      <c r="AO995" s="50"/>
    </row>
    <row r="996" ht="14.25" customHeight="1">
      <c r="AM996" s="50"/>
      <c r="AN996" s="50"/>
      <c r="AO996" s="50"/>
    </row>
    <row r="997" ht="14.25" customHeight="1">
      <c r="AM997" s="50"/>
      <c r="AN997" s="50"/>
      <c r="AO997" s="50"/>
    </row>
    <row r="998" ht="14.25" customHeight="1">
      <c r="AM998" s="50"/>
      <c r="AN998" s="50"/>
      <c r="AO998" s="50"/>
    </row>
    <row r="999" ht="14.25" customHeight="1">
      <c r="AM999" s="50"/>
      <c r="AN999" s="50"/>
      <c r="AO999" s="50"/>
    </row>
  </sheetData>
  <hyperlinks>
    <hyperlink r:id="rId1" ref="AN2"/>
    <hyperlink r:id="rId2" ref="AN3"/>
    <hyperlink r:id="rId3" ref="AN4"/>
    <hyperlink r:id="rId4" ref="AN5"/>
    <hyperlink r:id="rId5" ref="AN6"/>
    <hyperlink r:id="rId6" ref="AN7"/>
    <hyperlink r:id="rId7" ref="AN8"/>
    <hyperlink r:id="rId8" ref="AN9"/>
    <hyperlink r:id="rId9" ref="AN10"/>
    <hyperlink r:id="rId10" ref="AN11"/>
    <hyperlink r:id="rId11" ref="AN12"/>
    <hyperlink r:id="rId12" ref="AN13"/>
    <hyperlink r:id="rId13" ref="AN15"/>
    <hyperlink r:id="rId14" ref="AN16"/>
    <hyperlink r:id="rId15" ref="AN20"/>
    <hyperlink r:id="rId16" ref="AN21"/>
    <hyperlink r:id="rId17" ref="AN22"/>
    <hyperlink r:id="rId18" ref="AN23"/>
    <hyperlink r:id="rId19" ref="AN24"/>
    <hyperlink r:id="rId20" ref="AN25"/>
    <hyperlink r:id="rId21" ref="AN35"/>
    <hyperlink r:id="rId22" ref="AN40"/>
    <hyperlink r:id="rId23" ref="AN72"/>
    <hyperlink r:id="rId24" ref="AN73"/>
    <hyperlink r:id="rId25" ref="AN74"/>
    <hyperlink r:id="rId26" ref="AN75"/>
    <hyperlink r:id="rId27" ref="AN76"/>
    <hyperlink r:id="rId28" ref="AN111"/>
    <hyperlink r:id="rId29" ref="AN112"/>
    <hyperlink r:id="rId30" ref="AN113"/>
    <hyperlink r:id="rId31" ref="AN114"/>
    <hyperlink r:id="rId32" ref="AN119"/>
  </hyperlinks>
  <drawing r:id="rId33"/>
  <tableParts count="1">
    <tablePart r:id="rId3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25"/>
    <col customWidth="1" min="19" max="24" width="27.63"/>
  </cols>
  <sheetData>
    <row r="1">
      <c r="A1" s="51" t="s">
        <v>1064</v>
      </c>
      <c r="B1" s="4" t="s">
        <v>6</v>
      </c>
      <c r="C1" s="52" t="s">
        <v>134</v>
      </c>
      <c r="D1" s="52" t="s">
        <v>1081</v>
      </c>
      <c r="E1" s="53" t="s">
        <v>139</v>
      </c>
      <c r="F1" s="53" t="s">
        <v>143</v>
      </c>
      <c r="G1" s="53" t="s">
        <v>150</v>
      </c>
      <c r="H1" s="53" t="s">
        <v>153</v>
      </c>
      <c r="I1" s="53" t="s">
        <v>156</v>
      </c>
      <c r="J1" s="53" t="s">
        <v>159</v>
      </c>
      <c r="K1" s="53" t="s">
        <v>162</v>
      </c>
      <c r="L1" s="53" t="s">
        <v>165</v>
      </c>
      <c r="M1" s="53" t="s">
        <v>168</v>
      </c>
      <c r="N1" s="53" t="s">
        <v>171</v>
      </c>
      <c r="O1" s="53" t="s">
        <v>174</v>
      </c>
      <c r="P1" s="53" t="s">
        <v>177</v>
      </c>
      <c r="Q1" s="53" t="s">
        <v>180</v>
      </c>
      <c r="R1" s="53" t="s">
        <v>183</v>
      </c>
      <c r="S1" s="53" t="s">
        <v>1082</v>
      </c>
      <c r="T1" s="53" t="s">
        <v>1083</v>
      </c>
      <c r="U1" s="53" t="s">
        <v>1084</v>
      </c>
      <c r="V1" s="53" t="s">
        <v>1085</v>
      </c>
      <c r="W1" s="52" t="s">
        <v>186</v>
      </c>
      <c r="X1" s="4" t="s">
        <v>147</v>
      </c>
    </row>
    <row r="2">
      <c r="A2" s="4" t="s">
        <v>1086</v>
      </c>
      <c r="B2" s="4" t="s">
        <v>1087</v>
      </c>
      <c r="C2" s="4">
        <v>1.0</v>
      </c>
      <c r="D2" s="54" t="s">
        <v>292</v>
      </c>
      <c r="E2" s="4" t="s">
        <v>1088</v>
      </c>
      <c r="F2" s="54" t="s">
        <v>534</v>
      </c>
      <c r="G2" s="4">
        <v>0.479</v>
      </c>
      <c r="H2" s="4">
        <v>0.489</v>
      </c>
      <c r="I2" s="54" t="s">
        <v>1089</v>
      </c>
      <c r="J2" s="54" t="s">
        <v>1090</v>
      </c>
      <c r="X2" s="55" t="str">
        <f>CALCULAR_NOMINAL_ASME(F2,G2:V2)</f>
        <v>#NAME?</v>
      </c>
    </row>
    <row r="3">
      <c r="A3" s="4" t="s">
        <v>1091</v>
      </c>
      <c r="B3" s="4" t="s">
        <v>1087</v>
      </c>
      <c r="C3" s="4">
        <v>2.0</v>
      </c>
      <c r="D3" s="54" t="s">
        <v>1092</v>
      </c>
      <c r="E3" s="4" t="s">
        <v>1088</v>
      </c>
      <c r="F3" s="54" t="s">
        <v>449</v>
      </c>
      <c r="G3" s="4">
        <v>0.345</v>
      </c>
      <c r="H3" s="4">
        <v>0.344</v>
      </c>
      <c r="I3" s="4">
        <v>0.347</v>
      </c>
      <c r="J3" s="54" t="s">
        <v>1093</v>
      </c>
      <c r="X3" s="55" t="str">
        <f t="shared" ref="X3:X1632" si="1">CALCULAR_NOMINAL_ASME(F3,G3:R3)</f>
        <v>#NAME?</v>
      </c>
    </row>
    <row r="4">
      <c r="A4" s="4" t="s">
        <v>1094</v>
      </c>
      <c r="B4" s="4" t="s">
        <v>1087</v>
      </c>
      <c r="C4" s="4">
        <v>3.0</v>
      </c>
      <c r="D4" s="54" t="s">
        <v>1095</v>
      </c>
      <c r="E4" s="4" t="s">
        <v>1088</v>
      </c>
      <c r="F4" s="56" t="s">
        <v>534</v>
      </c>
      <c r="G4" s="4">
        <v>0.355</v>
      </c>
      <c r="H4" s="4">
        <v>0.355</v>
      </c>
      <c r="I4" s="4">
        <v>0.355</v>
      </c>
      <c r="J4" s="4">
        <v>0.355</v>
      </c>
      <c r="X4" s="55" t="str">
        <f t="shared" si="1"/>
        <v>#NAME?</v>
      </c>
    </row>
    <row r="5">
      <c r="A5" s="4" t="s">
        <v>1096</v>
      </c>
      <c r="B5" s="4" t="s">
        <v>1087</v>
      </c>
      <c r="C5" s="4">
        <v>4.0</v>
      </c>
      <c r="D5" s="54" t="s">
        <v>1097</v>
      </c>
      <c r="E5" s="4" t="s">
        <v>1098</v>
      </c>
      <c r="F5" s="56" t="s">
        <v>449</v>
      </c>
      <c r="G5" s="54" t="s">
        <v>1099</v>
      </c>
      <c r="H5" s="54" t="s">
        <v>1100</v>
      </c>
      <c r="I5" s="54" t="s">
        <v>1101</v>
      </c>
      <c r="J5" s="54" t="s">
        <v>1102</v>
      </c>
      <c r="X5" s="55" t="str">
        <f t="shared" si="1"/>
        <v>#NAME?</v>
      </c>
    </row>
    <row r="6">
      <c r="A6" s="4" t="s">
        <v>1103</v>
      </c>
      <c r="B6" s="4" t="s">
        <v>1087</v>
      </c>
      <c r="C6" s="4">
        <v>5.0</v>
      </c>
      <c r="D6" s="54" t="s">
        <v>1097</v>
      </c>
      <c r="E6" s="4" t="s">
        <v>1098</v>
      </c>
      <c r="F6" s="4">
        <v>4.0</v>
      </c>
      <c r="G6" s="54" t="s">
        <v>1104</v>
      </c>
      <c r="H6" s="54" t="s">
        <v>1105</v>
      </c>
      <c r="I6" s="54" t="s">
        <v>1099</v>
      </c>
      <c r="J6" s="54" t="s">
        <v>1106</v>
      </c>
      <c r="X6" s="55" t="str">
        <f t="shared" si="1"/>
        <v>#NAME?</v>
      </c>
    </row>
    <row r="7">
      <c r="A7" s="4" t="s">
        <v>1107</v>
      </c>
      <c r="B7" s="4" t="s">
        <v>1087</v>
      </c>
      <c r="C7" s="4">
        <v>6.0</v>
      </c>
      <c r="D7" s="54" t="s">
        <v>1097</v>
      </c>
      <c r="E7" s="4" t="s">
        <v>1098</v>
      </c>
      <c r="F7" s="4">
        <v>4.0</v>
      </c>
      <c r="G7" s="54" t="s">
        <v>1108</v>
      </c>
      <c r="H7" s="54" t="s">
        <v>1109</v>
      </c>
      <c r="I7" s="54" t="s">
        <v>1110</v>
      </c>
      <c r="J7" s="54" t="s">
        <v>1111</v>
      </c>
      <c r="X7" s="55" t="str">
        <f t="shared" si="1"/>
        <v>#NAME?</v>
      </c>
    </row>
    <row r="8">
      <c r="A8" s="4" t="s">
        <v>1112</v>
      </c>
      <c r="B8" s="4" t="s">
        <v>1087</v>
      </c>
      <c r="C8" s="4">
        <v>7.0</v>
      </c>
      <c r="D8" s="54" t="s">
        <v>1113</v>
      </c>
      <c r="E8" s="4" t="s">
        <v>1088</v>
      </c>
      <c r="F8" s="54" t="s">
        <v>449</v>
      </c>
      <c r="G8" s="54" t="s">
        <v>1109</v>
      </c>
      <c r="H8" s="54" t="s">
        <v>1111</v>
      </c>
      <c r="I8" s="54" t="s">
        <v>1093</v>
      </c>
      <c r="J8" s="54" t="s">
        <v>1111</v>
      </c>
      <c r="X8" s="55" t="str">
        <f t="shared" si="1"/>
        <v>#NAME?</v>
      </c>
    </row>
    <row r="9">
      <c r="A9" s="4" t="s">
        <v>1114</v>
      </c>
      <c r="B9" s="4" t="s">
        <v>1087</v>
      </c>
      <c r="C9" s="4">
        <v>8.0</v>
      </c>
      <c r="D9" s="54" t="s">
        <v>399</v>
      </c>
      <c r="E9" s="4" t="s">
        <v>1088</v>
      </c>
      <c r="F9" s="54" t="s">
        <v>534</v>
      </c>
      <c r="G9" s="54" t="s">
        <v>1115</v>
      </c>
      <c r="H9" s="54" t="s">
        <v>1116</v>
      </c>
      <c r="I9" s="54" t="s">
        <v>1117</v>
      </c>
      <c r="J9" s="54" t="s">
        <v>1118</v>
      </c>
      <c r="X9" s="55" t="str">
        <f t="shared" si="1"/>
        <v>#NAME?</v>
      </c>
    </row>
    <row r="10">
      <c r="A10" s="4" t="s">
        <v>1119</v>
      </c>
      <c r="B10" s="4" t="s">
        <v>1087</v>
      </c>
      <c r="C10" s="4">
        <v>9.0</v>
      </c>
      <c r="D10" s="54" t="s">
        <v>399</v>
      </c>
      <c r="E10" s="4" t="s">
        <v>1088</v>
      </c>
      <c r="F10" s="54" t="s">
        <v>534</v>
      </c>
      <c r="G10" s="54" t="s">
        <v>1120</v>
      </c>
      <c r="H10" s="54" t="s">
        <v>1121</v>
      </c>
      <c r="I10" s="54" t="s">
        <v>1122</v>
      </c>
      <c r="J10" s="54" t="s">
        <v>1123</v>
      </c>
      <c r="X10" s="55" t="str">
        <f t="shared" si="1"/>
        <v>#NAME?</v>
      </c>
    </row>
    <row r="11">
      <c r="A11" s="4" t="s">
        <v>1124</v>
      </c>
      <c r="B11" s="4" t="s">
        <v>1087</v>
      </c>
      <c r="C11" s="4">
        <v>10.0</v>
      </c>
      <c r="D11" s="54" t="s">
        <v>405</v>
      </c>
      <c r="E11" s="4" t="s">
        <v>1088</v>
      </c>
      <c r="F11" s="54" t="s">
        <v>534</v>
      </c>
      <c r="G11" s="54" t="s">
        <v>1125</v>
      </c>
      <c r="H11" s="54" t="s">
        <v>1126</v>
      </c>
      <c r="I11" s="54" t="s">
        <v>1127</v>
      </c>
      <c r="J11" s="54" t="s">
        <v>1125</v>
      </c>
      <c r="X11" s="55" t="str">
        <f t="shared" si="1"/>
        <v>#NAME?</v>
      </c>
    </row>
    <row r="12">
      <c r="A12" s="4" t="s">
        <v>1128</v>
      </c>
      <c r="B12" s="4" t="s">
        <v>1087</v>
      </c>
      <c r="C12" s="4">
        <v>11.0</v>
      </c>
      <c r="D12" s="54" t="s">
        <v>449</v>
      </c>
      <c r="E12" s="4" t="s">
        <v>1088</v>
      </c>
      <c r="F12" s="54" t="s">
        <v>534</v>
      </c>
      <c r="G12" s="54" t="s">
        <v>1129</v>
      </c>
      <c r="H12" s="54" t="s">
        <v>1130</v>
      </c>
      <c r="I12" s="54" t="s">
        <v>1131</v>
      </c>
      <c r="J12" s="54" t="s">
        <v>1132</v>
      </c>
      <c r="X12" s="55" t="str">
        <f t="shared" si="1"/>
        <v>#NAME?</v>
      </c>
    </row>
    <row r="13">
      <c r="A13" s="4" t="s">
        <v>1133</v>
      </c>
      <c r="B13" s="4" t="s">
        <v>1087</v>
      </c>
      <c r="C13" s="4">
        <v>12.0</v>
      </c>
      <c r="D13" s="54" t="s">
        <v>443</v>
      </c>
      <c r="E13" s="4" t="s">
        <v>1088</v>
      </c>
      <c r="F13" s="54" t="s">
        <v>534</v>
      </c>
      <c r="G13" s="54" t="s">
        <v>1134</v>
      </c>
      <c r="H13" s="54" t="s">
        <v>1135</v>
      </c>
      <c r="I13" s="54" t="s">
        <v>1118</v>
      </c>
      <c r="J13" s="54" t="s">
        <v>1123</v>
      </c>
      <c r="X13" s="55" t="str">
        <f t="shared" si="1"/>
        <v>#NAME?</v>
      </c>
    </row>
    <row r="14">
      <c r="A14" s="4" t="s">
        <v>1136</v>
      </c>
      <c r="B14" s="4" t="s">
        <v>1087</v>
      </c>
      <c r="C14" s="4">
        <v>13.0</v>
      </c>
      <c r="D14" s="54" t="s">
        <v>357</v>
      </c>
      <c r="E14" s="4" t="s">
        <v>1088</v>
      </c>
      <c r="F14" s="54" t="s">
        <v>534</v>
      </c>
      <c r="G14" s="54" t="s">
        <v>1137</v>
      </c>
      <c r="H14" s="54" t="s">
        <v>1138</v>
      </c>
      <c r="I14" s="54" t="s">
        <v>1139</v>
      </c>
      <c r="J14" s="54" t="s">
        <v>1140</v>
      </c>
      <c r="X14" s="55" t="str">
        <f t="shared" si="1"/>
        <v>#NAME?</v>
      </c>
    </row>
    <row r="15">
      <c r="A15" s="4" t="s">
        <v>1141</v>
      </c>
      <c r="B15" s="4" t="s">
        <v>1087</v>
      </c>
      <c r="C15" s="4">
        <v>14.0</v>
      </c>
      <c r="D15" s="54" t="s">
        <v>529</v>
      </c>
      <c r="E15" s="4" t="s">
        <v>1088</v>
      </c>
      <c r="F15" s="54" t="s">
        <v>534</v>
      </c>
      <c r="G15" s="54" t="s">
        <v>1142</v>
      </c>
      <c r="H15" s="54" t="s">
        <v>1143</v>
      </c>
      <c r="I15" s="54" t="s">
        <v>1140</v>
      </c>
      <c r="J15" s="54" t="s">
        <v>1144</v>
      </c>
      <c r="X15" s="55" t="str">
        <f t="shared" si="1"/>
        <v>#NAME?</v>
      </c>
    </row>
    <row r="16">
      <c r="A16" s="4" t="s">
        <v>1145</v>
      </c>
      <c r="B16" s="4" t="s">
        <v>1087</v>
      </c>
      <c r="C16" s="4">
        <v>15.0</v>
      </c>
      <c r="D16" s="54" t="s">
        <v>534</v>
      </c>
      <c r="E16" s="4" t="s">
        <v>1088</v>
      </c>
      <c r="F16" s="54" t="s">
        <v>534</v>
      </c>
      <c r="G16" s="54" t="s">
        <v>1117</v>
      </c>
      <c r="H16" s="54" t="s">
        <v>1139</v>
      </c>
      <c r="I16" s="54" t="s">
        <v>1135</v>
      </c>
      <c r="J16" s="54" t="s">
        <v>1139</v>
      </c>
      <c r="X16" s="55" t="str">
        <f t="shared" si="1"/>
        <v>#NAME?</v>
      </c>
    </row>
    <row r="17">
      <c r="A17" s="4" t="s">
        <v>1146</v>
      </c>
      <c r="B17" s="4" t="s">
        <v>1087</v>
      </c>
      <c r="C17" s="4">
        <v>16.0</v>
      </c>
      <c r="D17" s="54" t="s">
        <v>540</v>
      </c>
      <c r="E17" s="4" t="s">
        <v>1088</v>
      </c>
      <c r="F17" s="54" t="s">
        <v>534</v>
      </c>
      <c r="G17" s="54" t="s">
        <v>1135</v>
      </c>
      <c r="H17" s="54" t="s">
        <v>1147</v>
      </c>
      <c r="I17" s="54" t="s">
        <v>1135</v>
      </c>
      <c r="J17" s="54" t="s">
        <v>1148</v>
      </c>
      <c r="X17" s="55" t="str">
        <f t="shared" si="1"/>
        <v>#NAME?</v>
      </c>
    </row>
    <row r="18">
      <c r="A18" s="4" t="s">
        <v>1149</v>
      </c>
      <c r="B18" s="4" t="s">
        <v>1087</v>
      </c>
      <c r="C18" s="4">
        <v>17.0</v>
      </c>
      <c r="D18" s="54" t="s">
        <v>546</v>
      </c>
      <c r="E18" s="4" t="s">
        <v>1088</v>
      </c>
      <c r="F18" s="54" t="s">
        <v>534</v>
      </c>
      <c r="G18" s="54" t="s">
        <v>1150</v>
      </c>
      <c r="H18" s="54" t="s">
        <v>1151</v>
      </c>
      <c r="I18" s="54" t="s">
        <v>1152</v>
      </c>
      <c r="J18" s="54" t="s">
        <v>1123</v>
      </c>
      <c r="X18" s="55" t="str">
        <f t="shared" si="1"/>
        <v>#NAME?</v>
      </c>
    </row>
    <row r="19">
      <c r="A19" s="4" t="s">
        <v>1153</v>
      </c>
      <c r="B19" s="4" t="s">
        <v>1087</v>
      </c>
      <c r="C19" s="4">
        <v>18.0</v>
      </c>
      <c r="D19" s="54" t="s">
        <v>546</v>
      </c>
      <c r="E19" s="4" t="s">
        <v>1088</v>
      </c>
      <c r="F19" s="54" t="s">
        <v>534</v>
      </c>
      <c r="G19" s="54" t="s">
        <v>1154</v>
      </c>
      <c r="H19" s="54" t="s">
        <v>1155</v>
      </c>
      <c r="I19" s="54" t="s">
        <v>1156</v>
      </c>
      <c r="J19" s="54" t="s">
        <v>1110</v>
      </c>
      <c r="X19" s="55" t="str">
        <f t="shared" si="1"/>
        <v>#NAME?</v>
      </c>
    </row>
    <row r="20">
      <c r="A20" s="4" t="s">
        <v>1157</v>
      </c>
      <c r="B20" s="4" t="s">
        <v>1087</v>
      </c>
      <c r="C20" s="4">
        <v>19.0</v>
      </c>
      <c r="D20" s="54" t="s">
        <v>573</v>
      </c>
      <c r="E20" s="4" t="s">
        <v>1088</v>
      </c>
      <c r="F20" s="54" t="s">
        <v>534</v>
      </c>
      <c r="G20" s="54" t="s">
        <v>1158</v>
      </c>
      <c r="H20" s="54" t="s">
        <v>1159</v>
      </c>
      <c r="I20" s="54" t="s">
        <v>1160</v>
      </c>
      <c r="J20" s="54" t="s">
        <v>1161</v>
      </c>
      <c r="X20" s="55" t="str">
        <f t="shared" si="1"/>
        <v>#NAME?</v>
      </c>
    </row>
    <row r="21">
      <c r="A21" s="4" t="s">
        <v>1162</v>
      </c>
      <c r="B21" s="4" t="s">
        <v>1087</v>
      </c>
      <c r="C21" s="4">
        <v>20.0</v>
      </c>
      <c r="D21" s="54" t="s">
        <v>573</v>
      </c>
      <c r="E21" s="4" t="s">
        <v>1088</v>
      </c>
      <c r="F21" s="54" t="s">
        <v>534</v>
      </c>
      <c r="G21" s="54" t="s">
        <v>1090</v>
      </c>
      <c r="H21" s="54" t="s">
        <v>1163</v>
      </c>
      <c r="I21" s="54" t="s">
        <v>1150</v>
      </c>
      <c r="J21" s="54" t="s">
        <v>1118</v>
      </c>
      <c r="X21" s="55" t="str">
        <f t="shared" si="1"/>
        <v>#NAME?</v>
      </c>
    </row>
    <row r="22">
      <c r="A22" s="4" t="s">
        <v>1164</v>
      </c>
      <c r="B22" s="4" t="s">
        <v>1087</v>
      </c>
      <c r="C22" s="4">
        <v>21.0</v>
      </c>
      <c r="D22" s="54" t="s">
        <v>611</v>
      </c>
      <c r="E22" s="4" t="s">
        <v>1088</v>
      </c>
      <c r="F22" s="54" t="s">
        <v>534</v>
      </c>
      <c r="G22" s="54" t="s">
        <v>1165</v>
      </c>
      <c r="H22" s="54" t="s">
        <v>1166</v>
      </c>
      <c r="I22" s="54" t="s">
        <v>1167</v>
      </c>
      <c r="J22" s="54" t="s">
        <v>1168</v>
      </c>
      <c r="X22" s="55" t="str">
        <f t="shared" si="1"/>
        <v>#NAME?</v>
      </c>
    </row>
    <row r="23">
      <c r="A23" s="4" t="s">
        <v>1169</v>
      </c>
      <c r="B23" s="4" t="s">
        <v>1087</v>
      </c>
      <c r="C23" s="4">
        <v>22.0</v>
      </c>
      <c r="D23" s="54" t="s">
        <v>626</v>
      </c>
      <c r="E23" s="4" t="s">
        <v>1098</v>
      </c>
      <c r="F23" s="54" t="s">
        <v>534</v>
      </c>
      <c r="G23" s="54" t="s">
        <v>1170</v>
      </c>
      <c r="H23" s="54" t="s">
        <v>1171</v>
      </c>
      <c r="I23" s="54" t="s">
        <v>1172</v>
      </c>
      <c r="J23" s="54" t="s">
        <v>1173</v>
      </c>
      <c r="X23" s="55" t="str">
        <f t="shared" si="1"/>
        <v>#NAME?</v>
      </c>
    </row>
    <row r="24">
      <c r="A24" s="4" t="s">
        <v>1174</v>
      </c>
      <c r="B24" s="4" t="s">
        <v>1087</v>
      </c>
      <c r="C24" s="4">
        <v>23.0</v>
      </c>
      <c r="D24" s="54" t="s">
        <v>626</v>
      </c>
      <c r="E24" s="4" t="s">
        <v>1098</v>
      </c>
      <c r="F24" s="54" t="s">
        <v>534</v>
      </c>
      <c r="G24" s="54" t="s">
        <v>1175</v>
      </c>
      <c r="H24" s="54" t="s">
        <v>1176</v>
      </c>
      <c r="I24" s="54" t="s">
        <v>1177</v>
      </c>
      <c r="J24" s="54" t="s">
        <v>1109</v>
      </c>
      <c r="X24" s="55" t="str">
        <f t="shared" si="1"/>
        <v>#NAME?</v>
      </c>
    </row>
    <row r="25">
      <c r="A25" s="4" t="s">
        <v>1178</v>
      </c>
      <c r="B25" s="4" t="s">
        <v>1087</v>
      </c>
      <c r="C25" s="4">
        <v>24.0</v>
      </c>
      <c r="D25" s="54" t="s">
        <v>626</v>
      </c>
      <c r="E25" s="4" t="s">
        <v>1098</v>
      </c>
      <c r="F25" s="54" t="s">
        <v>534</v>
      </c>
      <c r="G25" s="54" t="s">
        <v>1179</v>
      </c>
      <c r="H25" s="54" t="s">
        <v>1180</v>
      </c>
      <c r="I25" s="54" t="s">
        <v>1158</v>
      </c>
      <c r="J25" s="54" t="s">
        <v>1181</v>
      </c>
      <c r="X25" s="55" t="str">
        <f t="shared" si="1"/>
        <v>#NAME?</v>
      </c>
    </row>
    <row r="26">
      <c r="A26" s="4" t="s">
        <v>1182</v>
      </c>
      <c r="B26" s="4" t="s">
        <v>1087</v>
      </c>
      <c r="C26" s="4">
        <v>25.0</v>
      </c>
      <c r="D26" s="54" t="s">
        <v>632</v>
      </c>
      <c r="E26" s="4" t="s">
        <v>1088</v>
      </c>
      <c r="F26" s="54" t="s">
        <v>534</v>
      </c>
      <c r="G26" s="54" t="s">
        <v>1183</v>
      </c>
      <c r="H26" s="54" t="s">
        <v>1184</v>
      </c>
      <c r="I26" s="54" t="s">
        <v>1185</v>
      </c>
      <c r="J26" s="54" t="s">
        <v>1186</v>
      </c>
      <c r="X26" s="55" t="str">
        <f t="shared" si="1"/>
        <v>#NAME?</v>
      </c>
    </row>
    <row r="27">
      <c r="A27" s="4" t="s">
        <v>1187</v>
      </c>
      <c r="B27" s="4" t="s">
        <v>1087</v>
      </c>
      <c r="C27" s="4">
        <v>26.0</v>
      </c>
      <c r="D27" s="54" t="s">
        <v>637</v>
      </c>
      <c r="E27" s="4" t="s">
        <v>1088</v>
      </c>
      <c r="F27" s="54" t="s">
        <v>534</v>
      </c>
      <c r="G27" s="54" t="s">
        <v>1188</v>
      </c>
      <c r="H27" s="54" t="s">
        <v>1189</v>
      </c>
      <c r="I27" s="54" t="s">
        <v>1176</v>
      </c>
      <c r="J27" s="54" t="s">
        <v>1155</v>
      </c>
      <c r="X27" s="55" t="str">
        <f t="shared" si="1"/>
        <v>#NAME?</v>
      </c>
    </row>
    <row r="28">
      <c r="A28" s="4" t="s">
        <v>1190</v>
      </c>
      <c r="B28" s="4" t="s">
        <v>1087</v>
      </c>
      <c r="C28" s="4">
        <v>27.0</v>
      </c>
      <c r="D28" s="54" t="s">
        <v>274</v>
      </c>
      <c r="E28" s="4" t="s">
        <v>1191</v>
      </c>
      <c r="F28" s="54" t="s">
        <v>534</v>
      </c>
      <c r="G28" s="54" t="s">
        <v>1192</v>
      </c>
      <c r="H28" s="54" t="s">
        <v>1193</v>
      </c>
      <c r="I28" s="54" t="s">
        <v>1122</v>
      </c>
      <c r="J28" s="54" t="s">
        <v>1194</v>
      </c>
      <c r="X28" s="55" t="str">
        <f t="shared" si="1"/>
        <v>#NAME?</v>
      </c>
    </row>
    <row r="29">
      <c r="A29" s="4" t="s">
        <v>1195</v>
      </c>
      <c r="B29" s="4" t="s">
        <v>1087</v>
      </c>
      <c r="C29" s="4">
        <v>28.0</v>
      </c>
      <c r="D29" s="54" t="s">
        <v>274</v>
      </c>
      <c r="E29" s="4" t="s">
        <v>1191</v>
      </c>
      <c r="F29" s="54" t="s">
        <v>534</v>
      </c>
      <c r="G29" s="54" t="s">
        <v>1196</v>
      </c>
      <c r="H29" s="54" t="s">
        <v>1197</v>
      </c>
      <c r="I29" s="54" t="s">
        <v>1138</v>
      </c>
      <c r="J29" s="54" t="s">
        <v>1198</v>
      </c>
      <c r="X29" s="55" t="str">
        <f t="shared" si="1"/>
        <v>#NAME?</v>
      </c>
    </row>
    <row r="30">
      <c r="A30" s="4" t="s">
        <v>1199</v>
      </c>
      <c r="B30" s="4" t="s">
        <v>1087</v>
      </c>
      <c r="C30" s="4">
        <v>29.0</v>
      </c>
      <c r="D30" s="54" t="s">
        <v>274</v>
      </c>
      <c r="E30" s="4" t="s">
        <v>1191</v>
      </c>
      <c r="F30" s="54" t="s">
        <v>534</v>
      </c>
      <c r="G30" s="54" t="s">
        <v>1200</v>
      </c>
      <c r="H30" s="54" t="s">
        <v>1160</v>
      </c>
      <c r="I30" s="54" t="s">
        <v>1201</v>
      </c>
      <c r="J30" s="54" t="s">
        <v>1200</v>
      </c>
      <c r="X30" s="55" t="str">
        <f t="shared" si="1"/>
        <v>#NAME?</v>
      </c>
    </row>
    <row r="31">
      <c r="A31" s="4" t="s">
        <v>1202</v>
      </c>
      <c r="B31" s="4" t="s">
        <v>1087</v>
      </c>
      <c r="C31" s="4">
        <v>30.0</v>
      </c>
      <c r="D31" s="54" t="s">
        <v>274</v>
      </c>
      <c r="E31" s="4" t="s">
        <v>1191</v>
      </c>
      <c r="F31" s="54" t="s">
        <v>534</v>
      </c>
      <c r="G31" s="54" t="s">
        <v>1203</v>
      </c>
      <c r="H31" s="54" t="s">
        <v>1204</v>
      </c>
      <c r="I31" s="54" t="s">
        <v>1205</v>
      </c>
      <c r="J31" s="54" t="s">
        <v>1198</v>
      </c>
      <c r="X31" s="55" t="str">
        <f t="shared" si="1"/>
        <v>#NAME?</v>
      </c>
    </row>
    <row r="32">
      <c r="A32" s="4" t="s">
        <v>1206</v>
      </c>
      <c r="B32" s="4" t="s">
        <v>1087</v>
      </c>
      <c r="C32" s="4">
        <v>31.0</v>
      </c>
      <c r="D32" s="54" t="s">
        <v>673</v>
      </c>
      <c r="E32" s="4" t="s">
        <v>1088</v>
      </c>
      <c r="F32" s="54" t="s">
        <v>534</v>
      </c>
      <c r="G32" s="54" t="s">
        <v>1161</v>
      </c>
      <c r="H32" s="54" t="s">
        <v>1207</v>
      </c>
      <c r="I32" s="54" t="s">
        <v>1185</v>
      </c>
      <c r="J32" s="54" t="s">
        <v>1208</v>
      </c>
      <c r="X32" s="55" t="str">
        <f t="shared" si="1"/>
        <v>#NAME?</v>
      </c>
    </row>
    <row r="33">
      <c r="A33" s="4" t="s">
        <v>1209</v>
      </c>
      <c r="B33" s="4" t="s">
        <v>1087</v>
      </c>
      <c r="C33" s="4">
        <v>32.0</v>
      </c>
      <c r="D33" s="54" t="s">
        <v>683</v>
      </c>
      <c r="E33" s="4" t="s">
        <v>1088</v>
      </c>
      <c r="F33" s="54" t="s">
        <v>534</v>
      </c>
      <c r="G33" s="54" t="s">
        <v>1207</v>
      </c>
      <c r="H33" s="54" t="s">
        <v>1154</v>
      </c>
      <c r="I33" s="54" t="s">
        <v>1110</v>
      </c>
      <c r="J33" s="54" t="s">
        <v>1210</v>
      </c>
      <c r="X33" s="55" t="str">
        <f t="shared" si="1"/>
        <v>#NAME?</v>
      </c>
    </row>
    <row r="34">
      <c r="A34" s="4" t="s">
        <v>1211</v>
      </c>
      <c r="B34" s="4" t="s">
        <v>1087</v>
      </c>
      <c r="C34" s="4">
        <v>33.0</v>
      </c>
      <c r="D34" s="54" t="s">
        <v>694</v>
      </c>
      <c r="E34" s="4" t="s">
        <v>1098</v>
      </c>
      <c r="F34" s="54" t="s">
        <v>534</v>
      </c>
      <c r="G34" s="54" t="s">
        <v>1175</v>
      </c>
      <c r="H34" s="54" t="s">
        <v>1130</v>
      </c>
      <c r="I34" s="54" t="s">
        <v>1212</v>
      </c>
      <c r="J34" s="54" t="s">
        <v>1213</v>
      </c>
      <c r="X34" s="55" t="str">
        <f t="shared" si="1"/>
        <v>#NAME?</v>
      </c>
    </row>
    <row r="35">
      <c r="A35" s="4" t="s">
        <v>1214</v>
      </c>
      <c r="B35" s="4" t="s">
        <v>1087</v>
      </c>
      <c r="C35" s="4">
        <v>34.0</v>
      </c>
      <c r="D35" s="54" t="s">
        <v>694</v>
      </c>
      <c r="E35" s="4" t="s">
        <v>1098</v>
      </c>
      <c r="F35" s="54" t="s">
        <v>534</v>
      </c>
      <c r="G35" s="54" t="s">
        <v>1111</v>
      </c>
      <c r="H35" s="54" t="s">
        <v>1215</v>
      </c>
      <c r="I35" s="54" t="s">
        <v>1185</v>
      </c>
      <c r="J35" s="54" t="s">
        <v>1216</v>
      </c>
      <c r="X35" s="55" t="str">
        <f t="shared" si="1"/>
        <v>#NAME?</v>
      </c>
    </row>
    <row r="36">
      <c r="A36" s="4" t="s">
        <v>1217</v>
      </c>
      <c r="B36" s="4" t="s">
        <v>1087</v>
      </c>
      <c r="C36" s="4">
        <v>35.0</v>
      </c>
      <c r="D36" s="54" t="s">
        <v>694</v>
      </c>
      <c r="E36" s="4" t="s">
        <v>1098</v>
      </c>
      <c r="F36" s="54" t="s">
        <v>534</v>
      </c>
      <c r="G36" s="54" t="s">
        <v>1218</v>
      </c>
      <c r="H36" s="54" t="s">
        <v>1184</v>
      </c>
      <c r="I36" s="54" t="s">
        <v>1110</v>
      </c>
      <c r="J36" s="54" t="s">
        <v>1219</v>
      </c>
      <c r="X36" s="55" t="str">
        <f t="shared" si="1"/>
        <v>#NAME?</v>
      </c>
    </row>
    <row r="37">
      <c r="A37" s="4" t="s">
        <v>1220</v>
      </c>
      <c r="B37" s="4" t="s">
        <v>1087</v>
      </c>
      <c r="C37" s="4">
        <v>36.0</v>
      </c>
      <c r="D37" s="54" t="s">
        <v>287</v>
      </c>
      <c r="E37" s="4" t="s">
        <v>1088</v>
      </c>
      <c r="F37" s="54" t="s">
        <v>534</v>
      </c>
      <c r="G37" s="54" t="s">
        <v>1221</v>
      </c>
      <c r="H37" s="54" t="s">
        <v>1222</v>
      </c>
      <c r="I37" s="54" t="s">
        <v>1222</v>
      </c>
      <c r="J37" s="54" t="s">
        <v>1223</v>
      </c>
      <c r="X37" s="55" t="str">
        <f t="shared" si="1"/>
        <v>#NAME?</v>
      </c>
    </row>
    <row r="38">
      <c r="A38" s="4" t="s">
        <v>1224</v>
      </c>
      <c r="B38" s="4" t="s">
        <v>1087</v>
      </c>
      <c r="C38" s="4">
        <v>37.0</v>
      </c>
      <c r="D38" s="54" t="s">
        <v>421</v>
      </c>
      <c r="E38" s="4" t="s">
        <v>1088</v>
      </c>
      <c r="F38" s="54" t="s">
        <v>534</v>
      </c>
      <c r="G38" s="54" t="s">
        <v>1225</v>
      </c>
      <c r="H38" s="54" t="s">
        <v>1226</v>
      </c>
      <c r="I38" s="54" t="s">
        <v>1227</v>
      </c>
      <c r="J38" s="54" t="s">
        <v>1228</v>
      </c>
      <c r="X38" s="55" t="str">
        <f t="shared" si="1"/>
        <v>#NAME?</v>
      </c>
    </row>
    <row r="39">
      <c r="A39" s="4" t="s">
        <v>1229</v>
      </c>
      <c r="B39" s="4" t="s">
        <v>1087</v>
      </c>
      <c r="C39" s="4">
        <v>38.0</v>
      </c>
      <c r="D39" s="54" t="s">
        <v>737</v>
      </c>
      <c r="E39" s="4" t="s">
        <v>1191</v>
      </c>
      <c r="F39" s="54" t="s">
        <v>534</v>
      </c>
      <c r="G39" s="54" t="s">
        <v>1111</v>
      </c>
      <c r="H39" s="54" t="s">
        <v>1216</v>
      </c>
      <c r="I39" s="54" t="s">
        <v>1093</v>
      </c>
      <c r="J39" s="54" t="s">
        <v>1102</v>
      </c>
      <c r="X39" s="55" t="str">
        <f t="shared" si="1"/>
        <v>#NAME?</v>
      </c>
    </row>
    <row r="40">
      <c r="A40" s="4" t="s">
        <v>1230</v>
      </c>
      <c r="B40" s="4" t="s">
        <v>1087</v>
      </c>
      <c r="C40" s="4">
        <v>39.0</v>
      </c>
      <c r="D40" s="54" t="s">
        <v>737</v>
      </c>
      <c r="E40" s="4" t="s">
        <v>1191</v>
      </c>
      <c r="F40" s="54" t="s">
        <v>534</v>
      </c>
      <c r="G40" s="54" t="s">
        <v>1111</v>
      </c>
      <c r="H40" s="54" t="s">
        <v>1231</v>
      </c>
      <c r="I40" s="54" t="s">
        <v>1232</v>
      </c>
      <c r="J40" s="54" t="s">
        <v>1233</v>
      </c>
      <c r="X40" s="55" t="str">
        <f t="shared" si="1"/>
        <v>#NAME?</v>
      </c>
    </row>
    <row r="41">
      <c r="A41" s="4" t="s">
        <v>1234</v>
      </c>
      <c r="B41" s="4" t="s">
        <v>1087</v>
      </c>
      <c r="C41" s="4">
        <v>40.0</v>
      </c>
      <c r="D41" s="54" t="s">
        <v>737</v>
      </c>
      <c r="E41" s="4" t="s">
        <v>1191</v>
      </c>
      <c r="F41" s="54" t="s">
        <v>534</v>
      </c>
      <c r="G41" s="54" t="s">
        <v>1235</v>
      </c>
      <c r="H41" s="54" t="s">
        <v>1236</v>
      </c>
      <c r="I41" s="54" t="s">
        <v>1215</v>
      </c>
      <c r="J41" s="54" t="s">
        <v>1179</v>
      </c>
      <c r="X41" s="55" t="str">
        <f t="shared" si="1"/>
        <v>#NAME?</v>
      </c>
    </row>
    <row r="42">
      <c r="A42" s="4" t="s">
        <v>1237</v>
      </c>
      <c r="B42" s="4" t="s">
        <v>1087</v>
      </c>
      <c r="C42" s="4">
        <v>41.0</v>
      </c>
      <c r="D42" s="54" t="s">
        <v>737</v>
      </c>
      <c r="E42" s="4" t="s">
        <v>1191</v>
      </c>
      <c r="F42" s="54" t="s">
        <v>534</v>
      </c>
      <c r="G42" s="54" t="s">
        <v>1238</v>
      </c>
      <c r="H42" s="54" t="s">
        <v>1233</v>
      </c>
      <c r="I42" s="54" t="s">
        <v>1238</v>
      </c>
      <c r="J42" s="54" t="s">
        <v>1233</v>
      </c>
      <c r="X42" s="55" t="str">
        <f t="shared" si="1"/>
        <v>#NAME?</v>
      </c>
    </row>
    <row r="43">
      <c r="A43" s="4" t="s">
        <v>1239</v>
      </c>
      <c r="B43" s="4" t="s">
        <v>1087</v>
      </c>
      <c r="C43" s="4">
        <v>42.0</v>
      </c>
      <c r="D43" s="54" t="s">
        <v>807</v>
      </c>
      <c r="E43" s="4" t="s">
        <v>1088</v>
      </c>
      <c r="F43" s="54" t="s">
        <v>534</v>
      </c>
      <c r="G43" s="54" t="s">
        <v>1240</v>
      </c>
      <c r="H43" s="54" t="s">
        <v>1100</v>
      </c>
      <c r="I43" s="54" t="s">
        <v>1241</v>
      </c>
      <c r="J43" s="54" t="s">
        <v>1242</v>
      </c>
      <c r="X43" s="55" t="str">
        <f t="shared" si="1"/>
        <v>#NAME?</v>
      </c>
    </row>
    <row r="44">
      <c r="A44" s="54" t="s">
        <v>1243</v>
      </c>
      <c r="B44" s="4" t="s">
        <v>1087</v>
      </c>
      <c r="C44" s="4">
        <v>43.0</v>
      </c>
      <c r="D44" s="54" t="s">
        <v>963</v>
      </c>
      <c r="E44" s="4" t="s">
        <v>1088</v>
      </c>
      <c r="F44" s="54" t="s">
        <v>534</v>
      </c>
      <c r="G44" s="54" t="s">
        <v>1244</v>
      </c>
      <c r="H44" s="54" t="s">
        <v>1215</v>
      </c>
      <c r="I44" s="54" t="s">
        <v>1244</v>
      </c>
      <c r="J44" s="54" t="s">
        <v>1245</v>
      </c>
      <c r="X44" s="55" t="str">
        <f t="shared" si="1"/>
        <v>#NAME?</v>
      </c>
    </row>
    <row r="45">
      <c r="A45" s="4" t="s">
        <v>1246</v>
      </c>
      <c r="B45" s="4" t="s">
        <v>1087</v>
      </c>
      <c r="C45" s="4">
        <v>44.0</v>
      </c>
      <c r="D45" s="54" t="s">
        <v>963</v>
      </c>
      <c r="E45" s="4" t="s">
        <v>1088</v>
      </c>
      <c r="F45" s="54" t="s">
        <v>534</v>
      </c>
      <c r="G45" s="54" t="s">
        <v>1247</v>
      </c>
      <c r="H45" s="54" t="s">
        <v>1181</v>
      </c>
      <c r="I45" s="54" t="s">
        <v>1248</v>
      </c>
      <c r="J45" s="54" t="s">
        <v>1238</v>
      </c>
      <c r="X45" s="55" t="str">
        <f t="shared" si="1"/>
        <v>#NAME?</v>
      </c>
    </row>
    <row r="46">
      <c r="A46" s="4" t="s">
        <v>1249</v>
      </c>
      <c r="B46" s="4" t="s">
        <v>1087</v>
      </c>
      <c r="C46" s="4">
        <v>45.0</v>
      </c>
      <c r="D46" s="54" t="s">
        <v>971</v>
      </c>
      <c r="E46" s="4" t="s">
        <v>1088</v>
      </c>
      <c r="F46" s="54" t="s">
        <v>534</v>
      </c>
      <c r="G46" s="54" t="s">
        <v>1219</v>
      </c>
      <c r="H46" s="54" t="s">
        <v>1216</v>
      </c>
      <c r="I46" s="54" t="s">
        <v>1109</v>
      </c>
      <c r="J46" s="54" t="s">
        <v>1159</v>
      </c>
      <c r="X46" s="55" t="str">
        <f t="shared" si="1"/>
        <v>#NAME?</v>
      </c>
    </row>
    <row r="47">
      <c r="A47" s="4" t="s">
        <v>1250</v>
      </c>
      <c r="B47" s="4" t="s">
        <v>1087</v>
      </c>
      <c r="C47" s="4">
        <v>46.0</v>
      </c>
      <c r="D47" s="54" t="s">
        <v>809</v>
      </c>
      <c r="E47" s="4" t="s">
        <v>1251</v>
      </c>
      <c r="F47" s="54" t="s">
        <v>534</v>
      </c>
      <c r="G47" s="54" t="s">
        <v>1252</v>
      </c>
      <c r="H47" s="54" t="s">
        <v>1253</v>
      </c>
      <c r="I47" s="54" t="s">
        <v>1173</v>
      </c>
      <c r="J47" s="54" t="s">
        <v>1254</v>
      </c>
      <c r="X47" s="55" t="str">
        <f t="shared" si="1"/>
        <v>#NAME?</v>
      </c>
    </row>
    <row r="48">
      <c r="A48" s="54" t="s">
        <v>1255</v>
      </c>
      <c r="B48" s="4" t="s">
        <v>1087</v>
      </c>
      <c r="C48" s="4">
        <v>47.0</v>
      </c>
      <c r="D48" s="54" t="s">
        <v>481</v>
      </c>
      <c r="E48" s="4" t="s">
        <v>1251</v>
      </c>
      <c r="F48" s="54" t="s">
        <v>357</v>
      </c>
      <c r="G48" s="54" t="s">
        <v>1256</v>
      </c>
      <c r="H48" s="54" t="s">
        <v>1257</v>
      </c>
      <c r="I48" s="54" t="s">
        <v>1258</v>
      </c>
      <c r="J48" s="54" t="s">
        <v>1259</v>
      </c>
      <c r="X48" s="55" t="str">
        <f t="shared" si="1"/>
        <v>#NAME?</v>
      </c>
    </row>
    <row r="49">
      <c r="A49" s="4" t="s">
        <v>1260</v>
      </c>
      <c r="B49" s="4" t="s">
        <v>1087</v>
      </c>
      <c r="C49" s="4">
        <v>48.0</v>
      </c>
      <c r="D49" s="4" t="s">
        <v>1261</v>
      </c>
      <c r="E49" s="4" t="s">
        <v>1251</v>
      </c>
      <c r="F49" s="54" t="s">
        <v>534</v>
      </c>
      <c r="G49" s="54" t="s">
        <v>1262</v>
      </c>
      <c r="H49" s="54" t="s">
        <v>1263</v>
      </c>
      <c r="I49" s="54" t="s">
        <v>1264</v>
      </c>
      <c r="J49" s="54" t="s">
        <v>1265</v>
      </c>
      <c r="X49" s="55" t="str">
        <f t="shared" si="1"/>
        <v>#NAME?</v>
      </c>
    </row>
    <row r="50">
      <c r="A50" s="4" t="s">
        <v>1266</v>
      </c>
      <c r="B50" s="4" t="s">
        <v>1087</v>
      </c>
      <c r="C50" s="4">
        <v>49.0</v>
      </c>
      <c r="D50" s="4" t="s">
        <v>1267</v>
      </c>
      <c r="E50" s="4" t="s">
        <v>1251</v>
      </c>
      <c r="F50" s="54" t="s">
        <v>357</v>
      </c>
      <c r="G50" s="54" t="s">
        <v>1200</v>
      </c>
      <c r="H50" s="54" t="s">
        <v>1099</v>
      </c>
      <c r="I50" s="54" t="s">
        <v>1099</v>
      </c>
      <c r="J50" s="54" t="s">
        <v>1253</v>
      </c>
      <c r="X50" s="55" t="str">
        <f t="shared" si="1"/>
        <v>#NAME?</v>
      </c>
    </row>
    <row r="51">
      <c r="A51" s="4" t="s">
        <v>1268</v>
      </c>
      <c r="B51" s="4" t="s">
        <v>1087</v>
      </c>
      <c r="C51" s="4">
        <v>50.0</v>
      </c>
      <c r="D51" s="4" t="s">
        <v>1269</v>
      </c>
      <c r="E51" s="4" t="s">
        <v>1088</v>
      </c>
      <c r="F51" s="54" t="s">
        <v>357</v>
      </c>
      <c r="G51" s="54" t="s">
        <v>1215</v>
      </c>
      <c r="H51" s="54" t="s">
        <v>1100</v>
      </c>
      <c r="I51" s="54" t="s">
        <v>1176</v>
      </c>
      <c r="J51" s="54" t="s">
        <v>1235</v>
      </c>
      <c r="X51" s="55" t="str">
        <f t="shared" si="1"/>
        <v>#NAME?</v>
      </c>
    </row>
    <row r="52">
      <c r="A52" s="4" t="s">
        <v>1270</v>
      </c>
      <c r="B52" s="4" t="s">
        <v>1087</v>
      </c>
      <c r="C52" s="4">
        <v>51.0</v>
      </c>
      <c r="D52" s="4" t="s">
        <v>1271</v>
      </c>
      <c r="E52" s="4" t="s">
        <v>1088</v>
      </c>
      <c r="F52" s="54" t="s">
        <v>357</v>
      </c>
      <c r="G52" s="54" t="s">
        <v>1156</v>
      </c>
      <c r="H52" s="54" t="s">
        <v>1156</v>
      </c>
      <c r="I52" s="54" t="s">
        <v>1100</v>
      </c>
      <c r="J52" s="54" t="s">
        <v>1176</v>
      </c>
      <c r="X52" s="55" t="str">
        <f t="shared" si="1"/>
        <v>#NAME?</v>
      </c>
    </row>
    <row r="53">
      <c r="A53" s="4" t="s">
        <v>1272</v>
      </c>
      <c r="B53" s="4" t="s">
        <v>1087</v>
      </c>
      <c r="C53" s="4">
        <v>52.0</v>
      </c>
      <c r="D53" s="4" t="s">
        <v>1273</v>
      </c>
      <c r="E53" s="4" t="s">
        <v>1098</v>
      </c>
      <c r="F53" s="54" t="s">
        <v>357</v>
      </c>
      <c r="G53" s="54" t="s">
        <v>1120</v>
      </c>
      <c r="H53" s="54" t="s">
        <v>1274</v>
      </c>
      <c r="I53" s="54" t="s">
        <v>1275</v>
      </c>
      <c r="J53" s="54" t="s">
        <v>1276</v>
      </c>
      <c r="X53" s="55" t="str">
        <f t="shared" si="1"/>
        <v>#NAME?</v>
      </c>
    </row>
    <row r="54">
      <c r="A54" s="4" t="s">
        <v>1277</v>
      </c>
      <c r="B54" s="4" t="s">
        <v>1087</v>
      </c>
      <c r="C54" s="4">
        <v>53.0</v>
      </c>
      <c r="D54" s="4" t="s">
        <v>1278</v>
      </c>
      <c r="E54" s="4" t="s">
        <v>1098</v>
      </c>
      <c r="F54" s="54" t="s">
        <v>357</v>
      </c>
      <c r="G54" s="54" t="s">
        <v>1279</v>
      </c>
      <c r="H54" s="54" t="s">
        <v>1280</v>
      </c>
      <c r="I54" s="54" t="s">
        <v>1121</v>
      </c>
      <c r="J54" s="54" t="s">
        <v>1276</v>
      </c>
      <c r="X54" s="55" t="str">
        <f t="shared" si="1"/>
        <v>#NAME?</v>
      </c>
    </row>
    <row r="55">
      <c r="A55" s="4" t="s">
        <v>1281</v>
      </c>
      <c r="B55" s="4" t="s">
        <v>1087</v>
      </c>
      <c r="C55" s="4">
        <v>54.0</v>
      </c>
      <c r="D55" s="4" t="s">
        <v>1282</v>
      </c>
      <c r="E55" s="4" t="s">
        <v>1098</v>
      </c>
      <c r="F55" s="54" t="s">
        <v>357</v>
      </c>
      <c r="G55" s="54" t="s">
        <v>1283</v>
      </c>
      <c r="H55" s="54" t="s">
        <v>1284</v>
      </c>
      <c r="I55" s="54" t="s">
        <v>1151</v>
      </c>
      <c r="J55" s="54" t="s">
        <v>1144</v>
      </c>
      <c r="X55" s="55" t="str">
        <f t="shared" si="1"/>
        <v>#NAME?</v>
      </c>
    </row>
    <row r="56">
      <c r="A56" s="4" t="s">
        <v>1285</v>
      </c>
      <c r="B56" s="4" t="s">
        <v>1087</v>
      </c>
      <c r="C56" s="4">
        <v>55.0</v>
      </c>
      <c r="D56" s="4" t="s">
        <v>1286</v>
      </c>
      <c r="E56" s="4" t="s">
        <v>1088</v>
      </c>
      <c r="F56" s="54" t="s">
        <v>357</v>
      </c>
      <c r="G56" s="54" t="s">
        <v>1287</v>
      </c>
      <c r="H56" s="54" t="s">
        <v>1287</v>
      </c>
      <c r="I56" s="54" t="s">
        <v>1288</v>
      </c>
      <c r="J56" s="54" t="s">
        <v>1289</v>
      </c>
      <c r="X56" s="55" t="str">
        <f t="shared" si="1"/>
        <v>#NAME?</v>
      </c>
    </row>
    <row r="57">
      <c r="A57" s="4" t="s">
        <v>1290</v>
      </c>
      <c r="B57" s="4" t="s">
        <v>1087</v>
      </c>
      <c r="C57" s="4">
        <v>56.0</v>
      </c>
      <c r="D57" s="4" t="s">
        <v>1291</v>
      </c>
      <c r="E57" s="4" t="s">
        <v>1088</v>
      </c>
      <c r="F57" s="54" t="s">
        <v>357</v>
      </c>
      <c r="G57" s="54" t="s">
        <v>1292</v>
      </c>
      <c r="H57" s="54" t="s">
        <v>1205</v>
      </c>
      <c r="I57" s="54" t="s">
        <v>1292</v>
      </c>
      <c r="J57" s="54" t="s">
        <v>1293</v>
      </c>
      <c r="X57" s="55" t="str">
        <f t="shared" si="1"/>
        <v>#NAME?</v>
      </c>
    </row>
    <row r="58">
      <c r="A58" s="4" t="s">
        <v>1294</v>
      </c>
      <c r="B58" s="4" t="s">
        <v>1087</v>
      </c>
      <c r="C58" s="4">
        <v>57.0</v>
      </c>
      <c r="D58" s="4" t="s">
        <v>1295</v>
      </c>
      <c r="E58" s="4" t="s">
        <v>1296</v>
      </c>
      <c r="F58" s="54" t="s">
        <v>357</v>
      </c>
      <c r="G58" s="54" t="s">
        <v>1297</v>
      </c>
      <c r="H58" s="54" t="s">
        <v>1298</v>
      </c>
      <c r="I58" s="54" t="s">
        <v>1299</v>
      </c>
      <c r="J58" s="54" t="s">
        <v>1300</v>
      </c>
      <c r="X58" s="55" t="str">
        <f t="shared" si="1"/>
        <v>#NAME?</v>
      </c>
    </row>
    <row r="59">
      <c r="A59" s="4" t="s">
        <v>1301</v>
      </c>
      <c r="B59" s="4" t="s">
        <v>1087</v>
      </c>
      <c r="C59" s="4">
        <v>58.0</v>
      </c>
      <c r="D59" s="4" t="s">
        <v>1302</v>
      </c>
      <c r="E59" s="4" t="s">
        <v>1296</v>
      </c>
      <c r="F59" s="54" t="s">
        <v>357</v>
      </c>
      <c r="G59" s="54" t="s">
        <v>1198</v>
      </c>
      <c r="H59" s="54" t="s">
        <v>1144</v>
      </c>
      <c r="I59" s="54" t="s">
        <v>1303</v>
      </c>
      <c r="J59" s="54" t="s">
        <v>1304</v>
      </c>
      <c r="X59" s="55" t="str">
        <f t="shared" si="1"/>
        <v>#NAME?</v>
      </c>
    </row>
    <row r="60">
      <c r="A60" s="4" t="s">
        <v>1305</v>
      </c>
      <c r="B60" s="4" t="s">
        <v>1087</v>
      </c>
      <c r="C60" s="4">
        <v>59.0</v>
      </c>
      <c r="D60" s="4" t="s">
        <v>1306</v>
      </c>
      <c r="E60" s="4" t="s">
        <v>1296</v>
      </c>
      <c r="F60" s="54" t="s">
        <v>357</v>
      </c>
      <c r="G60" s="54" t="s">
        <v>1283</v>
      </c>
      <c r="H60" s="54" t="s">
        <v>1307</v>
      </c>
      <c r="I60" s="54" t="s">
        <v>1308</v>
      </c>
      <c r="J60" s="54" t="s">
        <v>1309</v>
      </c>
      <c r="X60" s="55" t="str">
        <f t="shared" si="1"/>
        <v>#NAME?</v>
      </c>
    </row>
    <row r="61">
      <c r="A61" s="4" t="s">
        <v>1310</v>
      </c>
      <c r="B61" s="4" t="s">
        <v>1087</v>
      </c>
      <c r="C61" s="4">
        <v>60.0</v>
      </c>
      <c r="D61" s="4" t="s">
        <v>1311</v>
      </c>
      <c r="E61" s="4" t="s">
        <v>1296</v>
      </c>
      <c r="F61" s="54" t="s">
        <v>357</v>
      </c>
      <c r="G61" s="54" t="s">
        <v>1312</v>
      </c>
      <c r="H61" s="54" t="s">
        <v>1313</v>
      </c>
      <c r="I61" s="54" t="s">
        <v>1127</v>
      </c>
      <c r="J61" s="54" t="s">
        <v>1314</v>
      </c>
      <c r="X61" s="55" t="str">
        <f t="shared" si="1"/>
        <v>#NAME?</v>
      </c>
    </row>
    <row r="62">
      <c r="A62" s="4" t="s">
        <v>1315</v>
      </c>
      <c r="B62" s="4" t="s">
        <v>1087</v>
      </c>
      <c r="C62" s="4">
        <v>61.0</v>
      </c>
      <c r="D62" s="4" t="s">
        <v>1316</v>
      </c>
      <c r="E62" s="4" t="s">
        <v>1296</v>
      </c>
      <c r="F62" s="54" t="s">
        <v>357</v>
      </c>
      <c r="G62" s="54" t="s">
        <v>1126</v>
      </c>
      <c r="H62" s="54" t="s">
        <v>1317</v>
      </c>
      <c r="I62" s="54" t="s">
        <v>1318</v>
      </c>
      <c r="J62" s="54" t="s">
        <v>1314</v>
      </c>
      <c r="X62" s="55" t="str">
        <f t="shared" si="1"/>
        <v>#NAME?</v>
      </c>
    </row>
    <row r="63">
      <c r="A63" s="4" t="s">
        <v>1319</v>
      </c>
      <c r="B63" s="4" t="s">
        <v>1087</v>
      </c>
      <c r="C63" s="4">
        <v>62.0</v>
      </c>
      <c r="D63" s="4" t="s">
        <v>1320</v>
      </c>
      <c r="E63" s="4" t="s">
        <v>1296</v>
      </c>
      <c r="F63" s="54" t="s">
        <v>357</v>
      </c>
      <c r="G63" s="54" t="s">
        <v>1196</v>
      </c>
      <c r="H63" s="54" t="s">
        <v>1321</v>
      </c>
      <c r="I63" s="54" t="s">
        <v>1192</v>
      </c>
      <c r="J63" s="54" t="s">
        <v>1322</v>
      </c>
      <c r="X63" s="55" t="str">
        <f t="shared" si="1"/>
        <v>#NAME?</v>
      </c>
    </row>
    <row r="64">
      <c r="A64" s="4" t="s">
        <v>1323</v>
      </c>
      <c r="B64" s="4" t="s">
        <v>1087</v>
      </c>
      <c r="C64" s="4">
        <v>63.0</v>
      </c>
      <c r="D64" s="4" t="s">
        <v>1324</v>
      </c>
      <c r="E64" s="4" t="s">
        <v>1296</v>
      </c>
      <c r="F64" s="54" t="s">
        <v>357</v>
      </c>
      <c r="G64" s="54" t="s">
        <v>1325</v>
      </c>
      <c r="H64" s="54" t="s">
        <v>1303</v>
      </c>
      <c r="I64" s="54" t="s">
        <v>1326</v>
      </c>
      <c r="J64" s="54" t="s">
        <v>1117</v>
      </c>
      <c r="X64" s="55" t="str">
        <f t="shared" si="1"/>
        <v>#NAME?</v>
      </c>
    </row>
    <row r="65">
      <c r="A65" s="4" t="s">
        <v>1327</v>
      </c>
      <c r="B65" s="4" t="s">
        <v>1087</v>
      </c>
      <c r="C65" s="4">
        <v>64.0</v>
      </c>
      <c r="D65" s="4" t="s">
        <v>1328</v>
      </c>
      <c r="E65" s="4" t="s">
        <v>1296</v>
      </c>
      <c r="F65" s="54" t="s">
        <v>357</v>
      </c>
      <c r="G65" s="54" t="s">
        <v>1329</v>
      </c>
      <c r="H65" s="54" t="s">
        <v>1330</v>
      </c>
      <c r="I65" s="54" t="s">
        <v>1331</v>
      </c>
      <c r="J65" s="54" t="s">
        <v>1125</v>
      </c>
      <c r="X65" s="55" t="str">
        <f t="shared" si="1"/>
        <v>#NAME?</v>
      </c>
    </row>
    <row r="66">
      <c r="A66" s="4" t="s">
        <v>1332</v>
      </c>
      <c r="B66" s="4" t="s">
        <v>1087</v>
      </c>
      <c r="C66" s="4">
        <v>65.0</v>
      </c>
      <c r="D66" s="4" t="s">
        <v>1333</v>
      </c>
      <c r="E66" s="4" t="s">
        <v>1088</v>
      </c>
      <c r="F66" s="54" t="s">
        <v>357</v>
      </c>
      <c r="G66" s="54" t="s">
        <v>1287</v>
      </c>
      <c r="H66" s="54" t="s">
        <v>1293</v>
      </c>
      <c r="I66" s="54" t="s">
        <v>1334</v>
      </c>
      <c r="J66" s="54" t="s">
        <v>1203</v>
      </c>
      <c r="X66" s="55" t="str">
        <f t="shared" si="1"/>
        <v>#NAME?</v>
      </c>
    </row>
    <row r="67">
      <c r="A67" s="4" t="s">
        <v>1335</v>
      </c>
      <c r="B67" s="4" t="s">
        <v>1087</v>
      </c>
      <c r="C67" s="4">
        <v>66.0</v>
      </c>
      <c r="D67" s="4" t="s">
        <v>1336</v>
      </c>
      <c r="E67" s="4" t="s">
        <v>1088</v>
      </c>
      <c r="F67" s="54" t="s">
        <v>357</v>
      </c>
      <c r="G67" s="54" t="s">
        <v>1292</v>
      </c>
      <c r="H67" s="54" t="s">
        <v>1334</v>
      </c>
      <c r="I67" s="54" t="s">
        <v>1337</v>
      </c>
      <c r="J67" s="54" t="s">
        <v>1292</v>
      </c>
      <c r="X67" s="55" t="str">
        <f t="shared" si="1"/>
        <v>#NAME?</v>
      </c>
    </row>
    <row r="68">
      <c r="A68" s="4" t="s">
        <v>1338</v>
      </c>
      <c r="B68" s="4" t="s">
        <v>1087</v>
      </c>
      <c r="C68" s="4">
        <v>67.0</v>
      </c>
      <c r="D68" s="4" t="s">
        <v>1339</v>
      </c>
      <c r="E68" s="4" t="s">
        <v>1098</v>
      </c>
      <c r="F68" s="54" t="s">
        <v>357</v>
      </c>
      <c r="G68" s="54" t="s">
        <v>1340</v>
      </c>
      <c r="H68" s="54" t="s">
        <v>1140</v>
      </c>
      <c r="I68" s="54" t="s">
        <v>1326</v>
      </c>
      <c r="J68" s="54" t="s">
        <v>1303</v>
      </c>
      <c r="X68" s="55" t="str">
        <f t="shared" si="1"/>
        <v>#NAME?</v>
      </c>
    </row>
    <row r="69">
      <c r="A69" s="4" t="s">
        <v>1341</v>
      </c>
      <c r="B69" s="4" t="s">
        <v>1087</v>
      </c>
      <c r="C69" s="4">
        <v>68.0</v>
      </c>
      <c r="D69" s="4" t="s">
        <v>1342</v>
      </c>
      <c r="E69" s="4" t="s">
        <v>1098</v>
      </c>
      <c r="F69" s="54" t="s">
        <v>357</v>
      </c>
      <c r="G69" s="54" t="s">
        <v>1343</v>
      </c>
      <c r="H69" s="54" t="s">
        <v>1344</v>
      </c>
      <c r="I69" s="54" t="s">
        <v>1345</v>
      </c>
      <c r="J69" s="54" t="s">
        <v>1346</v>
      </c>
      <c r="X69" s="55" t="str">
        <f t="shared" si="1"/>
        <v>#NAME?</v>
      </c>
    </row>
    <row r="70">
      <c r="A70" s="4" t="s">
        <v>1347</v>
      </c>
      <c r="B70" s="4" t="s">
        <v>1087</v>
      </c>
      <c r="C70" s="4">
        <v>69.0</v>
      </c>
      <c r="D70" s="4" t="s">
        <v>1348</v>
      </c>
      <c r="E70" s="4" t="s">
        <v>1098</v>
      </c>
      <c r="F70" s="54" t="s">
        <v>357</v>
      </c>
      <c r="G70" s="54" t="s">
        <v>1134</v>
      </c>
      <c r="H70" s="54" t="s">
        <v>1349</v>
      </c>
      <c r="I70" s="54" t="s">
        <v>1350</v>
      </c>
      <c r="J70" s="54" t="s">
        <v>1351</v>
      </c>
      <c r="X70" s="55" t="str">
        <f t="shared" si="1"/>
        <v>#NAME?</v>
      </c>
    </row>
    <row r="71">
      <c r="A71" s="4" t="s">
        <v>1352</v>
      </c>
      <c r="B71" s="4" t="s">
        <v>1087</v>
      </c>
      <c r="C71" s="4">
        <v>70.0</v>
      </c>
      <c r="D71" s="4" t="s">
        <v>1353</v>
      </c>
      <c r="E71" s="4" t="s">
        <v>1088</v>
      </c>
      <c r="F71" s="54" t="s">
        <v>357</v>
      </c>
      <c r="G71" s="54" t="s">
        <v>1186</v>
      </c>
      <c r="H71" s="54" t="s">
        <v>1179</v>
      </c>
      <c r="I71" s="54" t="s">
        <v>1183</v>
      </c>
      <c r="J71" s="54" t="s">
        <v>1183</v>
      </c>
      <c r="X71" s="55" t="str">
        <f t="shared" si="1"/>
        <v>#NAME?</v>
      </c>
    </row>
    <row r="72">
      <c r="A72" s="4" t="s">
        <v>1354</v>
      </c>
      <c r="B72" s="4" t="s">
        <v>1087</v>
      </c>
      <c r="C72" s="4">
        <v>71.0</v>
      </c>
      <c r="D72" s="4" t="s">
        <v>1355</v>
      </c>
      <c r="E72" s="4" t="s">
        <v>1088</v>
      </c>
      <c r="F72" s="54" t="s">
        <v>357</v>
      </c>
      <c r="G72" s="54" t="s">
        <v>1356</v>
      </c>
      <c r="H72" s="54" t="s">
        <v>1244</v>
      </c>
      <c r="I72" s="54" t="s">
        <v>1244</v>
      </c>
      <c r="J72" s="54" t="s">
        <v>1244</v>
      </c>
      <c r="X72" s="55" t="str">
        <f t="shared" si="1"/>
        <v>#NAME?</v>
      </c>
    </row>
    <row r="73">
      <c r="A73" s="4" t="s">
        <v>1357</v>
      </c>
      <c r="B73" s="4" t="s">
        <v>1087</v>
      </c>
      <c r="C73" s="4">
        <v>72.0</v>
      </c>
      <c r="D73" s="4" t="s">
        <v>1358</v>
      </c>
      <c r="E73" s="4" t="s">
        <v>1251</v>
      </c>
      <c r="F73" s="54" t="s">
        <v>357</v>
      </c>
      <c r="G73" s="54" t="s">
        <v>1359</v>
      </c>
      <c r="H73" s="54" t="s">
        <v>1200</v>
      </c>
      <c r="I73" s="54" t="s">
        <v>1360</v>
      </c>
      <c r="J73" s="54" t="s">
        <v>1361</v>
      </c>
      <c r="X73" s="55" t="str">
        <f t="shared" si="1"/>
        <v>#NAME?</v>
      </c>
    </row>
    <row r="74">
      <c r="A74" s="4" t="s">
        <v>1362</v>
      </c>
      <c r="B74" s="4" t="s">
        <v>1087</v>
      </c>
      <c r="C74" s="4">
        <v>73.0</v>
      </c>
      <c r="D74" s="4" t="s">
        <v>1363</v>
      </c>
      <c r="E74" s="4" t="s">
        <v>1251</v>
      </c>
      <c r="F74" s="54" t="s">
        <v>534</v>
      </c>
      <c r="G74" s="54" t="s">
        <v>1364</v>
      </c>
      <c r="H74" s="54" t="s">
        <v>1264</v>
      </c>
      <c r="I74" s="54" t="s">
        <v>1365</v>
      </c>
      <c r="J74" s="54" t="s">
        <v>1366</v>
      </c>
      <c r="X74" s="55" t="str">
        <f t="shared" si="1"/>
        <v>#NAME?</v>
      </c>
    </row>
    <row r="75">
      <c r="A75" s="4" t="s">
        <v>1367</v>
      </c>
      <c r="B75" s="4" t="s">
        <v>1087</v>
      </c>
      <c r="C75" s="4">
        <v>74.0</v>
      </c>
      <c r="D75" s="4" t="s">
        <v>1368</v>
      </c>
      <c r="E75" s="4" t="s">
        <v>1088</v>
      </c>
      <c r="F75" s="54" t="s">
        <v>357</v>
      </c>
      <c r="G75" s="54" t="s">
        <v>1292</v>
      </c>
      <c r="H75" s="54" t="s">
        <v>1337</v>
      </c>
      <c r="I75" s="54" t="s">
        <v>1288</v>
      </c>
      <c r="J75" s="54" t="s">
        <v>1292</v>
      </c>
      <c r="X75" s="55" t="str">
        <f t="shared" si="1"/>
        <v>#NAME?</v>
      </c>
    </row>
    <row r="76">
      <c r="A76" s="4" t="s">
        <v>1369</v>
      </c>
      <c r="B76" s="4" t="s">
        <v>1087</v>
      </c>
      <c r="C76" s="4">
        <v>75.0</v>
      </c>
      <c r="D76" s="4" t="s">
        <v>1370</v>
      </c>
      <c r="E76" s="4" t="s">
        <v>1088</v>
      </c>
      <c r="F76" s="54" t="s">
        <v>357</v>
      </c>
      <c r="G76" s="54" t="s">
        <v>1287</v>
      </c>
      <c r="H76" s="54" t="s">
        <v>1293</v>
      </c>
      <c r="I76" s="54" t="s">
        <v>1292</v>
      </c>
      <c r="J76" s="54" t="s">
        <v>1288</v>
      </c>
      <c r="X76" s="55" t="str">
        <f t="shared" si="1"/>
        <v>#NAME?</v>
      </c>
    </row>
    <row r="77">
      <c r="A77" s="4" t="s">
        <v>1371</v>
      </c>
      <c r="B77" s="4" t="s">
        <v>1087</v>
      </c>
      <c r="C77" s="4">
        <v>76.0</v>
      </c>
      <c r="D77" s="4" t="s">
        <v>1372</v>
      </c>
      <c r="E77" s="4" t="s">
        <v>1251</v>
      </c>
      <c r="F77" s="54" t="s">
        <v>357</v>
      </c>
      <c r="G77" s="54" t="s">
        <v>1194</v>
      </c>
      <c r="H77" s="54" t="s">
        <v>1192</v>
      </c>
      <c r="I77" s="54" t="s">
        <v>1349</v>
      </c>
      <c r="J77" s="54" t="s">
        <v>1373</v>
      </c>
      <c r="X77" s="55" t="str">
        <f t="shared" si="1"/>
        <v>#NAME?</v>
      </c>
    </row>
    <row r="78">
      <c r="A78" s="4" t="s">
        <v>1374</v>
      </c>
      <c r="B78" s="4" t="s">
        <v>1087</v>
      </c>
      <c r="C78" s="4">
        <v>77.0</v>
      </c>
      <c r="D78" s="4" t="s">
        <v>1375</v>
      </c>
      <c r="E78" s="4" t="s">
        <v>1251</v>
      </c>
      <c r="F78" s="54" t="s">
        <v>534</v>
      </c>
      <c r="G78" s="54" t="s">
        <v>1376</v>
      </c>
      <c r="H78" s="54" t="s">
        <v>1377</v>
      </c>
      <c r="I78" s="54" t="s">
        <v>1378</v>
      </c>
      <c r="J78" s="54" t="s">
        <v>1379</v>
      </c>
      <c r="X78" s="55" t="str">
        <f t="shared" si="1"/>
        <v>#NAME?</v>
      </c>
    </row>
    <row r="79">
      <c r="A79" s="4" t="s">
        <v>1380</v>
      </c>
      <c r="B79" s="4" t="s">
        <v>1087</v>
      </c>
      <c r="C79" s="4">
        <v>78.0</v>
      </c>
      <c r="D79" s="4" t="s">
        <v>1381</v>
      </c>
      <c r="E79" s="4" t="s">
        <v>1098</v>
      </c>
      <c r="F79" s="54" t="s">
        <v>534</v>
      </c>
      <c r="G79" s="54" t="s">
        <v>1382</v>
      </c>
      <c r="H79" s="54" t="s">
        <v>1274</v>
      </c>
      <c r="I79" s="54" t="s">
        <v>1147</v>
      </c>
      <c r="J79" s="54" t="s">
        <v>1383</v>
      </c>
      <c r="X79" s="55" t="str">
        <f t="shared" si="1"/>
        <v>#NAME?</v>
      </c>
    </row>
    <row r="80">
      <c r="A80" s="4" t="s">
        <v>1384</v>
      </c>
      <c r="B80" s="4" t="s">
        <v>1087</v>
      </c>
      <c r="C80" s="4">
        <v>79.0</v>
      </c>
      <c r="D80" s="4" t="s">
        <v>1385</v>
      </c>
      <c r="E80" s="4" t="s">
        <v>1098</v>
      </c>
      <c r="F80" s="54" t="s">
        <v>534</v>
      </c>
      <c r="G80" s="54" t="s">
        <v>1121</v>
      </c>
      <c r="H80" s="54" t="s">
        <v>1274</v>
      </c>
      <c r="I80" s="54" t="s">
        <v>1122</v>
      </c>
      <c r="J80" s="54" t="s">
        <v>1360</v>
      </c>
      <c r="X80" s="55" t="str">
        <f t="shared" si="1"/>
        <v>#NAME?</v>
      </c>
    </row>
    <row r="81">
      <c r="A81" s="4" t="s">
        <v>1386</v>
      </c>
      <c r="B81" s="4" t="s">
        <v>1087</v>
      </c>
      <c r="C81" s="4">
        <v>80.0</v>
      </c>
      <c r="D81" s="4" t="s">
        <v>1387</v>
      </c>
      <c r="E81" s="4" t="s">
        <v>1098</v>
      </c>
      <c r="F81" s="54" t="s">
        <v>534</v>
      </c>
      <c r="G81" s="54" t="s">
        <v>1148</v>
      </c>
      <c r="H81" s="54" t="s">
        <v>1309</v>
      </c>
      <c r="I81" s="54" t="s">
        <v>1139</v>
      </c>
      <c r="J81" s="54" t="s">
        <v>1308</v>
      </c>
      <c r="X81" s="55" t="str">
        <f t="shared" si="1"/>
        <v>#NAME?</v>
      </c>
    </row>
    <row r="82">
      <c r="A82" s="4" t="s">
        <v>1388</v>
      </c>
      <c r="B82" s="4" t="s">
        <v>1087</v>
      </c>
      <c r="C82" s="4">
        <v>81.0</v>
      </c>
      <c r="D82" s="4" t="s">
        <v>1389</v>
      </c>
      <c r="E82" s="4" t="s">
        <v>1088</v>
      </c>
      <c r="F82" s="54" t="s">
        <v>534</v>
      </c>
      <c r="G82" s="54" t="s">
        <v>1122</v>
      </c>
      <c r="H82" s="54" t="s">
        <v>1390</v>
      </c>
      <c r="I82" s="54" t="s">
        <v>1391</v>
      </c>
      <c r="J82" s="54" t="s">
        <v>1340</v>
      </c>
      <c r="X82" s="55" t="str">
        <f t="shared" si="1"/>
        <v>#NAME?</v>
      </c>
    </row>
    <row r="83">
      <c r="A83" s="4" t="s">
        <v>1392</v>
      </c>
      <c r="B83" s="4" t="s">
        <v>1087</v>
      </c>
      <c r="C83" s="4">
        <v>82.0</v>
      </c>
      <c r="D83" s="4" t="s">
        <v>1393</v>
      </c>
      <c r="E83" s="4" t="s">
        <v>1088</v>
      </c>
      <c r="F83" s="54" t="s">
        <v>534</v>
      </c>
      <c r="G83" s="54" t="s">
        <v>1147</v>
      </c>
      <c r="H83" s="54" t="s">
        <v>1340</v>
      </c>
      <c r="I83" s="54" t="s">
        <v>1394</v>
      </c>
      <c r="J83" s="54" t="s">
        <v>1275</v>
      </c>
      <c r="X83" s="55" t="str">
        <f t="shared" si="1"/>
        <v>#NAME?</v>
      </c>
    </row>
    <row r="84">
      <c r="A84" s="4" t="s">
        <v>1395</v>
      </c>
      <c r="B84" s="4" t="s">
        <v>1087</v>
      </c>
      <c r="C84" s="4">
        <v>83.0</v>
      </c>
      <c r="D84" s="4" t="s">
        <v>1396</v>
      </c>
      <c r="E84" s="4" t="s">
        <v>1397</v>
      </c>
      <c r="F84" s="54" t="s">
        <v>534</v>
      </c>
      <c r="G84" s="54" t="s">
        <v>1148</v>
      </c>
      <c r="H84" s="54" t="s">
        <v>1398</v>
      </c>
      <c r="I84" s="54" t="s">
        <v>1151</v>
      </c>
      <c r="J84" s="54" t="s">
        <v>1115</v>
      </c>
      <c r="X84" s="55" t="str">
        <f t="shared" si="1"/>
        <v>#NAME?</v>
      </c>
    </row>
    <row r="85">
      <c r="A85" s="4" t="s">
        <v>1399</v>
      </c>
      <c r="B85" s="4" t="s">
        <v>1087</v>
      </c>
      <c r="C85" s="4">
        <v>84.0</v>
      </c>
      <c r="D85" s="4" t="s">
        <v>1400</v>
      </c>
      <c r="E85" s="4" t="s">
        <v>1397</v>
      </c>
      <c r="F85" s="54" t="s">
        <v>534</v>
      </c>
      <c r="G85" s="54" t="s">
        <v>1152</v>
      </c>
      <c r="H85" s="54" t="s">
        <v>1275</v>
      </c>
      <c r="I85" s="54" t="s">
        <v>1148</v>
      </c>
      <c r="J85" s="54" t="s">
        <v>1318</v>
      </c>
      <c r="X85" s="55" t="str">
        <f t="shared" si="1"/>
        <v>#NAME?</v>
      </c>
    </row>
    <row r="86">
      <c r="A86" s="4" t="s">
        <v>1401</v>
      </c>
      <c r="B86" s="4" t="s">
        <v>1087</v>
      </c>
      <c r="C86" s="4">
        <v>85.0</v>
      </c>
      <c r="D86" s="4" t="s">
        <v>1402</v>
      </c>
      <c r="E86" s="4" t="s">
        <v>1397</v>
      </c>
      <c r="F86" s="54" t="s">
        <v>534</v>
      </c>
      <c r="G86" s="54" t="s">
        <v>1275</v>
      </c>
      <c r="H86" s="54" t="s">
        <v>1275</v>
      </c>
      <c r="I86" s="54" t="s">
        <v>1116</v>
      </c>
      <c r="J86" s="54" t="s">
        <v>1121</v>
      </c>
      <c r="X86" s="55" t="str">
        <f t="shared" si="1"/>
        <v>#NAME?</v>
      </c>
    </row>
    <row r="87">
      <c r="A87" s="4" t="s">
        <v>1403</v>
      </c>
      <c r="B87" s="4" t="s">
        <v>1087</v>
      </c>
      <c r="C87" s="4">
        <v>86.0</v>
      </c>
      <c r="D87" s="4" t="s">
        <v>1404</v>
      </c>
      <c r="E87" s="4" t="s">
        <v>1088</v>
      </c>
      <c r="F87" s="54" t="s">
        <v>534</v>
      </c>
      <c r="G87" s="54" t="s">
        <v>1275</v>
      </c>
      <c r="H87" s="54" t="s">
        <v>1343</v>
      </c>
      <c r="I87" s="54" t="s">
        <v>1343</v>
      </c>
      <c r="J87" s="54" t="s">
        <v>1405</v>
      </c>
      <c r="X87" s="55" t="str">
        <f t="shared" si="1"/>
        <v>#NAME?</v>
      </c>
    </row>
    <row r="88">
      <c r="A88" s="4" t="s">
        <v>1406</v>
      </c>
      <c r="B88" s="4" t="s">
        <v>1087</v>
      </c>
      <c r="C88" s="4">
        <v>87.0</v>
      </c>
      <c r="D88" s="4" t="s">
        <v>1407</v>
      </c>
      <c r="E88" s="4" t="s">
        <v>1088</v>
      </c>
      <c r="F88" s="54" t="s">
        <v>534</v>
      </c>
      <c r="G88" s="54" t="s">
        <v>1116</v>
      </c>
      <c r="H88" s="54" t="s">
        <v>1123</v>
      </c>
      <c r="I88" s="54" t="s">
        <v>1147</v>
      </c>
      <c r="J88" s="54" t="s">
        <v>1303</v>
      </c>
      <c r="X88" s="55" t="str">
        <f t="shared" si="1"/>
        <v>#NAME?</v>
      </c>
    </row>
    <row r="89">
      <c r="A89" s="4" t="s">
        <v>1408</v>
      </c>
      <c r="B89" s="4" t="s">
        <v>1087</v>
      </c>
      <c r="C89" s="4">
        <v>88.0</v>
      </c>
      <c r="D89" s="4" t="s">
        <v>1409</v>
      </c>
      <c r="E89" s="4" t="s">
        <v>1088</v>
      </c>
      <c r="F89" s="54" t="s">
        <v>534</v>
      </c>
      <c r="G89" s="54" t="s">
        <v>1115</v>
      </c>
      <c r="H89" s="54" t="s">
        <v>1115</v>
      </c>
      <c r="I89" s="54" t="s">
        <v>1405</v>
      </c>
      <c r="J89" s="54" t="s">
        <v>1340</v>
      </c>
      <c r="X89" s="55" t="str">
        <f t="shared" si="1"/>
        <v>#NAME?</v>
      </c>
    </row>
    <row r="90">
      <c r="A90" s="4" t="s">
        <v>1410</v>
      </c>
      <c r="B90" s="4" t="s">
        <v>1087</v>
      </c>
      <c r="C90" s="4">
        <v>89.0</v>
      </c>
      <c r="D90" s="4" t="s">
        <v>1411</v>
      </c>
      <c r="E90" s="4" t="s">
        <v>1088</v>
      </c>
      <c r="F90" s="54" t="s">
        <v>534</v>
      </c>
      <c r="G90" s="54" t="s">
        <v>1170</v>
      </c>
      <c r="H90" s="54" t="s">
        <v>1219</v>
      </c>
      <c r="I90" s="54" t="s">
        <v>1154</v>
      </c>
      <c r="J90" s="54" t="s">
        <v>1216</v>
      </c>
      <c r="X90" s="55" t="str">
        <f t="shared" si="1"/>
        <v>#NAME?</v>
      </c>
    </row>
    <row r="91">
      <c r="A91" s="4" t="s">
        <v>1412</v>
      </c>
      <c r="B91" s="4" t="s">
        <v>1087</v>
      </c>
      <c r="C91" s="4">
        <v>90.0</v>
      </c>
      <c r="D91" s="4" t="s">
        <v>1411</v>
      </c>
      <c r="E91" s="4" t="s">
        <v>1088</v>
      </c>
      <c r="F91" s="54" t="s">
        <v>534</v>
      </c>
      <c r="G91" s="54" t="s">
        <v>1170</v>
      </c>
      <c r="H91" s="54" t="s">
        <v>1159</v>
      </c>
      <c r="I91" s="54" t="s">
        <v>1413</v>
      </c>
      <c r="J91" s="54" t="s">
        <v>1093</v>
      </c>
      <c r="X91" s="55" t="str">
        <f t="shared" si="1"/>
        <v>#NAME?</v>
      </c>
    </row>
    <row r="92">
      <c r="A92" s="4" t="s">
        <v>1414</v>
      </c>
      <c r="B92" s="4" t="s">
        <v>1087</v>
      </c>
      <c r="C92" s="4">
        <v>91.0</v>
      </c>
      <c r="D92" s="4" t="s">
        <v>1411</v>
      </c>
      <c r="E92" s="4" t="s">
        <v>1088</v>
      </c>
      <c r="F92" s="54" t="s">
        <v>534</v>
      </c>
      <c r="G92" s="54" t="s">
        <v>1093</v>
      </c>
      <c r="H92" s="54" t="s">
        <v>1093</v>
      </c>
      <c r="I92" s="54" t="s">
        <v>1111</v>
      </c>
      <c r="J92" s="54" t="s">
        <v>1160</v>
      </c>
      <c r="X92" s="55" t="str">
        <f t="shared" si="1"/>
        <v>#NAME?</v>
      </c>
    </row>
    <row r="93">
      <c r="A93" s="4" t="s">
        <v>1415</v>
      </c>
      <c r="B93" s="4" t="s">
        <v>1087</v>
      </c>
      <c r="C93" s="4">
        <v>92.0</v>
      </c>
      <c r="D93" s="4" t="s">
        <v>1416</v>
      </c>
      <c r="E93" s="4" t="s">
        <v>1088</v>
      </c>
      <c r="F93" s="54" t="s">
        <v>534</v>
      </c>
      <c r="G93" s="54" t="s">
        <v>1093</v>
      </c>
      <c r="H93" s="54" t="s">
        <v>1154</v>
      </c>
      <c r="I93" s="54" t="s">
        <v>1236</v>
      </c>
      <c r="J93" s="54" t="s">
        <v>1417</v>
      </c>
      <c r="X93" s="55" t="str">
        <f t="shared" si="1"/>
        <v>#NAME?</v>
      </c>
    </row>
    <row r="94">
      <c r="A94" s="4" t="s">
        <v>1418</v>
      </c>
      <c r="B94" s="4" t="s">
        <v>1087</v>
      </c>
      <c r="C94" s="4">
        <v>93.0</v>
      </c>
      <c r="D94" s="4" t="s">
        <v>1419</v>
      </c>
      <c r="E94" s="4" t="s">
        <v>1088</v>
      </c>
      <c r="F94" s="54" t="s">
        <v>534</v>
      </c>
      <c r="G94" s="54" t="s">
        <v>1093</v>
      </c>
      <c r="H94" s="54" t="s">
        <v>1093</v>
      </c>
      <c r="I94" s="54" t="s">
        <v>1109</v>
      </c>
      <c r="J94" s="54" t="s">
        <v>1109</v>
      </c>
      <c r="X94" s="55" t="str">
        <f t="shared" si="1"/>
        <v>#NAME?</v>
      </c>
    </row>
    <row r="95">
      <c r="A95" s="4" t="s">
        <v>1420</v>
      </c>
      <c r="B95" s="4" t="s">
        <v>1087</v>
      </c>
      <c r="C95" s="4">
        <v>94.0</v>
      </c>
      <c r="D95" s="4" t="s">
        <v>1421</v>
      </c>
      <c r="E95" s="4" t="s">
        <v>1088</v>
      </c>
      <c r="F95" s="54" t="s">
        <v>534</v>
      </c>
      <c r="G95" s="54" t="s">
        <v>1139</v>
      </c>
      <c r="H95" s="54" t="s">
        <v>1134</v>
      </c>
      <c r="I95" s="54" t="s">
        <v>1405</v>
      </c>
      <c r="J95" s="54" t="s">
        <v>1150</v>
      </c>
      <c r="X95" s="55" t="str">
        <f t="shared" si="1"/>
        <v>#NAME?</v>
      </c>
    </row>
    <row r="96">
      <c r="A96" s="4" t="s">
        <v>1422</v>
      </c>
      <c r="B96" s="4" t="s">
        <v>1087</v>
      </c>
      <c r="C96" s="4">
        <v>95.0</v>
      </c>
      <c r="D96" s="4" t="s">
        <v>1423</v>
      </c>
      <c r="E96" s="4" t="s">
        <v>1088</v>
      </c>
      <c r="F96" s="54" t="s">
        <v>534</v>
      </c>
      <c r="G96" s="54" t="s">
        <v>1280</v>
      </c>
      <c r="H96" s="54" t="s">
        <v>1135</v>
      </c>
      <c r="I96" s="54" t="s">
        <v>1123</v>
      </c>
      <c r="J96" s="54" t="s">
        <v>1140</v>
      </c>
      <c r="X96" s="55" t="str">
        <f t="shared" si="1"/>
        <v>#NAME?</v>
      </c>
    </row>
    <row r="97">
      <c r="A97" s="4" t="s">
        <v>1424</v>
      </c>
      <c r="B97" s="4" t="s">
        <v>1087</v>
      </c>
      <c r="C97" s="4">
        <v>96.0</v>
      </c>
      <c r="D97" s="4" t="s">
        <v>1425</v>
      </c>
      <c r="E97" s="4" t="s">
        <v>1296</v>
      </c>
      <c r="F97" s="54" t="s">
        <v>534</v>
      </c>
      <c r="G97" s="54" t="s">
        <v>1426</v>
      </c>
      <c r="H97" s="54" t="s">
        <v>1142</v>
      </c>
      <c r="I97" s="54" t="s">
        <v>1284</v>
      </c>
      <c r="J97" s="54" t="s">
        <v>1427</v>
      </c>
      <c r="X97" s="55" t="str">
        <f t="shared" si="1"/>
        <v>#NAME?</v>
      </c>
    </row>
    <row r="98">
      <c r="A98" s="54" t="s">
        <v>1428</v>
      </c>
      <c r="B98" s="4" t="s">
        <v>1087</v>
      </c>
      <c r="C98" s="4">
        <v>97.0</v>
      </c>
      <c r="D98" s="4" t="s">
        <v>1429</v>
      </c>
      <c r="E98" s="4" t="s">
        <v>1296</v>
      </c>
      <c r="F98" s="54" t="s">
        <v>534</v>
      </c>
      <c r="G98" s="54" t="s">
        <v>1275</v>
      </c>
      <c r="H98" s="54" t="s">
        <v>1275</v>
      </c>
      <c r="I98" s="54" t="s">
        <v>1340</v>
      </c>
      <c r="J98" s="54" t="s">
        <v>1405</v>
      </c>
      <c r="X98" s="55" t="str">
        <f t="shared" si="1"/>
        <v>#NAME?</v>
      </c>
    </row>
    <row r="99">
      <c r="A99" s="4" t="s">
        <v>1430</v>
      </c>
      <c r="B99" s="4" t="s">
        <v>1087</v>
      </c>
      <c r="C99" s="4">
        <v>98.0</v>
      </c>
      <c r="D99" s="4" t="s">
        <v>1431</v>
      </c>
      <c r="E99" s="4" t="s">
        <v>1296</v>
      </c>
      <c r="F99" s="54" t="s">
        <v>534</v>
      </c>
      <c r="G99" s="54" t="s">
        <v>1299</v>
      </c>
      <c r="H99" s="54" t="s">
        <v>1432</v>
      </c>
      <c r="I99" s="54" t="s">
        <v>1152</v>
      </c>
      <c r="J99" s="54" t="s">
        <v>1433</v>
      </c>
      <c r="X99" s="55" t="str">
        <f t="shared" si="1"/>
        <v>#NAME?</v>
      </c>
    </row>
    <row r="100">
      <c r="A100" s="4" t="s">
        <v>1434</v>
      </c>
      <c r="B100" s="4" t="s">
        <v>1087</v>
      </c>
      <c r="C100" s="4">
        <v>99.0</v>
      </c>
      <c r="D100" s="4" t="s">
        <v>1435</v>
      </c>
      <c r="E100" s="4" t="s">
        <v>1296</v>
      </c>
      <c r="F100" s="54" t="s">
        <v>534</v>
      </c>
      <c r="G100" s="54" t="s">
        <v>1405</v>
      </c>
      <c r="H100" s="54" t="s">
        <v>1436</v>
      </c>
      <c r="I100" s="54" t="s">
        <v>1275</v>
      </c>
      <c r="J100" s="54" t="s">
        <v>1437</v>
      </c>
      <c r="X100" s="55" t="str">
        <f t="shared" si="1"/>
        <v>#NAME?</v>
      </c>
    </row>
    <row r="101">
      <c r="A101" s="4" t="s">
        <v>1438</v>
      </c>
      <c r="B101" s="4" t="s">
        <v>1087</v>
      </c>
      <c r="C101" s="4">
        <v>100.0</v>
      </c>
      <c r="D101" s="4" t="s">
        <v>1439</v>
      </c>
      <c r="E101" s="4" t="s">
        <v>1088</v>
      </c>
      <c r="F101" s="54" t="s">
        <v>534</v>
      </c>
      <c r="G101" s="54" t="s">
        <v>1440</v>
      </c>
      <c r="H101" s="54" t="s">
        <v>1280</v>
      </c>
      <c r="I101" s="54" t="s">
        <v>1139</v>
      </c>
      <c r="J101" s="54" t="s">
        <v>1139</v>
      </c>
      <c r="X101" s="55" t="str">
        <f t="shared" si="1"/>
        <v>#NAME?</v>
      </c>
    </row>
    <row r="102">
      <c r="A102" s="4" t="s">
        <v>1441</v>
      </c>
      <c r="B102" s="4" t="s">
        <v>1087</v>
      </c>
      <c r="C102" s="4">
        <v>101.0</v>
      </c>
      <c r="D102" s="4" t="s">
        <v>1442</v>
      </c>
      <c r="E102" s="4" t="s">
        <v>1088</v>
      </c>
      <c r="F102" s="54" t="s">
        <v>534</v>
      </c>
      <c r="G102" s="54" t="s">
        <v>1163</v>
      </c>
      <c r="H102" s="54" t="s">
        <v>1440</v>
      </c>
      <c r="I102" s="54" t="s">
        <v>1280</v>
      </c>
      <c r="J102" s="54" t="s">
        <v>1123</v>
      </c>
      <c r="X102" s="55" t="str">
        <f t="shared" si="1"/>
        <v>#NAME?</v>
      </c>
    </row>
    <row r="103">
      <c r="A103" s="4" t="s">
        <v>1443</v>
      </c>
      <c r="B103" s="4" t="s">
        <v>1087</v>
      </c>
      <c r="C103" s="4">
        <v>102.0</v>
      </c>
      <c r="D103" s="4" t="s">
        <v>1444</v>
      </c>
      <c r="E103" s="4" t="s">
        <v>1088</v>
      </c>
      <c r="F103" s="54" t="s">
        <v>534</v>
      </c>
      <c r="G103" s="54" t="s">
        <v>1118</v>
      </c>
      <c r="H103" s="54" t="s">
        <v>1122</v>
      </c>
      <c r="I103" s="54" t="s">
        <v>1139</v>
      </c>
      <c r="J103" s="54" t="s">
        <v>1163</v>
      </c>
      <c r="X103" s="55" t="str">
        <f t="shared" si="1"/>
        <v>#NAME?</v>
      </c>
    </row>
    <row r="104">
      <c r="A104" s="4" t="s">
        <v>1445</v>
      </c>
      <c r="B104" s="4" t="s">
        <v>1087</v>
      </c>
      <c r="C104" s="4">
        <v>103.0</v>
      </c>
      <c r="D104" s="4" t="s">
        <v>1446</v>
      </c>
      <c r="E104" s="4" t="s">
        <v>1088</v>
      </c>
      <c r="F104" s="54" t="s">
        <v>534</v>
      </c>
      <c r="G104" s="54" t="s">
        <v>1122</v>
      </c>
      <c r="H104" s="54" t="s">
        <v>1134</v>
      </c>
      <c r="I104" s="54" t="s">
        <v>1150</v>
      </c>
      <c r="J104" s="54" t="s">
        <v>1150</v>
      </c>
      <c r="X104" s="55" t="str">
        <f t="shared" si="1"/>
        <v>#NAME?</v>
      </c>
    </row>
    <row r="105">
      <c r="A105" s="4" t="s">
        <v>1447</v>
      </c>
      <c r="B105" s="4" t="s">
        <v>1087</v>
      </c>
      <c r="C105" s="4">
        <v>104.0</v>
      </c>
      <c r="D105" s="4" t="s">
        <v>1448</v>
      </c>
      <c r="E105" s="4" t="s">
        <v>1088</v>
      </c>
      <c r="F105" s="54" t="s">
        <v>534</v>
      </c>
      <c r="G105" s="54" t="s">
        <v>1382</v>
      </c>
      <c r="H105" s="54" t="s">
        <v>1118</v>
      </c>
      <c r="I105" s="54" t="s">
        <v>1440</v>
      </c>
      <c r="J105" s="54" t="s">
        <v>1140</v>
      </c>
      <c r="X105" s="55" t="str">
        <f t="shared" si="1"/>
        <v>#NAME?</v>
      </c>
    </row>
    <row r="106">
      <c r="A106" s="4" t="s">
        <v>1449</v>
      </c>
      <c r="B106" s="4" t="s">
        <v>1087</v>
      </c>
      <c r="C106" s="4">
        <v>105.0</v>
      </c>
      <c r="D106" s="4" t="s">
        <v>1450</v>
      </c>
      <c r="E106" s="4" t="s">
        <v>1191</v>
      </c>
      <c r="F106" s="54" t="s">
        <v>534</v>
      </c>
      <c r="G106" s="54" t="s">
        <v>1139</v>
      </c>
      <c r="H106" s="54" t="s">
        <v>1451</v>
      </c>
      <c r="I106" s="54" t="s">
        <v>1127</v>
      </c>
      <c r="J106" s="54" t="s">
        <v>1337</v>
      </c>
      <c r="X106" s="55" t="str">
        <f t="shared" si="1"/>
        <v>#NAME?</v>
      </c>
    </row>
    <row r="107">
      <c r="A107" s="4" t="s">
        <v>1452</v>
      </c>
      <c r="B107" s="4" t="s">
        <v>1087</v>
      </c>
      <c r="C107" s="4">
        <v>106.0</v>
      </c>
      <c r="D107" s="4" t="s">
        <v>1453</v>
      </c>
      <c r="E107" s="4" t="s">
        <v>1191</v>
      </c>
      <c r="F107" s="54" t="s">
        <v>534</v>
      </c>
      <c r="G107" s="54" t="s">
        <v>1398</v>
      </c>
      <c r="H107" s="54" t="s">
        <v>1454</v>
      </c>
      <c r="I107" s="54" t="s">
        <v>1197</v>
      </c>
      <c r="J107" s="54" t="s">
        <v>1455</v>
      </c>
      <c r="X107" s="55" t="str">
        <f t="shared" si="1"/>
        <v>#NAME?</v>
      </c>
    </row>
    <row r="108">
      <c r="A108" s="4" t="s">
        <v>1456</v>
      </c>
      <c r="B108" s="4" t="s">
        <v>1087</v>
      </c>
      <c r="C108" s="4">
        <v>107.0</v>
      </c>
      <c r="D108" s="4" t="s">
        <v>1457</v>
      </c>
      <c r="E108" s="4" t="s">
        <v>1191</v>
      </c>
      <c r="F108" s="54" t="s">
        <v>534</v>
      </c>
      <c r="G108" s="54" t="s">
        <v>1194</v>
      </c>
      <c r="H108" s="54" t="s">
        <v>1458</v>
      </c>
      <c r="I108" s="54" t="s">
        <v>1436</v>
      </c>
      <c r="J108" s="54" t="s">
        <v>1365</v>
      </c>
      <c r="X108" s="55" t="str">
        <f t="shared" si="1"/>
        <v>#NAME?</v>
      </c>
    </row>
    <row r="109">
      <c r="A109" s="4" t="s">
        <v>1459</v>
      </c>
      <c r="B109" s="4" t="s">
        <v>1087</v>
      </c>
      <c r="C109" s="4">
        <v>108.0</v>
      </c>
      <c r="D109" s="4" t="s">
        <v>1460</v>
      </c>
      <c r="E109" s="4" t="s">
        <v>1191</v>
      </c>
      <c r="F109" s="54" t="s">
        <v>534</v>
      </c>
      <c r="G109" s="54" t="s">
        <v>1391</v>
      </c>
      <c r="H109" s="54" t="s">
        <v>1461</v>
      </c>
      <c r="I109" s="54" t="s">
        <v>1462</v>
      </c>
      <c r="J109" s="54" t="s">
        <v>1463</v>
      </c>
      <c r="X109" s="55" t="str">
        <f t="shared" si="1"/>
        <v>#NAME?</v>
      </c>
    </row>
    <row r="110">
      <c r="A110" s="4" t="s">
        <v>1464</v>
      </c>
      <c r="B110" s="4" t="s">
        <v>1087</v>
      </c>
      <c r="C110" s="4">
        <v>109.0</v>
      </c>
      <c r="D110" s="4" t="s">
        <v>1465</v>
      </c>
      <c r="E110" s="4" t="s">
        <v>1088</v>
      </c>
      <c r="F110" s="54" t="s">
        <v>534</v>
      </c>
      <c r="G110" s="54" t="s">
        <v>1122</v>
      </c>
      <c r="H110" s="54" t="s">
        <v>1122</v>
      </c>
      <c r="I110" s="54" t="s">
        <v>1152</v>
      </c>
      <c r="J110" s="54" t="s">
        <v>1123</v>
      </c>
      <c r="X110" s="55" t="str">
        <f t="shared" si="1"/>
        <v>#NAME?</v>
      </c>
    </row>
    <row r="111">
      <c r="A111" s="4" t="s">
        <v>1466</v>
      </c>
      <c r="B111" s="4" t="s">
        <v>1087</v>
      </c>
      <c r="C111" s="4">
        <v>110.0</v>
      </c>
      <c r="D111" s="4" t="s">
        <v>1467</v>
      </c>
      <c r="E111" s="4" t="s">
        <v>1088</v>
      </c>
      <c r="F111" s="54" t="s">
        <v>534</v>
      </c>
      <c r="G111" s="54" t="s">
        <v>1123</v>
      </c>
      <c r="H111" s="54" t="s">
        <v>1122</v>
      </c>
      <c r="I111" s="54" t="s">
        <v>1150</v>
      </c>
      <c r="J111" s="54" t="s">
        <v>1123</v>
      </c>
      <c r="X111" s="55" t="str">
        <f t="shared" si="1"/>
        <v>#NAME?</v>
      </c>
    </row>
    <row r="112">
      <c r="A112" s="4" t="s">
        <v>1468</v>
      </c>
      <c r="B112" s="4" t="s">
        <v>1087</v>
      </c>
      <c r="C112" s="4">
        <v>111.0</v>
      </c>
      <c r="D112" s="4" t="s">
        <v>1469</v>
      </c>
      <c r="E112" s="4" t="s">
        <v>1088</v>
      </c>
      <c r="F112" s="54" t="s">
        <v>534</v>
      </c>
      <c r="G112" s="54" t="s">
        <v>1139</v>
      </c>
      <c r="H112" s="54" t="s">
        <v>1122</v>
      </c>
      <c r="I112" s="54" t="s">
        <v>1440</v>
      </c>
      <c r="J112" s="54" t="s">
        <v>1139</v>
      </c>
      <c r="X112" s="55" t="str">
        <f t="shared" si="1"/>
        <v>#NAME?</v>
      </c>
    </row>
    <row r="113">
      <c r="A113" s="4" t="s">
        <v>1470</v>
      </c>
      <c r="B113" s="4" t="s">
        <v>1087</v>
      </c>
      <c r="C113" s="4">
        <v>112.0</v>
      </c>
      <c r="D113" s="4" t="s">
        <v>1471</v>
      </c>
      <c r="E113" s="4" t="s">
        <v>1191</v>
      </c>
      <c r="F113" s="54" t="s">
        <v>534</v>
      </c>
      <c r="G113" s="54" t="s">
        <v>1143</v>
      </c>
      <c r="H113" s="54" t="s">
        <v>1118</v>
      </c>
      <c r="I113" s="54" t="s">
        <v>1126</v>
      </c>
      <c r="J113" s="54" t="s">
        <v>1138</v>
      </c>
      <c r="X113" s="55" t="str">
        <f t="shared" si="1"/>
        <v>#NAME?</v>
      </c>
    </row>
    <row r="114">
      <c r="A114" s="4" t="s">
        <v>1472</v>
      </c>
      <c r="B114" s="4" t="s">
        <v>1087</v>
      </c>
      <c r="C114" s="4">
        <v>113.0</v>
      </c>
      <c r="D114" s="4" t="s">
        <v>1473</v>
      </c>
      <c r="E114" s="4" t="s">
        <v>1191</v>
      </c>
      <c r="F114" s="54" t="s">
        <v>534</v>
      </c>
      <c r="G114" s="54" t="s">
        <v>1337</v>
      </c>
      <c r="H114" s="54" t="s">
        <v>1474</v>
      </c>
      <c r="I114" s="54" t="s">
        <v>1256</v>
      </c>
      <c r="J114" s="54" t="s">
        <v>1475</v>
      </c>
      <c r="X114" s="55" t="str">
        <f t="shared" si="1"/>
        <v>#NAME?</v>
      </c>
    </row>
    <row r="115">
      <c r="A115" s="4" t="s">
        <v>1476</v>
      </c>
      <c r="B115" s="4" t="s">
        <v>1087</v>
      </c>
      <c r="C115" s="4">
        <v>114.0</v>
      </c>
      <c r="D115" s="4" t="s">
        <v>1477</v>
      </c>
      <c r="E115" s="4" t="s">
        <v>1191</v>
      </c>
      <c r="F115" s="54" t="s">
        <v>534</v>
      </c>
      <c r="G115" s="54" t="s">
        <v>1478</v>
      </c>
      <c r="H115" s="54" t="s">
        <v>1194</v>
      </c>
      <c r="I115" s="54" t="s">
        <v>1321</v>
      </c>
      <c r="J115" s="54" t="s">
        <v>1479</v>
      </c>
      <c r="X115" s="55" t="str">
        <f t="shared" si="1"/>
        <v>#NAME?</v>
      </c>
    </row>
    <row r="116">
      <c r="A116" s="4" t="s">
        <v>1480</v>
      </c>
      <c r="B116" s="4" t="s">
        <v>1087</v>
      </c>
      <c r="C116" s="4">
        <v>115.0</v>
      </c>
      <c r="D116" s="4" t="s">
        <v>1481</v>
      </c>
      <c r="E116" s="4" t="s">
        <v>1191</v>
      </c>
      <c r="F116" s="54" t="s">
        <v>534</v>
      </c>
      <c r="G116" s="54" t="s">
        <v>1482</v>
      </c>
      <c r="H116" s="54" t="s">
        <v>1192</v>
      </c>
      <c r="I116" s="54" t="s">
        <v>1137</v>
      </c>
      <c r="J116" s="54" t="s">
        <v>1276</v>
      </c>
      <c r="X116" s="55" t="str">
        <f t="shared" si="1"/>
        <v>#NAME?</v>
      </c>
    </row>
    <row r="117">
      <c r="A117" s="4" t="s">
        <v>1483</v>
      </c>
      <c r="B117" s="4" t="s">
        <v>1087</v>
      </c>
      <c r="C117" s="4">
        <v>116.0</v>
      </c>
      <c r="D117" s="4" t="s">
        <v>1484</v>
      </c>
      <c r="E117" s="4" t="s">
        <v>1088</v>
      </c>
      <c r="F117" s="54" t="s">
        <v>534</v>
      </c>
      <c r="G117" s="54" t="s">
        <v>1117</v>
      </c>
      <c r="H117" s="54" t="s">
        <v>1382</v>
      </c>
      <c r="I117" s="54" t="s">
        <v>1138</v>
      </c>
      <c r="J117" s="54" t="s">
        <v>1344</v>
      </c>
      <c r="X117" s="55" t="str">
        <f t="shared" si="1"/>
        <v>#NAME?</v>
      </c>
    </row>
    <row r="118">
      <c r="A118" s="4" t="s">
        <v>1485</v>
      </c>
      <c r="B118" s="4" t="s">
        <v>1087</v>
      </c>
      <c r="C118" s="4">
        <v>117.0</v>
      </c>
      <c r="D118" s="4" t="s">
        <v>1486</v>
      </c>
      <c r="E118" s="4" t="s">
        <v>1088</v>
      </c>
      <c r="F118" s="54" t="s">
        <v>534</v>
      </c>
      <c r="G118" s="54" t="s">
        <v>1137</v>
      </c>
      <c r="H118" s="54" t="s">
        <v>1163</v>
      </c>
      <c r="I118" s="54" t="s">
        <v>1344</v>
      </c>
      <c r="J118" s="54" t="s">
        <v>1487</v>
      </c>
      <c r="X118" s="55" t="str">
        <f t="shared" si="1"/>
        <v>#NAME?</v>
      </c>
    </row>
    <row r="119">
      <c r="A119" s="4" t="s">
        <v>1488</v>
      </c>
      <c r="B119" s="4" t="s">
        <v>1087</v>
      </c>
      <c r="C119" s="4">
        <v>118.0</v>
      </c>
      <c r="D119" s="54" t="s">
        <v>1489</v>
      </c>
      <c r="E119" s="4" t="s">
        <v>1251</v>
      </c>
      <c r="F119" s="54" t="s">
        <v>449</v>
      </c>
      <c r="G119" s="54" t="s">
        <v>1212</v>
      </c>
      <c r="H119" s="54" t="s">
        <v>1356</v>
      </c>
      <c r="I119" s="54" t="s">
        <v>1216</v>
      </c>
      <c r="J119" s="54" t="s">
        <v>1490</v>
      </c>
      <c r="X119" s="55" t="str">
        <f t="shared" si="1"/>
        <v>#NAME?</v>
      </c>
    </row>
    <row r="120">
      <c r="A120" s="4" t="s">
        <v>1491</v>
      </c>
      <c r="B120" s="4" t="s">
        <v>1087</v>
      </c>
      <c r="C120" s="4">
        <v>119.0</v>
      </c>
      <c r="D120" s="54" t="s">
        <v>1492</v>
      </c>
      <c r="E120" s="4" t="s">
        <v>1251</v>
      </c>
      <c r="F120" s="54" t="s">
        <v>357</v>
      </c>
      <c r="G120" s="54" t="s">
        <v>1493</v>
      </c>
      <c r="H120" s="54" t="s">
        <v>1215</v>
      </c>
      <c r="I120" s="54" t="s">
        <v>1494</v>
      </c>
      <c r="J120" s="54" t="s">
        <v>1226</v>
      </c>
      <c r="X120" s="55" t="str">
        <f t="shared" si="1"/>
        <v>#NAME?</v>
      </c>
    </row>
    <row r="121">
      <c r="A121" s="4" t="s">
        <v>1495</v>
      </c>
      <c r="B121" s="4" t="s">
        <v>1087</v>
      </c>
      <c r="C121" s="4">
        <v>120.0</v>
      </c>
      <c r="D121" s="54" t="s">
        <v>1496</v>
      </c>
      <c r="E121" s="4" t="s">
        <v>1088</v>
      </c>
      <c r="F121" s="54" t="s">
        <v>357</v>
      </c>
      <c r="G121" s="54" t="s">
        <v>1497</v>
      </c>
      <c r="H121" s="54" t="s">
        <v>1498</v>
      </c>
      <c r="I121" s="54" t="s">
        <v>1499</v>
      </c>
      <c r="J121" s="54" t="s">
        <v>1500</v>
      </c>
      <c r="X121" s="55" t="str">
        <f t="shared" si="1"/>
        <v>#NAME?</v>
      </c>
    </row>
    <row r="122">
      <c r="A122" s="4" t="s">
        <v>1501</v>
      </c>
      <c r="B122" s="4" t="s">
        <v>1087</v>
      </c>
      <c r="C122" s="4">
        <v>121.0</v>
      </c>
      <c r="D122" s="54" t="s">
        <v>1502</v>
      </c>
      <c r="E122" s="4" t="s">
        <v>1088</v>
      </c>
      <c r="F122" s="54" t="s">
        <v>357</v>
      </c>
      <c r="G122" s="54" t="s">
        <v>1503</v>
      </c>
      <c r="H122" s="54" t="s">
        <v>1504</v>
      </c>
      <c r="I122" s="54" t="s">
        <v>1168</v>
      </c>
      <c r="J122" s="54" t="s">
        <v>1503</v>
      </c>
      <c r="X122" s="55" t="str">
        <f t="shared" si="1"/>
        <v>#NAME?</v>
      </c>
    </row>
    <row r="123">
      <c r="A123" s="4" t="s">
        <v>1505</v>
      </c>
      <c r="B123" s="4" t="s">
        <v>1087</v>
      </c>
      <c r="C123" s="4">
        <v>122.0</v>
      </c>
      <c r="D123" s="54" t="s">
        <v>1506</v>
      </c>
      <c r="E123" s="4" t="s">
        <v>1296</v>
      </c>
      <c r="F123" s="54" t="s">
        <v>357</v>
      </c>
      <c r="G123" s="54" t="s">
        <v>1507</v>
      </c>
      <c r="H123" s="54" t="s">
        <v>1508</v>
      </c>
      <c r="I123" s="54" t="s">
        <v>1509</v>
      </c>
      <c r="J123" s="54" t="s">
        <v>1510</v>
      </c>
      <c r="X123" s="55" t="str">
        <f t="shared" si="1"/>
        <v>#NAME?</v>
      </c>
    </row>
    <row r="124">
      <c r="A124" s="4" t="s">
        <v>1511</v>
      </c>
      <c r="B124" s="4" t="s">
        <v>1087</v>
      </c>
      <c r="C124" s="4">
        <v>123.0</v>
      </c>
      <c r="D124" s="54" t="s">
        <v>1506</v>
      </c>
      <c r="E124" s="4" t="s">
        <v>1296</v>
      </c>
      <c r="F124" s="54" t="s">
        <v>357</v>
      </c>
      <c r="G124" s="54" t="s">
        <v>1365</v>
      </c>
      <c r="H124" s="54" t="s">
        <v>1512</v>
      </c>
      <c r="I124" s="54" t="s">
        <v>1513</v>
      </c>
      <c r="J124" s="54" t="s">
        <v>1514</v>
      </c>
      <c r="X124" s="55" t="str">
        <f t="shared" si="1"/>
        <v>#NAME?</v>
      </c>
    </row>
    <row r="125">
      <c r="A125" s="4" t="s">
        <v>1515</v>
      </c>
      <c r="B125" s="4" t="s">
        <v>1087</v>
      </c>
      <c r="C125" s="4">
        <v>124.0</v>
      </c>
      <c r="D125" s="54" t="s">
        <v>1506</v>
      </c>
      <c r="E125" s="4" t="s">
        <v>1296</v>
      </c>
      <c r="F125" s="54" t="s">
        <v>357</v>
      </c>
      <c r="G125" s="54" t="s">
        <v>1252</v>
      </c>
      <c r="H125" s="54" t="s">
        <v>1160</v>
      </c>
      <c r="I125" s="54" t="s">
        <v>1516</v>
      </c>
      <c r="J125" s="54" t="s">
        <v>1359</v>
      </c>
      <c r="X125" s="55" t="str">
        <f t="shared" si="1"/>
        <v>#NAME?</v>
      </c>
    </row>
    <row r="126">
      <c r="A126" s="4" t="s">
        <v>1517</v>
      </c>
      <c r="B126" s="4" t="s">
        <v>1087</v>
      </c>
      <c r="C126" s="4">
        <v>125.0</v>
      </c>
      <c r="D126" s="54" t="s">
        <v>1506</v>
      </c>
      <c r="E126" s="4" t="s">
        <v>1296</v>
      </c>
      <c r="F126" s="54" t="s">
        <v>357</v>
      </c>
      <c r="G126" s="54" t="s">
        <v>1257</v>
      </c>
      <c r="H126" s="54" t="s">
        <v>1518</v>
      </c>
      <c r="I126" s="54" t="s">
        <v>1518</v>
      </c>
      <c r="J126" s="54" t="s">
        <v>1366</v>
      </c>
      <c r="X126" s="55" t="str">
        <f t="shared" si="1"/>
        <v>#NAME?</v>
      </c>
    </row>
    <row r="127">
      <c r="A127" s="4" t="s">
        <v>1519</v>
      </c>
      <c r="B127" s="4" t="s">
        <v>1087</v>
      </c>
      <c r="C127" s="4">
        <v>126.0</v>
      </c>
      <c r="D127" s="54" t="s">
        <v>1520</v>
      </c>
      <c r="E127" s="4" t="s">
        <v>1088</v>
      </c>
      <c r="F127" s="54" t="s">
        <v>357</v>
      </c>
      <c r="G127" s="54" t="s">
        <v>1334</v>
      </c>
      <c r="H127" s="54" t="s">
        <v>1521</v>
      </c>
      <c r="I127" s="54" t="s">
        <v>1256</v>
      </c>
      <c r="J127" s="54" t="s">
        <v>1205</v>
      </c>
      <c r="X127" s="55" t="str">
        <f t="shared" si="1"/>
        <v>#NAME?</v>
      </c>
    </row>
    <row r="128">
      <c r="A128" s="4" t="s">
        <v>1522</v>
      </c>
      <c r="B128" s="4" t="s">
        <v>1087</v>
      </c>
      <c r="C128" s="4">
        <v>127.0</v>
      </c>
      <c r="D128" s="54" t="s">
        <v>1523</v>
      </c>
      <c r="E128" s="4" t="s">
        <v>1088</v>
      </c>
      <c r="F128" s="54" t="s">
        <v>357</v>
      </c>
      <c r="G128" s="54" t="s">
        <v>1168</v>
      </c>
      <c r="H128" s="54" t="s">
        <v>1524</v>
      </c>
      <c r="I128" s="54" t="s">
        <v>1504</v>
      </c>
      <c r="J128" s="54" t="s">
        <v>1500</v>
      </c>
      <c r="X128" s="55" t="str">
        <f t="shared" si="1"/>
        <v>#NAME?</v>
      </c>
    </row>
    <row r="129">
      <c r="A129" s="4" t="s">
        <v>1525</v>
      </c>
      <c r="B129" s="4" t="s">
        <v>1087</v>
      </c>
      <c r="C129" s="4">
        <v>128.0</v>
      </c>
      <c r="D129" s="54" t="s">
        <v>1526</v>
      </c>
      <c r="E129" s="4" t="s">
        <v>1088</v>
      </c>
      <c r="F129" s="54" t="s">
        <v>357</v>
      </c>
      <c r="G129" s="54" t="s">
        <v>1497</v>
      </c>
      <c r="H129" s="54" t="s">
        <v>1524</v>
      </c>
      <c r="I129" s="54" t="s">
        <v>1499</v>
      </c>
      <c r="J129" s="54" t="s">
        <v>1500</v>
      </c>
      <c r="X129" s="55" t="str">
        <f t="shared" si="1"/>
        <v>#NAME?</v>
      </c>
    </row>
    <row r="130">
      <c r="A130" s="4" t="s">
        <v>1527</v>
      </c>
      <c r="B130" s="4" t="s">
        <v>1087</v>
      </c>
      <c r="C130" s="4">
        <v>129.0</v>
      </c>
      <c r="D130" s="54" t="s">
        <v>1528</v>
      </c>
      <c r="E130" s="4" t="s">
        <v>1296</v>
      </c>
      <c r="F130" s="54" t="s">
        <v>357</v>
      </c>
      <c r="G130" s="54" t="s">
        <v>1108</v>
      </c>
      <c r="H130" s="54" t="s">
        <v>1417</v>
      </c>
      <c r="I130" s="54" t="s">
        <v>1529</v>
      </c>
      <c r="J130" s="54" t="s">
        <v>1158</v>
      </c>
      <c r="X130" s="55" t="str">
        <f t="shared" si="1"/>
        <v>#NAME?</v>
      </c>
    </row>
    <row r="131">
      <c r="A131" s="4" t="s">
        <v>1530</v>
      </c>
      <c r="B131" s="4" t="s">
        <v>1087</v>
      </c>
      <c r="C131" s="4">
        <v>130.0</v>
      </c>
      <c r="D131" s="54" t="s">
        <v>1528</v>
      </c>
      <c r="E131" s="4" t="s">
        <v>1296</v>
      </c>
      <c r="F131" s="54" t="s">
        <v>357</v>
      </c>
      <c r="G131" s="54" t="s">
        <v>1531</v>
      </c>
      <c r="H131" s="54" t="s">
        <v>1106</v>
      </c>
      <c r="I131" s="54" t="s">
        <v>1532</v>
      </c>
      <c r="J131" s="54" t="s">
        <v>1533</v>
      </c>
      <c r="X131" s="55" t="str">
        <f t="shared" si="1"/>
        <v>#NAME?</v>
      </c>
    </row>
    <row r="132">
      <c r="A132" s="4" t="s">
        <v>1534</v>
      </c>
      <c r="B132" s="4" t="s">
        <v>1087</v>
      </c>
      <c r="C132" s="4">
        <v>131.0</v>
      </c>
      <c r="D132" s="54" t="s">
        <v>1528</v>
      </c>
      <c r="E132" s="4" t="s">
        <v>1296</v>
      </c>
      <c r="F132" s="54" t="s">
        <v>357</v>
      </c>
      <c r="G132" s="54" t="s">
        <v>1244</v>
      </c>
      <c r="H132" s="54" t="s">
        <v>1170</v>
      </c>
      <c r="I132" s="54" t="s">
        <v>1177</v>
      </c>
      <c r="J132" s="54" t="s">
        <v>1535</v>
      </c>
      <c r="X132" s="55" t="str">
        <f t="shared" si="1"/>
        <v>#NAME?</v>
      </c>
    </row>
    <row r="133">
      <c r="A133" s="4" t="s">
        <v>1536</v>
      </c>
      <c r="B133" s="4" t="s">
        <v>1087</v>
      </c>
      <c r="C133" s="4">
        <v>132.0</v>
      </c>
      <c r="D133" s="54" t="s">
        <v>1528</v>
      </c>
      <c r="E133" s="4" t="s">
        <v>1296</v>
      </c>
      <c r="F133" s="54" t="s">
        <v>357</v>
      </c>
      <c r="G133" s="54" t="s">
        <v>1108</v>
      </c>
      <c r="H133" s="54" t="s">
        <v>1233</v>
      </c>
      <c r="I133" s="54" t="s">
        <v>1529</v>
      </c>
      <c r="J133" s="54" t="s">
        <v>1170</v>
      </c>
      <c r="X133" s="55" t="str">
        <f t="shared" si="1"/>
        <v>#NAME?</v>
      </c>
    </row>
    <row r="134">
      <c r="A134" s="4" t="s">
        <v>1537</v>
      </c>
      <c r="B134" s="4" t="s">
        <v>1087</v>
      </c>
      <c r="C134" s="4">
        <v>133.0</v>
      </c>
      <c r="D134" s="54" t="s">
        <v>1538</v>
      </c>
      <c r="E134" s="4" t="s">
        <v>1088</v>
      </c>
      <c r="F134" s="54" t="s">
        <v>357</v>
      </c>
      <c r="G134" s="54" t="s">
        <v>1497</v>
      </c>
      <c r="H134" s="54" t="s">
        <v>1503</v>
      </c>
      <c r="I134" s="54" t="s">
        <v>1503</v>
      </c>
      <c r="J134" s="54" t="s">
        <v>1504</v>
      </c>
      <c r="X134" s="55" t="str">
        <f t="shared" si="1"/>
        <v>#NAME?</v>
      </c>
    </row>
    <row r="135">
      <c r="A135" s="4" t="s">
        <v>1539</v>
      </c>
      <c r="B135" s="4" t="s">
        <v>1087</v>
      </c>
      <c r="C135" s="4">
        <v>134.0</v>
      </c>
      <c r="D135" s="54" t="s">
        <v>1540</v>
      </c>
      <c r="E135" s="4" t="s">
        <v>1088</v>
      </c>
      <c r="F135" s="54" t="s">
        <v>357</v>
      </c>
      <c r="G135" s="54" t="s">
        <v>1503</v>
      </c>
      <c r="H135" s="54" t="s">
        <v>1499</v>
      </c>
      <c r="I135" s="54" t="s">
        <v>1503</v>
      </c>
      <c r="J135" s="54" t="s">
        <v>1504</v>
      </c>
      <c r="X135" s="55" t="str">
        <f t="shared" si="1"/>
        <v>#NAME?</v>
      </c>
    </row>
    <row r="136">
      <c r="A136" s="4" t="s">
        <v>1541</v>
      </c>
      <c r="B136" s="4" t="s">
        <v>1087</v>
      </c>
      <c r="C136" s="4">
        <v>135.0</v>
      </c>
      <c r="D136" s="54" t="s">
        <v>1542</v>
      </c>
      <c r="E136" s="4" t="s">
        <v>1098</v>
      </c>
      <c r="F136" s="54" t="s">
        <v>357</v>
      </c>
      <c r="G136" s="54" t="s">
        <v>1543</v>
      </c>
      <c r="H136" s="54" t="s">
        <v>1185</v>
      </c>
      <c r="I136" s="54" t="s">
        <v>1544</v>
      </c>
      <c r="J136" s="54" t="s">
        <v>1105</v>
      </c>
      <c r="X136" s="55" t="str">
        <f t="shared" si="1"/>
        <v>#NAME?</v>
      </c>
    </row>
    <row r="137">
      <c r="A137" s="4" t="s">
        <v>1545</v>
      </c>
      <c r="B137" s="4" t="s">
        <v>1087</v>
      </c>
      <c r="C137" s="4">
        <v>136.0</v>
      </c>
      <c r="D137" s="54" t="s">
        <v>1542</v>
      </c>
      <c r="E137" s="4" t="s">
        <v>1098</v>
      </c>
      <c r="F137" s="54" t="s">
        <v>357</v>
      </c>
      <c r="G137" s="54" t="s">
        <v>1185</v>
      </c>
      <c r="H137" s="54" t="s">
        <v>1212</v>
      </c>
      <c r="I137" s="54" t="s">
        <v>1231</v>
      </c>
      <c r="J137" s="54" t="s">
        <v>1175</v>
      </c>
      <c r="X137" s="55" t="str">
        <f t="shared" si="1"/>
        <v>#NAME?</v>
      </c>
    </row>
    <row r="138">
      <c r="A138" s="54" t="s">
        <v>1546</v>
      </c>
      <c r="B138" s="4" t="s">
        <v>1087</v>
      </c>
      <c r="C138" s="4">
        <v>137.0</v>
      </c>
      <c r="D138" s="54" t="s">
        <v>1542</v>
      </c>
      <c r="E138" s="4" t="s">
        <v>1098</v>
      </c>
      <c r="F138" s="54" t="s">
        <v>357</v>
      </c>
      <c r="G138" s="54" t="s">
        <v>1188</v>
      </c>
      <c r="H138" s="54" t="s">
        <v>1547</v>
      </c>
      <c r="I138" s="54" t="s">
        <v>1158</v>
      </c>
      <c r="J138" s="54" t="s">
        <v>1110</v>
      </c>
      <c r="X138" s="55" t="str">
        <f t="shared" si="1"/>
        <v>#NAME?</v>
      </c>
    </row>
    <row r="139">
      <c r="A139" s="4" t="s">
        <v>1548</v>
      </c>
      <c r="B139" s="4" t="s">
        <v>1087</v>
      </c>
      <c r="C139" s="4">
        <v>138.0</v>
      </c>
      <c r="D139" s="54" t="s">
        <v>1549</v>
      </c>
      <c r="E139" s="4" t="s">
        <v>1088</v>
      </c>
      <c r="F139" s="54" t="s">
        <v>357</v>
      </c>
      <c r="G139" s="54" t="s">
        <v>1212</v>
      </c>
      <c r="H139" s="54" t="s">
        <v>1186</v>
      </c>
      <c r="I139" s="54" t="s">
        <v>1240</v>
      </c>
      <c r="J139" s="54" t="s">
        <v>1210</v>
      </c>
      <c r="X139" s="55" t="str">
        <f t="shared" si="1"/>
        <v>#NAME?</v>
      </c>
    </row>
    <row r="140">
      <c r="A140" s="4" t="s">
        <v>1550</v>
      </c>
      <c r="B140" s="4" t="s">
        <v>1087</v>
      </c>
      <c r="C140" s="4">
        <v>139.0</v>
      </c>
      <c r="D140" s="54" t="s">
        <v>1551</v>
      </c>
      <c r="E140" s="4" t="s">
        <v>1088</v>
      </c>
      <c r="F140" s="54" t="s">
        <v>357</v>
      </c>
      <c r="G140" s="54" t="s">
        <v>1179</v>
      </c>
      <c r="H140" s="54" t="s">
        <v>1240</v>
      </c>
      <c r="I140" s="54" t="s">
        <v>1552</v>
      </c>
      <c r="J140" s="54" t="s">
        <v>1210</v>
      </c>
      <c r="X140" s="55" t="str">
        <f t="shared" si="1"/>
        <v>#NAME?</v>
      </c>
    </row>
    <row r="141">
      <c r="A141" s="4" t="s">
        <v>1553</v>
      </c>
      <c r="B141" s="4" t="s">
        <v>1087</v>
      </c>
      <c r="C141" s="4">
        <v>140.0</v>
      </c>
      <c r="D141" s="54" t="s">
        <v>1554</v>
      </c>
      <c r="E141" s="4" t="s">
        <v>1098</v>
      </c>
      <c r="F141" s="54" t="s">
        <v>357</v>
      </c>
      <c r="G141" s="54" t="s">
        <v>1176</v>
      </c>
      <c r="H141" s="54" t="s">
        <v>1555</v>
      </c>
      <c r="I141" s="54" t="s">
        <v>1171</v>
      </c>
      <c r="J141" s="54" t="s">
        <v>1556</v>
      </c>
      <c r="X141" s="55" t="str">
        <f t="shared" si="1"/>
        <v>#NAME?</v>
      </c>
    </row>
    <row r="142">
      <c r="A142" s="4" t="s">
        <v>1557</v>
      </c>
      <c r="B142" s="4" t="s">
        <v>1087</v>
      </c>
      <c r="C142" s="4">
        <v>141.0</v>
      </c>
      <c r="D142" s="54" t="s">
        <v>1554</v>
      </c>
      <c r="E142" s="4" t="s">
        <v>1098</v>
      </c>
      <c r="F142" s="54" t="s">
        <v>357</v>
      </c>
      <c r="G142" s="54" t="s">
        <v>1156</v>
      </c>
      <c r="H142" s="54" t="s">
        <v>1130</v>
      </c>
      <c r="I142" s="54" t="s">
        <v>1494</v>
      </c>
      <c r="J142" s="54" t="s">
        <v>1132</v>
      </c>
      <c r="X142" s="55" t="str">
        <f t="shared" si="1"/>
        <v>#NAME?</v>
      </c>
    </row>
    <row r="143">
      <c r="A143" s="4" t="s">
        <v>1558</v>
      </c>
      <c r="B143" s="4" t="s">
        <v>1087</v>
      </c>
      <c r="C143" s="4">
        <v>142.0</v>
      </c>
      <c r="D143" s="54" t="s">
        <v>1554</v>
      </c>
      <c r="E143" s="4" t="s">
        <v>1098</v>
      </c>
      <c r="F143" s="54" t="s">
        <v>357</v>
      </c>
      <c r="G143" s="54" t="s">
        <v>1171</v>
      </c>
      <c r="H143" s="54" t="s">
        <v>1225</v>
      </c>
      <c r="I143" s="54" t="s">
        <v>1559</v>
      </c>
      <c r="J143" s="54" t="s">
        <v>1560</v>
      </c>
      <c r="X143" s="55" t="str">
        <f t="shared" si="1"/>
        <v>#NAME?</v>
      </c>
    </row>
    <row r="144">
      <c r="A144" s="54" t="s">
        <v>1561</v>
      </c>
      <c r="B144" s="4" t="s">
        <v>1087</v>
      </c>
      <c r="C144" s="4">
        <v>143.0</v>
      </c>
      <c r="D144" s="54" t="s">
        <v>1562</v>
      </c>
      <c r="E144" s="4" t="s">
        <v>1088</v>
      </c>
      <c r="F144" s="54" t="s">
        <v>357</v>
      </c>
      <c r="G144" s="54" t="s">
        <v>1563</v>
      </c>
      <c r="H144" s="54" t="s">
        <v>1564</v>
      </c>
      <c r="I144" s="54" t="s">
        <v>1235</v>
      </c>
      <c r="J144" s="54" t="s">
        <v>1183</v>
      </c>
      <c r="X144" s="55" t="str">
        <f t="shared" si="1"/>
        <v>#NAME?</v>
      </c>
    </row>
    <row r="145">
      <c r="A145" s="4" t="s">
        <v>1565</v>
      </c>
      <c r="B145" s="4" t="s">
        <v>1087</v>
      </c>
      <c r="C145" s="4">
        <v>144.0</v>
      </c>
      <c r="D145" s="54" t="s">
        <v>1566</v>
      </c>
      <c r="E145" s="4" t="s">
        <v>1296</v>
      </c>
      <c r="F145" s="54" t="s">
        <v>357</v>
      </c>
      <c r="G145" s="54" t="s">
        <v>1567</v>
      </c>
      <c r="H145" s="54" t="s">
        <v>1359</v>
      </c>
      <c r="I145" s="54" t="s">
        <v>1568</v>
      </c>
      <c r="J145" s="54" t="s">
        <v>1093</v>
      </c>
      <c r="X145" s="55" t="str">
        <f t="shared" si="1"/>
        <v>#NAME?</v>
      </c>
    </row>
    <row r="146">
      <c r="A146" s="4" t="s">
        <v>1569</v>
      </c>
      <c r="B146" s="4" t="s">
        <v>1087</v>
      </c>
      <c r="C146" s="4">
        <v>145.0</v>
      </c>
      <c r="D146" s="54" t="s">
        <v>1566</v>
      </c>
      <c r="E146" s="4" t="s">
        <v>1296</v>
      </c>
      <c r="F146" s="54" t="s">
        <v>357</v>
      </c>
      <c r="G146" s="54" t="s">
        <v>1567</v>
      </c>
      <c r="H146" s="54" t="s">
        <v>1570</v>
      </c>
      <c r="I146" s="54" t="s">
        <v>1233</v>
      </c>
      <c r="J146" s="54" t="s">
        <v>1109</v>
      </c>
      <c r="X146" s="55" t="str">
        <f t="shared" si="1"/>
        <v>#NAME?</v>
      </c>
    </row>
    <row r="147">
      <c r="A147" s="4" t="s">
        <v>1571</v>
      </c>
      <c r="B147" s="4" t="s">
        <v>1087</v>
      </c>
      <c r="C147" s="4">
        <v>146.0</v>
      </c>
      <c r="D147" s="54" t="s">
        <v>1566</v>
      </c>
      <c r="E147" s="4" t="s">
        <v>1296</v>
      </c>
      <c r="F147" s="54" t="s">
        <v>357</v>
      </c>
      <c r="G147" s="54" t="s">
        <v>1572</v>
      </c>
      <c r="H147" s="54" t="s">
        <v>1248</v>
      </c>
      <c r="I147" s="54" t="s">
        <v>1573</v>
      </c>
      <c r="J147" s="54" t="s">
        <v>1245</v>
      </c>
      <c r="X147" s="55" t="str">
        <f t="shared" si="1"/>
        <v>#NAME?</v>
      </c>
    </row>
    <row r="148">
      <c r="A148" s="4" t="s">
        <v>1574</v>
      </c>
      <c r="B148" s="4" t="s">
        <v>1087</v>
      </c>
      <c r="C148" s="4">
        <v>147.0</v>
      </c>
      <c r="D148" s="54" t="s">
        <v>1566</v>
      </c>
      <c r="E148" s="4" t="s">
        <v>1296</v>
      </c>
      <c r="F148" s="54" t="s">
        <v>357</v>
      </c>
      <c r="G148" s="54" t="s">
        <v>1359</v>
      </c>
      <c r="H148" s="54" t="s">
        <v>1200</v>
      </c>
      <c r="I148" s="54" t="s">
        <v>1575</v>
      </c>
      <c r="J148" s="54" t="s">
        <v>1567</v>
      </c>
      <c r="X148" s="55" t="str">
        <f t="shared" si="1"/>
        <v>#NAME?</v>
      </c>
    </row>
    <row r="149">
      <c r="A149" s="4" t="s">
        <v>1576</v>
      </c>
      <c r="B149" s="4" t="s">
        <v>1087</v>
      </c>
      <c r="C149" s="4">
        <v>148.0</v>
      </c>
      <c r="D149" s="54" t="s">
        <v>1577</v>
      </c>
      <c r="E149" s="4" t="s">
        <v>1088</v>
      </c>
      <c r="F149" s="54" t="s">
        <v>357</v>
      </c>
      <c r="G149" s="54" t="s">
        <v>1531</v>
      </c>
      <c r="H149" s="54" t="s">
        <v>1183</v>
      </c>
      <c r="I149" s="54" t="s">
        <v>1171</v>
      </c>
      <c r="J149" s="54" t="s">
        <v>1212</v>
      </c>
      <c r="X149" s="55" t="str">
        <f t="shared" si="1"/>
        <v>#NAME?</v>
      </c>
    </row>
    <row r="150">
      <c r="A150" s="4" t="s">
        <v>1578</v>
      </c>
      <c r="B150" s="4" t="s">
        <v>1087</v>
      </c>
      <c r="C150" s="4">
        <v>149.0</v>
      </c>
      <c r="D150" s="54" t="s">
        <v>1579</v>
      </c>
      <c r="E150" s="4" t="s">
        <v>1088</v>
      </c>
      <c r="F150" s="54" t="s">
        <v>357</v>
      </c>
      <c r="G150" s="54" t="s">
        <v>1244</v>
      </c>
      <c r="H150" s="54" t="s">
        <v>1186</v>
      </c>
      <c r="I150" s="54" t="s">
        <v>1156</v>
      </c>
      <c r="J150" s="54" t="s">
        <v>1244</v>
      </c>
      <c r="X150" s="55" t="str">
        <f t="shared" si="1"/>
        <v>#NAME?</v>
      </c>
    </row>
    <row r="151">
      <c r="A151" s="4" t="s">
        <v>1580</v>
      </c>
      <c r="B151" s="4" t="s">
        <v>1087</v>
      </c>
      <c r="C151" s="4">
        <v>150.0</v>
      </c>
      <c r="D151" s="54" t="s">
        <v>1581</v>
      </c>
      <c r="E151" s="4" t="s">
        <v>1098</v>
      </c>
      <c r="F151" s="54" t="s">
        <v>357</v>
      </c>
      <c r="G151" s="54" t="s">
        <v>1564</v>
      </c>
      <c r="H151" s="54" t="s">
        <v>1582</v>
      </c>
      <c r="I151" s="54" t="s">
        <v>1583</v>
      </c>
      <c r="J151" s="54" t="s">
        <v>1584</v>
      </c>
      <c r="X151" s="55" t="str">
        <f t="shared" si="1"/>
        <v>#NAME?</v>
      </c>
    </row>
    <row r="152">
      <c r="A152" s="4" t="s">
        <v>1585</v>
      </c>
      <c r="B152" s="4" t="s">
        <v>1087</v>
      </c>
      <c r="C152" s="4">
        <v>151.0</v>
      </c>
      <c r="D152" s="54" t="s">
        <v>1581</v>
      </c>
      <c r="E152" s="4" t="s">
        <v>1098</v>
      </c>
      <c r="F152" s="54" t="s">
        <v>357</v>
      </c>
      <c r="G152" s="54" t="s">
        <v>1235</v>
      </c>
      <c r="H152" s="54" t="s">
        <v>1556</v>
      </c>
      <c r="I152" s="54" t="s">
        <v>1586</v>
      </c>
      <c r="J152" s="54" t="s">
        <v>1132</v>
      </c>
      <c r="X152" s="55" t="str">
        <f t="shared" si="1"/>
        <v>#NAME?</v>
      </c>
    </row>
    <row r="153">
      <c r="A153" s="4" t="s">
        <v>1587</v>
      </c>
      <c r="B153" s="4" t="s">
        <v>1087</v>
      </c>
      <c r="C153" s="4">
        <v>152.0</v>
      </c>
      <c r="D153" s="54" t="s">
        <v>1581</v>
      </c>
      <c r="E153" s="4" t="s">
        <v>1098</v>
      </c>
      <c r="F153" s="54" t="s">
        <v>357</v>
      </c>
      <c r="G153" s="54" t="s">
        <v>1172</v>
      </c>
      <c r="H153" s="54" t="s">
        <v>1493</v>
      </c>
      <c r="I153" s="54" t="s">
        <v>1218</v>
      </c>
      <c r="J153" s="54" t="s">
        <v>1560</v>
      </c>
      <c r="X153" s="55" t="str">
        <f t="shared" si="1"/>
        <v>#NAME?</v>
      </c>
    </row>
    <row r="154">
      <c r="A154" s="4" t="s">
        <v>1588</v>
      </c>
      <c r="B154" s="4" t="s">
        <v>1087</v>
      </c>
      <c r="C154" s="4">
        <v>153.0</v>
      </c>
      <c r="D154" s="54" t="s">
        <v>1589</v>
      </c>
      <c r="E154" s="4" t="s">
        <v>1397</v>
      </c>
      <c r="F154" s="54" t="s">
        <v>357</v>
      </c>
      <c r="G154" s="54" t="s">
        <v>1582</v>
      </c>
      <c r="H154" s="54" t="s">
        <v>1590</v>
      </c>
      <c r="I154" s="54" t="s">
        <v>1171</v>
      </c>
      <c r="J154" s="54" t="s">
        <v>1179</v>
      </c>
      <c r="X154" s="55" t="str">
        <f t="shared" si="1"/>
        <v>#NAME?</v>
      </c>
    </row>
    <row r="155">
      <c r="A155" s="4" t="s">
        <v>1591</v>
      </c>
      <c r="B155" s="4" t="s">
        <v>1087</v>
      </c>
      <c r="C155" s="4">
        <v>154.0</v>
      </c>
      <c r="D155" s="54" t="s">
        <v>1589</v>
      </c>
      <c r="E155" s="4" t="s">
        <v>1397</v>
      </c>
      <c r="F155" s="54" t="s">
        <v>357</v>
      </c>
      <c r="G155" s="54" t="s">
        <v>1560</v>
      </c>
      <c r="H155" s="54" t="s">
        <v>1583</v>
      </c>
      <c r="I155" s="54" t="s">
        <v>1241</v>
      </c>
      <c r="J155" s="54" t="s">
        <v>1559</v>
      </c>
      <c r="X155" s="55" t="str">
        <f t="shared" si="1"/>
        <v>#NAME?</v>
      </c>
    </row>
    <row r="156">
      <c r="A156" s="4" t="s">
        <v>1592</v>
      </c>
      <c r="B156" s="4" t="s">
        <v>1087</v>
      </c>
      <c r="C156" s="4">
        <v>155.0</v>
      </c>
      <c r="D156" s="54" t="s">
        <v>1589</v>
      </c>
      <c r="E156" s="4" t="s">
        <v>1397</v>
      </c>
      <c r="F156" s="54" t="s">
        <v>357</v>
      </c>
      <c r="G156" s="54" t="s">
        <v>1593</v>
      </c>
      <c r="H156" s="54" t="s">
        <v>1218</v>
      </c>
      <c r="I156" s="54" t="s">
        <v>1593</v>
      </c>
      <c r="J156" s="54" t="s">
        <v>1245</v>
      </c>
      <c r="X156" s="55" t="str">
        <f t="shared" si="1"/>
        <v>#NAME?</v>
      </c>
    </row>
    <row r="157">
      <c r="A157" s="4" t="s">
        <v>1594</v>
      </c>
      <c r="B157" s="4" t="s">
        <v>1087</v>
      </c>
      <c r="C157" s="4">
        <v>156.0</v>
      </c>
      <c r="D157" s="54" t="s">
        <v>1595</v>
      </c>
      <c r="E157" s="4" t="s">
        <v>1088</v>
      </c>
      <c r="F157" s="54" t="s">
        <v>357</v>
      </c>
      <c r="G157" s="54" t="s">
        <v>1212</v>
      </c>
      <c r="H157" s="54" t="s">
        <v>1185</v>
      </c>
      <c r="I157" s="54" t="s">
        <v>1172</v>
      </c>
      <c r="J157" s="54" t="s">
        <v>1215</v>
      </c>
      <c r="X157" s="55" t="str">
        <f t="shared" si="1"/>
        <v>#NAME?</v>
      </c>
    </row>
    <row r="158">
      <c r="A158" s="4" t="s">
        <v>1596</v>
      </c>
      <c r="B158" s="4" t="s">
        <v>1087</v>
      </c>
      <c r="C158" s="4">
        <v>157.0</v>
      </c>
      <c r="D158" s="54" t="s">
        <v>1597</v>
      </c>
      <c r="E158" s="4" t="s">
        <v>1088</v>
      </c>
      <c r="F158" s="54" t="s">
        <v>357</v>
      </c>
      <c r="G158" s="54" t="s">
        <v>1552</v>
      </c>
      <c r="H158" s="54" t="s">
        <v>1188</v>
      </c>
      <c r="I158" s="54" t="s">
        <v>1177</v>
      </c>
      <c r="J158" s="54" t="s">
        <v>1235</v>
      </c>
      <c r="X158" s="55" t="str">
        <f t="shared" si="1"/>
        <v>#NAME?</v>
      </c>
    </row>
    <row r="159">
      <c r="A159" s="4" t="s">
        <v>1598</v>
      </c>
      <c r="B159" s="4" t="s">
        <v>1087</v>
      </c>
      <c r="C159" s="4">
        <v>158.0</v>
      </c>
      <c r="D159" s="54" t="s">
        <v>1599</v>
      </c>
      <c r="E159" s="4" t="s">
        <v>1088</v>
      </c>
      <c r="F159" s="54" t="s">
        <v>357</v>
      </c>
      <c r="G159" s="54" t="s">
        <v>1235</v>
      </c>
      <c r="H159" s="54" t="s">
        <v>1559</v>
      </c>
      <c r="I159" s="54" t="s">
        <v>1235</v>
      </c>
      <c r="J159" s="54" t="s">
        <v>1172</v>
      </c>
      <c r="X159" s="55" t="str">
        <f t="shared" si="1"/>
        <v>#NAME?</v>
      </c>
    </row>
    <row r="160">
      <c r="A160" s="4" t="s">
        <v>1600</v>
      </c>
      <c r="B160" s="4" t="s">
        <v>1087</v>
      </c>
      <c r="C160" s="4">
        <v>159.0</v>
      </c>
      <c r="D160" s="54" t="s">
        <v>1601</v>
      </c>
      <c r="E160" s="4" t="s">
        <v>1088</v>
      </c>
      <c r="F160" s="54" t="s">
        <v>357</v>
      </c>
      <c r="G160" s="54" t="s">
        <v>1490</v>
      </c>
      <c r="H160" s="54" t="s">
        <v>1156</v>
      </c>
      <c r="I160" s="54" t="s">
        <v>1215</v>
      </c>
      <c r="J160" s="54" t="s">
        <v>1490</v>
      </c>
      <c r="X160" s="55" t="str">
        <f t="shared" si="1"/>
        <v>#NAME?</v>
      </c>
    </row>
    <row r="161">
      <c r="A161" s="54" t="s">
        <v>1602</v>
      </c>
      <c r="B161" s="4" t="s">
        <v>1087</v>
      </c>
      <c r="C161" s="4">
        <v>160.0</v>
      </c>
      <c r="D161" s="54" t="s">
        <v>1603</v>
      </c>
      <c r="E161" s="4" t="s">
        <v>1098</v>
      </c>
      <c r="F161" s="54" t="s">
        <v>357</v>
      </c>
      <c r="G161" s="54" t="s">
        <v>1132</v>
      </c>
      <c r="H161" s="54" t="s">
        <v>1494</v>
      </c>
      <c r="I161" s="54" t="s">
        <v>1604</v>
      </c>
      <c r="J161" s="54" t="s">
        <v>1605</v>
      </c>
      <c r="X161" s="55" t="str">
        <f t="shared" si="1"/>
        <v>#NAME?</v>
      </c>
    </row>
    <row r="162">
      <c r="A162" s="4" t="s">
        <v>1606</v>
      </c>
      <c r="B162" s="4" t="s">
        <v>1087</v>
      </c>
      <c r="C162" s="4">
        <v>161.0</v>
      </c>
      <c r="D162" s="54" t="s">
        <v>1603</v>
      </c>
      <c r="E162" s="4" t="s">
        <v>1098</v>
      </c>
      <c r="F162" s="54" t="s">
        <v>357</v>
      </c>
      <c r="G162" s="54" t="s">
        <v>1129</v>
      </c>
      <c r="H162" s="54" t="s">
        <v>1573</v>
      </c>
      <c r="I162" s="54" t="s">
        <v>1607</v>
      </c>
      <c r="J162" s="54" t="s">
        <v>1586</v>
      </c>
      <c r="X162" s="55" t="str">
        <f t="shared" si="1"/>
        <v>#NAME?</v>
      </c>
    </row>
    <row r="163">
      <c r="A163" s="4" t="s">
        <v>1608</v>
      </c>
      <c r="B163" s="4" t="s">
        <v>1087</v>
      </c>
      <c r="C163" s="4">
        <v>162.0</v>
      </c>
      <c r="D163" s="54" t="s">
        <v>1603</v>
      </c>
      <c r="E163" s="4" t="s">
        <v>1098</v>
      </c>
      <c r="F163" s="54" t="s">
        <v>357</v>
      </c>
      <c r="G163" s="54" t="s">
        <v>1584</v>
      </c>
      <c r="H163" s="54" t="s">
        <v>1573</v>
      </c>
      <c r="I163" s="54" t="s">
        <v>1221</v>
      </c>
      <c r="J163" s="54" t="s">
        <v>1609</v>
      </c>
      <c r="X163" s="55" t="str">
        <f t="shared" si="1"/>
        <v>#NAME?</v>
      </c>
    </row>
    <row r="164">
      <c r="A164" s="4" t="s">
        <v>1610</v>
      </c>
      <c r="B164" s="4" t="s">
        <v>1087</v>
      </c>
      <c r="C164" s="4">
        <v>163.0</v>
      </c>
      <c r="D164" s="54" t="s">
        <v>1611</v>
      </c>
      <c r="E164" s="4" t="s">
        <v>1088</v>
      </c>
      <c r="F164" s="54" t="s">
        <v>357</v>
      </c>
      <c r="G164" s="54" t="s">
        <v>1177</v>
      </c>
      <c r="H164" s="54" t="s">
        <v>1612</v>
      </c>
      <c r="I164" s="54" t="s">
        <v>1613</v>
      </c>
      <c r="J164" s="54" t="s">
        <v>1241</v>
      </c>
      <c r="X164" s="55" t="str">
        <f t="shared" si="1"/>
        <v>#NAME?</v>
      </c>
    </row>
    <row r="165">
      <c r="A165" s="4" t="s">
        <v>1614</v>
      </c>
      <c r="B165" s="4" t="s">
        <v>1087</v>
      </c>
      <c r="C165" s="4">
        <v>164.0</v>
      </c>
      <c r="D165" s="54" t="s">
        <v>1615</v>
      </c>
      <c r="E165" s="4" t="s">
        <v>1088</v>
      </c>
      <c r="F165" s="54" t="s">
        <v>357</v>
      </c>
      <c r="G165" s="54" t="s">
        <v>1177</v>
      </c>
      <c r="H165" s="54" t="s">
        <v>1609</v>
      </c>
      <c r="I165" s="54" t="s">
        <v>1612</v>
      </c>
      <c r="J165" s="54" t="s">
        <v>1490</v>
      </c>
      <c r="X165" s="55" t="str">
        <f t="shared" si="1"/>
        <v>#NAME?</v>
      </c>
    </row>
    <row r="166">
      <c r="A166" s="4" t="s">
        <v>1616</v>
      </c>
      <c r="B166" s="4" t="s">
        <v>1087</v>
      </c>
      <c r="C166" s="4">
        <v>165.0</v>
      </c>
      <c r="D166" s="54" t="s">
        <v>1617</v>
      </c>
      <c r="E166" s="4" t="s">
        <v>1251</v>
      </c>
      <c r="F166" s="54" t="s">
        <v>449</v>
      </c>
      <c r="G166" s="54" t="s">
        <v>1203</v>
      </c>
      <c r="H166" s="54" t="s">
        <v>1618</v>
      </c>
      <c r="I166" s="54" t="s">
        <v>1619</v>
      </c>
      <c r="J166" s="54" t="s">
        <v>1259</v>
      </c>
      <c r="X166" s="55" t="str">
        <f t="shared" si="1"/>
        <v>#NAME?</v>
      </c>
    </row>
    <row r="167">
      <c r="A167" s="4" t="s">
        <v>1620</v>
      </c>
      <c r="B167" s="4" t="s">
        <v>1087</v>
      </c>
      <c r="C167" s="4">
        <v>166.0</v>
      </c>
      <c r="D167" s="54" t="s">
        <v>1621</v>
      </c>
      <c r="E167" s="4" t="s">
        <v>1251</v>
      </c>
      <c r="F167" s="54" t="s">
        <v>357</v>
      </c>
      <c r="G167" s="54" t="s">
        <v>1350</v>
      </c>
      <c r="H167" s="54" t="s">
        <v>1436</v>
      </c>
      <c r="I167" s="54" t="s">
        <v>1196</v>
      </c>
      <c r="J167" s="54" t="s">
        <v>1622</v>
      </c>
      <c r="X167" s="55" t="str">
        <f t="shared" si="1"/>
        <v>#NAME?</v>
      </c>
    </row>
    <row r="168">
      <c r="A168" s="4" t="s">
        <v>1623</v>
      </c>
      <c r="B168" s="4" t="s">
        <v>1087</v>
      </c>
      <c r="C168" s="4">
        <v>167.0</v>
      </c>
      <c r="D168" s="54" t="s">
        <v>1624</v>
      </c>
      <c r="E168" s="4" t="s">
        <v>1098</v>
      </c>
      <c r="F168" s="54" t="s">
        <v>357</v>
      </c>
      <c r="G168" s="54" t="s">
        <v>1590</v>
      </c>
      <c r="H168" s="54" t="s">
        <v>1625</v>
      </c>
      <c r="I168" s="54" t="s">
        <v>1242</v>
      </c>
      <c r="J168" s="54" t="s">
        <v>1556</v>
      </c>
      <c r="X168" s="55" t="str">
        <f t="shared" si="1"/>
        <v>#NAME?</v>
      </c>
    </row>
    <row r="169">
      <c r="A169" s="4" t="s">
        <v>1626</v>
      </c>
      <c r="B169" s="4" t="s">
        <v>1087</v>
      </c>
      <c r="C169" s="4">
        <v>168.0</v>
      </c>
      <c r="D169" s="54" t="s">
        <v>1624</v>
      </c>
      <c r="E169" s="4" t="s">
        <v>1098</v>
      </c>
      <c r="F169" s="54" t="s">
        <v>357</v>
      </c>
      <c r="G169" s="54" t="s">
        <v>1590</v>
      </c>
      <c r="H169" s="54" t="s">
        <v>1493</v>
      </c>
      <c r="I169" s="54" t="s">
        <v>1583</v>
      </c>
      <c r="J169" s="54" t="s">
        <v>1494</v>
      </c>
      <c r="X169" s="55" t="str">
        <f t="shared" si="1"/>
        <v>#NAME?</v>
      </c>
    </row>
    <row r="170">
      <c r="A170" s="54" t="s">
        <v>1627</v>
      </c>
      <c r="B170" s="4" t="s">
        <v>1087</v>
      </c>
      <c r="C170" s="4">
        <v>169.0</v>
      </c>
      <c r="D170" s="54" t="s">
        <v>1624</v>
      </c>
      <c r="E170" s="4" t="s">
        <v>1098</v>
      </c>
      <c r="F170" s="54" t="s">
        <v>357</v>
      </c>
      <c r="G170" s="54" t="s">
        <v>1628</v>
      </c>
      <c r="H170" s="54" t="s">
        <v>1573</v>
      </c>
      <c r="I170" s="54" t="s">
        <v>1180</v>
      </c>
      <c r="J170" s="54" t="s">
        <v>1607</v>
      </c>
      <c r="X170" s="55" t="str">
        <f t="shared" si="1"/>
        <v>#NAME?</v>
      </c>
    </row>
    <row r="171">
      <c r="A171" s="4" t="s">
        <v>1629</v>
      </c>
      <c r="B171" s="4" t="s">
        <v>1087</v>
      </c>
      <c r="C171" s="4">
        <v>170.0</v>
      </c>
      <c r="D171" s="54" t="s">
        <v>1630</v>
      </c>
      <c r="E171" s="4" t="s">
        <v>1088</v>
      </c>
      <c r="F171" s="54" t="s">
        <v>357</v>
      </c>
      <c r="G171" s="54" t="s">
        <v>1593</v>
      </c>
      <c r="H171" s="54" t="s">
        <v>1609</v>
      </c>
      <c r="I171" s="54" t="s">
        <v>1177</v>
      </c>
      <c r="J171" s="54" t="s">
        <v>1176</v>
      </c>
      <c r="X171" s="55" t="str">
        <f t="shared" si="1"/>
        <v>#NAME?</v>
      </c>
    </row>
    <row r="172">
      <c r="A172" s="4" t="s">
        <v>1631</v>
      </c>
      <c r="B172" s="4" t="s">
        <v>1087</v>
      </c>
      <c r="C172" s="4">
        <v>171.0</v>
      </c>
      <c r="D172" s="54" t="s">
        <v>1632</v>
      </c>
      <c r="E172" s="4" t="s">
        <v>1088</v>
      </c>
      <c r="F172" s="54" t="s">
        <v>357</v>
      </c>
      <c r="G172" s="54" t="s">
        <v>1242</v>
      </c>
      <c r="H172" s="54" t="s">
        <v>1180</v>
      </c>
      <c r="I172" s="54" t="s">
        <v>1563</v>
      </c>
      <c r="J172" s="54" t="s">
        <v>1218</v>
      </c>
      <c r="X172" s="55" t="str">
        <f t="shared" si="1"/>
        <v>#NAME?</v>
      </c>
    </row>
    <row r="173">
      <c r="A173" s="4" t="s">
        <v>1633</v>
      </c>
      <c r="B173" s="4" t="s">
        <v>1087</v>
      </c>
      <c r="C173" s="4">
        <v>172.0</v>
      </c>
      <c r="D173" s="54" t="s">
        <v>1634</v>
      </c>
      <c r="E173" s="4" t="s">
        <v>1296</v>
      </c>
      <c r="F173" s="54" t="s">
        <v>357</v>
      </c>
      <c r="G173" s="54" t="s">
        <v>1253</v>
      </c>
      <c r="H173" s="54" t="s">
        <v>1105</v>
      </c>
      <c r="I173" s="54" t="s">
        <v>1104</v>
      </c>
      <c r="J173" s="54" t="s">
        <v>1568</v>
      </c>
      <c r="X173" s="55" t="str">
        <f t="shared" si="1"/>
        <v>#NAME?</v>
      </c>
    </row>
    <row r="174">
      <c r="A174" s="4" t="s">
        <v>1635</v>
      </c>
      <c r="B174" s="4" t="s">
        <v>1087</v>
      </c>
      <c r="C174" s="4">
        <v>173.0</v>
      </c>
      <c r="D174" s="54" t="s">
        <v>1634</v>
      </c>
      <c r="E174" s="4" t="s">
        <v>1296</v>
      </c>
      <c r="F174" s="54" t="s">
        <v>357</v>
      </c>
      <c r="G174" s="54" t="s">
        <v>1514</v>
      </c>
      <c r="H174" s="54" t="s">
        <v>1359</v>
      </c>
      <c r="I174" s="54" t="s">
        <v>1104</v>
      </c>
      <c r="J174" s="54" t="s">
        <v>1636</v>
      </c>
      <c r="X174" s="55" t="str">
        <f t="shared" si="1"/>
        <v>#NAME?</v>
      </c>
    </row>
    <row r="175">
      <c r="A175" s="4" t="s">
        <v>1637</v>
      </c>
      <c r="B175" s="4" t="s">
        <v>1087</v>
      </c>
      <c r="C175" s="4">
        <v>174.0</v>
      </c>
      <c r="D175" s="54" t="s">
        <v>1634</v>
      </c>
      <c r="E175" s="4" t="s">
        <v>1296</v>
      </c>
      <c r="F175" s="54" t="s">
        <v>357</v>
      </c>
      <c r="G175" s="54" t="s">
        <v>1563</v>
      </c>
      <c r="H175" s="54" t="s">
        <v>1236</v>
      </c>
      <c r="I175" s="54" t="s">
        <v>1563</v>
      </c>
      <c r="J175" s="54" t="s">
        <v>1159</v>
      </c>
      <c r="X175" s="55" t="str">
        <f t="shared" si="1"/>
        <v>#NAME?</v>
      </c>
    </row>
    <row r="176">
      <c r="A176" s="4" t="s">
        <v>1638</v>
      </c>
      <c r="B176" s="4" t="s">
        <v>1087</v>
      </c>
      <c r="C176" s="4">
        <v>175.0</v>
      </c>
      <c r="D176" s="54" t="s">
        <v>1634</v>
      </c>
      <c r="E176" s="4" t="s">
        <v>1296</v>
      </c>
      <c r="F176" s="54" t="s">
        <v>357</v>
      </c>
      <c r="G176" s="54" t="s">
        <v>1104</v>
      </c>
      <c r="H176" s="54" t="s">
        <v>1639</v>
      </c>
      <c r="I176" s="54" t="s">
        <v>1516</v>
      </c>
      <c r="J176" s="54" t="s">
        <v>1639</v>
      </c>
      <c r="X176" s="55" t="str">
        <f t="shared" si="1"/>
        <v>#NAME?</v>
      </c>
    </row>
    <row r="177">
      <c r="A177" s="4" t="s">
        <v>1640</v>
      </c>
      <c r="B177" s="4" t="s">
        <v>1087</v>
      </c>
      <c r="C177" s="4">
        <v>176.0</v>
      </c>
      <c r="D177" s="54" t="s">
        <v>1641</v>
      </c>
      <c r="E177" s="4" t="s">
        <v>1088</v>
      </c>
      <c r="F177" s="54" t="s">
        <v>357</v>
      </c>
      <c r="G177" s="54" t="s">
        <v>1564</v>
      </c>
      <c r="H177" s="54" t="s">
        <v>1604</v>
      </c>
      <c r="I177" s="54" t="s">
        <v>1212</v>
      </c>
      <c r="J177" s="54" t="s">
        <v>1563</v>
      </c>
      <c r="X177" s="55" t="str">
        <f t="shared" si="1"/>
        <v>#NAME?</v>
      </c>
    </row>
    <row r="178">
      <c r="A178" s="4" t="s">
        <v>1642</v>
      </c>
      <c r="B178" s="4" t="s">
        <v>1087</v>
      </c>
      <c r="C178" s="4">
        <v>177.0</v>
      </c>
      <c r="D178" s="54" t="s">
        <v>1643</v>
      </c>
      <c r="E178" s="4" t="s">
        <v>1088</v>
      </c>
      <c r="F178" s="54" t="s">
        <v>357</v>
      </c>
      <c r="G178" s="54" t="s">
        <v>1583</v>
      </c>
      <c r="H178" s="54" t="s">
        <v>1586</v>
      </c>
      <c r="I178" s="54" t="s">
        <v>1212</v>
      </c>
      <c r="J178" s="54" t="s">
        <v>1644</v>
      </c>
      <c r="X178" s="55" t="str">
        <f t="shared" si="1"/>
        <v>#NAME?</v>
      </c>
    </row>
    <row r="179">
      <c r="A179" s="51" t="s">
        <v>1645</v>
      </c>
      <c r="B179" s="51" t="s">
        <v>1087</v>
      </c>
      <c r="C179" s="4">
        <v>178.0</v>
      </c>
      <c r="D179" s="57" t="s">
        <v>1646</v>
      </c>
      <c r="E179" s="51" t="s">
        <v>1098</v>
      </c>
      <c r="F179" s="57" t="s">
        <v>357</v>
      </c>
      <c r="G179" s="57" t="s">
        <v>1572</v>
      </c>
      <c r="H179" s="57" t="s">
        <v>1494</v>
      </c>
      <c r="I179" s="57" t="s">
        <v>1555</v>
      </c>
      <c r="J179" s="57" t="s">
        <v>1628</v>
      </c>
      <c r="K179" s="58"/>
      <c r="L179" s="58"/>
      <c r="M179" s="58"/>
      <c r="N179" s="58"/>
      <c r="O179" s="58"/>
      <c r="P179" s="58"/>
      <c r="Q179" s="58"/>
      <c r="R179" s="58"/>
      <c r="S179" s="58"/>
      <c r="T179" s="58"/>
      <c r="U179" s="58"/>
      <c r="V179" s="58"/>
      <c r="W179" s="58"/>
      <c r="X179" s="58" t="str">
        <f t="shared" si="1"/>
        <v>#NAME?</v>
      </c>
      <c r="Y179" s="58"/>
      <c r="Z179" s="58"/>
      <c r="AA179" s="58"/>
      <c r="AB179" s="58"/>
      <c r="AC179" s="58"/>
      <c r="AD179" s="58"/>
      <c r="AE179" s="58"/>
      <c r="AF179" s="58"/>
    </row>
    <row r="180">
      <c r="A180" s="4" t="s">
        <v>1647</v>
      </c>
      <c r="B180" s="4" t="s">
        <v>1087</v>
      </c>
      <c r="C180" s="4">
        <v>179.0</v>
      </c>
      <c r="D180" s="54" t="s">
        <v>1646</v>
      </c>
      <c r="E180" s="4" t="s">
        <v>1098</v>
      </c>
      <c r="F180" s="54" t="s">
        <v>357</v>
      </c>
      <c r="G180" s="54" t="s">
        <v>1494</v>
      </c>
      <c r="H180" s="54" t="s">
        <v>1607</v>
      </c>
      <c r="I180" s="54" t="s">
        <v>1131</v>
      </c>
      <c r="J180" s="54" t="s">
        <v>1225</v>
      </c>
      <c r="X180" s="55" t="str">
        <f t="shared" si="1"/>
        <v>#NAME?</v>
      </c>
    </row>
    <row r="181">
      <c r="A181" s="4" t="s">
        <v>1648</v>
      </c>
      <c r="B181" s="4" t="s">
        <v>1087</v>
      </c>
      <c r="C181" s="4">
        <v>180.0</v>
      </c>
      <c r="D181" s="54" t="s">
        <v>1646</v>
      </c>
      <c r="E181" s="4" t="s">
        <v>1098</v>
      </c>
      <c r="F181" s="54" t="s">
        <v>357</v>
      </c>
      <c r="G181" s="54" t="s">
        <v>1649</v>
      </c>
      <c r="H181" s="54" t="s">
        <v>1628</v>
      </c>
      <c r="I181" s="54" t="s">
        <v>1555</v>
      </c>
      <c r="J181" s="54" t="s">
        <v>1555</v>
      </c>
      <c r="X181" s="55" t="str">
        <f t="shared" si="1"/>
        <v>#NAME?</v>
      </c>
    </row>
    <row r="182">
      <c r="A182" s="4" t="s">
        <v>1650</v>
      </c>
      <c r="B182" s="4" t="s">
        <v>1087</v>
      </c>
      <c r="C182" s="4">
        <v>181.0</v>
      </c>
      <c r="D182" s="54" t="s">
        <v>1651</v>
      </c>
      <c r="E182" s="4" t="s">
        <v>1251</v>
      </c>
      <c r="F182" s="54" t="s">
        <v>357</v>
      </c>
      <c r="G182" s="54" t="s">
        <v>1373</v>
      </c>
      <c r="H182" s="54" t="s">
        <v>1120</v>
      </c>
      <c r="I182" s="54" t="s">
        <v>1313</v>
      </c>
      <c r="J182" s="54" t="s">
        <v>1618</v>
      </c>
      <c r="X182" s="55" t="str">
        <f t="shared" si="1"/>
        <v>#NAME?</v>
      </c>
    </row>
    <row r="183">
      <c r="A183" s="4" t="s">
        <v>1652</v>
      </c>
      <c r="B183" s="4" t="s">
        <v>1087</v>
      </c>
      <c r="C183" s="4">
        <v>182.0</v>
      </c>
      <c r="D183" s="54" t="s">
        <v>1653</v>
      </c>
      <c r="E183" s="4" t="s">
        <v>1251</v>
      </c>
      <c r="F183" s="54" t="s">
        <v>449</v>
      </c>
      <c r="G183" s="54" t="s">
        <v>1264</v>
      </c>
      <c r="H183" s="54" t="s">
        <v>1264</v>
      </c>
      <c r="I183" s="54" t="s">
        <v>1521</v>
      </c>
      <c r="J183" s="54" t="s">
        <v>1654</v>
      </c>
      <c r="X183" s="55" t="str">
        <f t="shared" si="1"/>
        <v>#NAME?</v>
      </c>
    </row>
    <row r="184">
      <c r="A184" s="4" t="s">
        <v>1655</v>
      </c>
      <c r="B184" s="4" t="s">
        <v>1087</v>
      </c>
      <c r="C184" s="4">
        <v>183.0</v>
      </c>
      <c r="D184" s="54" t="s">
        <v>1656</v>
      </c>
      <c r="E184" s="4" t="s">
        <v>1088</v>
      </c>
      <c r="F184" s="54" t="s">
        <v>449</v>
      </c>
      <c r="G184" s="54" t="s">
        <v>1555</v>
      </c>
      <c r="H184" s="54" t="s">
        <v>1227</v>
      </c>
      <c r="I184" s="54" t="s">
        <v>1657</v>
      </c>
      <c r="J184" s="54" t="s">
        <v>1658</v>
      </c>
      <c r="X184" s="55" t="str">
        <f t="shared" si="1"/>
        <v>#NAME?</v>
      </c>
    </row>
    <row r="185">
      <c r="A185" s="4" t="s">
        <v>1659</v>
      </c>
      <c r="B185" s="4" t="s">
        <v>1087</v>
      </c>
      <c r="C185" s="4">
        <v>184.0</v>
      </c>
      <c r="D185" s="54" t="s">
        <v>1660</v>
      </c>
      <c r="E185" s="4" t="s">
        <v>1088</v>
      </c>
      <c r="F185" s="54" t="s">
        <v>449</v>
      </c>
      <c r="G185" s="54" t="s">
        <v>1560</v>
      </c>
      <c r="H185" s="54" t="s">
        <v>1584</v>
      </c>
      <c r="I185" s="54" t="s">
        <v>1584</v>
      </c>
      <c r="J185" s="54" t="s">
        <v>1226</v>
      </c>
      <c r="X185" s="55" t="str">
        <f t="shared" si="1"/>
        <v>#NAME?</v>
      </c>
    </row>
    <row r="186">
      <c r="A186" s="4" t="s">
        <v>1661</v>
      </c>
      <c r="B186" s="4" t="s">
        <v>1087</v>
      </c>
      <c r="C186" s="4">
        <v>185.0</v>
      </c>
      <c r="D186" s="54" t="s">
        <v>1662</v>
      </c>
      <c r="E186" s="4" t="s">
        <v>1251</v>
      </c>
      <c r="F186" s="54" t="s">
        <v>449</v>
      </c>
      <c r="G186" s="54" t="s">
        <v>1170</v>
      </c>
      <c r="H186" s="54" t="s">
        <v>1170</v>
      </c>
      <c r="I186" s="54" t="s">
        <v>1543</v>
      </c>
      <c r="J186" s="54" t="s">
        <v>1181</v>
      </c>
      <c r="X186" s="55" t="str">
        <f t="shared" si="1"/>
        <v>#NAME?</v>
      </c>
    </row>
    <row r="187">
      <c r="A187" s="4" t="s">
        <v>1663</v>
      </c>
      <c r="B187" s="4" t="s">
        <v>1087</v>
      </c>
      <c r="C187" s="4">
        <v>186.0</v>
      </c>
      <c r="D187" s="54" t="s">
        <v>1664</v>
      </c>
      <c r="E187" s="4" t="s">
        <v>1251</v>
      </c>
      <c r="F187" s="54" t="s">
        <v>357</v>
      </c>
      <c r="G187" s="54" t="s">
        <v>1236</v>
      </c>
      <c r="H187" s="54" t="s">
        <v>1160</v>
      </c>
      <c r="I187" s="54" t="s">
        <v>1231</v>
      </c>
      <c r="J187" s="54" t="s">
        <v>1158</v>
      </c>
      <c r="X187" s="55" t="str">
        <f t="shared" si="1"/>
        <v>#NAME?</v>
      </c>
    </row>
    <row r="188">
      <c r="A188" s="4" t="s">
        <v>1665</v>
      </c>
      <c r="B188" s="4" t="s">
        <v>1087</v>
      </c>
      <c r="C188" s="4">
        <v>187.0</v>
      </c>
      <c r="D188" s="54" t="s">
        <v>797</v>
      </c>
      <c r="E188" s="4" t="s">
        <v>1251</v>
      </c>
      <c r="F188" s="54" t="s">
        <v>357</v>
      </c>
      <c r="G188" s="54" t="s">
        <v>1181</v>
      </c>
      <c r="H188" s="54" t="s">
        <v>1231</v>
      </c>
      <c r="I188" s="54" t="s">
        <v>1231</v>
      </c>
      <c r="J188" s="54" t="s">
        <v>1188</v>
      </c>
      <c r="X188" s="55" t="str">
        <f t="shared" si="1"/>
        <v>#NAME?</v>
      </c>
    </row>
    <row r="189">
      <c r="A189" s="4" t="s">
        <v>1666</v>
      </c>
      <c r="B189" s="4" t="s">
        <v>1087</v>
      </c>
      <c r="C189" s="4">
        <v>188.0</v>
      </c>
      <c r="D189" s="54" t="s">
        <v>1667</v>
      </c>
      <c r="E189" s="4" t="s">
        <v>1251</v>
      </c>
      <c r="F189" s="54" t="s">
        <v>449</v>
      </c>
      <c r="G189" s="54" t="s">
        <v>1110</v>
      </c>
      <c r="H189" s="54" t="s">
        <v>1175</v>
      </c>
      <c r="I189" s="54" t="s">
        <v>1668</v>
      </c>
      <c r="J189" s="54" t="s">
        <v>1669</v>
      </c>
      <c r="X189" s="55" t="str">
        <f t="shared" si="1"/>
        <v>#NAME?</v>
      </c>
    </row>
    <row r="190">
      <c r="A190" s="4" t="s">
        <v>1670</v>
      </c>
      <c r="B190" s="4" t="s">
        <v>1087</v>
      </c>
      <c r="C190" s="4">
        <v>189.0</v>
      </c>
      <c r="D190" s="54" t="s">
        <v>1671</v>
      </c>
      <c r="E190" s="4" t="s">
        <v>1088</v>
      </c>
      <c r="F190" s="54" t="s">
        <v>357</v>
      </c>
      <c r="G190" s="54" t="s">
        <v>1544</v>
      </c>
      <c r="H190" s="54" t="s">
        <v>1175</v>
      </c>
      <c r="I190" s="54" t="s">
        <v>1216</v>
      </c>
      <c r="J190" s="54" t="s">
        <v>1181</v>
      </c>
      <c r="X190" s="55" t="str">
        <f t="shared" si="1"/>
        <v>#NAME?</v>
      </c>
    </row>
    <row r="191">
      <c r="A191" s="4" t="s">
        <v>1672</v>
      </c>
      <c r="B191" s="4" t="s">
        <v>1087</v>
      </c>
      <c r="C191" s="4">
        <v>190.0</v>
      </c>
      <c r="D191" s="54" t="s">
        <v>1673</v>
      </c>
      <c r="E191" s="4" t="s">
        <v>1088</v>
      </c>
      <c r="F191" s="54" t="s">
        <v>357</v>
      </c>
      <c r="G191" s="54" t="s">
        <v>1572</v>
      </c>
      <c r="H191" s="54" t="s">
        <v>1226</v>
      </c>
      <c r="I191" s="54" t="s">
        <v>1560</v>
      </c>
      <c r="J191" s="54" t="s">
        <v>1227</v>
      </c>
      <c r="X191" s="55" t="str">
        <f t="shared" si="1"/>
        <v>#NAME?</v>
      </c>
    </row>
    <row r="192">
      <c r="A192" s="4" t="s">
        <v>1674</v>
      </c>
      <c r="B192" s="4" t="s">
        <v>1087</v>
      </c>
      <c r="C192" s="4">
        <v>191.0</v>
      </c>
      <c r="D192" s="54" t="s">
        <v>1502</v>
      </c>
      <c r="E192" s="4" t="s">
        <v>1088</v>
      </c>
      <c r="F192" s="54" t="s">
        <v>357</v>
      </c>
      <c r="G192" s="54" t="s">
        <v>1503</v>
      </c>
      <c r="H192" s="54" t="s">
        <v>1504</v>
      </c>
      <c r="I192" s="54" t="s">
        <v>1168</v>
      </c>
      <c r="J192" s="54" t="s">
        <v>1503</v>
      </c>
      <c r="X192" s="55" t="str">
        <f t="shared" si="1"/>
        <v>#NAME?</v>
      </c>
    </row>
    <row r="193">
      <c r="A193" s="4" t="s">
        <v>1675</v>
      </c>
      <c r="B193" s="4" t="s">
        <v>1087</v>
      </c>
      <c r="C193" s="4">
        <v>192.0</v>
      </c>
      <c r="D193" s="54" t="s">
        <v>1506</v>
      </c>
      <c r="E193" s="4" t="s">
        <v>1296</v>
      </c>
      <c r="F193" s="54" t="s">
        <v>357</v>
      </c>
      <c r="G193" s="54" t="s">
        <v>1507</v>
      </c>
      <c r="H193" s="54" t="s">
        <v>1508</v>
      </c>
      <c r="I193" s="54" t="s">
        <v>1509</v>
      </c>
      <c r="J193" s="54" t="s">
        <v>1510</v>
      </c>
      <c r="X193" s="55" t="str">
        <f t="shared" si="1"/>
        <v>#NAME?</v>
      </c>
    </row>
    <row r="194">
      <c r="A194" s="4" t="s">
        <v>1676</v>
      </c>
      <c r="B194" s="4" t="s">
        <v>1087</v>
      </c>
      <c r="C194" s="4">
        <v>193.0</v>
      </c>
      <c r="D194" s="54" t="s">
        <v>1506</v>
      </c>
      <c r="E194" s="4" t="s">
        <v>1296</v>
      </c>
      <c r="F194" s="54" t="s">
        <v>357</v>
      </c>
      <c r="G194" s="54" t="s">
        <v>1365</v>
      </c>
      <c r="H194" s="54" t="s">
        <v>1512</v>
      </c>
      <c r="I194" s="54" t="s">
        <v>1513</v>
      </c>
      <c r="J194" s="54" t="s">
        <v>1514</v>
      </c>
      <c r="X194" s="55" t="str">
        <f t="shared" si="1"/>
        <v>#NAME?</v>
      </c>
    </row>
    <row r="195">
      <c r="A195" s="4" t="s">
        <v>1677</v>
      </c>
      <c r="B195" s="4" t="s">
        <v>1087</v>
      </c>
      <c r="C195" s="4">
        <v>194.0</v>
      </c>
      <c r="D195" s="54" t="s">
        <v>1506</v>
      </c>
      <c r="E195" s="4" t="s">
        <v>1296</v>
      </c>
      <c r="F195" s="54" t="s">
        <v>357</v>
      </c>
      <c r="G195" s="54" t="s">
        <v>1252</v>
      </c>
      <c r="H195" s="54" t="s">
        <v>1160</v>
      </c>
      <c r="I195" s="54" t="s">
        <v>1516</v>
      </c>
      <c r="J195" s="54" t="s">
        <v>1359</v>
      </c>
      <c r="X195" s="55" t="str">
        <f t="shared" si="1"/>
        <v>#NAME?</v>
      </c>
    </row>
    <row r="196">
      <c r="A196" s="4" t="s">
        <v>1678</v>
      </c>
      <c r="B196" s="4" t="s">
        <v>1087</v>
      </c>
      <c r="C196" s="4">
        <v>195.0</v>
      </c>
      <c r="D196" s="54" t="s">
        <v>1506</v>
      </c>
      <c r="E196" s="4" t="s">
        <v>1296</v>
      </c>
      <c r="F196" s="54" t="s">
        <v>357</v>
      </c>
      <c r="G196" s="54" t="s">
        <v>1257</v>
      </c>
      <c r="H196" s="54" t="s">
        <v>1518</v>
      </c>
      <c r="I196" s="54" t="s">
        <v>1518</v>
      </c>
      <c r="J196" s="54" t="s">
        <v>1366</v>
      </c>
      <c r="X196" s="55" t="str">
        <f t="shared" si="1"/>
        <v>#NAME?</v>
      </c>
    </row>
    <row r="197">
      <c r="A197" s="4" t="s">
        <v>1679</v>
      </c>
      <c r="B197" s="4" t="s">
        <v>1087</v>
      </c>
      <c r="C197" s="4">
        <v>196.0</v>
      </c>
      <c r="D197" s="54" t="s">
        <v>1520</v>
      </c>
      <c r="E197" s="4" t="s">
        <v>1088</v>
      </c>
      <c r="F197" s="54" t="s">
        <v>357</v>
      </c>
      <c r="G197" s="54" t="s">
        <v>1334</v>
      </c>
      <c r="H197" s="54" t="s">
        <v>1521</v>
      </c>
      <c r="I197" s="54" t="s">
        <v>1256</v>
      </c>
      <c r="J197" s="54" t="s">
        <v>1205</v>
      </c>
      <c r="X197" s="55" t="str">
        <f t="shared" si="1"/>
        <v>#NAME?</v>
      </c>
    </row>
    <row r="198">
      <c r="A198" s="4" t="s">
        <v>1680</v>
      </c>
      <c r="B198" s="4" t="s">
        <v>1087</v>
      </c>
      <c r="C198" s="4">
        <v>197.0</v>
      </c>
      <c r="D198" s="54" t="s">
        <v>1523</v>
      </c>
      <c r="E198" s="4" t="s">
        <v>1088</v>
      </c>
      <c r="F198" s="54" t="s">
        <v>357</v>
      </c>
      <c r="G198" s="54" t="s">
        <v>1168</v>
      </c>
      <c r="H198" s="54" t="s">
        <v>1524</v>
      </c>
      <c r="I198" s="54" t="s">
        <v>1504</v>
      </c>
      <c r="J198" s="54" t="s">
        <v>1500</v>
      </c>
      <c r="X198" s="55" t="str">
        <f t="shared" si="1"/>
        <v>#NAME?</v>
      </c>
    </row>
    <row r="199">
      <c r="A199" s="4" t="s">
        <v>1681</v>
      </c>
      <c r="B199" s="4" t="s">
        <v>1087</v>
      </c>
      <c r="C199" s="4">
        <v>198.0</v>
      </c>
      <c r="D199" s="54" t="s">
        <v>1526</v>
      </c>
      <c r="E199" s="4" t="s">
        <v>1088</v>
      </c>
      <c r="F199" s="54" t="s">
        <v>357</v>
      </c>
      <c r="G199" s="54" t="s">
        <v>1497</v>
      </c>
      <c r="H199" s="54" t="s">
        <v>1524</v>
      </c>
      <c r="I199" s="54" t="s">
        <v>1499</v>
      </c>
      <c r="J199" s="54" t="s">
        <v>1500</v>
      </c>
      <c r="X199" s="55" t="str">
        <f t="shared" si="1"/>
        <v>#NAME?</v>
      </c>
    </row>
    <row r="200">
      <c r="A200" s="4" t="s">
        <v>1682</v>
      </c>
      <c r="B200" s="4" t="s">
        <v>1087</v>
      </c>
      <c r="C200" s="4">
        <v>199.0</v>
      </c>
      <c r="D200" s="54" t="s">
        <v>1528</v>
      </c>
      <c r="E200" s="4" t="s">
        <v>1296</v>
      </c>
      <c r="F200" s="54" t="s">
        <v>357</v>
      </c>
      <c r="G200" s="54" t="s">
        <v>1108</v>
      </c>
      <c r="H200" s="54" t="s">
        <v>1417</v>
      </c>
      <c r="I200" s="54" t="s">
        <v>1529</v>
      </c>
      <c r="J200" s="54" t="s">
        <v>1158</v>
      </c>
      <c r="X200" s="55" t="str">
        <f t="shared" si="1"/>
        <v>#NAME?</v>
      </c>
    </row>
    <row r="201">
      <c r="A201" s="4" t="s">
        <v>1683</v>
      </c>
      <c r="B201" s="4" t="s">
        <v>1087</v>
      </c>
      <c r="C201" s="4">
        <v>200.0</v>
      </c>
      <c r="D201" s="54" t="s">
        <v>1496</v>
      </c>
      <c r="E201" s="4" t="s">
        <v>1088</v>
      </c>
      <c r="F201" s="54" t="s">
        <v>357</v>
      </c>
      <c r="G201" s="54" t="s">
        <v>1497</v>
      </c>
      <c r="H201" s="54" t="s">
        <v>1498</v>
      </c>
      <c r="I201" s="54" t="s">
        <v>1499</v>
      </c>
      <c r="J201" s="54" t="s">
        <v>1500</v>
      </c>
      <c r="X201" s="55" t="str">
        <f t="shared" si="1"/>
        <v>#NAME?</v>
      </c>
    </row>
    <row r="202">
      <c r="A202" s="4" t="s">
        <v>1684</v>
      </c>
      <c r="B202" s="4" t="s">
        <v>1087</v>
      </c>
      <c r="C202" s="4">
        <v>201.0</v>
      </c>
      <c r="D202" s="54" t="s">
        <v>1528</v>
      </c>
      <c r="E202" s="4" t="s">
        <v>1296</v>
      </c>
      <c r="F202" s="54" t="s">
        <v>357</v>
      </c>
      <c r="G202" s="54" t="s">
        <v>1531</v>
      </c>
      <c r="H202" s="54" t="s">
        <v>1106</v>
      </c>
      <c r="I202" s="54" t="s">
        <v>1532</v>
      </c>
      <c r="J202" s="54" t="s">
        <v>1533</v>
      </c>
      <c r="X202" s="55" t="str">
        <f t="shared" si="1"/>
        <v>#NAME?</v>
      </c>
    </row>
    <row r="203">
      <c r="A203" s="4" t="s">
        <v>1685</v>
      </c>
      <c r="B203" s="4" t="s">
        <v>1087</v>
      </c>
      <c r="C203" s="4">
        <v>202.0</v>
      </c>
      <c r="D203" s="54" t="s">
        <v>1528</v>
      </c>
      <c r="E203" s="4" t="s">
        <v>1296</v>
      </c>
      <c r="F203" s="54" t="s">
        <v>357</v>
      </c>
      <c r="G203" s="54" t="s">
        <v>1108</v>
      </c>
      <c r="H203" s="54" t="s">
        <v>1233</v>
      </c>
      <c r="I203" s="54" t="s">
        <v>1529</v>
      </c>
      <c r="J203" s="54" t="s">
        <v>1170</v>
      </c>
      <c r="X203" s="55" t="str">
        <f t="shared" si="1"/>
        <v>#NAME?</v>
      </c>
    </row>
    <row r="204">
      <c r="A204" s="4" t="s">
        <v>1686</v>
      </c>
      <c r="B204" s="4" t="s">
        <v>1087</v>
      </c>
      <c r="C204" s="4">
        <v>203.0</v>
      </c>
      <c r="D204" s="54" t="s">
        <v>1538</v>
      </c>
      <c r="E204" s="4" t="s">
        <v>1088</v>
      </c>
      <c r="F204" s="54" t="s">
        <v>357</v>
      </c>
      <c r="G204" s="54" t="s">
        <v>1497</v>
      </c>
      <c r="H204" s="54" t="s">
        <v>1503</v>
      </c>
      <c r="I204" s="54" t="s">
        <v>1503</v>
      </c>
      <c r="J204" s="54" t="s">
        <v>1504</v>
      </c>
      <c r="X204" s="55" t="str">
        <f t="shared" si="1"/>
        <v>#NAME?</v>
      </c>
    </row>
    <row r="205">
      <c r="A205" s="4" t="s">
        <v>1687</v>
      </c>
      <c r="B205" s="4" t="s">
        <v>1087</v>
      </c>
      <c r="C205" s="4">
        <v>204.0</v>
      </c>
      <c r="D205" s="54" t="s">
        <v>1540</v>
      </c>
      <c r="E205" s="4" t="s">
        <v>1088</v>
      </c>
      <c r="F205" s="54" t="s">
        <v>357</v>
      </c>
      <c r="G205" s="54" t="s">
        <v>1503</v>
      </c>
      <c r="H205" s="54" t="s">
        <v>1499</v>
      </c>
      <c r="I205" s="54" t="s">
        <v>1503</v>
      </c>
      <c r="J205" s="54" t="s">
        <v>1504</v>
      </c>
      <c r="X205" s="55" t="str">
        <f t="shared" si="1"/>
        <v>#NAME?</v>
      </c>
    </row>
    <row r="206">
      <c r="A206" s="4" t="s">
        <v>1688</v>
      </c>
      <c r="B206" s="4" t="s">
        <v>1087</v>
      </c>
      <c r="C206" s="4">
        <v>205.0</v>
      </c>
      <c r="D206" s="54" t="s">
        <v>1542</v>
      </c>
      <c r="E206" s="4" t="s">
        <v>1098</v>
      </c>
      <c r="F206" s="54" t="s">
        <v>357</v>
      </c>
      <c r="G206" s="54" t="s">
        <v>1543</v>
      </c>
      <c r="H206" s="54" t="s">
        <v>1185</v>
      </c>
      <c r="I206" s="54" t="s">
        <v>1544</v>
      </c>
      <c r="J206" s="54" t="s">
        <v>1105</v>
      </c>
      <c r="X206" s="55" t="str">
        <f t="shared" si="1"/>
        <v>#NAME?</v>
      </c>
    </row>
    <row r="207">
      <c r="A207" s="4" t="s">
        <v>1689</v>
      </c>
      <c r="B207" s="4" t="s">
        <v>1087</v>
      </c>
      <c r="C207" s="4">
        <v>206.0</v>
      </c>
      <c r="D207" s="54" t="s">
        <v>1542</v>
      </c>
      <c r="E207" s="4" t="s">
        <v>1098</v>
      </c>
      <c r="F207" s="54" t="s">
        <v>357</v>
      </c>
      <c r="G207" s="54" t="s">
        <v>1185</v>
      </c>
      <c r="H207" s="54" t="s">
        <v>1212</v>
      </c>
      <c r="I207" s="54" t="s">
        <v>1231</v>
      </c>
      <c r="J207" s="54" t="s">
        <v>1175</v>
      </c>
      <c r="X207" s="55" t="str">
        <f t="shared" si="1"/>
        <v>#NAME?</v>
      </c>
    </row>
    <row r="208">
      <c r="A208" s="4" t="s">
        <v>1690</v>
      </c>
      <c r="B208" s="4" t="s">
        <v>1087</v>
      </c>
      <c r="C208" s="4">
        <v>207.0</v>
      </c>
      <c r="D208" s="54" t="s">
        <v>1542</v>
      </c>
      <c r="E208" s="4" t="s">
        <v>1098</v>
      </c>
      <c r="F208" s="54" t="s">
        <v>357</v>
      </c>
      <c r="G208" s="54" t="s">
        <v>1188</v>
      </c>
      <c r="H208" s="54" t="s">
        <v>1547</v>
      </c>
      <c r="I208" s="54" t="s">
        <v>1158</v>
      </c>
      <c r="J208" s="54" t="s">
        <v>1110</v>
      </c>
      <c r="X208" s="55" t="str">
        <f t="shared" si="1"/>
        <v>#NAME?</v>
      </c>
    </row>
    <row r="209">
      <c r="A209" s="4" t="s">
        <v>1691</v>
      </c>
      <c r="B209" s="4" t="s">
        <v>1087</v>
      </c>
      <c r="C209" s="4">
        <v>208.0</v>
      </c>
      <c r="D209" s="54" t="s">
        <v>1549</v>
      </c>
      <c r="E209" s="4" t="s">
        <v>1088</v>
      </c>
      <c r="F209" s="54" t="s">
        <v>357</v>
      </c>
      <c r="G209" s="54" t="s">
        <v>1212</v>
      </c>
      <c r="H209" s="54" t="s">
        <v>1186</v>
      </c>
      <c r="I209" s="54" t="s">
        <v>1240</v>
      </c>
      <c r="J209" s="54" t="s">
        <v>1210</v>
      </c>
      <c r="X209" s="55" t="str">
        <f t="shared" si="1"/>
        <v>#NAME?</v>
      </c>
    </row>
    <row r="210">
      <c r="A210" s="4" t="s">
        <v>1692</v>
      </c>
      <c r="B210" s="4" t="s">
        <v>1087</v>
      </c>
      <c r="C210" s="4">
        <v>209.0</v>
      </c>
      <c r="D210" s="54" t="s">
        <v>1551</v>
      </c>
      <c r="E210" s="4" t="s">
        <v>1088</v>
      </c>
      <c r="F210" s="54" t="s">
        <v>357</v>
      </c>
      <c r="G210" s="54" t="s">
        <v>1179</v>
      </c>
      <c r="H210" s="54" t="s">
        <v>1240</v>
      </c>
      <c r="I210" s="54" t="s">
        <v>1552</v>
      </c>
      <c r="J210" s="54" t="s">
        <v>1210</v>
      </c>
      <c r="X210" s="55" t="str">
        <f t="shared" si="1"/>
        <v>#NAME?</v>
      </c>
    </row>
    <row r="211">
      <c r="A211" s="4" t="s">
        <v>1693</v>
      </c>
      <c r="B211" s="4" t="s">
        <v>1087</v>
      </c>
      <c r="C211" s="4">
        <v>210.0</v>
      </c>
      <c r="D211" s="54" t="s">
        <v>1554</v>
      </c>
      <c r="E211" s="4" t="s">
        <v>1098</v>
      </c>
      <c r="F211" s="54" t="s">
        <v>357</v>
      </c>
      <c r="G211" s="54" t="s">
        <v>1176</v>
      </c>
      <c r="H211" s="54" t="s">
        <v>1555</v>
      </c>
      <c r="I211" s="54" t="s">
        <v>1171</v>
      </c>
      <c r="J211" s="54" t="s">
        <v>1556</v>
      </c>
      <c r="X211" s="55" t="str">
        <f t="shared" si="1"/>
        <v>#NAME?</v>
      </c>
    </row>
    <row r="212">
      <c r="A212" s="4" t="s">
        <v>1694</v>
      </c>
      <c r="B212" s="4" t="s">
        <v>1087</v>
      </c>
      <c r="C212" s="4">
        <v>211.0</v>
      </c>
      <c r="D212" s="54" t="s">
        <v>1528</v>
      </c>
      <c r="E212" s="4" t="s">
        <v>1296</v>
      </c>
      <c r="F212" s="54" t="s">
        <v>357</v>
      </c>
      <c r="G212" s="54" t="s">
        <v>1244</v>
      </c>
      <c r="H212" s="54" t="s">
        <v>1170</v>
      </c>
      <c r="I212" s="54" t="s">
        <v>1177</v>
      </c>
      <c r="J212" s="54" t="s">
        <v>1535</v>
      </c>
      <c r="X212" s="55" t="str">
        <f t="shared" si="1"/>
        <v>#NAME?</v>
      </c>
    </row>
    <row r="213">
      <c r="A213" s="4" t="s">
        <v>1695</v>
      </c>
      <c r="B213" s="4" t="s">
        <v>1087</v>
      </c>
      <c r="C213" s="4">
        <v>212.0</v>
      </c>
      <c r="D213" s="54" t="s">
        <v>1554</v>
      </c>
      <c r="E213" s="4" t="s">
        <v>1098</v>
      </c>
      <c r="F213" s="54" t="s">
        <v>357</v>
      </c>
      <c r="G213" s="54" t="s">
        <v>1156</v>
      </c>
      <c r="H213" s="54" t="s">
        <v>1130</v>
      </c>
      <c r="I213" s="54" t="s">
        <v>1494</v>
      </c>
      <c r="J213" s="54" t="s">
        <v>1132</v>
      </c>
      <c r="X213" s="55" t="str">
        <f t="shared" si="1"/>
        <v>#NAME?</v>
      </c>
    </row>
    <row r="214">
      <c r="A214" s="4" t="s">
        <v>1696</v>
      </c>
      <c r="B214" s="4" t="s">
        <v>1087</v>
      </c>
      <c r="C214" s="4">
        <v>213.0</v>
      </c>
      <c r="D214" s="54" t="s">
        <v>1492</v>
      </c>
      <c r="E214" s="4" t="s">
        <v>1251</v>
      </c>
      <c r="F214" s="54" t="s">
        <v>357</v>
      </c>
      <c r="G214" s="54" t="s">
        <v>1493</v>
      </c>
      <c r="H214" s="54" t="s">
        <v>1215</v>
      </c>
      <c r="I214" s="54" t="s">
        <v>1494</v>
      </c>
      <c r="J214" s="54" t="s">
        <v>1226</v>
      </c>
      <c r="X214" s="55" t="str">
        <f t="shared" si="1"/>
        <v>#NAME?</v>
      </c>
    </row>
    <row r="215">
      <c r="A215" s="4" t="s">
        <v>1697</v>
      </c>
      <c r="B215" s="4" t="s">
        <v>1087</v>
      </c>
      <c r="C215" s="4">
        <v>214.0</v>
      </c>
      <c r="D215" s="4" t="s">
        <v>1486</v>
      </c>
      <c r="E215" s="4" t="s">
        <v>1088</v>
      </c>
      <c r="F215" s="54" t="s">
        <v>534</v>
      </c>
      <c r="G215" s="54" t="s">
        <v>1137</v>
      </c>
      <c r="H215" s="54" t="s">
        <v>1163</v>
      </c>
      <c r="I215" s="54" t="s">
        <v>1344</v>
      </c>
      <c r="J215" s="54" t="s">
        <v>1487</v>
      </c>
      <c r="X215" s="55" t="str">
        <f t="shared" si="1"/>
        <v>#NAME?</v>
      </c>
    </row>
    <row r="216">
      <c r="A216" s="4" t="s">
        <v>1698</v>
      </c>
      <c r="B216" s="4" t="s">
        <v>1087</v>
      </c>
      <c r="C216" s="4">
        <v>215.0</v>
      </c>
      <c r="D216" s="4" t="s">
        <v>1429</v>
      </c>
      <c r="E216" s="4" t="s">
        <v>1296</v>
      </c>
      <c r="F216" s="54" t="s">
        <v>534</v>
      </c>
      <c r="G216" s="54" t="s">
        <v>1275</v>
      </c>
      <c r="H216" s="54" t="s">
        <v>1275</v>
      </c>
      <c r="I216" s="54" t="s">
        <v>1340</v>
      </c>
      <c r="J216" s="54" t="s">
        <v>1405</v>
      </c>
      <c r="X216" s="55" t="str">
        <f t="shared" si="1"/>
        <v>#NAME?</v>
      </c>
    </row>
    <row r="217">
      <c r="A217" s="4" t="s">
        <v>1699</v>
      </c>
      <c r="B217" s="4" t="s">
        <v>1087</v>
      </c>
      <c r="C217" s="4">
        <v>216.0</v>
      </c>
      <c r="D217" s="4" t="s">
        <v>1431</v>
      </c>
      <c r="E217" s="4" t="s">
        <v>1296</v>
      </c>
      <c r="F217" s="54" t="s">
        <v>534</v>
      </c>
      <c r="G217" s="54" t="s">
        <v>1299</v>
      </c>
      <c r="H217" s="54" t="s">
        <v>1432</v>
      </c>
      <c r="I217" s="54" t="s">
        <v>1152</v>
      </c>
      <c r="J217" s="54" t="s">
        <v>1433</v>
      </c>
      <c r="X217" s="55" t="str">
        <f t="shared" si="1"/>
        <v>#NAME?</v>
      </c>
    </row>
    <row r="218">
      <c r="A218" s="4" t="s">
        <v>1700</v>
      </c>
      <c r="B218" s="4" t="s">
        <v>1087</v>
      </c>
      <c r="C218" s="4">
        <v>217.0</v>
      </c>
      <c r="D218" s="4" t="s">
        <v>1435</v>
      </c>
      <c r="E218" s="4" t="s">
        <v>1296</v>
      </c>
      <c r="F218" s="54" t="s">
        <v>534</v>
      </c>
      <c r="G218" s="54" t="s">
        <v>1405</v>
      </c>
      <c r="H218" s="54" t="s">
        <v>1436</v>
      </c>
      <c r="I218" s="54" t="s">
        <v>1275</v>
      </c>
      <c r="J218" s="54" t="s">
        <v>1437</v>
      </c>
      <c r="X218" s="55" t="str">
        <f t="shared" si="1"/>
        <v>#NAME?</v>
      </c>
    </row>
    <row r="219">
      <c r="A219" s="4" t="s">
        <v>1701</v>
      </c>
      <c r="B219" s="4" t="s">
        <v>1087</v>
      </c>
      <c r="C219" s="4">
        <v>218.0</v>
      </c>
      <c r="D219" s="4" t="s">
        <v>1439</v>
      </c>
      <c r="E219" s="4" t="s">
        <v>1088</v>
      </c>
      <c r="F219" s="54" t="s">
        <v>534</v>
      </c>
      <c r="G219" s="54" t="s">
        <v>1440</v>
      </c>
      <c r="H219" s="54" t="s">
        <v>1280</v>
      </c>
      <c r="I219" s="54" t="s">
        <v>1139</v>
      </c>
      <c r="J219" s="54" t="s">
        <v>1139</v>
      </c>
      <c r="X219" s="55" t="str">
        <f t="shared" si="1"/>
        <v>#NAME?</v>
      </c>
    </row>
    <row r="220">
      <c r="A220" s="4" t="s">
        <v>1702</v>
      </c>
      <c r="B220" s="4" t="s">
        <v>1087</v>
      </c>
      <c r="C220" s="4">
        <v>219.0</v>
      </c>
      <c r="D220" s="4" t="s">
        <v>1442</v>
      </c>
      <c r="E220" s="4" t="s">
        <v>1088</v>
      </c>
      <c r="F220" s="54" t="s">
        <v>534</v>
      </c>
      <c r="G220" s="54" t="s">
        <v>1163</v>
      </c>
      <c r="H220" s="54" t="s">
        <v>1440</v>
      </c>
      <c r="I220" s="54" t="s">
        <v>1280</v>
      </c>
      <c r="J220" s="54" t="s">
        <v>1123</v>
      </c>
      <c r="X220" s="55" t="str">
        <f t="shared" si="1"/>
        <v>#NAME?</v>
      </c>
    </row>
    <row r="221">
      <c r="A221" s="4" t="s">
        <v>1703</v>
      </c>
      <c r="B221" s="4" t="s">
        <v>1087</v>
      </c>
      <c r="C221" s="4">
        <v>220.0</v>
      </c>
      <c r="D221" s="4" t="s">
        <v>1444</v>
      </c>
      <c r="E221" s="4" t="s">
        <v>1088</v>
      </c>
      <c r="F221" s="54" t="s">
        <v>534</v>
      </c>
      <c r="G221" s="54" t="s">
        <v>1118</v>
      </c>
      <c r="H221" s="54" t="s">
        <v>1122</v>
      </c>
      <c r="I221" s="54" t="s">
        <v>1139</v>
      </c>
      <c r="J221" s="54" t="s">
        <v>1163</v>
      </c>
      <c r="X221" s="55" t="str">
        <f t="shared" si="1"/>
        <v>#NAME?</v>
      </c>
    </row>
    <row r="222">
      <c r="A222" s="4" t="s">
        <v>1704</v>
      </c>
      <c r="B222" s="4" t="s">
        <v>1087</v>
      </c>
      <c r="C222" s="4">
        <v>221.0</v>
      </c>
      <c r="D222" s="4" t="s">
        <v>1446</v>
      </c>
      <c r="E222" s="4" t="s">
        <v>1088</v>
      </c>
      <c r="F222" s="54" t="s">
        <v>534</v>
      </c>
      <c r="G222" s="54" t="s">
        <v>1122</v>
      </c>
      <c r="H222" s="54" t="s">
        <v>1134</v>
      </c>
      <c r="I222" s="54" t="s">
        <v>1150</v>
      </c>
      <c r="J222" s="54" t="s">
        <v>1150</v>
      </c>
      <c r="X222" s="55" t="str">
        <f t="shared" si="1"/>
        <v>#NAME?</v>
      </c>
    </row>
    <row r="223">
      <c r="A223" s="4" t="s">
        <v>1705</v>
      </c>
      <c r="B223" s="4" t="s">
        <v>1087</v>
      </c>
      <c r="C223" s="4">
        <v>222.0</v>
      </c>
      <c r="D223" s="4" t="s">
        <v>1448</v>
      </c>
      <c r="E223" s="4" t="s">
        <v>1088</v>
      </c>
      <c r="F223" s="54" t="s">
        <v>534</v>
      </c>
      <c r="G223" s="54" t="s">
        <v>1382</v>
      </c>
      <c r="H223" s="54" t="s">
        <v>1118</v>
      </c>
      <c r="I223" s="54" t="s">
        <v>1440</v>
      </c>
      <c r="J223" s="54" t="s">
        <v>1140</v>
      </c>
      <c r="X223" s="55" t="str">
        <f t="shared" si="1"/>
        <v>#NAME?</v>
      </c>
    </row>
    <row r="224">
      <c r="A224" s="4" t="s">
        <v>1706</v>
      </c>
      <c r="B224" s="4" t="s">
        <v>1087</v>
      </c>
      <c r="C224" s="4">
        <v>223.0</v>
      </c>
      <c r="D224" s="4" t="s">
        <v>1450</v>
      </c>
      <c r="E224" s="4" t="s">
        <v>1191</v>
      </c>
      <c r="F224" s="54" t="s">
        <v>534</v>
      </c>
      <c r="G224" s="54" t="s">
        <v>1139</v>
      </c>
      <c r="H224" s="54" t="s">
        <v>1451</v>
      </c>
      <c r="I224" s="54" t="s">
        <v>1127</v>
      </c>
      <c r="J224" s="54" t="s">
        <v>1337</v>
      </c>
      <c r="X224" s="55" t="str">
        <f t="shared" si="1"/>
        <v>#NAME?</v>
      </c>
    </row>
    <row r="225">
      <c r="A225" s="4" t="s">
        <v>1707</v>
      </c>
      <c r="B225" s="4" t="s">
        <v>1087</v>
      </c>
      <c r="C225" s="4">
        <v>224.0</v>
      </c>
      <c r="D225" s="54" t="s">
        <v>1489</v>
      </c>
      <c r="E225" s="4" t="s">
        <v>1251</v>
      </c>
      <c r="F225" s="54" t="s">
        <v>449</v>
      </c>
      <c r="G225" s="54" t="s">
        <v>1212</v>
      </c>
      <c r="H225" s="54" t="s">
        <v>1356</v>
      </c>
      <c r="I225" s="54" t="s">
        <v>1216</v>
      </c>
      <c r="J225" s="54" t="s">
        <v>1490</v>
      </c>
      <c r="X225" s="55" t="str">
        <f t="shared" si="1"/>
        <v>#NAME?</v>
      </c>
    </row>
    <row r="226">
      <c r="A226" s="4" t="s">
        <v>1708</v>
      </c>
      <c r="B226" s="4" t="s">
        <v>1087</v>
      </c>
      <c r="C226" s="4">
        <v>225.0</v>
      </c>
      <c r="D226" s="4" t="s">
        <v>1453</v>
      </c>
      <c r="E226" s="4" t="s">
        <v>1191</v>
      </c>
      <c r="F226" s="54" t="s">
        <v>534</v>
      </c>
      <c r="G226" s="54" t="s">
        <v>1398</v>
      </c>
      <c r="H226" s="54" t="s">
        <v>1454</v>
      </c>
      <c r="I226" s="54" t="s">
        <v>1197</v>
      </c>
      <c r="J226" s="54" t="s">
        <v>1455</v>
      </c>
      <c r="X226" s="55" t="str">
        <f t="shared" si="1"/>
        <v>#NAME?</v>
      </c>
    </row>
    <row r="227">
      <c r="A227" s="4" t="s">
        <v>1709</v>
      </c>
      <c r="B227" s="4" t="s">
        <v>1087</v>
      </c>
      <c r="C227" s="4">
        <v>226.0</v>
      </c>
      <c r="D227" s="4" t="s">
        <v>1460</v>
      </c>
      <c r="E227" s="4" t="s">
        <v>1191</v>
      </c>
      <c r="F227" s="54" t="s">
        <v>534</v>
      </c>
      <c r="G227" s="54" t="s">
        <v>1391</v>
      </c>
      <c r="H227" s="54" t="s">
        <v>1461</v>
      </c>
      <c r="I227" s="54" t="s">
        <v>1462</v>
      </c>
      <c r="J227" s="54" t="s">
        <v>1463</v>
      </c>
      <c r="X227" s="55" t="str">
        <f t="shared" si="1"/>
        <v>#NAME?</v>
      </c>
    </row>
    <row r="228">
      <c r="A228" s="4" t="s">
        <v>1710</v>
      </c>
      <c r="B228" s="4" t="s">
        <v>1087</v>
      </c>
      <c r="C228" s="4">
        <v>227.0</v>
      </c>
      <c r="D228" s="4" t="s">
        <v>1465</v>
      </c>
      <c r="E228" s="4" t="s">
        <v>1088</v>
      </c>
      <c r="F228" s="54" t="s">
        <v>534</v>
      </c>
      <c r="G228" s="54" t="s">
        <v>1122</v>
      </c>
      <c r="H228" s="54" t="s">
        <v>1122</v>
      </c>
      <c r="I228" s="54" t="s">
        <v>1152</v>
      </c>
      <c r="J228" s="54" t="s">
        <v>1123</v>
      </c>
      <c r="X228" s="55" t="str">
        <f t="shared" si="1"/>
        <v>#NAME?</v>
      </c>
    </row>
    <row r="229">
      <c r="A229" s="4" t="s">
        <v>1711</v>
      </c>
      <c r="B229" s="4" t="s">
        <v>1087</v>
      </c>
      <c r="C229" s="4">
        <v>228.0</v>
      </c>
      <c r="D229" s="4" t="s">
        <v>1467</v>
      </c>
      <c r="E229" s="4" t="s">
        <v>1088</v>
      </c>
      <c r="F229" s="54" t="s">
        <v>534</v>
      </c>
      <c r="G229" s="54" t="s">
        <v>1123</v>
      </c>
      <c r="H229" s="54" t="s">
        <v>1122</v>
      </c>
      <c r="I229" s="54" t="s">
        <v>1150</v>
      </c>
      <c r="J229" s="54" t="s">
        <v>1123</v>
      </c>
      <c r="X229" s="55" t="str">
        <f t="shared" si="1"/>
        <v>#NAME?</v>
      </c>
    </row>
    <row r="230">
      <c r="A230" s="4" t="s">
        <v>1712</v>
      </c>
      <c r="B230" s="4" t="s">
        <v>1087</v>
      </c>
      <c r="C230" s="4">
        <v>229.0</v>
      </c>
      <c r="D230" s="4" t="s">
        <v>1469</v>
      </c>
      <c r="E230" s="4" t="s">
        <v>1088</v>
      </c>
      <c r="F230" s="54" t="s">
        <v>534</v>
      </c>
      <c r="G230" s="54" t="s">
        <v>1139</v>
      </c>
      <c r="H230" s="54" t="s">
        <v>1122</v>
      </c>
      <c r="I230" s="54" t="s">
        <v>1440</v>
      </c>
      <c r="J230" s="54" t="s">
        <v>1139</v>
      </c>
      <c r="X230" s="55" t="str">
        <f t="shared" si="1"/>
        <v>#NAME?</v>
      </c>
    </row>
    <row r="231">
      <c r="A231" s="4" t="s">
        <v>1713</v>
      </c>
      <c r="B231" s="4" t="s">
        <v>1087</v>
      </c>
      <c r="C231" s="4">
        <v>230.0</v>
      </c>
      <c r="D231" s="4" t="s">
        <v>1471</v>
      </c>
      <c r="E231" s="4" t="s">
        <v>1191</v>
      </c>
      <c r="F231" s="54" t="s">
        <v>534</v>
      </c>
      <c r="G231" s="54" t="s">
        <v>1143</v>
      </c>
      <c r="H231" s="54" t="s">
        <v>1118</v>
      </c>
      <c r="I231" s="54" t="s">
        <v>1126</v>
      </c>
      <c r="J231" s="54" t="s">
        <v>1138</v>
      </c>
      <c r="X231" s="55" t="str">
        <f t="shared" si="1"/>
        <v>#NAME?</v>
      </c>
    </row>
    <row r="232">
      <c r="A232" s="4" t="s">
        <v>1714</v>
      </c>
      <c r="B232" s="4" t="s">
        <v>1087</v>
      </c>
      <c r="C232" s="4">
        <v>231.0</v>
      </c>
      <c r="D232" s="4" t="s">
        <v>1473</v>
      </c>
      <c r="E232" s="4" t="s">
        <v>1191</v>
      </c>
      <c r="F232" s="54" t="s">
        <v>534</v>
      </c>
      <c r="G232" s="54" t="s">
        <v>1337</v>
      </c>
      <c r="H232" s="54" t="s">
        <v>1474</v>
      </c>
      <c r="I232" s="54" t="s">
        <v>1256</v>
      </c>
      <c r="J232" s="54" t="s">
        <v>1475</v>
      </c>
      <c r="X232" s="55" t="str">
        <f t="shared" si="1"/>
        <v>#NAME?</v>
      </c>
    </row>
    <row r="233">
      <c r="A233" s="4" t="s">
        <v>1715</v>
      </c>
      <c r="B233" s="4" t="s">
        <v>1087</v>
      </c>
      <c r="C233" s="4">
        <v>232.0</v>
      </c>
      <c r="D233" s="4" t="s">
        <v>1477</v>
      </c>
      <c r="E233" s="4" t="s">
        <v>1191</v>
      </c>
      <c r="F233" s="54" t="s">
        <v>534</v>
      </c>
      <c r="G233" s="54" t="s">
        <v>1478</v>
      </c>
      <c r="H233" s="54" t="s">
        <v>1194</v>
      </c>
      <c r="I233" s="54" t="s">
        <v>1321</v>
      </c>
      <c r="J233" s="54" t="s">
        <v>1479</v>
      </c>
      <c r="X233" s="55" t="str">
        <f t="shared" si="1"/>
        <v>#NAME?</v>
      </c>
    </row>
    <row r="234">
      <c r="A234" s="4" t="s">
        <v>1716</v>
      </c>
      <c r="B234" s="4" t="s">
        <v>1087</v>
      </c>
      <c r="C234" s="4">
        <v>233.0</v>
      </c>
      <c r="D234" s="4" t="s">
        <v>1481</v>
      </c>
      <c r="E234" s="4" t="s">
        <v>1191</v>
      </c>
      <c r="F234" s="54" t="s">
        <v>534</v>
      </c>
      <c r="G234" s="54" t="s">
        <v>1482</v>
      </c>
      <c r="H234" s="54" t="s">
        <v>1192</v>
      </c>
      <c r="I234" s="54" t="s">
        <v>1137</v>
      </c>
      <c r="J234" s="54" t="s">
        <v>1276</v>
      </c>
      <c r="X234" s="55" t="str">
        <f t="shared" si="1"/>
        <v>#NAME?</v>
      </c>
    </row>
    <row r="235">
      <c r="A235" s="4" t="s">
        <v>1717</v>
      </c>
      <c r="B235" s="4" t="s">
        <v>1087</v>
      </c>
      <c r="C235" s="4">
        <v>234.0</v>
      </c>
      <c r="D235" s="4" t="s">
        <v>1484</v>
      </c>
      <c r="E235" s="4" t="s">
        <v>1088</v>
      </c>
      <c r="F235" s="54" t="s">
        <v>534</v>
      </c>
      <c r="G235" s="54" t="s">
        <v>1117</v>
      </c>
      <c r="H235" s="54" t="s">
        <v>1382</v>
      </c>
      <c r="I235" s="54" t="s">
        <v>1138</v>
      </c>
      <c r="J235" s="54" t="s">
        <v>1344</v>
      </c>
      <c r="X235" s="55" t="str">
        <f t="shared" si="1"/>
        <v>#NAME?</v>
      </c>
    </row>
    <row r="236">
      <c r="A236" s="4" t="s">
        <v>1718</v>
      </c>
      <c r="B236" s="4" t="s">
        <v>1087</v>
      </c>
      <c r="C236" s="4">
        <v>235.0</v>
      </c>
      <c r="D236" s="4" t="s">
        <v>1457</v>
      </c>
      <c r="E236" s="4" t="s">
        <v>1191</v>
      </c>
      <c r="F236" s="54" t="s">
        <v>534</v>
      </c>
      <c r="G236" s="54" t="s">
        <v>1194</v>
      </c>
      <c r="H236" s="54" t="s">
        <v>1458</v>
      </c>
      <c r="I236" s="54" t="s">
        <v>1436</v>
      </c>
      <c r="J236" s="54" t="s">
        <v>1365</v>
      </c>
      <c r="X236" s="55" t="str">
        <f t="shared" si="1"/>
        <v>#NAME?</v>
      </c>
    </row>
    <row r="237">
      <c r="A237" s="4" t="s">
        <v>1719</v>
      </c>
      <c r="B237" s="4" t="s">
        <v>1087</v>
      </c>
      <c r="C237" s="4">
        <v>236.0</v>
      </c>
      <c r="D237" s="4" t="s">
        <v>1425</v>
      </c>
      <c r="E237" s="4" t="s">
        <v>1296</v>
      </c>
      <c r="F237" s="54" t="s">
        <v>534</v>
      </c>
      <c r="G237" s="54" t="s">
        <v>1426</v>
      </c>
      <c r="H237" s="54" t="s">
        <v>1142</v>
      </c>
      <c r="I237" s="54" t="s">
        <v>1284</v>
      </c>
      <c r="J237" s="54" t="s">
        <v>1427</v>
      </c>
      <c r="X237" s="55" t="str">
        <f t="shared" si="1"/>
        <v>#NAME?</v>
      </c>
    </row>
    <row r="238">
      <c r="A238" s="4" t="s">
        <v>1720</v>
      </c>
      <c r="B238" s="4" t="s">
        <v>1087</v>
      </c>
      <c r="C238" s="4">
        <v>237.0</v>
      </c>
      <c r="D238" s="54" t="s">
        <v>1554</v>
      </c>
      <c r="E238" s="4" t="s">
        <v>1098</v>
      </c>
      <c r="F238" s="54" t="s">
        <v>357</v>
      </c>
      <c r="G238" s="54" t="s">
        <v>1171</v>
      </c>
      <c r="H238" s="54" t="s">
        <v>1225</v>
      </c>
      <c r="I238" s="54" t="s">
        <v>1559</v>
      </c>
      <c r="J238" s="54" t="s">
        <v>1560</v>
      </c>
      <c r="X238" s="55" t="str">
        <f t="shared" si="1"/>
        <v>#NAME?</v>
      </c>
    </row>
    <row r="239">
      <c r="A239" s="4" t="s">
        <v>1721</v>
      </c>
      <c r="B239" s="4" t="s">
        <v>1087</v>
      </c>
      <c r="C239" s="4">
        <v>238.0</v>
      </c>
      <c r="D239" s="54" t="s">
        <v>1566</v>
      </c>
      <c r="E239" s="4" t="s">
        <v>1296</v>
      </c>
      <c r="F239" s="54" t="s">
        <v>357</v>
      </c>
      <c r="G239" s="54" t="s">
        <v>1567</v>
      </c>
      <c r="H239" s="54" t="s">
        <v>1359</v>
      </c>
      <c r="I239" s="54" t="s">
        <v>1568</v>
      </c>
      <c r="J239" s="54" t="s">
        <v>1093</v>
      </c>
      <c r="X239" s="55" t="str">
        <f t="shared" si="1"/>
        <v>#NAME?</v>
      </c>
    </row>
    <row r="240">
      <c r="A240" s="54" t="s">
        <v>1722</v>
      </c>
      <c r="B240" s="4" t="s">
        <v>1087</v>
      </c>
      <c r="C240" s="4">
        <v>239.0</v>
      </c>
      <c r="D240" s="54" t="s">
        <v>1624</v>
      </c>
      <c r="E240" s="4" t="s">
        <v>1098</v>
      </c>
      <c r="F240" s="54" t="s">
        <v>357</v>
      </c>
      <c r="G240" s="54" t="s">
        <v>1628</v>
      </c>
      <c r="H240" s="54" t="s">
        <v>1573</v>
      </c>
      <c r="I240" s="54" t="s">
        <v>1180</v>
      </c>
      <c r="J240" s="54" t="s">
        <v>1607</v>
      </c>
      <c r="X240" s="55" t="str">
        <f t="shared" si="1"/>
        <v>#NAME?</v>
      </c>
    </row>
    <row r="241">
      <c r="A241" s="4" t="s">
        <v>1723</v>
      </c>
      <c r="B241" s="4" t="s">
        <v>1087</v>
      </c>
      <c r="C241" s="4">
        <v>240.0</v>
      </c>
      <c r="D241" s="54" t="s">
        <v>1630</v>
      </c>
      <c r="E241" s="4" t="s">
        <v>1088</v>
      </c>
      <c r="F241" s="54" t="s">
        <v>357</v>
      </c>
      <c r="G241" s="54" t="s">
        <v>1593</v>
      </c>
      <c r="H241" s="54" t="s">
        <v>1609</v>
      </c>
      <c r="I241" s="54" t="s">
        <v>1177</v>
      </c>
      <c r="J241" s="54" t="s">
        <v>1176</v>
      </c>
      <c r="X241" s="55" t="str">
        <f t="shared" si="1"/>
        <v>#NAME?</v>
      </c>
    </row>
    <row r="242">
      <c r="A242" s="4" t="s">
        <v>1724</v>
      </c>
      <c r="B242" s="4" t="s">
        <v>1087</v>
      </c>
      <c r="C242" s="4">
        <v>241.0</v>
      </c>
      <c r="D242" s="54" t="s">
        <v>1632</v>
      </c>
      <c r="E242" s="4" t="s">
        <v>1088</v>
      </c>
      <c r="F242" s="54" t="s">
        <v>357</v>
      </c>
      <c r="G242" s="54" t="s">
        <v>1242</v>
      </c>
      <c r="H242" s="54" t="s">
        <v>1180</v>
      </c>
      <c r="I242" s="54" t="s">
        <v>1563</v>
      </c>
      <c r="J242" s="54" t="s">
        <v>1218</v>
      </c>
      <c r="X242" s="55" t="str">
        <f t="shared" si="1"/>
        <v>#NAME?</v>
      </c>
    </row>
    <row r="243">
      <c r="A243" s="4" t="s">
        <v>1725</v>
      </c>
      <c r="B243" s="4" t="s">
        <v>1087</v>
      </c>
      <c r="C243" s="4">
        <v>242.0</v>
      </c>
      <c r="D243" s="54" t="s">
        <v>1634</v>
      </c>
      <c r="E243" s="4" t="s">
        <v>1296</v>
      </c>
      <c r="F243" s="54" t="s">
        <v>357</v>
      </c>
      <c r="G243" s="54" t="s">
        <v>1253</v>
      </c>
      <c r="H243" s="54" t="s">
        <v>1105</v>
      </c>
      <c r="I243" s="54" t="s">
        <v>1104</v>
      </c>
      <c r="J243" s="54" t="s">
        <v>1568</v>
      </c>
      <c r="X243" s="55" t="str">
        <f t="shared" si="1"/>
        <v>#NAME?</v>
      </c>
    </row>
    <row r="244">
      <c r="A244" s="4" t="s">
        <v>1726</v>
      </c>
      <c r="B244" s="4" t="s">
        <v>1087</v>
      </c>
      <c r="C244" s="4">
        <v>243.0</v>
      </c>
      <c r="D244" s="54" t="s">
        <v>1634</v>
      </c>
      <c r="E244" s="4" t="s">
        <v>1296</v>
      </c>
      <c r="F244" s="54" t="s">
        <v>357</v>
      </c>
      <c r="G244" s="54" t="s">
        <v>1514</v>
      </c>
      <c r="H244" s="54" t="s">
        <v>1359</v>
      </c>
      <c r="I244" s="54" t="s">
        <v>1104</v>
      </c>
      <c r="J244" s="54" t="s">
        <v>1636</v>
      </c>
      <c r="X244" s="55" t="str">
        <f t="shared" si="1"/>
        <v>#NAME?</v>
      </c>
    </row>
    <row r="245">
      <c r="A245" s="4" t="s">
        <v>1727</v>
      </c>
      <c r="B245" s="4" t="s">
        <v>1087</v>
      </c>
      <c r="C245" s="4">
        <v>244.0</v>
      </c>
      <c r="D245" s="54" t="s">
        <v>1634</v>
      </c>
      <c r="E245" s="4" t="s">
        <v>1296</v>
      </c>
      <c r="F245" s="54" t="s">
        <v>357</v>
      </c>
      <c r="G245" s="54" t="s">
        <v>1563</v>
      </c>
      <c r="H245" s="54" t="s">
        <v>1236</v>
      </c>
      <c r="I245" s="54" t="s">
        <v>1563</v>
      </c>
      <c r="J245" s="54" t="s">
        <v>1159</v>
      </c>
      <c r="X245" s="55" t="str">
        <f t="shared" si="1"/>
        <v>#NAME?</v>
      </c>
    </row>
    <row r="246">
      <c r="A246" s="4" t="s">
        <v>1728</v>
      </c>
      <c r="B246" s="4" t="s">
        <v>1087</v>
      </c>
      <c r="C246" s="4">
        <v>245.0</v>
      </c>
      <c r="D246" s="54" t="s">
        <v>1634</v>
      </c>
      <c r="E246" s="4" t="s">
        <v>1296</v>
      </c>
      <c r="F246" s="54" t="s">
        <v>357</v>
      </c>
      <c r="G246" s="54" t="s">
        <v>1104</v>
      </c>
      <c r="H246" s="54" t="s">
        <v>1639</v>
      </c>
      <c r="I246" s="54" t="s">
        <v>1516</v>
      </c>
      <c r="J246" s="54" t="s">
        <v>1639</v>
      </c>
      <c r="X246" s="55" t="str">
        <f t="shared" si="1"/>
        <v>#NAME?</v>
      </c>
    </row>
    <row r="247">
      <c r="A247" s="4" t="s">
        <v>1729</v>
      </c>
      <c r="B247" s="4" t="s">
        <v>1087</v>
      </c>
      <c r="C247" s="4">
        <v>246.0</v>
      </c>
      <c r="D247" s="54" t="s">
        <v>1641</v>
      </c>
      <c r="E247" s="4" t="s">
        <v>1088</v>
      </c>
      <c r="F247" s="54" t="s">
        <v>357</v>
      </c>
      <c r="G247" s="54" t="s">
        <v>1564</v>
      </c>
      <c r="H247" s="54" t="s">
        <v>1604</v>
      </c>
      <c r="I247" s="54" t="s">
        <v>1212</v>
      </c>
      <c r="J247" s="54" t="s">
        <v>1563</v>
      </c>
      <c r="X247" s="55" t="str">
        <f t="shared" si="1"/>
        <v>#NAME?</v>
      </c>
    </row>
    <row r="248">
      <c r="A248" s="4" t="s">
        <v>1730</v>
      </c>
      <c r="B248" s="4" t="s">
        <v>1087</v>
      </c>
      <c r="C248" s="4">
        <v>247.0</v>
      </c>
      <c r="D248" s="54" t="s">
        <v>1643</v>
      </c>
      <c r="E248" s="4" t="s">
        <v>1088</v>
      </c>
      <c r="F248" s="54" t="s">
        <v>357</v>
      </c>
      <c r="G248" s="54" t="s">
        <v>1583</v>
      </c>
      <c r="H248" s="54" t="s">
        <v>1586</v>
      </c>
      <c r="I248" s="54" t="s">
        <v>1212</v>
      </c>
      <c r="J248" s="54" t="s">
        <v>1644</v>
      </c>
      <c r="X248" s="55" t="str">
        <f t="shared" si="1"/>
        <v>#NAME?</v>
      </c>
    </row>
    <row r="249">
      <c r="A249" s="4" t="s">
        <v>1731</v>
      </c>
      <c r="B249" s="4" t="s">
        <v>1087</v>
      </c>
      <c r="C249" s="4">
        <v>248.0</v>
      </c>
      <c r="D249" s="54" t="s">
        <v>1624</v>
      </c>
      <c r="E249" s="4" t="s">
        <v>1098</v>
      </c>
      <c r="F249" s="54" t="s">
        <v>357</v>
      </c>
      <c r="G249" s="54" t="s">
        <v>1590</v>
      </c>
      <c r="H249" s="54" t="s">
        <v>1493</v>
      </c>
      <c r="I249" s="54" t="s">
        <v>1583</v>
      </c>
      <c r="J249" s="54" t="s">
        <v>1494</v>
      </c>
      <c r="X249" s="55" t="str">
        <f t="shared" si="1"/>
        <v>#NAME?</v>
      </c>
    </row>
    <row r="250">
      <c r="A250" s="4" t="s">
        <v>1732</v>
      </c>
      <c r="B250" s="4" t="s">
        <v>1087</v>
      </c>
      <c r="C250" s="4">
        <v>249.0</v>
      </c>
      <c r="D250" s="54" t="s">
        <v>1646</v>
      </c>
      <c r="E250" s="4" t="s">
        <v>1098</v>
      </c>
      <c r="F250" s="54" t="s">
        <v>357</v>
      </c>
      <c r="G250" s="54" t="s">
        <v>1572</v>
      </c>
      <c r="H250" s="54" t="s">
        <v>1494</v>
      </c>
      <c r="I250" s="54" t="s">
        <v>1555</v>
      </c>
      <c r="J250" s="54" t="s">
        <v>1628</v>
      </c>
      <c r="X250" s="55" t="str">
        <f t="shared" si="1"/>
        <v>#NAME?</v>
      </c>
    </row>
    <row r="251">
      <c r="A251" s="4" t="s">
        <v>1733</v>
      </c>
      <c r="B251" s="4" t="s">
        <v>1087</v>
      </c>
      <c r="C251" s="4">
        <v>250.0</v>
      </c>
      <c r="D251" s="54" t="s">
        <v>1646</v>
      </c>
      <c r="E251" s="4" t="s">
        <v>1098</v>
      </c>
      <c r="F251" s="54" t="s">
        <v>357</v>
      </c>
      <c r="G251" s="54" t="s">
        <v>1649</v>
      </c>
      <c r="H251" s="54" t="s">
        <v>1628</v>
      </c>
      <c r="I251" s="54" t="s">
        <v>1555</v>
      </c>
      <c r="J251" s="54" t="s">
        <v>1555</v>
      </c>
      <c r="X251" s="55" t="str">
        <f t="shared" si="1"/>
        <v>#NAME?</v>
      </c>
    </row>
    <row r="252">
      <c r="A252" s="4" t="s">
        <v>1734</v>
      </c>
      <c r="B252" s="4" t="s">
        <v>1087</v>
      </c>
      <c r="C252" s="4">
        <v>251.0</v>
      </c>
      <c r="D252" s="54" t="s">
        <v>1651</v>
      </c>
      <c r="E252" s="4" t="s">
        <v>1251</v>
      </c>
      <c r="F252" s="54" t="s">
        <v>357</v>
      </c>
      <c r="G252" s="54" t="s">
        <v>1373</v>
      </c>
      <c r="H252" s="54" t="s">
        <v>1120</v>
      </c>
      <c r="I252" s="54" t="s">
        <v>1313</v>
      </c>
      <c r="J252" s="54" t="s">
        <v>1618</v>
      </c>
      <c r="X252" s="55" t="str">
        <f t="shared" si="1"/>
        <v>#NAME?</v>
      </c>
    </row>
    <row r="253">
      <c r="A253" s="54" t="s">
        <v>1735</v>
      </c>
      <c r="B253" s="4" t="s">
        <v>1087</v>
      </c>
      <c r="C253" s="4">
        <v>252.0</v>
      </c>
      <c r="D253" s="54" t="s">
        <v>1653</v>
      </c>
      <c r="E253" s="4" t="s">
        <v>1251</v>
      </c>
      <c r="F253" s="54" t="s">
        <v>449</v>
      </c>
      <c r="G253" s="54" t="s">
        <v>1264</v>
      </c>
      <c r="H253" s="54" t="s">
        <v>1264</v>
      </c>
      <c r="I253" s="54" t="s">
        <v>1521</v>
      </c>
      <c r="J253" s="54" t="s">
        <v>1654</v>
      </c>
      <c r="X253" s="55" t="str">
        <f t="shared" si="1"/>
        <v>#NAME?</v>
      </c>
    </row>
    <row r="254">
      <c r="A254" s="4" t="s">
        <v>1736</v>
      </c>
      <c r="B254" s="4" t="s">
        <v>1087</v>
      </c>
      <c r="C254" s="4">
        <v>253.0</v>
      </c>
      <c r="D254" s="54" t="s">
        <v>1656</v>
      </c>
      <c r="E254" s="4" t="s">
        <v>1088</v>
      </c>
      <c r="F254" s="54" t="s">
        <v>449</v>
      </c>
      <c r="G254" s="54" t="s">
        <v>1555</v>
      </c>
      <c r="H254" s="54" t="s">
        <v>1227</v>
      </c>
      <c r="I254" s="54" t="s">
        <v>1657</v>
      </c>
      <c r="J254" s="54" t="s">
        <v>1658</v>
      </c>
      <c r="X254" s="55" t="str">
        <f t="shared" si="1"/>
        <v>#NAME?</v>
      </c>
    </row>
    <row r="255">
      <c r="A255" s="4" t="s">
        <v>1737</v>
      </c>
      <c r="B255" s="4" t="s">
        <v>1087</v>
      </c>
      <c r="C255" s="4">
        <v>254.0</v>
      </c>
      <c r="D255" s="54" t="s">
        <v>1660</v>
      </c>
      <c r="E255" s="4" t="s">
        <v>1088</v>
      </c>
      <c r="F255" s="54" t="s">
        <v>449</v>
      </c>
      <c r="G255" s="54" t="s">
        <v>1560</v>
      </c>
      <c r="H255" s="54" t="s">
        <v>1584</v>
      </c>
      <c r="I255" s="54" t="s">
        <v>1584</v>
      </c>
      <c r="J255" s="54" t="s">
        <v>1226</v>
      </c>
      <c r="X255" s="55" t="str">
        <f t="shared" si="1"/>
        <v>#NAME?</v>
      </c>
    </row>
    <row r="256">
      <c r="A256" s="4" t="s">
        <v>1738</v>
      </c>
      <c r="B256" s="4" t="s">
        <v>1087</v>
      </c>
      <c r="C256" s="4">
        <v>255.0</v>
      </c>
      <c r="D256" s="54" t="s">
        <v>1662</v>
      </c>
      <c r="E256" s="4" t="s">
        <v>1251</v>
      </c>
      <c r="F256" s="54" t="s">
        <v>449</v>
      </c>
      <c r="G256" s="54" t="s">
        <v>1170</v>
      </c>
      <c r="H256" s="54" t="s">
        <v>1170</v>
      </c>
      <c r="I256" s="54" t="s">
        <v>1543</v>
      </c>
      <c r="J256" s="54" t="s">
        <v>1181</v>
      </c>
      <c r="X256" s="55" t="str">
        <f t="shared" si="1"/>
        <v>#NAME?</v>
      </c>
    </row>
    <row r="257">
      <c r="A257" s="4" t="s">
        <v>1739</v>
      </c>
      <c r="B257" s="4" t="s">
        <v>1087</v>
      </c>
      <c r="C257" s="4">
        <v>256.0</v>
      </c>
      <c r="D257" s="54" t="s">
        <v>1664</v>
      </c>
      <c r="E257" s="4" t="s">
        <v>1251</v>
      </c>
      <c r="F257" s="54" t="s">
        <v>357</v>
      </c>
      <c r="G257" s="54" t="s">
        <v>1236</v>
      </c>
      <c r="H257" s="54" t="s">
        <v>1160</v>
      </c>
      <c r="I257" s="54" t="s">
        <v>1231</v>
      </c>
      <c r="J257" s="54" t="s">
        <v>1158</v>
      </c>
      <c r="X257" s="55" t="str">
        <f t="shared" si="1"/>
        <v>#NAME?</v>
      </c>
    </row>
    <row r="258">
      <c r="A258" s="4" t="s">
        <v>1740</v>
      </c>
      <c r="B258" s="4" t="s">
        <v>1087</v>
      </c>
      <c r="C258" s="4">
        <v>257.0</v>
      </c>
      <c r="D258" s="54" t="s">
        <v>797</v>
      </c>
      <c r="E258" s="4" t="s">
        <v>1251</v>
      </c>
      <c r="F258" s="54" t="s">
        <v>357</v>
      </c>
      <c r="G258" s="54" t="s">
        <v>1181</v>
      </c>
      <c r="H258" s="54" t="s">
        <v>1231</v>
      </c>
      <c r="I258" s="54" t="s">
        <v>1231</v>
      </c>
      <c r="J258" s="54" t="s">
        <v>1188</v>
      </c>
      <c r="X258" s="55" t="str">
        <f t="shared" si="1"/>
        <v>#NAME?</v>
      </c>
    </row>
    <row r="259">
      <c r="A259" s="4" t="s">
        <v>1741</v>
      </c>
      <c r="B259" s="4" t="s">
        <v>1087</v>
      </c>
      <c r="C259" s="4">
        <v>258.0</v>
      </c>
      <c r="D259" s="54" t="s">
        <v>1667</v>
      </c>
      <c r="E259" s="4" t="s">
        <v>1251</v>
      </c>
      <c r="F259" s="54" t="s">
        <v>449</v>
      </c>
      <c r="G259" s="54" t="s">
        <v>1110</v>
      </c>
      <c r="H259" s="54" t="s">
        <v>1175</v>
      </c>
      <c r="I259" s="54" t="s">
        <v>1668</v>
      </c>
      <c r="J259" s="54" t="s">
        <v>1669</v>
      </c>
      <c r="X259" s="55" t="str">
        <f t="shared" si="1"/>
        <v>#NAME?</v>
      </c>
    </row>
    <row r="260">
      <c r="A260" s="4" t="s">
        <v>1742</v>
      </c>
      <c r="B260" s="4" t="s">
        <v>1087</v>
      </c>
      <c r="C260" s="4">
        <v>259.0</v>
      </c>
      <c r="D260" s="54" t="s">
        <v>1646</v>
      </c>
      <c r="E260" s="4" t="s">
        <v>1098</v>
      </c>
      <c r="F260" s="54" t="s">
        <v>357</v>
      </c>
      <c r="G260" s="54" t="s">
        <v>1494</v>
      </c>
      <c r="H260" s="54" t="s">
        <v>1607</v>
      </c>
      <c r="I260" s="54" t="s">
        <v>1131</v>
      </c>
      <c r="J260" s="54" t="s">
        <v>1225</v>
      </c>
      <c r="X260" s="55" t="str">
        <f t="shared" si="1"/>
        <v>#NAME?</v>
      </c>
    </row>
    <row r="261">
      <c r="A261" s="54" t="s">
        <v>1743</v>
      </c>
      <c r="B261" s="4" t="s">
        <v>1087</v>
      </c>
      <c r="C261" s="4">
        <v>260.0</v>
      </c>
      <c r="D261" s="54" t="s">
        <v>1562</v>
      </c>
      <c r="E261" s="4" t="s">
        <v>1088</v>
      </c>
      <c r="F261" s="54" t="s">
        <v>357</v>
      </c>
      <c r="G261" s="54" t="s">
        <v>1563</v>
      </c>
      <c r="H261" s="54" t="s">
        <v>1564</v>
      </c>
      <c r="I261" s="54" t="s">
        <v>1235</v>
      </c>
      <c r="J261" s="54" t="s">
        <v>1183</v>
      </c>
      <c r="X261" s="55" t="str">
        <f t="shared" si="1"/>
        <v>#NAME?</v>
      </c>
    </row>
    <row r="262">
      <c r="A262" s="4" t="s">
        <v>1744</v>
      </c>
      <c r="B262" s="4" t="s">
        <v>1087</v>
      </c>
      <c r="C262" s="4">
        <v>261.0</v>
      </c>
      <c r="D262" s="54" t="s">
        <v>1624</v>
      </c>
      <c r="E262" s="4" t="s">
        <v>1098</v>
      </c>
      <c r="F262" s="54" t="s">
        <v>357</v>
      </c>
      <c r="G262" s="54" t="s">
        <v>1590</v>
      </c>
      <c r="H262" s="54" t="s">
        <v>1625</v>
      </c>
      <c r="I262" s="54" t="s">
        <v>1242</v>
      </c>
      <c r="J262" s="54" t="s">
        <v>1556</v>
      </c>
      <c r="X262" s="55" t="str">
        <f t="shared" si="1"/>
        <v>#NAME?</v>
      </c>
    </row>
    <row r="263">
      <c r="A263" s="4" t="s">
        <v>1745</v>
      </c>
      <c r="B263" s="4" t="s">
        <v>1087</v>
      </c>
      <c r="C263" s="4">
        <v>262.0</v>
      </c>
      <c r="D263" s="54" t="s">
        <v>1617</v>
      </c>
      <c r="E263" s="4" t="s">
        <v>1251</v>
      </c>
      <c r="F263" s="54" t="s">
        <v>449</v>
      </c>
      <c r="G263" s="54" t="s">
        <v>1203</v>
      </c>
      <c r="H263" s="54" t="s">
        <v>1618</v>
      </c>
      <c r="I263" s="54" t="s">
        <v>1619</v>
      </c>
      <c r="J263" s="54" t="s">
        <v>1259</v>
      </c>
      <c r="X263" s="55" t="str">
        <f t="shared" si="1"/>
        <v>#NAME?</v>
      </c>
    </row>
    <row r="264">
      <c r="A264" s="4" t="s">
        <v>1746</v>
      </c>
      <c r="B264" s="4" t="s">
        <v>1087</v>
      </c>
      <c r="C264" s="4">
        <v>263.0</v>
      </c>
      <c r="D264" s="54" t="s">
        <v>1566</v>
      </c>
      <c r="E264" s="4" t="s">
        <v>1296</v>
      </c>
      <c r="F264" s="54" t="s">
        <v>357</v>
      </c>
      <c r="G264" s="54" t="s">
        <v>1567</v>
      </c>
      <c r="H264" s="54" t="s">
        <v>1570</v>
      </c>
      <c r="I264" s="54" t="s">
        <v>1233</v>
      </c>
      <c r="J264" s="54" t="s">
        <v>1109</v>
      </c>
      <c r="X264" s="55" t="str">
        <f t="shared" si="1"/>
        <v>#NAME?</v>
      </c>
    </row>
    <row r="265">
      <c r="A265" s="4" t="s">
        <v>1747</v>
      </c>
      <c r="B265" s="4" t="s">
        <v>1087</v>
      </c>
      <c r="C265" s="4">
        <v>264.0</v>
      </c>
      <c r="D265" s="54" t="s">
        <v>1566</v>
      </c>
      <c r="E265" s="4" t="s">
        <v>1296</v>
      </c>
      <c r="F265" s="54" t="s">
        <v>357</v>
      </c>
      <c r="G265" s="54" t="s">
        <v>1572</v>
      </c>
      <c r="H265" s="54" t="s">
        <v>1248</v>
      </c>
      <c r="I265" s="54" t="s">
        <v>1573</v>
      </c>
      <c r="J265" s="54" t="s">
        <v>1245</v>
      </c>
      <c r="X265" s="55" t="str">
        <f t="shared" si="1"/>
        <v>#NAME?</v>
      </c>
    </row>
    <row r="266">
      <c r="A266" s="4" t="s">
        <v>1748</v>
      </c>
      <c r="B266" s="4" t="s">
        <v>1087</v>
      </c>
      <c r="C266" s="4">
        <v>265.0</v>
      </c>
      <c r="D266" s="54" t="s">
        <v>1566</v>
      </c>
      <c r="E266" s="4" t="s">
        <v>1296</v>
      </c>
      <c r="F266" s="54" t="s">
        <v>357</v>
      </c>
      <c r="G266" s="54" t="s">
        <v>1359</v>
      </c>
      <c r="H266" s="54" t="s">
        <v>1200</v>
      </c>
      <c r="I266" s="54" t="s">
        <v>1575</v>
      </c>
      <c r="J266" s="54" t="s">
        <v>1567</v>
      </c>
      <c r="X266" s="55" t="str">
        <f t="shared" si="1"/>
        <v>#NAME?</v>
      </c>
    </row>
    <row r="267">
      <c r="A267" s="4" t="s">
        <v>1749</v>
      </c>
      <c r="B267" s="4" t="s">
        <v>1087</v>
      </c>
      <c r="C267" s="4">
        <v>266.0</v>
      </c>
      <c r="D267" s="54" t="s">
        <v>1577</v>
      </c>
      <c r="E267" s="4" t="s">
        <v>1088</v>
      </c>
      <c r="F267" s="54" t="s">
        <v>357</v>
      </c>
      <c r="G267" s="54" t="s">
        <v>1531</v>
      </c>
      <c r="H267" s="54" t="s">
        <v>1183</v>
      </c>
      <c r="I267" s="54" t="s">
        <v>1171</v>
      </c>
      <c r="J267" s="54" t="s">
        <v>1212</v>
      </c>
      <c r="X267" s="55" t="str">
        <f t="shared" si="1"/>
        <v>#NAME?</v>
      </c>
    </row>
    <row r="268">
      <c r="A268" s="4" t="s">
        <v>1750</v>
      </c>
      <c r="B268" s="4" t="s">
        <v>1087</v>
      </c>
      <c r="C268" s="4">
        <v>267.0</v>
      </c>
      <c r="D268" s="54" t="s">
        <v>1579</v>
      </c>
      <c r="E268" s="4" t="s">
        <v>1088</v>
      </c>
      <c r="F268" s="54" t="s">
        <v>357</v>
      </c>
      <c r="G268" s="54" t="s">
        <v>1244</v>
      </c>
      <c r="H268" s="54" t="s">
        <v>1186</v>
      </c>
      <c r="I268" s="54" t="s">
        <v>1156</v>
      </c>
      <c r="J268" s="54" t="s">
        <v>1244</v>
      </c>
      <c r="X268" s="55" t="str">
        <f t="shared" si="1"/>
        <v>#NAME?</v>
      </c>
    </row>
    <row r="269">
      <c r="A269" s="4" t="s">
        <v>1751</v>
      </c>
      <c r="B269" s="4" t="s">
        <v>1087</v>
      </c>
      <c r="C269" s="4">
        <v>268.0</v>
      </c>
      <c r="D269" s="54" t="s">
        <v>1581</v>
      </c>
      <c r="E269" s="4" t="s">
        <v>1098</v>
      </c>
      <c r="F269" s="54" t="s">
        <v>357</v>
      </c>
      <c r="G269" s="54" t="s">
        <v>1564</v>
      </c>
      <c r="H269" s="54" t="s">
        <v>1582</v>
      </c>
      <c r="I269" s="54" t="s">
        <v>1583</v>
      </c>
      <c r="J269" s="54" t="s">
        <v>1584</v>
      </c>
      <c r="X269" s="55" t="str">
        <f t="shared" si="1"/>
        <v>#NAME?</v>
      </c>
    </row>
    <row r="270">
      <c r="A270" s="4" t="s">
        <v>1752</v>
      </c>
      <c r="B270" s="4" t="s">
        <v>1087</v>
      </c>
      <c r="C270" s="4">
        <v>269.0</v>
      </c>
      <c r="D270" s="54" t="s">
        <v>1581</v>
      </c>
      <c r="E270" s="4" t="s">
        <v>1098</v>
      </c>
      <c r="F270" s="54" t="s">
        <v>357</v>
      </c>
      <c r="G270" s="54" t="s">
        <v>1235</v>
      </c>
      <c r="H270" s="54" t="s">
        <v>1556</v>
      </c>
      <c r="I270" s="54" t="s">
        <v>1586</v>
      </c>
      <c r="J270" s="54" t="s">
        <v>1132</v>
      </c>
      <c r="X270" s="55" t="str">
        <f t="shared" si="1"/>
        <v>#NAME?</v>
      </c>
    </row>
    <row r="271">
      <c r="A271" s="4" t="s">
        <v>1753</v>
      </c>
      <c r="B271" s="4" t="s">
        <v>1087</v>
      </c>
      <c r="C271" s="4">
        <v>270.0</v>
      </c>
      <c r="D271" s="54" t="s">
        <v>1581</v>
      </c>
      <c r="E271" s="4" t="s">
        <v>1098</v>
      </c>
      <c r="F271" s="54" t="s">
        <v>357</v>
      </c>
      <c r="G271" s="54" t="s">
        <v>1172</v>
      </c>
      <c r="H271" s="54" t="s">
        <v>1493</v>
      </c>
      <c r="I271" s="54" t="s">
        <v>1218</v>
      </c>
      <c r="J271" s="54" t="s">
        <v>1560</v>
      </c>
      <c r="X271" s="55" t="str">
        <f t="shared" si="1"/>
        <v>#NAME?</v>
      </c>
    </row>
    <row r="272">
      <c r="A272" s="4" t="s">
        <v>1754</v>
      </c>
      <c r="B272" s="4" t="s">
        <v>1087</v>
      </c>
      <c r="C272" s="4">
        <v>271.0</v>
      </c>
      <c r="D272" s="54" t="s">
        <v>1589</v>
      </c>
      <c r="E272" s="4" t="s">
        <v>1397</v>
      </c>
      <c r="F272" s="54" t="s">
        <v>357</v>
      </c>
      <c r="G272" s="54" t="s">
        <v>1582</v>
      </c>
      <c r="H272" s="54" t="s">
        <v>1590</v>
      </c>
      <c r="I272" s="54" t="s">
        <v>1171</v>
      </c>
      <c r="J272" s="54" t="s">
        <v>1179</v>
      </c>
      <c r="X272" s="55" t="str">
        <f t="shared" si="1"/>
        <v>#NAME?</v>
      </c>
    </row>
    <row r="273">
      <c r="A273" s="4" t="s">
        <v>1755</v>
      </c>
      <c r="B273" s="4" t="s">
        <v>1087</v>
      </c>
      <c r="C273" s="4">
        <v>272.0</v>
      </c>
      <c r="D273" s="54" t="s">
        <v>1621</v>
      </c>
      <c r="E273" s="4" t="s">
        <v>1251</v>
      </c>
      <c r="F273" s="54" t="s">
        <v>357</v>
      </c>
      <c r="G273" s="54" t="s">
        <v>1350</v>
      </c>
      <c r="H273" s="54" t="s">
        <v>1436</v>
      </c>
      <c r="I273" s="54" t="s">
        <v>1196</v>
      </c>
      <c r="J273" s="54" t="s">
        <v>1622</v>
      </c>
      <c r="X273" s="55" t="str">
        <f t="shared" si="1"/>
        <v>#NAME?</v>
      </c>
    </row>
    <row r="274">
      <c r="A274" s="4" t="s">
        <v>1756</v>
      </c>
      <c r="B274" s="4" t="s">
        <v>1087</v>
      </c>
      <c r="C274" s="4">
        <v>273.0</v>
      </c>
      <c r="D274" s="54" t="s">
        <v>1589</v>
      </c>
      <c r="E274" s="4" t="s">
        <v>1397</v>
      </c>
      <c r="F274" s="54" t="s">
        <v>357</v>
      </c>
      <c r="G274" s="54" t="s">
        <v>1560</v>
      </c>
      <c r="H274" s="54" t="s">
        <v>1583</v>
      </c>
      <c r="I274" s="54" t="s">
        <v>1241</v>
      </c>
      <c r="J274" s="54" t="s">
        <v>1559</v>
      </c>
      <c r="X274" s="55" t="str">
        <f t="shared" si="1"/>
        <v>#NAME?</v>
      </c>
    </row>
    <row r="275">
      <c r="A275" s="4" t="s">
        <v>1757</v>
      </c>
      <c r="B275" s="4" t="s">
        <v>1087</v>
      </c>
      <c r="C275" s="4">
        <v>274.0</v>
      </c>
      <c r="D275" s="54" t="s">
        <v>1595</v>
      </c>
      <c r="E275" s="4" t="s">
        <v>1088</v>
      </c>
      <c r="F275" s="54" t="s">
        <v>357</v>
      </c>
      <c r="G275" s="54" t="s">
        <v>1212</v>
      </c>
      <c r="H275" s="54" t="s">
        <v>1185</v>
      </c>
      <c r="I275" s="54" t="s">
        <v>1172</v>
      </c>
      <c r="J275" s="54" t="s">
        <v>1215</v>
      </c>
      <c r="X275" s="55" t="str">
        <f t="shared" si="1"/>
        <v>#NAME?</v>
      </c>
    </row>
    <row r="276">
      <c r="A276" s="4" t="s">
        <v>1758</v>
      </c>
      <c r="B276" s="4" t="s">
        <v>1087</v>
      </c>
      <c r="C276" s="4">
        <v>275.0</v>
      </c>
      <c r="D276" s="54" t="s">
        <v>1597</v>
      </c>
      <c r="E276" s="4" t="s">
        <v>1088</v>
      </c>
      <c r="F276" s="54" t="s">
        <v>357</v>
      </c>
      <c r="G276" s="54" t="s">
        <v>1552</v>
      </c>
      <c r="H276" s="54" t="s">
        <v>1188</v>
      </c>
      <c r="I276" s="54" t="s">
        <v>1177</v>
      </c>
      <c r="J276" s="54" t="s">
        <v>1235</v>
      </c>
      <c r="X276" s="55" t="str">
        <f t="shared" si="1"/>
        <v>#NAME?</v>
      </c>
    </row>
    <row r="277">
      <c r="A277" s="4" t="s">
        <v>1759</v>
      </c>
      <c r="B277" s="4" t="s">
        <v>1087</v>
      </c>
      <c r="C277" s="4">
        <v>276.0</v>
      </c>
      <c r="D277" s="54" t="s">
        <v>1599</v>
      </c>
      <c r="E277" s="4" t="s">
        <v>1088</v>
      </c>
      <c r="F277" s="54" t="s">
        <v>357</v>
      </c>
      <c r="G277" s="54" t="s">
        <v>1235</v>
      </c>
      <c r="H277" s="54" t="s">
        <v>1559</v>
      </c>
      <c r="I277" s="54" t="s">
        <v>1235</v>
      </c>
      <c r="J277" s="54" t="s">
        <v>1172</v>
      </c>
      <c r="X277" s="55" t="str">
        <f t="shared" si="1"/>
        <v>#NAME?</v>
      </c>
    </row>
    <row r="278">
      <c r="A278" s="4" t="s">
        <v>1760</v>
      </c>
      <c r="B278" s="4" t="s">
        <v>1087</v>
      </c>
      <c r="C278" s="4">
        <v>277.0</v>
      </c>
      <c r="D278" s="54" t="s">
        <v>1601</v>
      </c>
      <c r="E278" s="4" t="s">
        <v>1088</v>
      </c>
      <c r="F278" s="54" t="s">
        <v>357</v>
      </c>
      <c r="G278" s="54" t="s">
        <v>1490</v>
      </c>
      <c r="H278" s="54" t="s">
        <v>1156</v>
      </c>
      <c r="I278" s="54" t="s">
        <v>1215</v>
      </c>
      <c r="J278" s="54" t="s">
        <v>1490</v>
      </c>
      <c r="X278" s="55" t="str">
        <f t="shared" si="1"/>
        <v>#NAME?</v>
      </c>
    </row>
    <row r="279">
      <c r="A279" s="4" t="s">
        <v>1761</v>
      </c>
      <c r="B279" s="4" t="s">
        <v>1087</v>
      </c>
      <c r="C279" s="4">
        <v>278.0</v>
      </c>
      <c r="D279" s="54" t="s">
        <v>1603</v>
      </c>
      <c r="E279" s="4" t="s">
        <v>1098</v>
      </c>
      <c r="F279" s="54" t="s">
        <v>357</v>
      </c>
      <c r="G279" s="54" t="s">
        <v>1132</v>
      </c>
      <c r="H279" s="54" t="s">
        <v>1494</v>
      </c>
      <c r="I279" s="54" t="s">
        <v>1604</v>
      </c>
      <c r="J279" s="54" t="s">
        <v>1605</v>
      </c>
      <c r="X279" s="55" t="str">
        <f t="shared" si="1"/>
        <v>#NAME?</v>
      </c>
    </row>
    <row r="280">
      <c r="A280" s="4" t="s">
        <v>1762</v>
      </c>
      <c r="B280" s="4" t="s">
        <v>1087</v>
      </c>
      <c r="C280" s="4">
        <v>279.0</v>
      </c>
      <c r="D280" s="54" t="s">
        <v>1603</v>
      </c>
      <c r="E280" s="4" t="s">
        <v>1098</v>
      </c>
      <c r="F280" s="54" t="s">
        <v>357</v>
      </c>
      <c r="G280" s="54" t="s">
        <v>1129</v>
      </c>
      <c r="H280" s="54" t="s">
        <v>1573</v>
      </c>
      <c r="I280" s="54" t="s">
        <v>1607</v>
      </c>
      <c r="J280" s="54" t="s">
        <v>1586</v>
      </c>
      <c r="X280" s="55" t="str">
        <f t="shared" si="1"/>
        <v>#NAME?</v>
      </c>
    </row>
    <row r="281">
      <c r="A281" s="4" t="s">
        <v>1763</v>
      </c>
      <c r="B281" s="4" t="s">
        <v>1087</v>
      </c>
      <c r="C281" s="4">
        <v>280.0</v>
      </c>
      <c r="D281" s="54" t="s">
        <v>1603</v>
      </c>
      <c r="E281" s="4" t="s">
        <v>1098</v>
      </c>
      <c r="F281" s="54" t="s">
        <v>357</v>
      </c>
      <c r="G281" s="54" t="s">
        <v>1584</v>
      </c>
      <c r="H281" s="54" t="s">
        <v>1573</v>
      </c>
      <c r="I281" s="54" t="s">
        <v>1221</v>
      </c>
      <c r="J281" s="54" t="s">
        <v>1609</v>
      </c>
      <c r="X281" s="55" t="str">
        <f t="shared" si="1"/>
        <v>#NAME?</v>
      </c>
    </row>
    <row r="282">
      <c r="A282" s="4" t="s">
        <v>1764</v>
      </c>
      <c r="B282" s="4" t="s">
        <v>1087</v>
      </c>
      <c r="C282" s="4">
        <v>281.0</v>
      </c>
      <c r="D282" s="54" t="s">
        <v>1611</v>
      </c>
      <c r="E282" s="4" t="s">
        <v>1088</v>
      </c>
      <c r="F282" s="54" t="s">
        <v>357</v>
      </c>
      <c r="G282" s="54" t="s">
        <v>1177</v>
      </c>
      <c r="H282" s="54" t="s">
        <v>1612</v>
      </c>
      <c r="I282" s="54" t="s">
        <v>1613</v>
      </c>
      <c r="J282" s="54" t="s">
        <v>1241</v>
      </c>
      <c r="X282" s="55" t="str">
        <f t="shared" si="1"/>
        <v>#NAME?</v>
      </c>
    </row>
    <row r="283">
      <c r="A283" s="4" t="s">
        <v>1765</v>
      </c>
      <c r="B283" s="4" t="s">
        <v>1087</v>
      </c>
      <c r="C283" s="4">
        <v>282.0</v>
      </c>
      <c r="D283" s="54" t="s">
        <v>1615</v>
      </c>
      <c r="E283" s="4" t="s">
        <v>1088</v>
      </c>
      <c r="F283" s="54" t="s">
        <v>357</v>
      </c>
      <c r="G283" s="54" t="s">
        <v>1177</v>
      </c>
      <c r="H283" s="54" t="s">
        <v>1609</v>
      </c>
      <c r="I283" s="54" t="s">
        <v>1612</v>
      </c>
      <c r="J283" s="54" t="s">
        <v>1490</v>
      </c>
      <c r="X283" s="55" t="str">
        <f t="shared" si="1"/>
        <v>#NAME?</v>
      </c>
    </row>
    <row r="284">
      <c r="A284" s="4" t="s">
        <v>1766</v>
      </c>
      <c r="B284" s="4" t="s">
        <v>1087</v>
      </c>
      <c r="C284" s="4">
        <v>283.0</v>
      </c>
      <c r="D284" s="54" t="s">
        <v>1589</v>
      </c>
      <c r="E284" s="4" t="s">
        <v>1397</v>
      </c>
      <c r="F284" s="54" t="s">
        <v>357</v>
      </c>
      <c r="G284" s="54" t="s">
        <v>1593</v>
      </c>
      <c r="H284" s="54" t="s">
        <v>1218</v>
      </c>
      <c r="I284" s="54" t="s">
        <v>1593</v>
      </c>
      <c r="J284" s="54" t="s">
        <v>1245</v>
      </c>
      <c r="X284" s="55" t="str">
        <f t="shared" si="1"/>
        <v>#NAME?</v>
      </c>
    </row>
    <row r="285">
      <c r="A285" s="4" t="s">
        <v>1767</v>
      </c>
      <c r="B285" s="4" t="s">
        <v>1087</v>
      </c>
      <c r="C285" s="4">
        <v>284.0</v>
      </c>
      <c r="D285" s="54" t="s">
        <v>1671</v>
      </c>
      <c r="E285" s="4" t="s">
        <v>1088</v>
      </c>
      <c r="F285" s="54" t="s">
        <v>357</v>
      </c>
      <c r="G285" s="54" t="s">
        <v>1544</v>
      </c>
      <c r="H285" s="54" t="s">
        <v>1175</v>
      </c>
      <c r="I285" s="54" t="s">
        <v>1216</v>
      </c>
      <c r="J285" s="54" t="s">
        <v>1181</v>
      </c>
      <c r="X285" s="55" t="str">
        <f t="shared" si="1"/>
        <v>#NAME?</v>
      </c>
    </row>
    <row r="286">
      <c r="A286" s="4" t="s">
        <v>1768</v>
      </c>
      <c r="B286" s="4" t="s">
        <v>1087</v>
      </c>
      <c r="C286" s="4">
        <v>285.0</v>
      </c>
      <c r="D286" s="4" t="s">
        <v>1423</v>
      </c>
      <c r="E286" s="4" t="s">
        <v>1088</v>
      </c>
      <c r="F286" s="54" t="s">
        <v>534</v>
      </c>
      <c r="G286" s="54" t="s">
        <v>1280</v>
      </c>
      <c r="H286" s="54" t="s">
        <v>1135</v>
      </c>
      <c r="I286" s="54" t="s">
        <v>1123</v>
      </c>
      <c r="J286" s="54" t="s">
        <v>1140</v>
      </c>
      <c r="X286" s="55" t="str">
        <f t="shared" si="1"/>
        <v>#NAME?</v>
      </c>
    </row>
    <row r="287">
      <c r="A287" s="4" t="s">
        <v>1769</v>
      </c>
      <c r="B287" s="4" t="s">
        <v>1087</v>
      </c>
      <c r="C287" s="4">
        <v>286.0</v>
      </c>
      <c r="D287" s="4" t="s">
        <v>1419</v>
      </c>
      <c r="E287" s="4" t="s">
        <v>1088</v>
      </c>
      <c r="F287" s="54" t="s">
        <v>534</v>
      </c>
      <c r="G287" s="54" t="s">
        <v>1093</v>
      </c>
      <c r="H287" s="54" t="s">
        <v>1093</v>
      </c>
      <c r="I287" s="54" t="s">
        <v>1109</v>
      </c>
      <c r="J287" s="54" t="s">
        <v>1109</v>
      </c>
      <c r="X287" s="55" t="str">
        <f t="shared" si="1"/>
        <v>#NAME?</v>
      </c>
    </row>
    <row r="288">
      <c r="A288" s="4" t="s">
        <v>1770</v>
      </c>
      <c r="B288" s="4" t="s">
        <v>1087</v>
      </c>
      <c r="C288" s="4">
        <v>287.0</v>
      </c>
      <c r="D288" s="54" t="s">
        <v>632</v>
      </c>
      <c r="E288" s="4" t="s">
        <v>1088</v>
      </c>
      <c r="F288" s="54" t="s">
        <v>534</v>
      </c>
      <c r="G288" s="54" t="s">
        <v>1183</v>
      </c>
      <c r="H288" s="54" t="s">
        <v>1184</v>
      </c>
      <c r="I288" s="54" t="s">
        <v>1185</v>
      </c>
      <c r="J288" s="54" t="s">
        <v>1186</v>
      </c>
      <c r="X288" s="55" t="str">
        <f t="shared" si="1"/>
        <v>#NAME?</v>
      </c>
    </row>
    <row r="289">
      <c r="A289" s="4" t="s">
        <v>1771</v>
      </c>
      <c r="B289" s="4" t="s">
        <v>1087</v>
      </c>
      <c r="C289" s="4">
        <v>288.0</v>
      </c>
      <c r="D289" s="54" t="s">
        <v>637</v>
      </c>
      <c r="E289" s="4" t="s">
        <v>1088</v>
      </c>
      <c r="F289" s="54" t="s">
        <v>534</v>
      </c>
      <c r="G289" s="54" t="s">
        <v>1188</v>
      </c>
      <c r="H289" s="54" t="s">
        <v>1189</v>
      </c>
      <c r="I289" s="54" t="s">
        <v>1176</v>
      </c>
      <c r="J289" s="54" t="s">
        <v>1155</v>
      </c>
      <c r="X289" s="55" t="str">
        <f t="shared" si="1"/>
        <v>#NAME?</v>
      </c>
    </row>
    <row r="290">
      <c r="A290" s="4" t="s">
        <v>1772</v>
      </c>
      <c r="B290" s="4" t="s">
        <v>1087</v>
      </c>
      <c r="C290" s="4">
        <v>289.0</v>
      </c>
      <c r="D290" s="54" t="s">
        <v>274</v>
      </c>
      <c r="E290" s="4" t="s">
        <v>1191</v>
      </c>
      <c r="F290" s="54" t="s">
        <v>534</v>
      </c>
      <c r="G290" s="54" t="s">
        <v>1192</v>
      </c>
      <c r="H290" s="54" t="s">
        <v>1193</v>
      </c>
      <c r="I290" s="54" t="s">
        <v>1122</v>
      </c>
      <c r="J290" s="54" t="s">
        <v>1194</v>
      </c>
      <c r="X290" s="55" t="str">
        <f t="shared" si="1"/>
        <v>#NAME?</v>
      </c>
    </row>
    <row r="291">
      <c r="A291" s="4" t="s">
        <v>1773</v>
      </c>
      <c r="B291" s="4" t="s">
        <v>1087</v>
      </c>
      <c r="C291" s="4">
        <v>290.0</v>
      </c>
      <c r="D291" s="54" t="s">
        <v>274</v>
      </c>
      <c r="E291" s="4" t="s">
        <v>1191</v>
      </c>
      <c r="F291" s="54" t="s">
        <v>534</v>
      </c>
      <c r="G291" s="54" t="s">
        <v>1196</v>
      </c>
      <c r="H291" s="54" t="s">
        <v>1197</v>
      </c>
      <c r="I291" s="54" t="s">
        <v>1138</v>
      </c>
      <c r="J291" s="54" t="s">
        <v>1198</v>
      </c>
      <c r="X291" s="55" t="str">
        <f t="shared" si="1"/>
        <v>#NAME?</v>
      </c>
    </row>
    <row r="292">
      <c r="A292" s="4" t="s">
        <v>1774</v>
      </c>
      <c r="B292" s="4" t="s">
        <v>1087</v>
      </c>
      <c r="C292" s="4">
        <v>291.0</v>
      </c>
      <c r="D292" s="54" t="s">
        <v>274</v>
      </c>
      <c r="E292" s="4" t="s">
        <v>1191</v>
      </c>
      <c r="F292" s="54" t="s">
        <v>534</v>
      </c>
      <c r="G292" s="54" t="s">
        <v>1200</v>
      </c>
      <c r="H292" s="54" t="s">
        <v>1160</v>
      </c>
      <c r="I292" s="54" t="s">
        <v>1201</v>
      </c>
      <c r="J292" s="54" t="s">
        <v>1200</v>
      </c>
      <c r="X292" s="55" t="str">
        <f t="shared" si="1"/>
        <v>#NAME?</v>
      </c>
    </row>
    <row r="293">
      <c r="A293" s="4" t="s">
        <v>1775</v>
      </c>
      <c r="B293" s="4" t="s">
        <v>1087</v>
      </c>
      <c r="C293" s="4">
        <v>292.0</v>
      </c>
      <c r="D293" s="54" t="s">
        <v>274</v>
      </c>
      <c r="E293" s="4" t="s">
        <v>1191</v>
      </c>
      <c r="F293" s="54" t="s">
        <v>534</v>
      </c>
      <c r="G293" s="54" t="s">
        <v>1203</v>
      </c>
      <c r="H293" s="54" t="s">
        <v>1204</v>
      </c>
      <c r="I293" s="54" t="s">
        <v>1205</v>
      </c>
      <c r="J293" s="54" t="s">
        <v>1198</v>
      </c>
      <c r="X293" s="55" t="str">
        <f t="shared" si="1"/>
        <v>#NAME?</v>
      </c>
    </row>
    <row r="294">
      <c r="A294" s="4" t="s">
        <v>1776</v>
      </c>
      <c r="B294" s="4" t="s">
        <v>1087</v>
      </c>
      <c r="C294" s="4">
        <v>293.0</v>
      </c>
      <c r="D294" s="54" t="s">
        <v>673</v>
      </c>
      <c r="E294" s="4" t="s">
        <v>1088</v>
      </c>
      <c r="F294" s="54" t="s">
        <v>534</v>
      </c>
      <c r="G294" s="54" t="s">
        <v>1161</v>
      </c>
      <c r="H294" s="54" t="s">
        <v>1207</v>
      </c>
      <c r="I294" s="54" t="s">
        <v>1185</v>
      </c>
      <c r="J294" s="54" t="s">
        <v>1208</v>
      </c>
      <c r="X294" s="55" t="str">
        <f t="shared" si="1"/>
        <v>#NAME?</v>
      </c>
    </row>
    <row r="295">
      <c r="A295" s="4" t="s">
        <v>1777</v>
      </c>
      <c r="B295" s="4" t="s">
        <v>1087</v>
      </c>
      <c r="C295" s="4">
        <v>294.0</v>
      </c>
      <c r="D295" s="54" t="s">
        <v>683</v>
      </c>
      <c r="E295" s="4" t="s">
        <v>1088</v>
      </c>
      <c r="F295" s="54" t="s">
        <v>534</v>
      </c>
      <c r="G295" s="54" t="s">
        <v>1207</v>
      </c>
      <c r="H295" s="54" t="s">
        <v>1154</v>
      </c>
      <c r="I295" s="54" t="s">
        <v>1110</v>
      </c>
      <c r="J295" s="54" t="s">
        <v>1210</v>
      </c>
      <c r="X295" s="55" t="str">
        <f t="shared" si="1"/>
        <v>#NAME?</v>
      </c>
    </row>
    <row r="296">
      <c r="A296" s="4" t="s">
        <v>1778</v>
      </c>
      <c r="B296" s="4" t="s">
        <v>1087</v>
      </c>
      <c r="C296" s="4">
        <v>295.0</v>
      </c>
      <c r="D296" s="54" t="s">
        <v>694</v>
      </c>
      <c r="E296" s="4" t="s">
        <v>1098</v>
      </c>
      <c r="F296" s="54" t="s">
        <v>534</v>
      </c>
      <c r="G296" s="54" t="s">
        <v>1175</v>
      </c>
      <c r="H296" s="54" t="s">
        <v>1130</v>
      </c>
      <c r="I296" s="54" t="s">
        <v>1212</v>
      </c>
      <c r="J296" s="54" t="s">
        <v>1213</v>
      </c>
      <c r="X296" s="55" t="str">
        <f t="shared" si="1"/>
        <v>#NAME?</v>
      </c>
    </row>
    <row r="297">
      <c r="A297" s="4" t="s">
        <v>1779</v>
      </c>
      <c r="B297" s="4" t="s">
        <v>1087</v>
      </c>
      <c r="C297" s="4">
        <v>296.0</v>
      </c>
      <c r="D297" s="54" t="s">
        <v>626</v>
      </c>
      <c r="E297" s="4" t="s">
        <v>1098</v>
      </c>
      <c r="F297" s="54" t="s">
        <v>534</v>
      </c>
      <c r="G297" s="54" t="s">
        <v>1179</v>
      </c>
      <c r="H297" s="54" t="s">
        <v>1180</v>
      </c>
      <c r="I297" s="54" t="s">
        <v>1158</v>
      </c>
      <c r="J297" s="54" t="s">
        <v>1181</v>
      </c>
      <c r="X297" s="55" t="str">
        <f t="shared" si="1"/>
        <v>#NAME?</v>
      </c>
    </row>
    <row r="298">
      <c r="A298" s="4" t="s">
        <v>1780</v>
      </c>
      <c r="B298" s="4" t="s">
        <v>1087</v>
      </c>
      <c r="C298" s="4">
        <v>297.0</v>
      </c>
      <c r="D298" s="54" t="s">
        <v>694</v>
      </c>
      <c r="E298" s="4" t="s">
        <v>1098</v>
      </c>
      <c r="F298" s="54" t="s">
        <v>534</v>
      </c>
      <c r="G298" s="54" t="s">
        <v>1111</v>
      </c>
      <c r="H298" s="54" t="s">
        <v>1215</v>
      </c>
      <c r="I298" s="54" t="s">
        <v>1185</v>
      </c>
      <c r="J298" s="54" t="s">
        <v>1216</v>
      </c>
      <c r="X298" s="55" t="str">
        <f t="shared" si="1"/>
        <v>#NAME?</v>
      </c>
    </row>
    <row r="299">
      <c r="A299" s="4" t="s">
        <v>1781</v>
      </c>
      <c r="B299" s="4" t="s">
        <v>1087</v>
      </c>
      <c r="C299" s="4">
        <v>298.0</v>
      </c>
      <c r="D299" s="54" t="s">
        <v>287</v>
      </c>
      <c r="E299" s="4" t="s">
        <v>1088</v>
      </c>
      <c r="F299" s="54" t="s">
        <v>534</v>
      </c>
      <c r="G299" s="54" t="s">
        <v>1221</v>
      </c>
      <c r="H299" s="54" t="s">
        <v>1222</v>
      </c>
      <c r="I299" s="54" t="s">
        <v>1222</v>
      </c>
      <c r="J299" s="54" t="s">
        <v>1223</v>
      </c>
      <c r="X299" s="55" t="str">
        <f t="shared" si="1"/>
        <v>#NAME?</v>
      </c>
    </row>
    <row r="300">
      <c r="A300" s="4" t="s">
        <v>1782</v>
      </c>
      <c r="B300" s="4" t="s">
        <v>1087</v>
      </c>
      <c r="C300" s="4">
        <v>299.0</v>
      </c>
      <c r="D300" s="54" t="s">
        <v>421</v>
      </c>
      <c r="E300" s="4" t="s">
        <v>1088</v>
      </c>
      <c r="F300" s="54" t="s">
        <v>534</v>
      </c>
      <c r="G300" s="54" t="s">
        <v>1225</v>
      </c>
      <c r="H300" s="54" t="s">
        <v>1226</v>
      </c>
      <c r="I300" s="54" t="s">
        <v>1227</v>
      </c>
      <c r="J300" s="54" t="s">
        <v>1228</v>
      </c>
      <c r="X300" s="55" t="str">
        <f t="shared" si="1"/>
        <v>#NAME?</v>
      </c>
    </row>
    <row r="301">
      <c r="A301" s="4" t="s">
        <v>1783</v>
      </c>
      <c r="B301" s="4" t="s">
        <v>1087</v>
      </c>
      <c r="C301" s="4">
        <v>300.0</v>
      </c>
      <c r="D301" s="54" t="s">
        <v>737</v>
      </c>
      <c r="E301" s="4" t="s">
        <v>1191</v>
      </c>
      <c r="F301" s="54" t="s">
        <v>534</v>
      </c>
      <c r="G301" s="54" t="s">
        <v>1111</v>
      </c>
      <c r="H301" s="54" t="s">
        <v>1216</v>
      </c>
      <c r="I301" s="54" t="s">
        <v>1093</v>
      </c>
      <c r="J301" s="54" t="s">
        <v>1102</v>
      </c>
      <c r="X301" s="55" t="str">
        <f t="shared" si="1"/>
        <v>#NAME?</v>
      </c>
    </row>
    <row r="302">
      <c r="A302" s="4" t="s">
        <v>1784</v>
      </c>
      <c r="B302" s="4" t="s">
        <v>1087</v>
      </c>
      <c r="C302" s="4">
        <v>301.0</v>
      </c>
      <c r="D302" s="54" t="s">
        <v>737</v>
      </c>
      <c r="E302" s="4" t="s">
        <v>1191</v>
      </c>
      <c r="F302" s="54" t="s">
        <v>534</v>
      </c>
      <c r="G302" s="54" t="s">
        <v>1111</v>
      </c>
      <c r="H302" s="54" t="s">
        <v>1231</v>
      </c>
      <c r="I302" s="54" t="s">
        <v>1232</v>
      </c>
      <c r="J302" s="54" t="s">
        <v>1233</v>
      </c>
      <c r="X302" s="55" t="str">
        <f t="shared" si="1"/>
        <v>#NAME?</v>
      </c>
    </row>
    <row r="303">
      <c r="A303" s="4" t="s">
        <v>1785</v>
      </c>
      <c r="B303" s="4" t="s">
        <v>1087</v>
      </c>
      <c r="C303" s="4">
        <v>302.0</v>
      </c>
      <c r="D303" s="54" t="s">
        <v>737</v>
      </c>
      <c r="E303" s="4" t="s">
        <v>1191</v>
      </c>
      <c r="F303" s="54" t="s">
        <v>534</v>
      </c>
      <c r="G303" s="54" t="s">
        <v>1235</v>
      </c>
      <c r="H303" s="54" t="s">
        <v>1236</v>
      </c>
      <c r="I303" s="54" t="s">
        <v>1215</v>
      </c>
      <c r="J303" s="54" t="s">
        <v>1179</v>
      </c>
      <c r="X303" s="55" t="str">
        <f t="shared" si="1"/>
        <v>#NAME?</v>
      </c>
    </row>
    <row r="304">
      <c r="A304" s="4" t="s">
        <v>1786</v>
      </c>
      <c r="B304" s="4" t="s">
        <v>1087</v>
      </c>
      <c r="C304" s="4">
        <v>303.0</v>
      </c>
      <c r="D304" s="54" t="s">
        <v>737</v>
      </c>
      <c r="E304" s="4" t="s">
        <v>1191</v>
      </c>
      <c r="F304" s="54" t="s">
        <v>534</v>
      </c>
      <c r="G304" s="54" t="s">
        <v>1238</v>
      </c>
      <c r="H304" s="54" t="s">
        <v>1233</v>
      </c>
      <c r="I304" s="54" t="s">
        <v>1238</v>
      </c>
      <c r="J304" s="54" t="s">
        <v>1233</v>
      </c>
      <c r="X304" s="55" t="str">
        <f t="shared" si="1"/>
        <v>#NAME?</v>
      </c>
    </row>
    <row r="305">
      <c r="A305" s="4" t="s">
        <v>1787</v>
      </c>
      <c r="B305" s="4" t="s">
        <v>1087</v>
      </c>
      <c r="C305" s="4">
        <v>304.0</v>
      </c>
      <c r="D305" s="54" t="s">
        <v>807</v>
      </c>
      <c r="E305" s="4" t="s">
        <v>1088</v>
      </c>
      <c r="F305" s="54" t="s">
        <v>534</v>
      </c>
      <c r="G305" s="54" t="s">
        <v>1240</v>
      </c>
      <c r="H305" s="54" t="s">
        <v>1100</v>
      </c>
      <c r="I305" s="54" t="s">
        <v>1241</v>
      </c>
      <c r="J305" s="54" t="s">
        <v>1242</v>
      </c>
      <c r="X305" s="55" t="str">
        <f t="shared" si="1"/>
        <v>#NAME?</v>
      </c>
    </row>
    <row r="306">
      <c r="A306" s="4" t="s">
        <v>1788</v>
      </c>
      <c r="B306" s="4" t="s">
        <v>1087</v>
      </c>
      <c r="C306" s="4">
        <v>305.0</v>
      </c>
      <c r="D306" s="54" t="s">
        <v>963</v>
      </c>
      <c r="E306" s="4" t="s">
        <v>1088</v>
      </c>
      <c r="F306" s="54" t="s">
        <v>534</v>
      </c>
      <c r="G306" s="54" t="s">
        <v>1244</v>
      </c>
      <c r="H306" s="54" t="s">
        <v>1215</v>
      </c>
      <c r="I306" s="54" t="s">
        <v>1244</v>
      </c>
      <c r="J306" s="54" t="s">
        <v>1245</v>
      </c>
      <c r="X306" s="55" t="str">
        <f t="shared" si="1"/>
        <v>#NAME?</v>
      </c>
    </row>
    <row r="307">
      <c r="A307" s="4" t="s">
        <v>1789</v>
      </c>
      <c r="B307" s="4" t="s">
        <v>1087</v>
      </c>
      <c r="C307" s="4">
        <v>306.0</v>
      </c>
      <c r="D307" s="54" t="s">
        <v>963</v>
      </c>
      <c r="E307" s="4" t="s">
        <v>1088</v>
      </c>
      <c r="F307" s="54" t="s">
        <v>534</v>
      </c>
      <c r="G307" s="54" t="s">
        <v>1247</v>
      </c>
      <c r="H307" s="54" t="s">
        <v>1181</v>
      </c>
      <c r="I307" s="54" t="s">
        <v>1248</v>
      </c>
      <c r="J307" s="54" t="s">
        <v>1238</v>
      </c>
      <c r="X307" s="55" t="str">
        <f t="shared" si="1"/>
        <v>#NAME?</v>
      </c>
    </row>
    <row r="308">
      <c r="A308" s="4" t="s">
        <v>1790</v>
      </c>
      <c r="B308" s="4" t="s">
        <v>1087</v>
      </c>
      <c r="C308" s="4">
        <v>307.0</v>
      </c>
      <c r="D308" s="54" t="s">
        <v>694</v>
      </c>
      <c r="E308" s="4" t="s">
        <v>1098</v>
      </c>
      <c r="F308" s="54" t="s">
        <v>534</v>
      </c>
      <c r="G308" s="54" t="s">
        <v>1218</v>
      </c>
      <c r="H308" s="54" t="s">
        <v>1184</v>
      </c>
      <c r="I308" s="54" t="s">
        <v>1110</v>
      </c>
      <c r="J308" s="54" t="s">
        <v>1219</v>
      </c>
      <c r="X308" s="55" t="str">
        <f t="shared" si="1"/>
        <v>#NAME?</v>
      </c>
    </row>
    <row r="309">
      <c r="A309" s="4" t="s">
        <v>1791</v>
      </c>
      <c r="B309" s="4" t="s">
        <v>1087</v>
      </c>
      <c r="C309" s="4">
        <v>308.0</v>
      </c>
      <c r="D309" s="54" t="s">
        <v>971</v>
      </c>
      <c r="E309" s="4" t="s">
        <v>1088</v>
      </c>
      <c r="F309" s="54" t="s">
        <v>534</v>
      </c>
      <c r="G309" s="54" t="s">
        <v>1219</v>
      </c>
      <c r="H309" s="54" t="s">
        <v>1216</v>
      </c>
      <c r="I309" s="54" t="s">
        <v>1109</v>
      </c>
      <c r="J309" s="54" t="s">
        <v>1159</v>
      </c>
      <c r="X309" s="55" t="str">
        <f t="shared" si="1"/>
        <v>#NAME?</v>
      </c>
    </row>
    <row r="310">
      <c r="A310" s="4" t="s">
        <v>1792</v>
      </c>
      <c r="B310" s="4" t="s">
        <v>1087</v>
      </c>
      <c r="C310" s="4">
        <v>309.0</v>
      </c>
      <c r="D310" s="54" t="s">
        <v>626</v>
      </c>
      <c r="E310" s="4" t="s">
        <v>1098</v>
      </c>
      <c r="F310" s="54" t="s">
        <v>534</v>
      </c>
      <c r="G310" s="54" t="s">
        <v>1175</v>
      </c>
      <c r="H310" s="54" t="s">
        <v>1176</v>
      </c>
      <c r="I310" s="54" t="s">
        <v>1177</v>
      </c>
      <c r="J310" s="54" t="s">
        <v>1109</v>
      </c>
      <c r="X310" s="55" t="str">
        <f t="shared" si="1"/>
        <v>#NAME?</v>
      </c>
    </row>
    <row r="311">
      <c r="A311" s="4" t="s">
        <v>1793</v>
      </c>
      <c r="B311" s="4" t="s">
        <v>1087</v>
      </c>
      <c r="C311" s="4">
        <v>310.0</v>
      </c>
      <c r="D311" s="54" t="s">
        <v>611</v>
      </c>
      <c r="E311" s="4" t="s">
        <v>1088</v>
      </c>
      <c r="F311" s="54" t="s">
        <v>534</v>
      </c>
      <c r="G311" s="54" t="s">
        <v>1165</v>
      </c>
      <c r="H311" s="54" t="s">
        <v>1166</v>
      </c>
      <c r="I311" s="54" t="s">
        <v>1167</v>
      </c>
      <c r="J311" s="54" t="s">
        <v>1168</v>
      </c>
      <c r="X311" s="55" t="str">
        <f t="shared" si="1"/>
        <v>#NAME?</v>
      </c>
    </row>
    <row r="312">
      <c r="A312" s="4" t="s">
        <v>1794</v>
      </c>
      <c r="B312" s="4" t="s">
        <v>1087</v>
      </c>
      <c r="C312" s="4">
        <v>311.0</v>
      </c>
      <c r="D312" s="54" t="s">
        <v>292</v>
      </c>
      <c r="E312" s="4" t="s">
        <v>1088</v>
      </c>
      <c r="F312" s="54" t="s">
        <v>534</v>
      </c>
      <c r="G312" s="54" t="s">
        <v>1276</v>
      </c>
      <c r="H312" s="54" t="s">
        <v>1138</v>
      </c>
      <c r="I312" s="54" t="s">
        <v>1089</v>
      </c>
      <c r="J312" s="54" t="s">
        <v>1090</v>
      </c>
      <c r="X312" s="55" t="str">
        <f t="shared" si="1"/>
        <v>#NAME?</v>
      </c>
    </row>
    <row r="313">
      <c r="A313" s="4" t="s">
        <v>1795</v>
      </c>
      <c r="B313" s="4" t="s">
        <v>1087</v>
      </c>
      <c r="C313" s="4">
        <v>312.0</v>
      </c>
      <c r="D313" s="54" t="s">
        <v>1092</v>
      </c>
      <c r="E313" s="4" t="s">
        <v>1088</v>
      </c>
      <c r="F313" s="54" t="s">
        <v>449</v>
      </c>
      <c r="G313" s="54" t="s">
        <v>1102</v>
      </c>
      <c r="H313" s="54" t="s">
        <v>1111</v>
      </c>
      <c r="I313" s="54" t="s">
        <v>1529</v>
      </c>
      <c r="J313" s="54" t="s">
        <v>1093</v>
      </c>
      <c r="X313" s="55" t="str">
        <f t="shared" si="1"/>
        <v>#NAME?</v>
      </c>
    </row>
    <row r="314">
      <c r="A314" s="4" t="s">
        <v>1796</v>
      </c>
      <c r="B314" s="4" t="s">
        <v>1087</v>
      </c>
      <c r="C314" s="4">
        <v>313.0</v>
      </c>
      <c r="D314" s="54" t="s">
        <v>1095</v>
      </c>
      <c r="E314" s="4" t="s">
        <v>1088</v>
      </c>
      <c r="F314" s="54" t="s">
        <v>534</v>
      </c>
      <c r="G314" s="54" t="s">
        <v>1104</v>
      </c>
      <c r="H314" s="54" t="s">
        <v>1104</v>
      </c>
      <c r="I314" s="54" t="s">
        <v>1104</v>
      </c>
      <c r="J314" s="54" t="s">
        <v>1104</v>
      </c>
      <c r="X314" s="55" t="str">
        <f t="shared" si="1"/>
        <v>#NAME?</v>
      </c>
    </row>
    <row r="315">
      <c r="A315" s="4" t="s">
        <v>1797</v>
      </c>
      <c r="B315" s="4" t="s">
        <v>1087</v>
      </c>
      <c r="C315" s="4">
        <v>314.0</v>
      </c>
      <c r="D315" s="54" t="s">
        <v>1097</v>
      </c>
      <c r="E315" s="4" t="s">
        <v>1098</v>
      </c>
      <c r="F315" s="54" t="s">
        <v>449</v>
      </c>
      <c r="G315" s="54" t="s">
        <v>1099</v>
      </c>
      <c r="H315" s="54" t="s">
        <v>1100</v>
      </c>
      <c r="I315" s="54" t="s">
        <v>1101</v>
      </c>
      <c r="J315" s="54" t="s">
        <v>1102</v>
      </c>
      <c r="X315" s="55" t="str">
        <f t="shared" si="1"/>
        <v>#NAME?</v>
      </c>
    </row>
    <row r="316">
      <c r="A316" s="54" t="s">
        <v>1798</v>
      </c>
      <c r="B316" s="4" t="s">
        <v>1087</v>
      </c>
      <c r="C316" s="4">
        <v>315.0</v>
      </c>
      <c r="D316" s="54" t="s">
        <v>1097</v>
      </c>
      <c r="E316" s="4" t="s">
        <v>1098</v>
      </c>
      <c r="F316" s="54" t="s">
        <v>449</v>
      </c>
      <c r="G316" s="54" t="s">
        <v>1104</v>
      </c>
      <c r="H316" s="54" t="s">
        <v>1105</v>
      </c>
      <c r="I316" s="54" t="s">
        <v>1099</v>
      </c>
      <c r="J316" s="54" t="s">
        <v>1106</v>
      </c>
      <c r="X316" s="55" t="str">
        <f t="shared" si="1"/>
        <v>#NAME?</v>
      </c>
    </row>
    <row r="317">
      <c r="A317" s="4" t="s">
        <v>1799</v>
      </c>
      <c r="B317" s="4" t="s">
        <v>1087</v>
      </c>
      <c r="C317" s="4">
        <v>316.0</v>
      </c>
      <c r="D317" s="54" t="s">
        <v>1097</v>
      </c>
      <c r="E317" s="4" t="s">
        <v>1098</v>
      </c>
      <c r="F317" s="54" t="s">
        <v>449</v>
      </c>
      <c r="G317" s="54" t="s">
        <v>1108</v>
      </c>
      <c r="H317" s="54" t="s">
        <v>1109</v>
      </c>
      <c r="I317" s="54" t="s">
        <v>1110</v>
      </c>
      <c r="J317" s="54" t="s">
        <v>1111</v>
      </c>
      <c r="X317" s="55" t="str">
        <f t="shared" si="1"/>
        <v>#NAME?</v>
      </c>
    </row>
    <row r="318">
      <c r="A318" s="4" t="s">
        <v>1800</v>
      </c>
      <c r="B318" s="4" t="s">
        <v>1087</v>
      </c>
      <c r="C318" s="4">
        <v>317.0</v>
      </c>
      <c r="D318" s="54" t="s">
        <v>1113</v>
      </c>
      <c r="E318" s="4" t="s">
        <v>1088</v>
      </c>
      <c r="F318" s="54" t="s">
        <v>449</v>
      </c>
      <c r="G318" s="54" t="s">
        <v>1109</v>
      </c>
      <c r="H318" s="54" t="s">
        <v>1111</v>
      </c>
      <c r="I318" s="54" t="s">
        <v>1093</v>
      </c>
      <c r="J318" s="54" t="s">
        <v>1111</v>
      </c>
      <c r="X318" s="55" t="str">
        <f t="shared" si="1"/>
        <v>#NAME?</v>
      </c>
    </row>
    <row r="319">
      <c r="A319" s="4" t="s">
        <v>1801</v>
      </c>
      <c r="B319" s="4" t="s">
        <v>1087</v>
      </c>
      <c r="C319" s="4">
        <v>318.0</v>
      </c>
      <c r="D319" s="54" t="s">
        <v>399</v>
      </c>
      <c r="E319" s="4" t="s">
        <v>1088</v>
      </c>
      <c r="F319" s="54" t="s">
        <v>534</v>
      </c>
      <c r="G319" s="54" t="s">
        <v>1115</v>
      </c>
      <c r="H319" s="54" t="s">
        <v>1116</v>
      </c>
      <c r="I319" s="54" t="s">
        <v>1117</v>
      </c>
      <c r="J319" s="54" t="s">
        <v>1118</v>
      </c>
      <c r="X319" s="55" t="str">
        <f t="shared" si="1"/>
        <v>#NAME?</v>
      </c>
    </row>
    <row r="320">
      <c r="A320" s="4" t="s">
        <v>1802</v>
      </c>
      <c r="B320" s="4" t="s">
        <v>1087</v>
      </c>
      <c r="C320" s="4">
        <v>319.0</v>
      </c>
      <c r="D320" s="54" t="s">
        <v>399</v>
      </c>
      <c r="E320" s="4" t="s">
        <v>1088</v>
      </c>
      <c r="F320" s="54" t="s">
        <v>534</v>
      </c>
      <c r="G320" s="54" t="s">
        <v>1120</v>
      </c>
      <c r="H320" s="54" t="s">
        <v>1121</v>
      </c>
      <c r="I320" s="54" t="s">
        <v>1122</v>
      </c>
      <c r="J320" s="54" t="s">
        <v>1123</v>
      </c>
      <c r="X320" s="55" t="str">
        <f t="shared" si="1"/>
        <v>#NAME?</v>
      </c>
    </row>
    <row r="321">
      <c r="A321" s="4" t="s">
        <v>1803</v>
      </c>
      <c r="B321" s="4" t="s">
        <v>1087</v>
      </c>
      <c r="C321" s="4">
        <v>320.0</v>
      </c>
      <c r="D321" s="54" t="s">
        <v>626</v>
      </c>
      <c r="E321" s="4" t="s">
        <v>1098</v>
      </c>
      <c r="F321" s="54" t="s">
        <v>534</v>
      </c>
      <c r="G321" s="54" t="s">
        <v>1170</v>
      </c>
      <c r="H321" s="54" t="s">
        <v>1171</v>
      </c>
      <c r="I321" s="54" t="s">
        <v>1172</v>
      </c>
      <c r="J321" s="54" t="s">
        <v>1173</v>
      </c>
      <c r="X321" s="55" t="str">
        <f t="shared" si="1"/>
        <v>#NAME?</v>
      </c>
    </row>
    <row r="322">
      <c r="A322" s="4" t="s">
        <v>1804</v>
      </c>
      <c r="B322" s="4" t="s">
        <v>1087</v>
      </c>
      <c r="C322" s="4">
        <v>321.0</v>
      </c>
      <c r="D322" s="54" t="s">
        <v>405</v>
      </c>
      <c r="E322" s="4" t="s">
        <v>1088</v>
      </c>
      <c r="F322" s="54" t="s">
        <v>534</v>
      </c>
      <c r="G322" s="54" t="s">
        <v>1125</v>
      </c>
      <c r="H322" s="54" t="s">
        <v>1126</v>
      </c>
      <c r="I322" s="54" t="s">
        <v>1127</v>
      </c>
      <c r="J322" s="54" t="s">
        <v>1125</v>
      </c>
      <c r="X322" s="55" t="str">
        <f t="shared" si="1"/>
        <v>#NAME?</v>
      </c>
    </row>
    <row r="323">
      <c r="A323" s="4" t="s">
        <v>1805</v>
      </c>
      <c r="B323" s="4" t="s">
        <v>1087</v>
      </c>
      <c r="C323" s="4">
        <v>322.0</v>
      </c>
      <c r="D323" s="54" t="s">
        <v>443</v>
      </c>
      <c r="E323" s="4" t="s">
        <v>1088</v>
      </c>
      <c r="F323" s="54" t="s">
        <v>534</v>
      </c>
      <c r="G323" s="54" t="s">
        <v>1134</v>
      </c>
      <c r="H323" s="54" t="s">
        <v>1135</v>
      </c>
      <c r="I323" s="54" t="s">
        <v>1118</v>
      </c>
      <c r="J323" s="54" t="s">
        <v>1123</v>
      </c>
      <c r="X323" s="55" t="str">
        <f t="shared" si="1"/>
        <v>#NAME?</v>
      </c>
    </row>
    <row r="324">
      <c r="A324" s="4" t="s">
        <v>1806</v>
      </c>
      <c r="B324" s="4" t="s">
        <v>1087</v>
      </c>
      <c r="C324" s="4">
        <v>323.0</v>
      </c>
      <c r="D324" s="54" t="s">
        <v>357</v>
      </c>
      <c r="E324" s="4" t="s">
        <v>1088</v>
      </c>
      <c r="F324" s="54" t="s">
        <v>534</v>
      </c>
      <c r="G324" s="54" t="s">
        <v>1137</v>
      </c>
      <c r="H324" s="54" t="s">
        <v>1138</v>
      </c>
      <c r="I324" s="54" t="s">
        <v>1139</v>
      </c>
      <c r="J324" s="54" t="s">
        <v>1140</v>
      </c>
      <c r="X324" s="55" t="str">
        <f t="shared" si="1"/>
        <v>#NAME?</v>
      </c>
    </row>
    <row r="325">
      <c r="A325" s="4" t="s">
        <v>1807</v>
      </c>
      <c r="B325" s="4" t="s">
        <v>1087</v>
      </c>
      <c r="C325" s="4">
        <v>324.0</v>
      </c>
      <c r="D325" s="54" t="s">
        <v>529</v>
      </c>
      <c r="E325" s="4" t="s">
        <v>1088</v>
      </c>
      <c r="F325" s="54" t="s">
        <v>534</v>
      </c>
      <c r="G325" s="54" t="s">
        <v>1142</v>
      </c>
      <c r="H325" s="54" t="s">
        <v>1143</v>
      </c>
      <c r="I325" s="54" t="s">
        <v>1140</v>
      </c>
      <c r="J325" s="54" t="s">
        <v>1144</v>
      </c>
      <c r="X325" s="55" t="str">
        <f t="shared" si="1"/>
        <v>#NAME?</v>
      </c>
    </row>
    <row r="326">
      <c r="A326" s="4" t="s">
        <v>1808</v>
      </c>
      <c r="B326" s="4" t="s">
        <v>1087</v>
      </c>
      <c r="C326" s="4">
        <v>325.0</v>
      </c>
      <c r="D326" s="54" t="s">
        <v>534</v>
      </c>
      <c r="E326" s="4" t="s">
        <v>1088</v>
      </c>
      <c r="F326" s="54" t="s">
        <v>534</v>
      </c>
      <c r="G326" s="54" t="s">
        <v>1117</v>
      </c>
      <c r="H326" s="54" t="s">
        <v>1139</v>
      </c>
      <c r="I326" s="54" t="s">
        <v>1135</v>
      </c>
      <c r="J326" s="54" t="s">
        <v>1139</v>
      </c>
      <c r="X326" s="55" t="str">
        <f t="shared" si="1"/>
        <v>#NAME?</v>
      </c>
    </row>
    <row r="327">
      <c r="A327" s="4" t="s">
        <v>1809</v>
      </c>
      <c r="B327" s="4" t="s">
        <v>1087</v>
      </c>
      <c r="C327" s="4">
        <v>326.0</v>
      </c>
      <c r="D327" s="54" t="s">
        <v>540</v>
      </c>
      <c r="E327" s="4" t="s">
        <v>1088</v>
      </c>
      <c r="F327" s="54" t="s">
        <v>534</v>
      </c>
      <c r="G327" s="54" t="s">
        <v>1135</v>
      </c>
      <c r="H327" s="54" t="s">
        <v>1147</v>
      </c>
      <c r="I327" s="54" t="s">
        <v>1135</v>
      </c>
      <c r="J327" s="54" t="s">
        <v>1148</v>
      </c>
      <c r="X327" s="55" t="str">
        <f t="shared" si="1"/>
        <v>#NAME?</v>
      </c>
    </row>
    <row r="328">
      <c r="A328" s="4" t="s">
        <v>1810</v>
      </c>
      <c r="B328" s="4" t="s">
        <v>1087</v>
      </c>
      <c r="C328" s="4">
        <v>327.0</v>
      </c>
      <c r="D328" s="54" t="s">
        <v>546</v>
      </c>
      <c r="E328" s="4" t="s">
        <v>1088</v>
      </c>
      <c r="F328" s="54" t="s">
        <v>534</v>
      </c>
      <c r="G328" s="54" t="s">
        <v>1150</v>
      </c>
      <c r="H328" s="54" t="s">
        <v>1151</v>
      </c>
      <c r="I328" s="54" t="s">
        <v>1152</v>
      </c>
      <c r="J328" s="54" t="s">
        <v>1123</v>
      </c>
      <c r="X328" s="55" t="str">
        <f t="shared" si="1"/>
        <v>#NAME?</v>
      </c>
    </row>
    <row r="329">
      <c r="A329" s="4" t="s">
        <v>1811</v>
      </c>
      <c r="B329" s="4" t="s">
        <v>1087</v>
      </c>
      <c r="C329" s="4">
        <v>328.0</v>
      </c>
      <c r="D329" s="54" t="s">
        <v>546</v>
      </c>
      <c r="E329" s="4" t="s">
        <v>1088</v>
      </c>
      <c r="F329" s="54" t="s">
        <v>534</v>
      </c>
      <c r="G329" s="54" t="s">
        <v>1154</v>
      </c>
      <c r="H329" s="54" t="s">
        <v>1155</v>
      </c>
      <c r="I329" s="54" t="s">
        <v>1156</v>
      </c>
      <c r="J329" s="54" t="s">
        <v>1110</v>
      </c>
      <c r="X329" s="55" t="str">
        <f t="shared" si="1"/>
        <v>#NAME?</v>
      </c>
    </row>
    <row r="330">
      <c r="A330" s="4" t="s">
        <v>1812</v>
      </c>
      <c r="B330" s="4" t="s">
        <v>1087</v>
      </c>
      <c r="C330" s="4">
        <v>329.0</v>
      </c>
      <c r="D330" s="54" t="s">
        <v>573</v>
      </c>
      <c r="E330" s="4" t="s">
        <v>1088</v>
      </c>
      <c r="F330" s="54" t="s">
        <v>534</v>
      </c>
      <c r="G330" s="54" t="s">
        <v>1158</v>
      </c>
      <c r="H330" s="54" t="s">
        <v>1159</v>
      </c>
      <c r="I330" s="54" t="s">
        <v>1160</v>
      </c>
      <c r="J330" s="54" t="s">
        <v>1161</v>
      </c>
      <c r="X330" s="55" t="str">
        <f t="shared" si="1"/>
        <v>#NAME?</v>
      </c>
    </row>
    <row r="331">
      <c r="A331" s="4" t="s">
        <v>1813</v>
      </c>
      <c r="B331" s="4" t="s">
        <v>1087</v>
      </c>
      <c r="C331" s="4">
        <v>330.0</v>
      </c>
      <c r="D331" s="54" t="s">
        <v>573</v>
      </c>
      <c r="E331" s="4" t="s">
        <v>1088</v>
      </c>
      <c r="F331" s="54" t="s">
        <v>534</v>
      </c>
      <c r="G331" s="54" t="s">
        <v>1090</v>
      </c>
      <c r="H331" s="54" t="s">
        <v>1163</v>
      </c>
      <c r="I331" s="54" t="s">
        <v>1150</v>
      </c>
      <c r="J331" s="54" t="s">
        <v>1118</v>
      </c>
      <c r="X331" s="55" t="str">
        <f t="shared" si="1"/>
        <v>#NAME?</v>
      </c>
    </row>
    <row r="332">
      <c r="A332" s="4" t="s">
        <v>1814</v>
      </c>
      <c r="B332" s="4" t="s">
        <v>1087</v>
      </c>
      <c r="C332" s="4">
        <v>331.0</v>
      </c>
      <c r="D332" s="54" t="s">
        <v>449</v>
      </c>
      <c r="E332" s="4" t="s">
        <v>1088</v>
      </c>
      <c r="F332" s="54" t="s">
        <v>534</v>
      </c>
      <c r="G332" s="54" t="s">
        <v>1129</v>
      </c>
      <c r="H332" s="54" t="s">
        <v>1130</v>
      </c>
      <c r="I332" s="54" t="s">
        <v>1131</v>
      </c>
      <c r="J332" s="54" t="s">
        <v>1132</v>
      </c>
      <c r="X332" s="55" t="str">
        <f t="shared" si="1"/>
        <v>#NAME?</v>
      </c>
    </row>
    <row r="333">
      <c r="A333" s="4" t="s">
        <v>1815</v>
      </c>
      <c r="B333" s="4" t="s">
        <v>1087</v>
      </c>
      <c r="C333" s="4">
        <v>332.0</v>
      </c>
      <c r="D333" s="4" t="s">
        <v>1421</v>
      </c>
      <c r="E333" s="4" t="s">
        <v>1088</v>
      </c>
      <c r="F333" s="54" t="s">
        <v>534</v>
      </c>
      <c r="G333" s="54" t="s">
        <v>1139</v>
      </c>
      <c r="H333" s="54" t="s">
        <v>1134</v>
      </c>
      <c r="I333" s="54" t="s">
        <v>1405</v>
      </c>
      <c r="J333" s="54" t="s">
        <v>1150</v>
      </c>
      <c r="X333" s="55" t="str">
        <f t="shared" si="1"/>
        <v>#NAME?</v>
      </c>
    </row>
    <row r="334">
      <c r="A334" s="4" t="s">
        <v>1816</v>
      </c>
      <c r="B334" s="4" t="s">
        <v>1087</v>
      </c>
      <c r="C334" s="4">
        <v>333.0</v>
      </c>
      <c r="D334" s="54" t="s">
        <v>809</v>
      </c>
      <c r="E334" s="4" t="s">
        <v>1251</v>
      </c>
      <c r="F334" s="54" t="s">
        <v>534</v>
      </c>
      <c r="G334" s="54" t="s">
        <v>1252</v>
      </c>
      <c r="H334" s="54" t="s">
        <v>1253</v>
      </c>
      <c r="I334" s="54" t="s">
        <v>1173</v>
      </c>
      <c r="J334" s="54" t="s">
        <v>1254</v>
      </c>
      <c r="X334" s="55" t="str">
        <f t="shared" si="1"/>
        <v>#NAME?</v>
      </c>
    </row>
    <row r="335">
      <c r="A335" s="4" t="s">
        <v>1817</v>
      </c>
      <c r="B335" s="4" t="s">
        <v>1087</v>
      </c>
      <c r="C335" s="4">
        <v>334.0</v>
      </c>
      <c r="D335" s="4" t="s">
        <v>1261</v>
      </c>
      <c r="E335" s="4" t="s">
        <v>1251</v>
      </c>
      <c r="F335" s="54" t="s">
        <v>534</v>
      </c>
      <c r="G335" s="54" t="s">
        <v>1262</v>
      </c>
      <c r="H335" s="54" t="s">
        <v>1263</v>
      </c>
      <c r="I335" s="54" t="s">
        <v>1264</v>
      </c>
      <c r="J335" s="54" t="s">
        <v>1265</v>
      </c>
      <c r="X335" s="55" t="str">
        <f t="shared" si="1"/>
        <v>#NAME?</v>
      </c>
    </row>
    <row r="336">
      <c r="A336" s="4" t="s">
        <v>1818</v>
      </c>
      <c r="B336" s="4" t="s">
        <v>1087</v>
      </c>
      <c r="C336" s="4">
        <v>335.0</v>
      </c>
      <c r="D336" s="4" t="s">
        <v>1363</v>
      </c>
      <c r="E336" s="4" t="s">
        <v>1251</v>
      </c>
      <c r="F336" s="54" t="s">
        <v>534</v>
      </c>
      <c r="G336" s="54" t="s">
        <v>1364</v>
      </c>
      <c r="H336" s="54" t="s">
        <v>1264</v>
      </c>
      <c r="I336" s="54" t="s">
        <v>1365</v>
      </c>
      <c r="J336" s="54" t="s">
        <v>1366</v>
      </c>
      <c r="X336" s="55" t="str">
        <f t="shared" si="1"/>
        <v>#NAME?</v>
      </c>
    </row>
    <row r="337">
      <c r="A337" s="4" t="s">
        <v>1819</v>
      </c>
      <c r="B337" s="4" t="s">
        <v>1087</v>
      </c>
      <c r="C337" s="4">
        <v>336.0</v>
      </c>
      <c r="D337" s="4" t="s">
        <v>1368</v>
      </c>
      <c r="E337" s="4" t="s">
        <v>1088</v>
      </c>
      <c r="F337" s="54" t="s">
        <v>357</v>
      </c>
      <c r="G337" s="54" t="s">
        <v>1292</v>
      </c>
      <c r="H337" s="54" t="s">
        <v>1337</v>
      </c>
      <c r="I337" s="54" t="s">
        <v>1288</v>
      </c>
      <c r="J337" s="54" t="s">
        <v>1292</v>
      </c>
      <c r="X337" s="55" t="str">
        <f t="shared" si="1"/>
        <v>#NAME?</v>
      </c>
    </row>
    <row r="338">
      <c r="A338" s="4" t="s">
        <v>1820</v>
      </c>
      <c r="B338" s="4" t="s">
        <v>1087</v>
      </c>
      <c r="C338" s="4">
        <v>337.0</v>
      </c>
      <c r="D338" s="4" t="s">
        <v>1370</v>
      </c>
      <c r="E338" s="4" t="s">
        <v>1088</v>
      </c>
      <c r="F338" s="54" t="s">
        <v>357</v>
      </c>
      <c r="G338" s="54" t="s">
        <v>1287</v>
      </c>
      <c r="H338" s="54" t="s">
        <v>1293</v>
      </c>
      <c r="I338" s="54" t="s">
        <v>1292</v>
      </c>
      <c r="J338" s="54" t="s">
        <v>1288</v>
      </c>
      <c r="X338" s="55" t="str">
        <f t="shared" si="1"/>
        <v>#NAME?</v>
      </c>
    </row>
    <row r="339">
      <c r="A339" s="4" t="s">
        <v>1821</v>
      </c>
      <c r="B339" s="4" t="s">
        <v>1087</v>
      </c>
      <c r="C339" s="4">
        <v>338.0</v>
      </c>
      <c r="D339" s="4" t="s">
        <v>1372</v>
      </c>
      <c r="E339" s="4" t="s">
        <v>1251</v>
      </c>
      <c r="F339" s="54" t="s">
        <v>357</v>
      </c>
      <c r="G339" s="54" t="s">
        <v>1194</v>
      </c>
      <c r="H339" s="54" t="s">
        <v>1192</v>
      </c>
      <c r="I339" s="54" t="s">
        <v>1349</v>
      </c>
      <c r="J339" s="54" t="s">
        <v>1373</v>
      </c>
      <c r="X339" s="55" t="str">
        <f t="shared" si="1"/>
        <v>#NAME?</v>
      </c>
    </row>
    <row r="340">
      <c r="A340" s="4" t="s">
        <v>1822</v>
      </c>
      <c r="B340" s="4" t="s">
        <v>1087</v>
      </c>
      <c r="C340" s="4">
        <v>339.0</v>
      </c>
      <c r="D340" s="4" t="s">
        <v>1375</v>
      </c>
      <c r="E340" s="4" t="s">
        <v>1251</v>
      </c>
      <c r="F340" s="54" t="s">
        <v>534</v>
      </c>
      <c r="G340" s="54" t="s">
        <v>1376</v>
      </c>
      <c r="H340" s="54" t="s">
        <v>1377</v>
      </c>
      <c r="I340" s="54" t="s">
        <v>1378</v>
      </c>
      <c r="J340" s="54" t="s">
        <v>1379</v>
      </c>
      <c r="X340" s="55" t="str">
        <f t="shared" si="1"/>
        <v>#NAME?</v>
      </c>
    </row>
    <row r="341">
      <c r="A341" s="4" t="s">
        <v>1823</v>
      </c>
      <c r="B341" s="4" t="s">
        <v>1087</v>
      </c>
      <c r="C341" s="4">
        <v>340.0</v>
      </c>
      <c r="D341" s="4" t="s">
        <v>1381</v>
      </c>
      <c r="E341" s="4" t="s">
        <v>1098</v>
      </c>
      <c r="F341" s="54" t="s">
        <v>534</v>
      </c>
      <c r="G341" s="54" t="s">
        <v>1382</v>
      </c>
      <c r="H341" s="54" t="s">
        <v>1274</v>
      </c>
      <c r="I341" s="54" t="s">
        <v>1147</v>
      </c>
      <c r="J341" s="54" t="s">
        <v>1383</v>
      </c>
      <c r="X341" s="55" t="str">
        <f t="shared" si="1"/>
        <v>#NAME?</v>
      </c>
    </row>
    <row r="342">
      <c r="A342" s="4" t="s">
        <v>1824</v>
      </c>
      <c r="B342" s="4" t="s">
        <v>1087</v>
      </c>
      <c r="C342" s="4">
        <v>341.0</v>
      </c>
      <c r="D342" s="4" t="s">
        <v>1385</v>
      </c>
      <c r="E342" s="4" t="s">
        <v>1098</v>
      </c>
      <c r="F342" s="54" t="s">
        <v>534</v>
      </c>
      <c r="G342" s="54" t="s">
        <v>1121</v>
      </c>
      <c r="H342" s="54" t="s">
        <v>1274</v>
      </c>
      <c r="I342" s="54" t="s">
        <v>1122</v>
      </c>
      <c r="J342" s="54" t="s">
        <v>1360</v>
      </c>
      <c r="X342" s="55" t="str">
        <f t="shared" si="1"/>
        <v>#NAME?</v>
      </c>
    </row>
    <row r="343">
      <c r="A343" s="4" t="s">
        <v>1825</v>
      </c>
      <c r="B343" s="4" t="s">
        <v>1087</v>
      </c>
      <c r="C343" s="4">
        <v>342.0</v>
      </c>
      <c r="D343" s="4" t="s">
        <v>1387</v>
      </c>
      <c r="E343" s="4" t="s">
        <v>1098</v>
      </c>
      <c r="F343" s="54" t="s">
        <v>534</v>
      </c>
      <c r="G343" s="54" t="s">
        <v>1148</v>
      </c>
      <c r="H343" s="54" t="s">
        <v>1309</v>
      </c>
      <c r="I343" s="54" t="s">
        <v>1139</v>
      </c>
      <c r="J343" s="54" t="s">
        <v>1308</v>
      </c>
      <c r="X343" s="55" t="str">
        <f t="shared" si="1"/>
        <v>#NAME?</v>
      </c>
    </row>
    <row r="344">
      <c r="A344" s="4" t="s">
        <v>1826</v>
      </c>
      <c r="B344" s="4" t="s">
        <v>1087</v>
      </c>
      <c r="C344" s="4">
        <v>343.0</v>
      </c>
      <c r="D344" s="4" t="s">
        <v>1389</v>
      </c>
      <c r="E344" s="4" t="s">
        <v>1088</v>
      </c>
      <c r="F344" s="54" t="s">
        <v>534</v>
      </c>
      <c r="G344" s="54" t="s">
        <v>1122</v>
      </c>
      <c r="H344" s="54" t="s">
        <v>1390</v>
      </c>
      <c r="I344" s="54" t="s">
        <v>1391</v>
      </c>
      <c r="J344" s="54" t="s">
        <v>1340</v>
      </c>
      <c r="X344" s="55" t="str">
        <f t="shared" si="1"/>
        <v>#NAME?</v>
      </c>
    </row>
    <row r="345">
      <c r="A345" s="4" t="s">
        <v>1827</v>
      </c>
      <c r="B345" s="4" t="s">
        <v>1087</v>
      </c>
      <c r="C345" s="4">
        <v>344.0</v>
      </c>
      <c r="D345" s="4" t="s">
        <v>1358</v>
      </c>
      <c r="E345" s="4" t="s">
        <v>1251</v>
      </c>
      <c r="F345" s="54" t="s">
        <v>357</v>
      </c>
      <c r="G345" s="54" t="s">
        <v>1359</v>
      </c>
      <c r="H345" s="54" t="s">
        <v>1200</v>
      </c>
      <c r="I345" s="54" t="s">
        <v>1360</v>
      </c>
      <c r="J345" s="54" t="s">
        <v>1361</v>
      </c>
      <c r="X345" s="55" t="str">
        <f t="shared" si="1"/>
        <v>#NAME?</v>
      </c>
    </row>
    <row r="346">
      <c r="A346" s="4" t="s">
        <v>1828</v>
      </c>
      <c r="B346" s="4" t="s">
        <v>1087</v>
      </c>
      <c r="C346" s="4">
        <v>345.0</v>
      </c>
      <c r="D346" s="4" t="s">
        <v>1393</v>
      </c>
      <c r="E346" s="4" t="s">
        <v>1088</v>
      </c>
      <c r="F346" s="54" t="s">
        <v>534</v>
      </c>
      <c r="G346" s="54" t="s">
        <v>1147</v>
      </c>
      <c r="H346" s="54" t="s">
        <v>1340</v>
      </c>
      <c r="I346" s="54" t="s">
        <v>1394</v>
      </c>
      <c r="J346" s="54" t="s">
        <v>1275</v>
      </c>
      <c r="X346" s="55" t="str">
        <f t="shared" si="1"/>
        <v>#NAME?</v>
      </c>
    </row>
    <row r="347">
      <c r="A347" s="4" t="s">
        <v>1829</v>
      </c>
      <c r="B347" s="4" t="s">
        <v>1087</v>
      </c>
      <c r="C347" s="4">
        <v>346.0</v>
      </c>
      <c r="D347" s="4" t="s">
        <v>1400</v>
      </c>
      <c r="E347" s="4" t="s">
        <v>1397</v>
      </c>
      <c r="F347" s="54" t="s">
        <v>534</v>
      </c>
      <c r="G347" s="54" t="s">
        <v>1152</v>
      </c>
      <c r="H347" s="54" t="s">
        <v>1275</v>
      </c>
      <c r="I347" s="54" t="s">
        <v>1148</v>
      </c>
      <c r="J347" s="54" t="s">
        <v>1318</v>
      </c>
      <c r="X347" s="55" t="str">
        <f t="shared" si="1"/>
        <v>#NAME?</v>
      </c>
    </row>
    <row r="348">
      <c r="A348" s="4" t="s">
        <v>1830</v>
      </c>
      <c r="B348" s="4" t="s">
        <v>1087</v>
      </c>
      <c r="C348" s="4">
        <v>347.0</v>
      </c>
      <c r="D348" s="4" t="s">
        <v>1402</v>
      </c>
      <c r="E348" s="4" t="s">
        <v>1397</v>
      </c>
      <c r="F348" s="54" t="s">
        <v>534</v>
      </c>
      <c r="G348" s="54" t="s">
        <v>1275</v>
      </c>
      <c r="H348" s="54" t="s">
        <v>1275</v>
      </c>
      <c r="I348" s="54" t="s">
        <v>1116</v>
      </c>
      <c r="J348" s="54" t="s">
        <v>1121</v>
      </c>
      <c r="X348" s="55" t="str">
        <f t="shared" si="1"/>
        <v>#NAME?</v>
      </c>
    </row>
    <row r="349">
      <c r="A349" s="4" t="s">
        <v>1831</v>
      </c>
      <c r="B349" s="4" t="s">
        <v>1087</v>
      </c>
      <c r="C349" s="4">
        <v>348.0</v>
      </c>
      <c r="D349" s="4" t="s">
        <v>1404</v>
      </c>
      <c r="E349" s="4" t="s">
        <v>1088</v>
      </c>
      <c r="F349" s="54" t="s">
        <v>534</v>
      </c>
      <c r="G349" s="54" t="s">
        <v>1275</v>
      </c>
      <c r="H349" s="54" t="s">
        <v>1343</v>
      </c>
      <c r="I349" s="54" t="s">
        <v>1343</v>
      </c>
      <c r="J349" s="54" t="s">
        <v>1405</v>
      </c>
      <c r="X349" s="55" t="str">
        <f t="shared" si="1"/>
        <v>#NAME?</v>
      </c>
    </row>
    <row r="350">
      <c r="A350" s="4" t="s">
        <v>1832</v>
      </c>
      <c r="B350" s="4" t="s">
        <v>1087</v>
      </c>
      <c r="C350" s="4">
        <v>349.0</v>
      </c>
      <c r="D350" s="4" t="s">
        <v>1407</v>
      </c>
      <c r="E350" s="4" t="s">
        <v>1088</v>
      </c>
      <c r="F350" s="54" t="s">
        <v>534</v>
      </c>
      <c r="G350" s="54" t="s">
        <v>1116</v>
      </c>
      <c r="H350" s="54" t="s">
        <v>1123</v>
      </c>
      <c r="I350" s="54" t="s">
        <v>1147</v>
      </c>
      <c r="J350" s="54" t="s">
        <v>1303</v>
      </c>
      <c r="X350" s="55" t="str">
        <f t="shared" si="1"/>
        <v>#NAME?</v>
      </c>
    </row>
    <row r="351">
      <c r="A351" s="4" t="s">
        <v>1833</v>
      </c>
      <c r="B351" s="4" t="s">
        <v>1087</v>
      </c>
      <c r="C351" s="4">
        <v>350.0</v>
      </c>
      <c r="D351" s="4" t="s">
        <v>1409</v>
      </c>
      <c r="E351" s="4" t="s">
        <v>1088</v>
      </c>
      <c r="F351" s="54" t="s">
        <v>534</v>
      </c>
      <c r="G351" s="54" t="s">
        <v>1115</v>
      </c>
      <c r="H351" s="54" t="s">
        <v>1115</v>
      </c>
      <c r="I351" s="54" t="s">
        <v>1405</v>
      </c>
      <c r="J351" s="54" t="s">
        <v>1340</v>
      </c>
      <c r="X351" s="55" t="str">
        <f t="shared" si="1"/>
        <v>#NAME?</v>
      </c>
    </row>
    <row r="352">
      <c r="A352" s="4" t="s">
        <v>1834</v>
      </c>
      <c r="B352" s="4" t="s">
        <v>1087</v>
      </c>
      <c r="C352" s="4">
        <v>351.0</v>
      </c>
      <c r="D352" s="4" t="s">
        <v>1411</v>
      </c>
      <c r="E352" s="4" t="s">
        <v>1088</v>
      </c>
      <c r="F352" s="54" t="s">
        <v>534</v>
      </c>
      <c r="G352" s="54" t="s">
        <v>1170</v>
      </c>
      <c r="H352" s="54" t="s">
        <v>1219</v>
      </c>
      <c r="I352" s="54" t="s">
        <v>1154</v>
      </c>
      <c r="J352" s="54" t="s">
        <v>1216</v>
      </c>
      <c r="X352" s="55" t="str">
        <f t="shared" si="1"/>
        <v>#NAME?</v>
      </c>
    </row>
    <row r="353">
      <c r="A353" s="4" t="s">
        <v>1835</v>
      </c>
      <c r="B353" s="4" t="s">
        <v>1087</v>
      </c>
      <c r="C353" s="4">
        <v>352.0</v>
      </c>
      <c r="D353" s="4" t="s">
        <v>1411</v>
      </c>
      <c r="E353" s="4" t="s">
        <v>1088</v>
      </c>
      <c r="F353" s="54" t="s">
        <v>534</v>
      </c>
      <c r="G353" s="54" t="s">
        <v>1170</v>
      </c>
      <c r="H353" s="54" t="s">
        <v>1159</v>
      </c>
      <c r="I353" s="54" t="s">
        <v>1413</v>
      </c>
      <c r="J353" s="54" t="s">
        <v>1093</v>
      </c>
      <c r="X353" s="55" t="str">
        <f t="shared" si="1"/>
        <v>#NAME?</v>
      </c>
    </row>
    <row r="354">
      <c r="A354" s="4" t="s">
        <v>1836</v>
      </c>
      <c r="B354" s="4" t="s">
        <v>1087</v>
      </c>
      <c r="C354" s="4">
        <v>353.0</v>
      </c>
      <c r="D354" s="4" t="s">
        <v>1411</v>
      </c>
      <c r="E354" s="4" t="s">
        <v>1088</v>
      </c>
      <c r="F354" s="54" t="s">
        <v>534</v>
      </c>
      <c r="G354" s="54" t="s">
        <v>1093</v>
      </c>
      <c r="H354" s="54" t="s">
        <v>1093</v>
      </c>
      <c r="I354" s="54" t="s">
        <v>1111</v>
      </c>
      <c r="J354" s="54" t="s">
        <v>1160</v>
      </c>
      <c r="X354" s="55" t="str">
        <f t="shared" si="1"/>
        <v>#NAME?</v>
      </c>
    </row>
    <row r="355">
      <c r="A355" s="4" t="s">
        <v>1837</v>
      </c>
      <c r="B355" s="4" t="s">
        <v>1087</v>
      </c>
      <c r="C355" s="4">
        <v>354.0</v>
      </c>
      <c r="D355" s="4" t="s">
        <v>1416</v>
      </c>
      <c r="E355" s="4" t="s">
        <v>1088</v>
      </c>
      <c r="F355" s="54" t="s">
        <v>534</v>
      </c>
      <c r="G355" s="54" t="s">
        <v>1093</v>
      </c>
      <c r="H355" s="54" t="s">
        <v>1154</v>
      </c>
      <c r="I355" s="54" t="s">
        <v>1236</v>
      </c>
      <c r="J355" s="54" t="s">
        <v>1417</v>
      </c>
      <c r="X355" s="55" t="str">
        <f t="shared" si="1"/>
        <v>#NAME?</v>
      </c>
    </row>
    <row r="356">
      <c r="A356" s="4" t="s">
        <v>1838</v>
      </c>
      <c r="B356" s="4" t="s">
        <v>1087</v>
      </c>
      <c r="C356" s="4">
        <v>355.0</v>
      </c>
      <c r="D356" s="4" t="s">
        <v>1396</v>
      </c>
      <c r="E356" s="4" t="s">
        <v>1397</v>
      </c>
      <c r="F356" s="54" t="s">
        <v>534</v>
      </c>
      <c r="G356" s="54" t="s">
        <v>1148</v>
      </c>
      <c r="H356" s="54" t="s">
        <v>1398</v>
      </c>
      <c r="I356" s="54" t="s">
        <v>1151</v>
      </c>
      <c r="J356" s="54" t="s">
        <v>1115</v>
      </c>
      <c r="X356" s="55" t="str">
        <f t="shared" si="1"/>
        <v>#NAME?</v>
      </c>
    </row>
    <row r="357">
      <c r="A357" s="4" t="s">
        <v>1839</v>
      </c>
      <c r="B357" s="4" t="s">
        <v>1087</v>
      </c>
      <c r="C357" s="4">
        <v>356.0</v>
      </c>
      <c r="D357" s="54" t="s">
        <v>481</v>
      </c>
      <c r="E357" s="4" t="s">
        <v>1251</v>
      </c>
      <c r="F357" s="54" t="s">
        <v>357</v>
      </c>
      <c r="G357" s="54" t="s">
        <v>1256</v>
      </c>
      <c r="H357" s="54" t="s">
        <v>1257</v>
      </c>
      <c r="I357" s="54" t="s">
        <v>1258</v>
      </c>
      <c r="J357" s="54" t="s">
        <v>1259</v>
      </c>
      <c r="X357" s="55" t="str">
        <f t="shared" si="1"/>
        <v>#NAME?</v>
      </c>
    </row>
    <row r="358">
      <c r="A358" s="4" t="s">
        <v>1840</v>
      </c>
      <c r="B358" s="4" t="s">
        <v>1087</v>
      </c>
      <c r="C358" s="4">
        <v>357.0</v>
      </c>
      <c r="D358" s="4" t="s">
        <v>1355</v>
      </c>
      <c r="E358" s="4" t="s">
        <v>1088</v>
      </c>
      <c r="F358" s="54" t="s">
        <v>357</v>
      </c>
      <c r="G358" s="54" t="s">
        <v>1356</v>
      </c>
      <c r="H358" s="54" t="s">
        <v>1244</v>
      </c>
      <c r="I358" s="54" t="s">
        <v>1244</v>
      </c>
      <c r="J358" s="54" t="s">
        <v>1244</v>
      </c>
      <c r="X358" s="55" t="str">
        <f t="shared" si="1"/>
        <v>#NAME?</v>
      </c>
    </row>
    <row r="359">
      <c r="A359" s="4" t="s">
        <v>1841</v>
      </c>
      <c r="B359" s="4" t="s">
        <v>1087</v>
      </c>
      <c r="C359" s="4">
        <v>358.0</v>
      </c>
      <c r="D359" s="4" t="s">
        <v>1348</v>
      </c>
      <c r="E359" s="4" t="s">
        <v>1098</v>
      </c>
      <c r="F359" s="54" t="s">
        <v>357</v>
      </c>
      <c r="G359" s="54" t="s">
        <v>1134</v>
      </c>
      <c r="H359" s="54" t="s">
        <v>1349</v>
      </c>
      <c r="I359" s="54" t="s">
        <v>1350</v>
      </c>
      <c r="J359" s="54" t="s">
        <v>1351</v>
      </c>
      <c r="X359" s="55" t="str">
        <f t="shared" si="1"/>
        <v>#NAME?</v>
      </c>
    </row>
    <row r="360">
      <c r="A360" s="4" t="s">
        <v>1842</v>
      </c>
      <c r="B360" s="4" t="s">
        <v>1087</v>
      </c>
      <c r="C360" s="4">
        <v>359.0</v>
      </c>
      <c r="D360" s="4" t="s">
        <v>1267</v>
      </c>
      <c r="E360" s="4" t="s">
        <v>1251</v>
      </c>
      <c r="F360" s="54" t="s">
        <v>357</v>
      </c>
      <c r="G360" s="54" t="s">
        <v>1200</v>
      </c>
      <c r="H360" s="54" t="s">
        <v>1099</v>
      </c>
      <c r="I360" s="54" t="s">
        <v>1099</v>
      </c>
      <c r="J360" s="54" t="s">
        <v>1253</v>
      </c>
      <c r="X360" s="55" t="str">
        <f t="shared" si="1"/>
        <v>#NAME?</v>
      </c>
    </row>
    <row r="361">
      <c r="A361" s="4" t="s">
        <v>1843</v>
      </c>
      <c r="B361" s="4" t="s">
        <v>1087</v>
      </c>
      <c r="C361" s="4">
        <v>360.0</v>
      </c>
      <c r="D361" s="4" t="s">
        <v>1269</v>
      </c>
      <c r="E361" s="4" t="s">
        <v>1088</v>
      </c>
      <c r="F361" s="54" t="s">
        <v>357</v>
      </c>
      <c r="G361" s="54" t="s">
        <v>1215</v>
      </c>
      <c r="H361" s="54" t="s">
        <v>1100</v>
      </c>
      <c r="I361" s="54" t="s">
        <v>1176</v>
      </c>
      <c r="J361" s="54" t="s">
        <v>1235</v>
      </c>
      <c r="X361" s="55" t="str">
        <f t="shared" si="1"/>
        <v>#NAME?</v>
      </c>
    </row>
    <row r="362">
      <c r="A362" s="4" t="s">
        <v>1844</v>
      </c>
      <c r="B362" s="4" t="s">
        <v>1087</v>
      </c>
      <c r="C362" s="4">
        <v>361.0</v>
      </c>
      <c r="D362" s="4" t="s">
        <v>1271</v>
      </c>
      <c r="E362" s="4" t="s">
        <v>1088</v>
      </c>
      <c r="F362" s="54" t="s">
        <v>357</v>
      </c>
      <c r="G362" s="54" t="s">
        <v>1156</v>
      </c>
      <c r="H362" s="54" t="s">
        <v>1156</v>
      </c>
      <c r="I362" s="54" t="s">
        <v>1100</v>
      </c>
      <c r="J362" s="54" t="s">
        <v>1176</v>
      </c>
      <c r="X362" s="55" t="str">
        <f t="shared" si="1"/>
        <v>#NAME?</v>
      </c>
    </row>
    <row r="363">
      <c r="A363" s="4" t="s">
        <v>1845</v>
      </c>
      <c r="B363" s="4" t="s">
        <v>1087</v>
      </c>
      <c r="C363" s="4">
        <v>362.0</v>
      </c>
      <c r="D363" s="4" t="s">
        <v>1273</v>
      </c>
      <c r="E363" s="4" t="s">
        <v>1098</v>
      </c>
      <c r="F363" s="54" t="s">
        <v>357</v>
      </c>
      <c r="G363" s="54" t="s">
        <v>1120</v>
      </c>
      <c r="H363" s="54" t="s">
        <v>1274</v>
      </c>
      <c r="I363" s="54" t="s">
        <v>1275</v>
      </c>
      <c r="J363" s="54" t="s">
        <v>1276</v>
      </c>
      <c r="X363" s="55" t="str">
        <f t="shared" si="1"/>
        <v>#NAME?</v>
      </c>
    </row>
    <row r="364">
      <c r="A364" s="4" t="s">
        <v>1846</v>
      </c>
      <c r="B364" s="4" t="s">
        <v>1087</v>
      </c>
      <c r="C364" s="4">
        <v>363.0</v>
      </c>
      <c r="D364" s="4" t="s">
        <v>1278</v>
      </c>
      <c r="E364" s="4" t="s">
        <v>1098</v>
      </c>
      <c r="F364" s="54" t="s">
        <v>357</v>
      </c>
      <c r="G364" s="54" t="s">
        <v>1279</v>
      </c>
      <c r="H364" s="54" t="s">
        <v>1280</v>
      </c>
      <c r="I364" s="54" t="s">
        <v>1121</v>
      </c>
      <c r="J364" s="54" t="s">
        <v>1276</v>
      </c>
      <c r="X364" s="55" t="str">
        <f t="shared" si="1"/>
        <v>#NAME?</v>
      </c>
    </row>
    <row r="365">
      <c r="A365" s="4" t="s">
        <v>1847</v>
      </c>
      <c r="B365" s="4" t="s">
        <v>1087</v>
      </c>
      <c r="C365" s="4">
        <v>364.0</v>
      </c>
      <c r="D365" s="4" t="s">
        <v>1282</v>
      </c>
      <c r="E365" s="4" t="s">
        <v>1098</v>
      </c>
      <c r="F365" s="54" t="s">
        <v>357</v>
      </c>
      <c r="G365" s="54" t="s">
        <v>1283</v>
      </c>
      <c r="H365" s="54" t="s">
        <v>1284</v>
      </c>
      <c r="I365" s="54" t="s">
        <v>1151</v>
      </c>
      <c r="J365" s="54" t="s">
        <v>1144</v>
      </c>
      <c r="X365" s="55" t="str">
        <f t="shared" si="1"/>
        <v>#NAME?</v>
      </c>
    </row>
    <row r="366">
      <c r="A366" s="4" t="s">
        <v>1848</v>
      </c>
      <c r="B366" s="4" t="s">
        <v>1087</v>
      </c>
      <c r="C366" s="4">
        <v>365.0</v>
      </c>
      <c r="D366" s="4" t="s">
        <v>1286</v>
      </c>
      <c r="E366" s="4" t="s">
        <v>1088</v>
      </c>
      <c r="F366" s="54" t="s">
        <v>357</v>
      </c>
      <c r="G366" s="54" t="s">
        <v>1287</v>
      </c>
      <c r="H366" s="54" t="s">
        <v>1287</v>
      </c>
      <c r="I366" s="54" t="s">
        <v>1288</v>
      </c>
      <c r="J366" s="54" t="s">
        <v>1289</v>
      </c>
      <c r="X366" s="55" t="str">
        <f t="shared" si="1"/>
        <v>#NAME?</v>
      </c>
    </row>
    <row r="367">
      <c r="A367" s="4" t="s">
        <v>1849</v>
      </c>
      <c r="B367" s="4" t="s">
        <v>1087</v>
      </c>
      <c r="C367" s="4">
        <v>366.0</v>
      </c>
      <c r="D367" s="4" t="s">
        <v>1291</v>
      </c>
      <c r="E367" s="4" t="s">
        <v>1088</v>
      </c>
      <c r="F367" s="54" t="s">
        <v>357</v>
      </c>
      <c r="G367" s="54" t="s">
        <v>1292</v>
      </c>
      <c r="H367" s="54" t="s">
        <v>1205</v>
      </c>
      <c r="I367" s="54" t="s">
        <v>1292</v>
      </c>
      <c r="J367" s="54" t="s">
        <v>1293</v>
      </c>
      <c r="X367" s="55" t="str">
        <f t="shared" si="1"/>
        <v>#NAME?</v>
      </c>
    </row>
    <row r="368">
      <c r="A368" s="4" t="s">
        <v>1850</v>
      </c>
      <c r="B368" s="4" t="s">
        <v>1087</v>
      </c>
      <c r="C368" s="4">
        <v>367.0</v>
      </c>
      <c r="D368" s="4" t="s">
        <v>1295</v>
      </c>
      <c r="E368" s="4" t="s">
        <v>1296</v>
      </c>
      <c r="F368" s="54" t="s">
        <v>357</v>
      </c>
      <c r="G368" s="54" t="s">
        <v>1297</v>
      </c>
      <c r="H368" s="54" t="s">
        <v>1298</v>
      </c>
      <c r="I368" s="54" t="s">
        <v>1299</v>
      </c>
      <c r="J368" s="54" t="s">
        <v>1300</v>
      </c>
      <c r="X368" s="55" t="str">
        <f t="shared" si="1"/>
        <v>#NAME?</v>
      </c>
    </row>
    <row r="369">
      <c r="A369" s="4" t="s">
        <v>1851</v>
      </c>
      <c r="B369" s="4" t="s">
        <v>1087</v>
      </c>
      <c r="C369" s="4">
        <v>368.0</v>
      </c>
      <c r="D369" s="4" t="s">
        <v>1353</v>
      </c>
      <c r="E369" s="4" t="s">
        <v>1088</v>
      </c>
      <c r="F369" s="54" t="s">
        <v>357</v>
      </c>
      <c r="G369" s="54" t="s">
        <v>1186</v>
      </c>
      <c r="H369" s="54" t="s">
        <v>1179</v>
      </c>
      <c r="I369" s="54" t="s">
        <v>1183</v>
      </c>
      <c r="J369" s="54" t="s">
        <v>1183</v>
      </c>
      <c r="X369" s="55" t="str">
        <f t="shared" si="1"/>
        <v>#NAME?</v>
      </c>
    </row>
    <row r="370">
      <c r="A370" s="4" t="s">
        <v>1852</v>
      </c>
      <c r="B370" s="4" t="s">
        <v>1087</v>
      </c>
      <c r="C370" s="4">
        <v>369.0</v>
      </c>
      <c r="D370" s="4" t="s">
        <v>1302</v>
      </c>
      <c r="E370" s="4" t="s">
        <v>1296</v>
      </c>
      <c r="F370" s="54" t="s">
        <v>357</v>
      </c>
      <c r="G370" s="54" t="s">
        <v>1198</v>
      </c>
      <c r="H370" s="54" t="s">
        <v>1144</v>
      </c>
      <c r="I370" s="54" t="s">
        <v>1303</v>
      </c>
      <c r="J370" s="54" t="s">
        <v>1304</v>
      </c>
      <c r="X370" s="55" t="str">
        <f t="shared" si="1"/>
        <v>#NAME?</v>
      </c>
    </row>
    <row r="371">
      <c r="A371" s="4" t="s">
        <v>1853</v>
      </c>
      <c r="B371" s="4" t="s">
        <v>1087</v>
      </c>
      <c r="C371" s="4">
        <v>370.0</v>
      </c>
      <c r="D371" s="4" t="s">
        <v>1311</v>
      </c>
      <c r="E371" s="4" t="s">
        <v>1296</v>
      </c>
      <c r="F371" s="54" t="s">
        <v>357</v>
      </c>
      <c r="G371" s="54" t="s">
        <v>1312</v>
      </c>
      <c r="H371" s="54" t="s">
        <v>1313</v>
      </c>
      <c r="I371" s="54" t="s">
        <v>1127</v>
      </c>
      <c r="J371" s="54" t="s">
        <v>1314</v>
      </c>
      <c r="X371" s="55" t="str">
        <f t="shared" si="1"/>
        <v>#NAME?</v>
      </c>
    </row>
    <row r="372">
      <c r="A372" s="4" t="s">
        <v>1854</v>
      </c>
      <c r="B372" s="4" t="s">
        <v>1087</v>
      </c>
      <c r="C372" s="4">
        <v>371.0</v>
      </c>
      <c r="D372" s="4" t="s">
        <v>1316</v>
      </c>
      <c r="E372" s="4" t="s">
        <v>1296</v>
      </c>
      <c r="F372" s="54" t="s">
        <v>357</v>
      </c>
      <c r="G372" s="54" t="s">
        <v>1126</v>
      </c>
      <c r="H372" s="54" t="s">
        <v>1317</v>
      </c>
      <c r="I372" s="54" t="s">
        <v>1318</v>
      </c>
      <c r="J372" s="54" t="s">
        <v>1314</v>
      </c>
      <c r="X372" s="55" t="str">
        <f t="shared" si="1"/>
        <v>#NAME?</v>
      </c>
    </row>
    <row r="373">
      <c r="A373" s="4" t="s">
        <v>1855</v>
      </c>
      <c r="B373" s="4" t="s">
        <v>1087</v>
      </c>
      <c r="C373" s="4">
        <v>372.0</v>
      </c>
      <c r="D373" s="4" t="s">
        <v>1320</v>
      </c>
      <c r="E373" s="4" t="s">
        <v>1296</v>
      </c>
      <c r="F373" s="54" t="s">
        <v>357</v>
      </c>
      <c r="G373" s="54" t="s">
        <v>1196</v>
      </c>
      <c r="H373" s="54" t="s">
        <v>1321</v>
      </c>
      <c r="I373" s="54" t="s">
        <v>1192</v>
      </c>
      <c r="J373" s="54" t="s">
        <v>1322</v>
      </c>
      <c r="X373" s="55" t="str">
        <f t="shared" si="1"/>
        <v>#NAME?</v>
      </c>
    </row>
    <row r="374">
      <c r="A374" s="4" t="s">
        <v>1856</v>
      </c>
      <c r="B374" s="4" t="s">
        <v>1087</v>
      </c>
      <c r="C374" s="4">
        <v>373.0</v>
      </c>
      <c r="D374" s="4" t="s">
        <v>1324</v>
      </c>
      <c r="E374" s="4" t="s">
        <v>1296</v>
      </c>
      <c r="F374" s="54" t="s">
        <v>357</v>
      </c>
      <c r="G374" s="54" t="s">
        <v>1325</v>
      </c>
      <c r="H374" s="54" t="s">
        <v>1303</v>
      </c>
      <c r="I374" s="54" t="s">
        <v>1326</v>
      </c>
      <c r="J374" s="54" t="s">
        <v>1117</v>
      </c>
      <c r="X374" s="55" t="str">
        <f t="shared" si="1"/>
        <v>#NAME?</v>
      </c>
    </row>
    <row r="375">
      <c r="A375" s="4" t="s">
        <v>1857</v>
      </c>
      <c r="B375" s="4" t="s">
        <v>1087</v>
      </c>
      <c r="C375" s="4">
        <v>374.0</v>
      </c>
      <c r="D375" s="4" t="s">
        <v>1328</v>
      </c>
      <c r="E375" s="4" t="s">
        <v>1296</v>
      </c>
      <c r="F375" s="54" t="s">
        <v>357</v>
      </c>
      <c r="G375" s="54" t="s">
        <v>1329</v>
      </c>
      <c r="H375" s="54" t="s">
        <v>1330</v>
      </c>
      <c r="I375" s="54" t="s">
        <v>1331</v>
      </c>
      <c r="J375" s="54" t="s">
        <v>1125</v>
      </c>
      <c r="X375" s="55" t="str">
        <f t="shared" si="1"/>
        <v>#NAME?</v>
      </c>
    </row>
    <row r="376">
      <c r="A376" s="4" t="s">
        <v>1858</v>
      </c>
      <c r="B376" s="4" t="s">
        <v>1087</v>
      </c>
      <c r="C376" s="4">
        <v>375.0</v>
      </c>
      <c r="D376" s="4" t="s">
        <v>1333</v>
      </c>
      <c r="E376" s="4" t="s">
        <v>1088</v>
      </c>
      <c r="F376" s="54" t="s">
        <v>357</v>
      </c>
      <c r="G376" s="54" t="s">
        <v>1287</v>
      </c>
      <c r="H376" s="54" t="s">
        <v>1293</v>
      </c>
      <c r="I376" s="54" t="s">
        <v>1334</v>
      </c>
      <c r="J376" s="54" t="s">
        <v>1203</v>
      </c>
      <c r="X376" s="55" t="str">
        <f t="shared" si="1"/>
        <v>#NAME?</v>
      </c>
    </row>
    <row r="377">
      <c r="A377" s="4" t="s">
        <v>1859</v>
      </c>
      <c r="B377" s="4" t="s">
        <v>1087</v>
      </c>
      <c r="C377" s="4">
        <v>376.0</v>
      </c>
      <c r="D377" s="4" t="s">
        <v>1336</v>
      </c>
      <c r="E377" s="4" t="s">
        <v>1088</v>
      </c>
      <c r="F377" s="54" t="s">
        <v>357</v>
      </c>
      <c r="G377" s="54" t="s">
        <v>1292</v>
      </c>
      <c r="H377" s="54" t="s">
        <v>1334</v>
      </c>
      <c r="I377" s="54" t="s">
        <v>1337</v>
      </c>
      <c r="J377" s="54" t="s">
        <v>1292</v>
      </c>
      <c r="X377" s="55" t="str">
        <f t="shared" si="1"/>
        <v>#NAME?</v>
      </c>
    </row>
    <row r="378">
      <c r="A378" s="4" t="s">
        <v>1860</v>
      </c>
      <c r="B378" s="4" t="s">
        <v>1087</v>
      </c>
      <c r="C378" s="4">
        <v>377.0</v>
      </c>
      <c r="D378" s="4" t="s">
        <v>1339</v>
      </c>
      <c r="E378" s="4" t="s">
        <v>1098</v>
      </c>
      <c r="F378" s="54" t="s">
        <v>357</v>
      </c>
      <c r="G378" s="54" t="s">
        <v>1340</v>
      </c>
      <c r="H378" s="54" t="s">
        <v>1140</v>
      </c>
      <c r="I378" s="54" t="s">
        <v>1326</v>
      </c>
      <c r="J378" s="54" t="s">
        <v>1303</v>
      </c>
      <c r="X378" s="55" t="str">
        <f t="shared" si="1"/>
        <v>#NAME?</v>
      </c>
    </row>
    <row r="379">
      <c r="A379" s="4" t="s">
        <v>1861</v>
      </c>
      <c r="B379" s="4" t="s">
        <v>1087</v>
      </c>
      <c r="C379" s="4">
        <v>378.0</v>
      </c>
      <c r="D379" s="4" t="s">
        <v>1342</v>
      </c>
      <c r="E379" s="4" t="s">
        <v>1098</v>
      </c>
      <c r="F379" s="54" t="s">
        <v>357</v>
      </c>
      <c r="G379" s="54" t="s">
        <v>1343</v>
      </c>
      <c r="H379" s="54" t="s">
        <v>1344</v>
      </c>
      <c r="I379" s="54" t="s">
        <v>1345</v>
      </c>
      <c r="J379" s="54" t="s">
        <v>1346</v>
      </c>
      <c r="X379" s="55" t="str">
        <f t="shared" si="1"/>
        <v>#NAME?</v>
      </c>
    </row>
    <row r="380">
      <c r="A380" s="4" t="s">
        <v>1862</v>
      </c>
      <c r="B380" s="4" t="s">
        <v>1087</v>
      </c>
      <c r="C380" s="4">
        <v>379.0</v>
      </c>
      <c r="D380" s="4" t="s">
        <v>1306</v>
      </c>
      <c r="E380" s="4" t="s">
        <v>1296</v>
      </c>
      <c r="F380" s="54" t="s">
        <v>357</v>
      </c>
      <c r="G380" s="54" t="s">
        <v>1283</v>
      </c>
      <c r="H380" s="54" t="s">
        <v>1307</v>
      </c>
      <c r="I380" s="54" t="s">
        <v>1308</v>
      </c>
      <c r="J380" s="54" t="s">
        <v>1309</v>
      </c>
      <c r="X380" s="55" t="str">
        <f t="shared" si="1"/>
        <v>#NAME?</v>
      </c>
    </row>
    <row r="381">
      <c r="A381" s="4" t="s">
        <v>1863</v>
      </c>
      <c r="B381" s="4" t="s">
        <v>1087</v>
      </c>
      <c r="C381" s="4">
        <v>380.0</v>
      </c>
      <c r="D381" s="54" t="s">
        <v>1673</v>
      </c>
      <c r="E381" s="4" t="s">
        <v>1088</v>
      </c>
      <c r="F381" s="54" t="s">
        <v>357</v>
      </c>
      <c r="G381" s="54" t="s">
        <v>1572</v>
      </c>
      <c r="H381" s="54" t="s">
        <v>1226</v>
      </c>
      <c r="I381" s="54" t="s">
        <v>1560</v>
      </c>
      <c r="J381" s="54" t="s">
        <v>1227</v>
      </c>
      <c r="X381" s="55" t="str">
        <f t="shared" si="1"/>
        <v>#NAME?</v>
      </c>
    </row>
    <row r="382">
      <c r="A382" s="4" t="s">
        <v>1864</v>
      </c>
      <c r="B382" s="4" t="s">
        <v>1087</v>
      </c>
      <c r="C382" s="4">
        <v>381.0</v>
      </c>
      <c r="D382" s="54" t="s">
        <v>1502</v>
      </c>
      <c r="E382" s="4" t="s">
        <v>1088</v>
      </c>
      <c r="F382" s="54" t="s">
        <v>357</v>
      </c>
      <c r="G382" s="54" t="s">
        <v>1503</v>
      </c>
      <c r="H382" s="54" t="s">
        <v>1504</v>
      </c>
      <c r="I382" s="54" t="s">
        <v>1168</v>
      </c>
      <c r="J382" s="54" t="s">
        <v>1503</v>
      </c>
      <c r="X382" s="55" t="str">
        <f t="shared" si="1"/>
        <v>#NAME?</v>
      </c>
    </row>
    <row r="383">
      <c r="A383" s="4" t="s">
        <v>1865</v>
      </c>
      <c r="B383" s="4" t="s">
        <v>1087</v>
      </c>
      <c r="C383" s="4">
        <v>382.0</v>
      </c>
      <c r="D383" s="54" t="s">
        <v>1506</v>
      </c>
      <c r="E383" s="4" t="s">
        <v>1296</v>
      </c>
      <c r="F383" s="54" t="s">
        <v>357</v>
      </c>
      <c r="G383" s="54" t="s">
        <v>1507</v>
      </c>
      <c r="H383" s="54" t="s">
        <v>1508</v>
      </c>
      <c r="I383" s="54" t="s">
        <v>1509</v>
      </c>
      <c r="J383" s="54" t="s">
        <v>1510</v>
      </c>
      <c r="X383" s="55" t="str">
        <f t="shared" si="1"/>
        <v>#NAME?</v>
      </c>
    </row>
    <row r="384">
      <c r="A384" s="4" t="s">
        <v>1866</v>
      </c>
      <c r="B384" s="4" t="s">
        <v>1087</v>
      </c>
      <c r="C384" s="4">
        <v>383.0</v>
      </c>
      <c r="D384" s="54" t="s">
        <v>1506</v>
      </c>
      <c r="E384" s="4" t="s">
        <v>1296</v>
      </c>
      <c r="F384" s="54" t="s">
        <v>357</v>
      </c>
      <c r="G384" s="54" t="s">
        <v>1365</v>
      </c>
      <c r="H384" s="54" t="s">
        <v>1512</v>
      </c>
      <c r="I384" s="54" t="s">
        <v>1513</v>
      </c>
      <c r="J384" s="54" t="s">
        <v>1514</v>
      </c>
      <c r="X384" s="55" t="str">
        <f t="shared" si="1"/>
        <v>#NAME?</v>
      </c>
    </row>
    <row r="385">
      <c r="A385" s="4" t="s">
        <v>1867</v>
      </c>
      <c r="B385" s="4" t="s">
        <v>1087</v>
      </c>
      <c r="C385" s="4">
        <v>384.0</v>
      </c>
      <c r="D385" s="54" t="s">
        <v>1506</v>
      </c>
      <c r="E385" s="4" t="s">
        <v>1296</v>
      </c>
      <c r="F385" s="54" t="s">
        <v>357</v>
      </c>
      <c r="G385" s="54" t="s">
        <v>1252</v>
      </c>
      <c r="H385" s="54" t="s">
        <v>1160</v>
      </c>
      <c r="I385" s="54" t="s">
        <v>1516</v>
      </c>
      <c r="J385" s="54" t="s">
        <v>1359</v>
      </c>
      <c r="X385" s="55" t="str">
        <f t="shared" si="1"/>
        <v>#NAME?</v>
      </c>
    </row>
    <row r="386">
      <c r="A386" s="4" t="s">
        <v>1868</v>
      </c>
      <c r="B386" s="4" t="s">
        <v>1087</v>
      </c>
      <c r="C386" s="4">
        <v>385.0</v>
      </c>
      <c r="D386" s="54" t="s">
        <v>1506</v>
      </c>
      <c r="E386" s="4" t="s">
        <v>1296</v>
      </c>
      <c r="F386" s="54" t="s">
        <v>357</v>
      </c>
      <c r="G386" s="54" t="s">
        <v>1257</v>
      </c>
      <c r="H386" s="54" t="s">
        <v>1518</v>
      </c>
      <c r="I386" s="54" t="s">
        <v>1518</v>
      </c>
      <c r="J386" s="54" t="s">
        <v>1366</v>
      </c>
      <c r="X386" s="55" t="str">
        <f t="shared" si="1"/>
        <v>#NAME?</v>
      </c>
    </row>
    <row r="387">
      <c r="A387" s="4" t="s">
        <v>1869</v>
      </c>
      <c r="B387" s="4" t="s">
        <v>1087</v>
      </c>
      <c r="C387" s="4">
        <v>386.0</v>
      </c>
      <c r="D387" s="54" t="s">
        <v>1520</v>
      </c>
      <c r="E387" s="4" t="s">
        <v>1088</v>
      </c>
      <c r="F387" s="54" t="s">
        <v>357</v>
      </c>
      <c r="G387" s="54" t="s">
        <v>1334</v>
      </c>
      <c r="H387" s="54" t="s">
        <v>1521</v>
      </c>
      <c r="I387" s="54" t="s">
        <v>1256</v>
      </c>
      <c r="J387" s="54" t="s">
        <v>1205</v>
      </c>
      <c r="X387" s="55" t="str">
        <f t="shared" si="1"/>
        <v>#NAME?</v>
      </c>
    </row>
    <row r="388">
      <c r="A388" s="4" t="s">
        <v>1870</v>
      </c>
      <c r="B388" s="4" t="s">
        <v>1087</v>
      </c>
      <c r="C388" s="4">
        <v>387.0</v>
      </c>
      <c r="D388" s="54" t="s">
        <v>1523</v>
      </c>
      <c r="E388" s="4" t="s">
        <v>1088</v>
      </c>
      <c r="F388" s="54" t="s">
        <v>357</v>
      </c>
      <c r="G388" s="54" t="s">
        <v>1168</v>
      </c>
      <c r="H388" s="54" t="s">
        <v>1524</v>
      </c>
      <c r="I388" s="54" t="s">
        <v>1504</v>
      </c>
      <c r="J388" s="54" t="s">
        <v>1500</v>
      </c>
      <c r="X388" s="55" t="str">
        <f t="shared" si="1"/>
        <v>#NAME?</v>
      </c>
    </row>
    <row r="389">
      <c r="A389" s="4" t="s">
        <v>1871</v>
      </c>
      <c r="B389" s="4" t="s">
        <v>1087</v>
      </c>
      <c r="C389" s="4">
        <v>388.0</v>
      </c>
      <c r="D389" s="54" t="s">
        <v>1526</v>
      </c>
      <c r="E389" s="4" t="s">
        <v>1088</v>
      </c>
      <c r="F389" s="54" t="s">
        <v>357</v>
      </c>
      <c r="G389" s="54" t="s">
        <v>1497</v>
      </c>
      <c r="H389" s="54" t="s">
        <v>1524</v>
      </c>
      <c r="I389" s="54" t="s">
        <v>1499</v>
      </c>
      <c r="J389" s="54" t="s">
        <v>1500</v>
      </c>
      <c r="X389" s="55" t="str">
        <f t="shared" si="1"/>
        <v>#NAME?</v>
      </c>
    </row>
    <row r="390">
      <c r="A390" s="4" t="s">
        <v>1872</v>
      </c>
      <c r="B390" s="4" t="s">
        <v>1087</v>
      </c>
      <c r="C390" s="4">
        <v>389.0</v>
      </c>
      <c r="D390" s="54" t="s">
        <v>1528</v>
      </c>
      <c r="E390" s="4" t="s">
        <v>1296</v>
      </c>
      <c r="F390" s="54" t="s">
        <v>357</v>
      </c>
      <c r="G390" s="54" t="s">
        <v>1108</v>
      </c>
      <c r="H390" s="54" t="s">
        <v>1417</v>
      </c>
      <c r="I390" s="54" t="s">
        <v>1529</v>
      </c>
      <c r="J390" s="54" t="s">
        <v>1158</v>
      </c>
      <c r="X390" s="55" t="str">
        <f t="shared" si="1"/>
        <v>#NAME?</v>
      </c>
    </row>
    <row r="391">
      <c r="A391" s="4" t="s">
        <v>1873</v>
      </c>
      <c r="B391" s="4" t="s">
        <v>1087</v>
      </c>
      <c r="C391" s="4">
        <v>390.0</v>
      </c>
      <c r="D391" s="54" t="s">
        <v>1496</v>
      </c>
      <c r="E391" s="4" t="s">
        <v>1088</v>
      </c>
      <c r="F391" s="54" t="s">
        <v>357</v>
      </c>
      <c r="G391" s="54" t="s">
        <v>1497</v>
      </c>
      <c r="H391" s="54" t="s">
        <v>1498</v>
      </c>
      <c r="I391" s="54" t="s">
        <v>1499</v>
      </c>
      <c r="J391" s="54" t="s">
        <v>1500</v>
      </c>
      <c r="X391" s="55" t="str">
        <f t="shared" si="1"/>
        <v>#NAME?</v>
      </c>
    </row>
    <row r="392">
      <c r="A392" s="4" t="s">
        <v>1874</v>
      </c>
      <c r="B392" s="4" t="s">
        <v>1087</v>
      </c>
      <c r="C392" s="4">
        <v>391.0</v>
      </c>
      <c r="D392" s="54" t="s">
        <v>1528</v>
      </c>
      <c r="E392" s="4" t="s">
        <v>1296</v>
      </c>
      <c r="F392" s="54" t="s">
        <v>357</v>
      </c>
      <c r="G392" s="54" t="s">
        <v>1531</v>
      </c>
      <c r="H392" s="54" t="s">
        <v>1106</v>
      </c>
      <c r="I392" s="54" t="s">
        <v>1532</v>
      </c>
      <c r="J392" s="54" t="s">
        <v>1533</v>
      </c>
      <c r="X392" s="55" t="str">
        <f t="shared" si="1"/>
        <v>#NAME?</v>
      </c>
    </row>
    <row r="393">
      <c r="A393" s="4" t="s">
        <v>1875</v>
      </c>
      <c r="B393" s="4" t="s">
        <v>1087</v>
      </c>
      <c r="C393" s="4">
        <v>392.0</v>
      </c>
      <c r="D393" s="54" t="s">
        <v>1528</v>
      </c>
      <c r="E393" s="4" t="s">
        <v>1296</v>
      </c>
      <c r="F393" s="54" t="s">
        <v>357</v>
      </c>
      <c r="G393" s="54" t="s">
        <v>1108</v>
      </c>
      <c r="H393" s="54" t="s">
        <v>1233</v>
      </c>
      <c r="I393" s="54" t="s">
        <v>1529</v>
      </c>
      <c r="J393" s="54" t="s">
        <v>1170</v>
      </c>
      <c r="X393" s="55" t="str">
        <f t="shared" si="1"/>
        <v>#NAME?</v>
      </c>
    </row>
    <row r="394">
      <c r="A394" s="4" t="s">
        <v>1876</v>
      </c>
      <c r="B394" s="4" t="s">
        <v>1087</v>
      </c>
      <c r="C394" s="4">
        <v>393.0</v>
      </c>
      <c r="D394" s="54" t="s">
        <v>1538</v>
      </c>
      <c r="E394" s="4" t="s">
        <v>1088</v>
      </c>
      <c r="F394" s="54" t="s">
        <v>357</v>
      </c>
      <c r="G394" s="54" t="s">
        <v>1497</v>
      </c>
      <c r="H394" s="54" t="s">
        <v>1503</v>
      </c>
      <c r="I394" s="54" t="s">
        <v>1503</v>
      </c>
      <c r="J394" s="54" t="s">
        <v>1504</v>
      </c>
      <c r="X394" s="55" t="str">
        <f t="shared" si="1"/>
        <v>#NAME?</v>
      </c>
    </row>
    <row r="395">
      <c r="A395" s="4" t="s">
        <v>1877</v>
      </c>
      <c r="B395" s="4" t="s">
        <v>1087</v>
      </c>
      <c r="C395" s="4">
        <v>394.0</v>
      </c>
      <c r="D395" s="54" t="s">
        <v>1540</v>
      </c>
      <c r="E395" s="4" t="s">
        <v>1088</v>
      </c>
      <c r="F395" s="54" t="s">
        <v>357</v>
      </c>
      <c r="G395" s="54" t="s">
        <v>1503</v>
      </c>
      <c r="H395" s="54" t="s">
        <v>1499</v>
      </c>
      <c r="I395" s="54" t="s">
        <v>1503</v>
      </c>
      <c r="J395" s="54" t="s">
        <v>1504</v>
      </c>
      <c r="X395" s="55" t="str">
        <f t="shared" si="1"/>
        <v>#NAME?</v>
      </c>
    </row>
    <row r="396">
      <c r="A396" s="4" t="s">
        <v>1878</v>
      </c>
      <c r="B396" s="4" t="s">
        <v>1087</v>
      </c>
      <c r="C396" s="4">
        <v>395.0</v>
      </c>
      <c r="D396" s="54" t="s">
        <v>1542</v>
      </c>
      <c r="E396" s="4" t="s">
        <v>1098</v>
      </c>
      <c r="F396" s="54" t="s">
        <v>357</v>
      </c>
      <c r="G396" s="54" t="s">
        <v>1543</v>
      </c>
      <c r="H396" s="54" t="s">
        <v>1185</v>
      </c>
      <c r="I396" s="54" t="s">
        <v>1544</v>
      </c>
      <c r="J396" s="54" t="s">
        <v>1105</v>
      </c>
      <c r="X396" s="55" t="str">
        <f t="shared" si="1"/>
        <v>#NAME?</v>
      </c>
    </row>
    <row r="397">
      <c r="A397" s="4" t="s">
        <v>1879</v>
      </c>
      <c r="B397" s="4" t="s">
        <v>1087</v>
      </c>
      <c r="C397" s="4">
        <v>396.0</v>
      </c>
      <c r="D397" s="54" t="s">
        <v>1542</v>
      </c>
      <c r="E397" s="4" t="s">
        <v>1098</v>
      </c>
      <c r="F397" s="54" t="s">
        <v>357</v>
      </c>
      <c r="G397" s="54" t="s">
        <v>1185</v>
      </c>
      <c r="H397" s="54" t="s">
        <v>1212</v>
      </c>
      <c r="I397" s="54" t="s">
        <v>1231</v>
      </c>
      <c r="J397" s="54" t="s">
        <v>1175</v>
      </c>
      <c r="X397" s="55" t="str">
        <f t="shared" si="1"/>
        <v>#NAME?</v>
      </c>
    </row>
    <row r="398">
      <c r="A398" s="4" t="s">
        <v>1880</v>
      </c>
      <c r="B398" s="4" t="s">
        <v>1087</v>
      </c>
      <c r="C398" s="4">
        <v>397.0</v>
      </c>
      <c r="D398" s="54" t="s">
        <v>1542</v>
      </c>
      <c r="E398" s="4" t="s">
        <v>1098</v>
      </c>
      <c r="F398" s="54" t="s">
        <v>357</v>
      </c>
      <c r="G398" s="54" t="s">
        <v>1188</v>
      </c>
      <c r="H398" s="54" t="s">
        <v>1547</v>
      </c>
      <c r="I398" s="54" t="s">
        <v>1158</v>
      </c>
      <c r="J398" s="54" t="s">
        <v>1110</v>
      </c>
      <c r="X398" s="55" t="str">
        <f t="shared" si="1"/>
        <v>#NAME?</v>
      </c>
    </row>
    <row r="399">
      <c r="A399" s="4" t="s">
        <v>1881</v>
      </c>
      <c r="B399" s="4" t="s">
        <v>1087</v>
      </c>
      <c r="C399" s="4">
        <v>398.0</v>
      </c>
      <c r="D399" s="54" t="s">
        <v>1549</v>
      </c>
      <c r="E399" s="4" t="s">
        <v>1088</v>
      </c>
      <c r="F399" s="54" t="s">
        <v>357</v>
      </c>
      <c r="G399" s="54" t="s">
        <v>1212</v>
      </c>
      <c r="H399" s="54" t="s">
        <v>1186</v>
      </c>
      <c r="I399" s="54" t="s">
        <v>1240</v>
      </c>
      <c r="J399" s="54" t="s">
        <v>1210</v>
      </c>
      <c r="X399" s="55" t="str">
        <f t="shared" si="1"/>
        <v>#NAME?</v>
      </c>
    </row>
    <row r="400">
      <c r="A400" s="4" t="s">
        <v>1882</v>
      </c>
      <c r="B400" s="4" t="s">
        <v>1087</v>
      </c>
      <c r="C400" s="4">
        <v>399.0</v>
      </c>
      <c r="D400" s="54" t="s">
        <v>1551</v>
      </c>
      <c r="E400" s="4" t="s">
        <v>1088</v>
      </c>
      <c r="F400" s="54" t="s">
        <v>357</v>
      </c>
      <c r="G400" s="54" t="s">
        <v>1179</v>
      </c>
      <c r="H400" s="54" t="s">
        <v>1240</v>
      </c>
      <c r="I400" s="54" t="s">
        <v>1552</v>
      </c>
      <c r="J400" s="54" t="s">
        <v>1210</v>
      </c>
      <c r="X400" s="55" t="str">
        <f t="shared" si="1"/>
        <v>#NAME?</v>
      </c>
    </row>
    <row r="401">
      <c r="A401" s="4" t="s">
        <v>1883</v>
      </c>
      <c r="B401" s="4" t="s">
        <v>1087</v>
      </c>
      <c r="C401" s="4">
        <v>400.0</v>
      </c>
      <c r="D401" s="54" t="s">
        <v>1554</v>
      </c>
      <c r="E401" s="4" t="s">
        <v>1098</v>
      </c>
      <c r="F401" s="54" t="s">
        <v>357</v>
      </c>
      <c r="G401" s="54" t="s">
        <v>1176</v>
      </c>
      <c r="H401" s="54" t="s">
        <v>1555</v>
      </c>
      <c r="I401" s="54" t="s">
        <v>1171</v>
      </c>
      <c r="J401" s="54" t="s">
        <v>1556</v>
      </c>
      <c r="X401" s="55" t="str">
        <f t="shared" si="1"/>
        <v>#NAME?</v>
      </c>
    </row>
    <row r="402">
      <c r="A402" s="4" t="s">
        <v>1884</v>
      </c>
      <c r="B402" s="4" t="s">
        <v>1087</v>
      </c>
      <c r="C402" s="4">
        <v>401.0</v>
      </c>
      <c r="D402" s="54" t="s">
        <v>1528</v>
      </c>
      <c r="E402" s="4" t="s">
        <v>1296</v>
      </c>
      <c r="F402" s="54" t="s">
        <v>357</v>
      </c>
      <c r="G402" s="54" t="s">
        <v>1244</v>
      </c>
      <c r="H402" s="54" t="s">
        <v>1170</v>
      </c>
      <c r="I402" s="54" t="s">
        <v>1177</v>
      </c>
      <c r="J402" s="54" t="s">
        <v>1535</v>
      </c>
      <c r="X402" s="55" t="str">
        <f t="shared" si="1"/>
        <v>#NAME?</v>
      </c>
    </row>
    <row r="403">
      <c r="A403" s="4" t="s">
        <v>1885</v>
      </c>
      <c r="B403" s="4" t="s">
        <v>1087</v>
      </c>
      <c r="C403" s="4">
        <v>402.0</v>
      </c>
      <c r="D403" s="54" t="s">
        <v>1554</v>
      </c>
      <c r="E403" s="4" t="s">
        <v>1098</v>
      </c>
      <c r="F403" s="54" t="s">
        <v>357</v>
      </c>
      <c r="G403" s="54" t="s">
        <v>1156</v>
      </c>
      <c r="H403" s="54" t="s">
        <v>1130</v>
      </c>
      <c r="I403" s="54" t="s">
        <v>1494</v>
      </c>
      <c r="J403" s="54" t="s">
        <v>1132</v>
      </c>
      <c r="X403" s="55" t="str">
        <f t="shared" si="1"/>
        <v>#NAME?</v>
      </c>
    </row>
    <row r="404">
      <c r="A404" s="4" t="s">
        <v>1886</v>
      </c>
      <c r="B404" s="4" t="s">
        <v>1087</v>
      </c>
      <c r="C404" s="4">
        <v>403.0</v>
      </c>
      <c r="D404" s="54" t="s">
        <v>1492</v>
      </c>
      <c r="E404" s="4" t="s">
        <v>1251</v>
      </c>
      <c r="F404" s="54" t="s">
        <v>357</v>
      </c>
      <c r="G404" s="54" t="s">
        <v>1493</v>
      </c>
      <c r="H404" s="54" t="s">
        <v>1215</v>
      </c>
      <c r="I404" s="54" t="s">
        <v>1494</v>
      </c>
      <c r="J404" s="54" t="s">
        <v>1226</v>
      </c>
      <c r="X404" s="55" t="str">
        <f t="shared" si="1"/>
        <v>#NAME?</v>
      </c>
    </row>
    <row r="405">
      <c r="A405" s="4" t="s">
        <v>1887</v>
      </c>
      <c r="B405" s="4" t="s">
        <v>1087</v>
      </c>
      <c r="C405" s="4">
        <v>404.0</v>
      </c>
      <c r="D405" s="4" t="s">
        <v>1486</v>
      </c>
      <c r="E405" s="4" t="s">
        <v>1088</v>
      </c>
      <c r="F405" s="54" t="s">
        <v>534</v>
      </c>
      <c r="G405" s="54" t="s">
        <v>1137</v>
      </c>
      <c r="H405" s="54" t="s">
        <v>1163</v>
      </c>
      <c r="I405" s="54" t="s">
        <v>1344</v>
      </c>
      <c r="J405" s="54" t="s">
        <v>1487</v>
      </c>
      <c r="X405" s="55" t="str">
        <f t="shared" si="1"/>
        <v>#NAME?</v>
      </c>
    </row>
    <row r="406">
      <c r="A406" s="4" t="s">
        <v>1888</v>
      </c>
      <c r="B406" s="4" t="s">
        <v>1087</v>
      </c>
      <c r="C406" s="4">
        <v>405.0</v>
      </c>
      <c r="D406" s="4" t="s">
        <v>1429</v>
      </c>
      <c r="E406" s="4" t="s">
        <v>1296</v>
      </c>
      <c r="F406" s="54" t="s">
        <v>534</v>
      </c>
      <c r="G406" s="54" t="s">
        <v>1275</v>
      </c>
      <c r="H406" s="54" t="s">
        <v>1275</v>
      </c>
      <c r="I406" s="54" t="s">
        <v>1340</v>
      </c>
      <c r="J406" s="54" t="s">
        <v>1405</v>
      </c>
      <c r="X406" s="55" t="str">
        <f t="shared" si="1"/>
        <v>#NAME?</v>
      </c>
    </row>
    <row r="407">
      <c r="A407" s="4" t="s">
        <v>1889</v>
      </c>
      <c r="B407" s="4" t="s">
        <v>1087</v>
      </c>
      <c r="C407" s="4">
        <v>406.0</v>
      </c>
      <c r="D407" s="4" t="s">
        <v>1431</v>
      </c>
      <c r="E407" s="4" t="s">
        <v>1296</v>
      </c>
      <c r="F407" s="54" t="s">
        <v>534</v>
      </c>
      <c r="G407" s="54" t="s">
        <v>1299</v>
      </c>
      <c r="H407" s="54" t="s">
        <v>1432</v>
      </c>
      <c r="I407" s="54" t="s">
        <v>1152</v>
      </c>
      <c r="J407" s="54" t="s">
        <v>1433</v>
      </c>
      <c r="X407" s="55" t="str">
        <f t="shared" si="1"/>
        <v>#NAME?</v>
      </c>
    </row>
    <row r="408">
      <c r="A408" s="4" t="s">
        <v>1890</v>
      </c>
      <c r="B408" s="4" t="s">
        <v>1087</v>
      </c>
      <c r="C408" s="4">
        <v>407.0</v>
      </c>
      <c r="D408" s="4" t="s">
        <v>1435</v>
      </c>
      <c r="E408" s="4" t="s">
        <v>1296</v>
      </c>
      <c r="F408" s="54" t="s">
        <v>534</v>
      </c>
      <c r="G408" s="54" t="s">
        <v>1405</v>
      </c>
      <c r="H408" s="54" t="s">
        <v>1436</v>
      </c>
      <c r="I408" s="54" t="s">
        <v>1275</v>
      </c>
      <c r="J408" s="54" t="s">
        <v>1437</v>
      </c>
      <c r="X408" s="55" t="str">
        <f t="shared" si="1"/>
        <v>#NAME?</v>
      </c>
    </row>
    <row r="409">
      <c r="A409" s="4" t="s">
        <v>1891</v>
      </c>
      <c r="B409" s="4" t="s">
        <v>1087</v>
      </c>
      <c r="C409" s="4">
        <v>408.0</v>
      </c>
      <c r="D409" s="4" t="s">
        <v>1439</v>
      </c>
      <c r="E409" s="4" t="s">
        <v>1088</v>
      </c>
      <c r="F409" s="54" t="s">
        <v>534</v>
      </c>
      <c r="G409" s="54" t="s">
        <v>1440</v>
      </c>
      <c r="H409" s="54" t="s">
        <v>1280</v>
      </c>
      <c r="I409" s="54" t="s">
        <v>1139</v>
      </c>
      <c r="J409" s="54" t="s">
        <v>1139</v>
      </c>
      <c r="X409" s="55" t="str">
        <f t="shared" si="1"/>
        <v>#NAME?</v>
      </c>
    </row>
    <row r="410">
      <c r="A410" s="4" t="s">
        <v>1892</v>
      </c>
      <c r="B410" s="4" t="s">
        <v>1087</v>
      </c>
      <c r="C410" s="4">
        <v>409.0</v>
      </c>
      <c r="D410" s="4" t="s">
        <v>1442</v>
      </c>
      <c r="E410" s="4" t="s">
        <v>1088</v>
      </c>
      <c r="F410" s="54" t="s">
        <v>534</v>
      </c>
      <c r="G410" s="54" t="s">
        <v>1163</v>
      </c>
      <c r="H410" s="54" t="s">
        <v>1440</v>
      </c>
      <c r="I410" s="54" t="s">
        <v>1280</v>
      </c>
      <c r="J410" s="54" t="s">
        <v>1123</v>
      </c>
      <c r="X410" s="55" t="str">
        <f t="shared" si="1"/>
        <v>#NAME?</v>
      </c>
    </row>
    <row r="411">
      <c r="A411" s="4" t="s">
        <v>1893</v>
      </c>
      <c r="B411" s="4" t="s">
        <v>1087</v>
      </c>
      <c r="C411" s="4">
        <v>410.0</v>
      </c>
      <c r="D411" s="4" t="s">
        <v>1444</v>
      </c>
      <c r="E411" s="4" t="s">
        <v>1088</v>
      </c>
      <c r="F411" s="54" t="s">
        <v>534</v>
      </c>
      <c r="G411" s="54" t="s">
        <v>1118</v>
      </c>
      <c r="H411" s="54" t="s">
        <v>1122</v>
      </c>
      <c r="I411" s="54" t="s">
        <v>1139</v>
      </c>
      <c r="J411" s="54" t="s">
        <v>1163</v>
      </c>
      <c r="X411" s="55" t="str">
        <f t="shared" si="1"/>
        <v>#NAME?</v>
      </c>
    </row>
    <row r="412">
      <c r="A412" s="4" t="s">
        <v>1894</v>
      </c>
      <c r="B412" s="4" t="s">
        <v>1087</v>
      </c>
      <c r="C412" s="4">
        <v>411.0</v>
      </c>
      <c r="D412" s="4" t="s">
        <v>1446</v>
      </c>
      <c r="E412" s="4" t="s">
        <v>1088</v>
      </c>
      <c r="F412" s="54" t="s">
        <v>534</v>
      </c>
      <c r="G412" s="54" t="s">
        <v>1122</v>
      </c>
      <c r="H412" s="54" t="s">
        <v>1134</v>
      </c>
      <c r="I412" s="54" t="s">
        <v>1150</v>
      </c>
      <c r="J412" s="54" t="s">
        <v>1150</v>
      </c>
      <c r="X412" s="55" t="str">
        <f t="shared" si="1"/>
        <v>#NAME?</v>
      </c>
    </row>
    <row r="413">
      <c r="A413" s="4" t="s">
        <v>1895</v>
      </c>
      <c r="B413" s="4" t="s">
        <v>1087</v>
      </c>
      <c r="C413" s="4">
        <v>412.0</v>
      </c>
      <c r="D413" s="4" t="s">
        <v>1448</v>
      </c>
      <c r="E413" s="4" t="s">
        <v>1088</v>
      </c>
      <c r="F413" s="54" t="s">
        <v>534</v>
      </c>
      <c r="G413" s="54" t="s">
        <v>1382</v>
      </c>
      <c r="H413" s="54" t="s">
        <v>1118</v>
      </c>
      <c r="I413" s="54" t="s">
        <v>1440</v>
      </c>
      <c r="J413" s="54" t="s">
        <v>1140</v>
      </c>
      <c r="X413" s="55" t="str">
        <f t="shared" si="1"/>
        <v>#NAME?</v>
      </c>
    </row>
    <row r="414">
      <c r="A414" s="4" t="s">
        <v>1896</v>
      </c>
      <c r="B414" s="4" t="s">
        <v>1087</v>
      </c>
      <c r="C414" s="4">
        <v>413.0</v>
      </c>
      <c r="D414" s="4" t="s">
        <v>1450</v>
      </c>
      <c r="E414" s="4" t="s">
        <v>1191</v>
      </c>
      <c r="F414" s="54" t="s">
        <v>534</v>
      </c>
      <c r="G414" s="54" t="s">
        <v>1139</v>
      </c>
      <c r="H414" s="54" t="s">
        <v>1451</v>
      </c>
      <c r="I414" s="54" t="s">
        <v>1127</v>
      </c>
      <c r="J414" s="54" t="s">
        <v>1337</v>
      </c>
      <c r="X414" s="55" t="str">
        <f t="shared" si="1"/>
        <v>#NAME?</v>
      </c>
    </row>
    <row r="415">
      <c r="A415" s="4" t="s">
        <v>1897</v>
      </c>
      <c r="B415" s="4" t="s">
        <v>1087</v>
      </c>
      <c r="C415" s="4">
        <v>414.0</v>
      </c>
      <c r="D415" s="54" t="s">
        <v>1489</v>
      </c>
      <c r="E415" s="4" t="s">
        <v>1251</v>
      </c>
      <c r="F415" s="54" t="s">
        <v>449</v>
      </c>
      <c r="G415" s="54" t="s">
        <v>1212</v>
      </c>
      <c r="H415" s="54" t="s">
        <v>1356</v>
      </c>
      <c r="I415" s="54" t="s">
        <v>1216</v>
      </c>
      <c r="J415" s="54" t="s">
        <v>1490</v>
      </c>
      <c r="X415" s="55" t="str">
        <f t="shared" si="1"/>
        <v>#NAME?</v>
      </c>
    </row>
    <row r="416">
      <c r="A416" s="4" t="s">
        <v>1898</v>
      </c>
      <c r="B416" s="4" t="s">
        <v>1087</v>
      </c>
      <c r="C416" s="4">
        <v>415.0</v>
      </c>
      <c r="D416" s="4" t="s">
        <v>1453</v>
      </c>
      <c r="E416" s="4" t="s">
        <v>1191</v>
      </c>
      <c r="F416" s="54" t="s">
        <v>534</v>
      </c>
      <c r="G416" s="54" t="s">
        <v>1398</v>
      </c>
      <c r="H416" s="54" t="s">
        <v>1454</v>
      </c>
      <c r="I416" s="54" t="s">
        <v>1197</v>
      </c>
      <c r="J416" s="54" t="s">
        <v>1455</v>
      </c>
      <c r="X416" s="55" t="str">
        <f t="shared" si="1"/>
        <v>#NAME?</v>
      </c>
    </row>
    <row r="417">
      <c r="A417" s="4" t="s">
        <v>1899</v>
      </c>
      <c r="B417" s="4" t="s">
        <v>1087</v>
      </c>
      <c r="C417" s="4">
        <v>416.0</v>
      </c>
      <c r="D417" s="4" t="s">
        <v>1460</v>
      </c>
      <c r="E417" s="4" t="s">
        <v>1191</v>
      </c>
      <c r="F417" s="54" t="s">
        <v>534</v>
      </c>
      <c r="G417" s="54" t="s">
        <v>1391</v>
      </c>
      <c r="H417" s="54" t="s">
        <v>1461</v>
      </c>
      <c r="I417" s="54" t="s">
        <v>1462</v>
      </c>
      <c r="J417" s="54" t="s">
        <v>1463</v>
      </c>
      <c r="X417" s="55" t="str">
        <f t="shared" si="1"/>
        <v>#NAME?</v>
      </c>
    </row>
    <row r="418">
      <c r="A418" s="4" t="s">
        <v>1900</v>
      </c>
      <c r="B418" s="4" t="s">
        <v>1087</v>
      </c>
      <c r="C418" s="4">
        <v>417.0</v>
      </c>
      <c r="D418" s="4" t="s">
        <v>1465</v>
      </c>
      <c r="E418" s="4" t="s">
        <v>1088</v>
      </c>
      <c r="F418" s="54" t="s">
        <v>534</v>
      </c>
      <c r="G418" s="54" t="s">
        <v>1122</v>
      </c>
      <c r="H418" s="54" t="s">
        <v>1122</v>
      </c>
      <c r="I418" s="54" t="s">
        <v>1152</v>
      </c>
      <c r="J418" s="54" t="s">
        <v>1123</v>
      </c>
      <c r="X418" s="55" t="str">
        <f t="shared" si="1"/>
        <v>#NAME?</v>
      </c>
    </row>
    <row r="419">
      <c r="A419" s="4" t="s">
        <v>1901</v>
      </c>
      <c r="B419" s="4" t="s">
        <v>1087</v>
      </c>
      <c r="C419" s="4">
        <v>418.0</v>
      </c>
      <c r="D419" s="4" t="s">
        <v>1467</v>
      </c>
      <c r="E419" s="4" t="s">
        <v>1088</v>
      </c>
      <c r="F419" s="54" t="s">
        <v>534</v>
      </c>
      <c r="G419" s="54" t="s">
        <v>1123</v>
      </c>
      <c r="H419" s="54" t="s">
        <v>1122</v>
      </c>
      <c r="I419" s="54" t="s">
        <v>1150</v>
      </c>
      <c r="J419" s="54" t="s">
        <v>1123</v>
      </c>
      <c r="X419" s="55" t="str">
        <f t="shared" si="1"/>
        <v>#NAME?</v>
      </c>
    </row>
    <row r="420">
      <c r="A420" s="4" t="s">
        <v>1902</v>
      </c>
      <c r="B420" s="4" t="s">
        <v>1087</v>
      </c>
      <c r="C420" s="4">
        <v>419.0</v>
      </c>
      <c r="D420" s="4" t="s">
        <v>1469</v>
      </c>
      <c r="E420" s="4" t="s">
        <v>1088</v>
      </c>
      <c r="F420" s="54" t="s">
        <v>534</v>
      </c>
      <c r="G420" s="54" t="s">
        <v>1139</v>
      </c>
      <c r="H420" s="54" t="s">
        <v>1122</v>
      </c>
      <c r="I420" s="54" t="s">
        <v>1440</v>
      </c>
      <c r="J420" s="54" t="s">
        <v>1139</v>
      </c>
      <c r="X420" s="55" t="str">
        <f t="shared" si="1"/>
        <v>#NAME?</v>
      </c>
    </row>
    <row r="421">
      <c r="A421" s="4" t="s">
        <v>1903</v>
      </c>
      <c r="B421" s="4" t="s">
        <v>1087</v>
      </c>
      <c r="C421" s="4">
        <v>420.0</v>
      </c>
      <c r="D421" s="4" t="s">
        <v>1471</v>
      </c>
      <c r="E421" s="4" t="s">
        <v>1191</v>
      </c>
      <c r="F421" s="54" t="s">
        <v>534</v>
      </c>
      <c r="G421" s="54" t="s">
        <v>1143</v>
      </c>
      <c r="H421" s="54" t="s">
        <v>1118</v>
      </c>
      <c r="I421" s="54" t="s">
        <v>1126</v>
      </c>
      <c r="J421" s="54" t="s">
        <v>1138</v>
      </c>
      <c r="X421" s="55" t="str">
        <f t="shared" si="1"/>
        <v>#NAME?</v>
      </c>
    </row>
    <row r="422">
      <c r="A422" s="4" t="s">
        <v>1904</v>
      </c>
      <c r="B422" s="4" t="s">
        <v>1087</v>
      </c>
      <c r="C422" s="4">
        <v>421.0</v>
      </c>
      <c r="D422" s="4" t="s">
        <v>1473</v>
      </c>
      <c r="E422" s="4" t="s">
        <v>1191</v>
      </c>
      <c r="F422" s="54" t="s">
        <v>534</v>
      </c>
      <c r="G422" s="54" t="s">
        <v>1337</v>
      </c>
      <c r="H422" s="54" t="s">
        <v>1474</v>
      </c>
      <c r="I422" s="54" t="s">
        <v>1256</v>
      </c>
      <c r="J422" s="54" t="s">
        <v>1475</v>
      </c>
      <c r="X422" s="55" t="str">
        <f t="shared" si="1"/>
        <v>#NAME?</v>
      </c>
    </row>
    <row r="423">
      <c r="A423" s="4" t="s">
        <v>1905</v>
      </c>
      <c r="B423" s="4" t="s">
        <v>1087</v>
      </c>
      <c r="C423" s="4">
        <v>422.0</v>
      </c>
      <c r="D423" s="4" t="s">
        <v>1477</v>
      </c>
      <c r="E423" s="4" t="s">
        <v>1191</v>
      </c>
      <c r="F423" s="54" t="s">
        <v>534</v>
      </c>
      <c r="G423" s="54" t="s">
        <v>1478</v>
      </c>
      <c r="H423" s="54" t="s">
        <v>1194</v>
      </c>
      <c r="I423" s="54" t="s">
        <v>1321</v>
      </c>
      <c r="J423" s="54" t="s">
        <v>1479</v>
      </c>
      <c r="X423" s="55" t="str">
        <f t="shared" si="1"/>
        <v>#NAME?</v>
      </c>
    </row>
    <row r="424">
      <c r="A424" s="4" t="s">
        <v>1906</v>
      </c>
      <c r="B424" s="4" t="s">
        <v>1087</v>
      </c>
      <c r="C424" s="4">
        <v>423.0</v>
      </c>
      <c r="D424" s="4" t="s">
        <v>1481</v>
      </c>
      <c r="E424" s="4" t="s">
        <v>1191</v>
      </c>
      <c r="F424" s="54" t="s">
        <v>534</v>
      </c>
      <c r="G424" s="54" t="s">
        <v>1482</v>
      </c>
      <c r="H424" s="54" t="s">
        <v>1192</v>
      </c>
      <c r="I424" s="54" t="s">
        <v>1137</v>
      </c>
      <c r="J424" s="54" t="s">
        <v>1276</v>
      </c>
      <c r="X424" s="55" t="str">
        <f t="shared" si="1"/>
        <v>#NAME?</v>
      </c>
    </row>
    <row r="425">
      <c r="A425" s="4" t="s">
        <v>1907</v>
      </c>
      <c r="B425" s="4" t="s">
        <v>1087</v>
      </c>
      <c r="C425" s="4">
        <v>424.0</v>
      </c>
      <c r="D425" s="4" t="s">
        <v>1484</v>
      </c>
      <c r="E425" s="4" t="s">
        <v>1088</v>
      </c>
      <c r="F425" s="54" t="s">
        <v>534</v>
      </c>
      <c r="G425" s="54" t="s">
        <v>1117</v>
      </c>
      <c r="H425" s="54" t="s">
        <v>1382</v>
      </c>
      <c r="I425" s="54" t="s">
        <v>1138</v>
      </c>
      <c r="J425" s="54" t="s">
        <v>1344</v>
      </c>
      <c r="X425" s="55" t="str">
        <f t="shared" si="1"/>
        <v>#NAME?</v>
      </c>
    </row>
    <row r="426">
      <c r="A426" s="4" t="s">
        <v>1908</v>
      </c>
      <c r="B426" s="4" t="s">
        <v>1087</v>
      </c>
      <c r="C426" s="4">
        <v>425.0</v>
      </c>
      <c r="D426" s="4" t="s">
        <v>1457</v>
      </c>
      <c r="E426" s="4" t="s">
        <v>1191</v>
      </c>
      <c r="F426" s="54" t="s">
        <v>534</v>
      </c>
      <c r="G426" s="54" t="s">
        <v>1194</v>
      </c>
      <c r="H426" s="54" t="s">
        <v>1458</v>
      </c>
      <c r="I426" s="54" t="s">
        <v>1436</v>
      </c>
      <c r="J426" s="54" t="s">
        <v>1365</v>
      </c>
      <c r="X426" s="55" t="str">
        <f t="shared" si="1"/>
        <v>#NAME?</v>
      </c>
    </row>
    <row r="427">
      <c r="A427" s="4" t="s">
        <v>1909</v>
      </c>
      <c r="B427" s="4" t="s">
        <v>1087</v>
      </c>
      <c r="C427" s="4">
        <v>426.0</v>
      </c>
      <c r="D427" s="4" t="s">
        <v>1425</v>
      </c>
      <c r="E427" s="4" t="s">
        <v>1296</v>
      </c>
      <c r="F427" s="54" t="s">
        <v>534</v>
      </c>
      <c r="G427" s="54" t="s">
        <v>1426</v>
      </c>
      <c r="H427" s="54" t="s">
        <v>1142</v>
      </c>
      <c r="I427" s="54" t="s">
        <v>1284</v>
      </c>
      <c r="J427" s="54" t="s">
        <v>1427</v>
      </c>
      <c r="X427" s="55" t="str">
        <f t="shared" si="1"/>
        <v>#NAME?</v>
      </c>
    </row>
    <row r="428">
      <c r="A428" s="4" t="s">
        <v>1910</v>
      </c>
      <c r="B428" s="4" t="s">
        <v>1087</v>
      </c>
      <c r="C428" s="4">
        <v>427.0</v>
      </c>
      <c r="D428" s="54" t="s">
        <v>1554</v>
      </c>
      <c r="E428" s="4" t="s">
        <v>1098</v>
      </c>
      <c r="F428" s="54" t="s">
        <v>357</v>
      </c>
      <c r="G428" s="54" t="s">
        <v>1171</v>
      </c>
      <c r="H428" s="54" t="s">
        <v>1225</v>
      </c>
      <c r="I428" s="54" t="s">
        <v>1559</v>
      </c>
      <c r="J428" s="54" t="s">
        <v>1560</v>
      </c>
      <c r="X428" s="55" t="str">
        <f t="shared" si="1"/>
        <v>#NAME?</v>
      </c>
    </row>
    <row r="429">
      <c r="A429" s="4" t="s">
        <v>1911</v>
      </c>
      <c r="B429" s="4" t="s">
        <v>1087</v>
      </c>
      <c r="C429" s="4">
        <v>428.0</v>
      </c>
      <c r="D429" s="54" t="s">
        <v>1566</v>
      </c>
      <c r="E429" s="4" t="s">
        <v>1296</v>
      </c>
      <c r="F429" s="54" t="s">
        <v>357</v>
      </c>
      <c r="G429" s="54" t="s">
        <v>1567</v>
      </c>
      <c r="H429" s="54" t="s">
        <v>1359</v>
      </c>
      <c r="I429" s="54" t="s">
        <v>1568</v>
      </c>
      <c r="J429" s="54" t="s">
        <v>1093</v>
      </c>
      <c r="X429" s="55" t="str">
        <f t="shared" si="1"/>
        <v>#NAME?</v>
      </c>
    </row>
    <row r="430">
      <c r="A430" s="4" t="s">
        <v>1912</v>
      </c>
      <c r="B430" s="4" t="s">
        <v>1087</v>
      </c>
      <c r="C430" s="4">
        <v>429.0</v>
      </c>
      <c r="D430" s="54" t="s">
        <v>1624</v>
      </c>
      <c r="E430" s="4" t="s">
        <v>1098</v>
      </c>
      <c r="F430" s="54" t="s">
        <v>357</v>
      </c>
      <c r="G430" s="54" t="s">
        <v>1628</v>
      </c>
      <c r="H430" s="54" t="s">
        <v>1573</v>
      </c>
      <c r="I430" s="54" t="s">
        <v>1180</v>
      </c>
      <c r="J430" s="54" t="s">
        <v>1607</v>
      </c>
      <c r="X430" s="55" t="str">
        <f t="shared" si="1"/>
        <v>#NAME?</v>
      </c>
    </row>
    <row r="431">
      <c r="A431" s="4" t="s">
        <v>1913</v>
      </c>
      <c r="B431" s="4" t="s">
        <v>1087</v>
      </c>
      <c r="C431" s="4">
        <v>430.0</v>
      </c>
      <c r="D431" s="54" t="s">
        <v>1630</v>
      </c>
      <c r="E431" s="4" t="s">
        <v>1088</v>
      </c>
      <c r="F431" s="54" t="s">
        <v>357</v>
      </c>
      <c r="G431" s="54" t="s">
        <v>1593</v>
      </c>
      <c r="H431" s="54" t="s">
        <v>1609</v>
      </c>
      <c r="I431" s="54" t="s">
        <v>1177</v>
      </c>
      <c r="J431" s="54" t="s">
        <v>1176</v>
      </c>
      <c r="X431" s="55" t="str">
        <f t="shared" si="1"/>
        <v>#NAME?</v>
      </c>
    </row>
    <row r="432">
      <c r="A432" s="4" t="s">
        <v>1914</v>
      </c>
      <c r="B432" s="4" t="s">
        <v>1087</v>
      </c>
      <c r="C432" s="4">
        <v>431.0</v>
      </c>
      <c r="D432" s="54" t="s">
        <v>1632</v>
      </c>
      <c r="E432" s="4" t="s">
        <v>1088</v>
      </c>
      <c r="F432" s="54" t="s">
        <v>357</v>
      </c>
      <c r="G432" s="54" t="s">
        <v>1242</v>
      </c>
      <c r="H432" s="54" t="s">
        <v>1180</v>
      </c>
      <c r="I432" s="54" t="s">
        <v>1563</v>
      </c>
      <c r="J432" s="54" t="s">
        <v>1218</v>
      </c>
      <c r="X432" s="55" t="str">
        <f t="shared" si="1"/>
        <v>#NAME?</v>
      </c>
    </row>
    <row r="433">
      <c r="A433" s="4" t="s">
        <v>1915</v>
      </c>
      <c r="B433" s="4" t="s">
        <v>1087</v>
      </c>
      <c r="C433" s="4">
        <v>432.0</v>
      </c>
      <c r="D433" s="54" t="s">
        <v>1634</v>
      </c>
      <c r="E433" s="4" t="s">
        <v>1296</v>
      </c>
      <c r="F433" s="54" t="s">
        <v>357</v>
      </c>
      <c r="G433" s="54" t="s">
        <v>1253</v>
      </c>
      <c r="H433" s="54" t="s">
        <v>1105</v>
      </c>
      <c r="I433" s="54" t="s">
        <v>1104</v>
      </c>
      <c r="J433" s="54" t="s">
        <v>1568</v>
      </c>
      <c r="X433" s="55" t="str">
        <f t="shared" si="1"/>
        <v>#NAME?</v>
      </c>
    </row>
    <row r="434">
      <c r="A434" s="4" t="s">
        <v>1916</v>
      </c>
      <c r="B434" s="4" t="s">
        <v>1087</v>
      </c>
      <c r="C434" s="4">
        <v>433.0</v>
      </c>
      <c r="D434" s="54" t="s">
        <v>1634</v>
      </c>
      <c r="E434" s="4" t="s">
        <v>1296</v>
      </c>
      <c r="F434" s="54" t="s">
        <v>357</v>
      </c>
      <c r="G434" s="54" t="s">
        <v>1514</v>
      </c>
      <c r="H434" s="54" t="s">
        <v>1359</v>
      </c>
      <c r="I434" s="54" t="s">
        <v>1104</v>
      </c>
      <c r="J434" s="54" t="s">
        <v>1636</v>
      </c>
      <c r="X434" s="55" t="str">
        <f t="shared" si="1"/>
        <v>#NAME?</v>
      </c>
    </row>
    <row r="435">
      <c r="A435" s="4" t="s">
        <v>1917</v>
      </c>
      <c r="B435" s="4" t="s">
        <v>1087</v>
      </c>
      <c r="C435" s="4">
        <v>434.0</v>
      </c>
      <c r="D435" s="54" t="s">
        <v>1634</v>
      </c>
      <c r="E435" s="4" t="s">
        <v>1296</v>
      </c>
      <c r="F435" s="54" t="s">
        <v>357</v>
      </c>
      <c r="G435" s="54" t="s">
        <v>1563</v>
      </c>
      <c r="H435" s="54" t="s">
        <v>1236</v>
      </c>
      <c r="I435" s="54" t="s">
        <v>1563</v>
      </c>
      <c r="J435" s="54" t="s">
        <v>1159</v>
      </c>
      <c r="X435" s="55" t="str">
        <f t="shared" si="1"/>
        <v>#NAME?</v>
      </c>
    </row>
    <row r="436">
      <c r="A436" s="4" t="s">
        <v>1918</v>
      </c>
      <c r="B436" s="4" t="s">
        <v>1087</v>
      </c>
      <c r="C436" s="4">
        <v>435.0</v>
      </c>
      <c r="D436" s="54" t="s">
        <v>1634</v>
      </c>
      <c r="E436" s="4" t="s">
        <v>1296</v>
      </c>
      <c r="F436" s="54" t="s">
        <v>357</v>
      </c>
      <c r="G436" s="54" t="s">
        <v>1104</v>
      </c>
      <c r="H436" s="54" t="s">
        <v>1639</v>
      </c>
      <c r="I436" s="54" t="s">
        <v>1516</v>
      </c>
      <c r="J436" s="54" t="s">
        <v>1639</v>
      </c>
      <c r="X436" s="55" t="str">
        <f t="shared" si="1"/>
        <v>#NAME?</v>
      </c>
    </row>
    <row r="437">
      <c r="A437" s="4" t="s">
        <v>1919</v>
      </c>
      <c r="B437" s="4" t="s">
        <v>1087</v>
      </c>
      <c r="C437" s="4">
        <v>436.0</v>
      </c>
      <c r="D437" s="54" t="s">
        <v>1641</v>
      </c>
      <c r="E437" s="4" t="s">
        <v>1088</v>
      </c>
      <c r="F437" s="54" t="s">
        <v>357</v>
      </c>
      <c r="G437" s="54" t="s">
        <v>1564</v>
      </c>
      <c r="H437" s="54" t="s">
        <v>1604</v>
      </c>
      <c r="I437" s="54" t="s">
        <v>1212</v>
      </c>
      <c r="J437" s="54" t="s">
        <v>1563</v>
      </c>
      <c r="X437" s="55" t="str">
        <f t="shared" si="1"/>
        <v>#NAME?</v>
      </c>
    </row>
    <row r="438">
      <c r="A438" s="4" t="s">
        <v>1920</v>
      </c>
      <c r="B438" s="4" t="s">
        <v>1087</v>
      </c>
      <c r="C438" s="4">
        <v>437.0</v>
      </c>
      <c r="D438" s="54" t="s">
        <v>1643</v>
      </c>
      <c r="E438" s="4" t="s">
        <v>1088</v>
      </c>
      <c r="F438" s="54" t="s">
        <v>357</v>
      </c>
      <c r="G438" s="54" t="s">
        <v>1583</v>
      </c>
      <c r="H438" s="54" t="s">
        <v>1586</v>
      </c>
      <c r="I438" s="54" t="s">
        <v>1212</v>
      </c>
      <c r="J438" s="54" t="s">
        <v>1644</v>
      </c>
      <c r="X438" s="55" t="str">
        <f t="shared" si="1"/>
        <v>#NAME?</v>
      </c>
    </row>
    <row r="439">
      <c r="A439" s="4" t="s">
        <v>1921</v>
      </c>
      <c r="B439" s="4" t="s">
        <v>1087</v>
      </c>
      <c r="C439" s="4">
        <v>438.0</v>
      </c>
      <c r="D439" s="54" t="s">
        <v>1624</v>
      </c>
      <c r="E439" s="4" t="s">
        <v>1098</v>
      </c>
      <c r="F439" s="54" t="s">
        <v>357</v>
      </c>
      <c r="G439" s="54" t="s">
        <v>1590</v>
      </c>
      <c r="H439" s="54" t="s">
        <v>1493</v>
      </c>
      <c r="I439" s="54" t="s">
        <v>1583</v>
      </c>
      <c r="J439" s="54" t="s">
        <v>1494</v>
      </c>
      <c r="X439" s="55" t="str">
        <f t="shared" si="1"/>
        <v>#NAME?</v>
      </c>
    </row>
    <row r="440">
      <c r="A440" s="4" t="s">
        <v>1922</v>
      </c>
      <c r="B440" s="4" t="s">
        <v>1087</v>
      </c>
      <c r="C440" s="4">
        <v>439.0</v>
      </c>
      <c r="D440" s="54" t="s">
        <v>1646</v>
      </c>
      <c r="E440" s="4" t="s">
        <v>1098</v>
      </c>
      <c r="F440" s="54" t="s">
        <v>357</v>
      </c>
      <c r="G440" s="54" t="s">
        <v>1572</v>
      </c>
      <c r="H440" s="54" t="s">
        <v>1494</v>
      </c>
      <c r="I440" s="54" t="s">
        <v>1555</v>
      </c>
      <c r="J440" s="54" t="s">
        <v>1628</v>
      </c>
      <c r="X440" s="55" t="str">
        <f t="shared" si="1"/>
        <v>#NAME?</v>
      </c>
    </row>
    <row r="441">
      <c r="A441" s="4" t="s">
        <v>1923</v>
      </c>
      <c r="B441" s="4" t="s">
        <v>1087</v>
      </c>
      <c r="C441" s="4">
        <v>440.0</v>
      </c>
      <c r="D441" s="54" t="s">
        <v>1646</v>
      </c>
      <c r="E441" s="4" t="s">
        <v>1098</v>
      </c>
      <c r="F441" s="54" t="s">
        <v>357</v>
      </c>
      <c r="G441" s="54" t="s">
        <v>1649</v>
      </c>
      <c r="H441" s="54" t="s">
        <v>1628</v>
      </c>
      <c r="I441" s="54" t="s">
        <v>1555</v>
      </c>
      <c r="J441" s="54" t="s">
        <v>1555</v>
      </c>
      <c r="X441" s="55" t="str">
        <f t="shared" si="1"/>
        <v>#NAME?</v>
      </c>
    </row>
    <row r="442">
      <c r="A442" s="4" t="s">
        <v>1924</v>
      </c>
      <c r="B442" s="4" t="s">
        <v>1087</v>
      </c>
      <c r="C442" s="4">
        <v>441.0</v>
      </c>
      <c r="D442" s="54" t="s">
        <v>1651</v>
      </c>
      <c r="E442" s="4" t="s">
        <v>1251</v>
      </c>
      <c r="F442" s="54" t="s">
        <v>357</v>
      </c>
      <c r="G442" s="54" t="s">
        <v>1373</v>
      </c>
      <c r="H442" s="54" t="s">
        <v>1120</v>
      </c>
      <c r="I442" s="54" t="s">
        <v>1313</v>
      </c>
      <c r="J442" s="54" t="s">
        <v>1618</v>
      </c>
      <c r="X442" s="55" t="str">
        <f t="shared" si="1"/>
        <v>#NAME?</v>
      </c>
    </row>
    <row r="443">
      <c r="A443" s="4" t="s">
        <v>1925</v>
      </c>
      <c r="B443" s="4" t="s">
        <v>1087</v>
      </c>
      <c r="C443" s="4">
        <v>442.0</v>
      </c>
      <c r="D443" s="54" t="s">
        <v>1653</v>
      </c>
      <c r="E443" s="4" t="s">
        <v>1251</v>
      </c>
      <c r="F443" s="54" t="s">
        <v>449</v>
      </c>
      <c r="G443" s="54" t="s">
        <v>1264</v>
      </c>
      <c r="H443" s="54" t="s">
        <v>1264</v>
      </c>
      <c r="I443" s="54" t="s">
        <v>1521</v>
      </c>
      <c r="J443" s="54" t="s">
        <v>1654</v>
      </c>
      <c r="X443" s="55" t="str">
        <f t="shared" si="1"/>
        <v>#NAME?</v>
      </c>
    </row>
    <row r="444">
      <c r="A444" s="4" t="s">
        <v>1926</v>
      </c>
      <c r="B444" s="4" t="s">
        <v>1087</v>
      </c>
      <c r="C444" s="4">
        <v>443.0</v>
      </c>
      <c r="D444" s="54" t="s">
        <v>1656</v>
      </c>
      <c r="E444" s="4" t="s">
        <v>1088</v>
      </c>
      <c r="F444" s="54" t="s">
        <v>449</v>
      </c>
      <c r="G444" s="54" t="s">
        <v>1555</v>
      </c>
      <c r="H444" s="54" t="s">
        <v>1227</v>
      </c>
      <c r="I444" s="54" t="s">
        <v>1657</v>
      </c>
      <c r="J444" s="54" t="s">
        <v>1658</v>
      </c>
      <c r="X444" s="55" t="str">
        <f t="shared" si="1"/>
        <v>#NAME?</v>
      </c>
    </row>
    <row r="445">
      <c r="A445" s="4" t="s">
        <v>1927</v>
      </c>
      <c r="B445" s="4" t="s">
        <v>1087</v>
      </c>
      <c r="C445" s="4">
        <v>444.0</v>
      </c>
      <c r="D445" s="54" t="s">
        <v>1660</v>
      </c>
      <c r="E445" s="4" t="s">
        <v>1088</v>
      </c>
      <c r="F445" s="54" t="s">
        <v>449</v>
      </c>
      <c r="G445" s="54" t="s">
        <v>1560</v>
      </c>
      <c r="H445" s="54" t="s">
        <v>1584</v>
      </c>
      <c r="I445" s="54" t="s">
        <v>1584</v>
      </c>
      <c r="J445" s="54" t="s">
        <v>1226</v>
      </c>
      <c r="X445" s="55" t="str">
        <f t="shared" si="1"/>
        <v>#NAME?</v>
      </c>
    </row>
    <row r="446">
      <c r="A446" s="4" t="s">
        <v>1928</v>
      </c>
      <c r="B446" s="4" t="s">
        <v>1087</v>
      </c>
      <c r="C446" s="4">
        <v>445.0</v>
      </c>
      <c r="D446" s="54" t="s">
        <v>1662</v>
      </c>
      <c r="E446" s="4" t="s">
        <v>1251</v>
      </c>
      <c r="F446" s="54" t="s">
        <v>449</v>
      </c>
      <c r="G446" s="54" t="s">
        <v>1170</v>
      </c>
      <c r="H446" s="54" t="s">
        <v>1170</v>
      </c>
      <c r="I446" s="54" t="s">
        <v>1543</v>
      </c>
      <c r="J446" s="54" t="s">
        <v>1181</v>
      </c>
      <c r="X446" s="55" t="str">
        <f t="shared" si="1"/>
        <v>#NAME?</v>
      </c>
    </row>
    <row r="447">
      <c r="A447" s="4" t="s">
        <v>1929</v>
      </c>
      <c r="B447" s="4" t="s">
        <v>1087</v>
      </c>
      <c r="C447" s="4">
        <v>446.0</v>
      </c>
      <c r="D447" s="54" t="s">
        <v>1664</v>
      </c>
      <c r="E447" s="4" t="s">
        <v>1251</v>
      </c>
      <c r="F447" s="54" t="s">
        <v>357</v>
      </c>
      <c r="G447" s="54" t="s">
        <v>1236</v>
      </c>
      <c r="H447" s="54" t="s">
        <v>1160</v>
      </c>
      <c r="I447" s="54" t="s">
        <v>1231</v>
      </c>
      <c r="J447" s="54" t="s">
        <v>1158</v>
      </c>
      <c r="X447" s="55" t="str">
        <f t="shared" si="1"/>
        <v>#NAME?</v>
      </c>
    </row>
    <row r="448">
      <c r="A448" s="4" t="s">
        <v>1930</v>
      </c>
      <c r="B448" s="4" t="s">
        <v>1087</v>
      </c>
      <c r="C448" s="4">
        <v>447.0</v>
      </c>
      <c r="D448" s="54" t="s">
        <v>797</v>
      </c>
      <c r="E448" s="4" t="s">
        <v>1251</v>
      </c>
      <c r="F448" s="54" t="s">
        <v>357</v>
      </c>
      <c r="G448" s="54" t="s">
        <v>1181</v>
      </c>
      <c r="H448" s="54" t="s">
        <v>1231</v>
      </c>
      <c r="I448" s="54" t="s">
        <v>1231</v>
      </c>
      <c r="J448" s="54" t="s">
        <v>1188</v>
      </c>
      <c r="X448" s="55" t="str">
        <f t="shared" si="1"/>
        <v>#NAME?</v>
      </c>
    </row>
    <row r="449">
      <c r="A449" s="4" t="s">
        <v>1931</v>
      </c>
      <c r="B449" s="4" t="s">
        <v>1087</v>
      </c>
      <c r="C449" s="4">
        <v>448.0</v>
      </c>
      <c r="D449" s="54" t="s">
        <v>1667</v>
      </c>
      <c r="E449" s="4" t="s">
        <v>1251</v>
      </c>
      <c r="F449" s="54" t="s">
        <v>449</v>
      </c>
      <c r="G449" s="54" t="s">
        <v>1110</v>
      </c>
      <c r="H449" s="54" t="s">
        <v>1175</v>
      </c>
      <c r="I449" s="54" t="s">
        <v>1668</v>
      </c>
      <c r="J449" s="54" t="s">
        <v>1669</v>
      </c>
      <c r="X449" s="55" t="str">
        <f t="shared" si="1"/>
        <v>#NAME?</v>
      </c>
    </row>
    <row r="450">
      <c r="A450" s="4" t="s">
        <v>1932</v>
      </c>
      <c r="B450" s="4" t="s">
        <v>1087</v>
      </c>
      <c r="C450" s="4">
        <v>449.0</v>
      </c>
      <c r="D450" s="54" t="s">
        <v>1646</v>
      </c>
      <c r="E450" s="4" t="s">
        <v>1098</v>
      </c>
      <c r="F450" s="54" t="s">
        <v>357</v>
      </c>
      <c r="G450" s="54" t="s">
        <v>1494</v>
      </c>
      <c r="H450" s="54" t="s">
        <v>1607</v>
      </c>
      <c r="I450" s="54" t="s">
        <v>1131</v>
      </c>
      <c r="J450" s="54" t="s">
        <v>1225</v>
      </c>
      <c r="X450" s="55" t="str">
        <f t="shared" si="1"/>
        <v>#NAME?</v>
      </c>
    </row>
    <row r="451">
      <c r="A451" s="4" t="s">
        <v>1933</v>
      </c>
      <c r="B451" s="4" t="s">
        <v>1087</v>
      </c>
      <c r="C451" s="4">
        <v>450.0</v>
      </c>
      <c r="D451" s="54" t="s">
        <v>1562</v>
      </c>
      <c r="E451" s="4" t="s">
        <v>1088</v>
      </c>
      <c r="F451" s="54" t="s">
        <v>357</v>
      </c>
      <c r="G451" s="54" t="s">
        <v>1563</v>
      </c>
      <c r="H451" s="54" t="s">
        <v>1564</v>
      </c>
      <c r="I451" s="54" t="s">
        <v>1235</v>
      </c>
      <c r="J451" s="54" t="s">
        <v>1183</v>
      </c>
      <c r="X451" s="55" t="str">
        <f t="shared" si="1"/>
        <v>#NAME?</v>
      </c>
    </row>
    <row r="452">
      <c r="A452" s="4" t="s">
        <v>1934</v>
      </c>
      <c r="B452" s="4" t="s">
        <v>1087</v>
      </c>
      <c r="C452" s="4">
        <v>451.0</v>
      </c>
      <c r="D452" s="54" t="s">
        <v>1624</v>
      </c>
      <c r="E452" s="4" t="s">
        <v>1098</v>
      </c>
      <c r="F452" s="54" t="s">
        <v>357</v>
      </c>
      <c r="G452" s="54" t="s">
        <v>1590</v>
      </c>
      <c r="H452" s="54" t="s">
        <v>1625</v>
      </c>
      <c r="I452" s="54" t="s">
        <v>1242</v>
      </c>
      <c r="J452" s="54" t="s">
        <v>1556</v>
      </c>
      <c r="X452" s="55" t="str">
        <f t="shared" si="1"/>
        <v>#NAME?</v>
      </c>
    </row>
    <row r="453">
      <c r="A453" s="4" t="s">
        <v>1935</v>
      </c>
      <c r="B453" s="4" t="s">
        <v>1087</v>
      </c>
      <c r="C453" s="4">
        <v>452.0</v>
      </c>
      <c r="D453" s="54" t="s">
        <v>1617</v>
      </c>
      <c r="E453" s="4" t="s">
        <v>1251</v>
      </c>
      <c r="F453" s="54" t="s">
        <v>449</v>
      </c>
      <c r="G453" s="54" t="s">
        <v>1203</v>
      </c>
      <c r="H453" s="54" t="s">
        <v>1618</v>
      </c>
      <c r="I453" s="54" t="s">
        <v>1619</v>
      </c>
      <c r="J453" s="54" t="s">
        <v>1259</v>
      </c>
      <c r="X453" s="55" t="str">
        <f t="shared" si="1"/>
        <v>#NAME?</v>
      </c>
    </row>
    <row r="454">
      <c r="A454" s="4" t="s">
        <v>1936</v>
      </c>
      <c r="B454" s="4" t="s">
        <v>1087</v>
      </c>
      <c r="C454" s="4">
        <v>453.0</v>
      </c>
      <c r="D454" s="54" t="s">
        <v>1566</v>
      </c>
      <c r="E454" s="4" t="s">
        <v>1296</v>
      </c>
      <c r="F454" s="54" t="s">
        <v>357</v>
      </c>
      <c r="G454" s="54" t="s">
        <v>1567</v>
      </c>
      <c r="H454" s="54" t="s">
        <v>1570</v>
      </c>
      <c r="I454" s="54" t="s">
        <v>1233</v>
      </c>
      <c r="J454" s="54" t="s">
        <v>1109</v>
      </c>
      <c r="X454" s="55" t="str">
        <f t="shared" si="1"/>
        <v>#NAME?</v>
      </c>
    </row>
    <row r="455">
      <c r="A455" s="4" t="s">
        <v>1937</v>
      </c>
      <c r="B455" s="4" t="s">
        <v>1087</v>
      </c>
      <c r="C455" s="4">
        <v>454.0</v>
      </c>
      <c r="D455" s="54" t="s">
        <v>1566</v>
      </c>
      <c r="E455" s="4" t="s">
        <v>1296</v>
      </c>
      <c r="F455" s="54" t="s">
        <v>357</v>
      </c>
      <c r="G455" s="54" t="s">
        <v>1572</v>
      </c>
      <c r="H455" s="54" t="s">
        <v>1248</v>
      </c>
      <c r="I455" s="54" t="s">
        <v>1573</v>
      </c>
      <c r="J455" s="54" t="s">
        <v>1245</v>
      </c>
      <c r="X455" s="55" t="str">
        <f t="shared" si="1"/>
        <v>#NAME?</v>
      </c>
    </row>
    <row r="456">
      <c r="A456" s="4" t="s">
        <v>1938</v>
      </c>
      <c r="B456" s="4" t="s">
        <v>1087</v>
      </c>
      <c r="C456" s="4">
        <v>455.0</v>
      </c>
      <c r="D456" s="54" t="s">
        <v>1566</v>
      </c>
      <c r="E456" s="4" t="s">
        <v>1296</v>
      </c>
      <c r="F456" s="54" t="s">
        <v>357</v>
      </c>
      <c r="G456" s="54" t="s">
        <v>1359</v>
      </c>
      <c r="H456" s="54" t="s">
        <v>1200</v>
      </c>
      <c r="I456" s="54" t="s">
        <v>1575</v>
      </c>
      <c r="J456" s="54" t="s">
        <v>1567</v>
      </c>
      <c r="X456" s="55" t="str">
        <f t="shared" si="1"/>
        <v>#NAME?</v>
      </c>
    </row>
    <row r="457">
      <c r="A457" s="4" t="s">
        <v>1939</v>
      </c>
      <c r="B457" s="4" t="s">
        <v>1087</v>
      </c>
      <c r="C457" s="4">
        <v>456.0</v>
      </c>
      <c r="D457" s="54" t="s">
        <v>1577</v>
      </c>
      <c r="E457" s="4" t="s">
        <v>1088</v>
      </c>
      <c r="F457" s="54" t="s">
        <v>357</v>
      </c>
      <c r="G457" s="54" t="s">
        <v>1531</v>
      </c>
      <c r="H457" s="54" t="s">
        <v>1183</v>
      </c>
      <c r="I457" s="54" t="s">
        <v>1171</v>
      </c>
      <c r="J457" s="54" t="s">
        <v>1212</v>
      </c>
      <c r="X457" s="55" t="str">
        <f t="shared" si="1"/>
        <v>#NAME?</v>
      </c>
    </row>
    <row r="458">
      <c r="A458" s="4" t="s">
        <v>1940</v>
      </c>
      <c r="B458" s="4" t="s">
        <v>1087</v>
      </c>
      <c r="C458" s="4">
        <v>457.0</v>
      </c>
      <c r="D458" s="54" t="s">
        <v>1579</v>
      </c>
      <c r="E458" s="4" t="s">
        <v>1088</v>
      </c>
      <c r="F458" s="54" t="s">
        <v>357</v>
      </c>
      <c r="G458" s="54" t="s">
        <v>1244</v>
      </c>
      <c r="H458" s="54" t="s">
        <v>1186</v>
      </c>
      <c r="I458" s="54" t="s">
        <v>1156</v>
      </c>
      <c r="J458" s="54" t="s">
        <v>1244</v>
      </c>
      <c r="X458" s="55" t="str">
        <f t="shared" si="1"/>
        <v>#NAME?</v>
      </c>
    </row>
    <row r="459">
      <c r="A459" s="4" t="s">
        <v>1941</v>
      </c>
      <c r="B459" s="4" t="s">
        <v>1087</v>
      </c>
      <c r="C459" s="4">
        <v>458.0</v>
      </c>
      <c r="D459" s="54" t="s">
        <v>1581</v>
      </c>
      <c r="E459" s="4" t="s">
        <v>1098</v>
      </c>
      <c r="F459" s="54" t="s">
        <v>357</v>
      </c>
      <c r="G459" s="54" t="s">
        <v>1564</v>
      </c>
      <c r="H459" s="54" t="s">
        <v>1582</v>
      </c>
      <c r="I459" s="54" t="s">
        <v>1583</v>
      </c>
      <c r="J459" s="54" t="s">
        <v>1584</v>
      </c>
      <c r="X459" s="55" t="str">
        <f t="shared" si="1"/>
        <v>#NAME?</v>
      </c>
    </row>
    <row r="460">
      <c r="A460" s="4" t="s">
        <v>1942</v>
      </c>
      <c r="B460" s="4" t="s">
        <v>1087</v>
      </c>
      <c r="C460" s="4">
        <v>459.0</v>
      </c>
      <c r="D460" s="54" t="s">
        <v>1581</v>
      </c>
      <c r="E460" s="4" t="s">
        <v>1098</v>
      </c>
      <c r="F460" s="54" t="s">
        <v>357</v>
      </c>
      <c r="G460" s="54" t="s">
        <v>1235</v>
      </c>
      <c r="H460" s="54" t="s">
        <v>1556</v>
      </c>
      <c r="I460" s="54" t="s">
        <v>1586</v>
      </c>
      <c r="J460" s="54" t="s">
        <v>1132</v>
      </c>
      <c r="X460" s="55" t="str">
        <f t="shared" si="1"/>
        <v>#NAME?</v>
      </c>
    </row>
    <row r="461">
      <c r="A461" s="4" t="s">
        <v>1943</v>
      </c>
      <c r="B461" s="4" t="s">
        <v>1087</v>
      </c>
      <c r="C461" s="4">
        <v>460.0</v>
      </c>
      <c r="D461" s="54" t="s">
        <v>1581</v>
      </c>
      <c r="E461" s="4" t="s">
        <v>1098</v>
      </c>
      <c r="F461" s="54" t="s">
        <v>357</v>
      </c>
      <c r="G461" s="54" t="s">
        <v>1172</v>
      </c>
      <c r="H461" s="54" t="s">
        <v>1493</v>
      </c>
      <c r="I461" s="54" t="s">
        <v>1218</v>
      </c>
      <c r="J461" s="54" t="s">
        <v>1560</v>
      </c>
      <c r="X461" s="55" t="str">
        <f t="shared" si="1"/>
        <v>#NAME?</v>
      </c>
    </row>
    <row r="462">
      <c r="A462" s="4" t="s">
        <v>1944</v>
      </c>
      <c r="B462" s="4" t="s">
        <v>1087</v>
      </c>
      <c r="C462" s="4">
        <v>461.0</v>
      </c>
      <c r="D462" s="54" t="s">
        <v>1589</v>
      </c>
      <c r="E462" s="4" t="s">
        <v>1397</v>
      </c>
      <c r="F462" s="54" t="s">
        <v>357</v>
      </c>
      <c r="G462" s="54" t="s">
        <v>1582</v>
      </c>
      <c r="H462" s="54" t="s">
        <v>1590</v>
      </c>
      <c r="I462" s="54" t="s">
        <v>1171</v>
      </c>
      <c r="J462" s="54" t="s">
        <v>1179</v>
      </c>
      <c r="X462" s="55" t="str">
        <f t="shared" si="1"/>
        <v>#NAME?</v>
      </c>
    </row>
    <row r="463">
      <c r="A463" s="4" t="s">
        <v>1945</v>
      </c>
      <c r="B463" s="4" t="s">
        <v>1087</v>
      </c>
      <c r="C463" s="4">
        <v>462.0</v>
      </c>
      <c r="D463" s="54" t="s">
        <v>1621</v>
      </c>
      <c r="E463" s="4" t="s">
        <v>1251</v>
      </c>
      <c r="F463" s="54" t="s">
        <v>357</v>
      </c>
      <c r="G463" s="54" t="s">
        <v>1350</v>
      </c>
      <c r="H463" s="54" t="s">
        <v>1436</v>
      </c>
      <c r="I463" s="54" t="s">
        <v>1196</v>
      </c>
      <c r="J463" s="54" t="s">
        <v>1622</v>
      </c>
      <c r="X463" s="55" t="str">
        <f t="shared" si="1"/>
        <v>#NAME?</v>
      </c>
    </row>
    <row r="464">
      <c r="A464" s="4" t="s">
        <v>1946</v>
      </c>
      <c r="B464" s="4" t="s">
        <v>1087</v>
      </c>
      <c r="C464" s="4">
        <v>463.0</v>
      </c>
      <c r="D464" s="54" t="s">
        <v>1589</v>
      </c>
      <c r="E464" s="4" t="s">
        <v>1397</v>
      </c>
      <c r="F464" s="54" t="s">
        <v>357</v>
      </c>
      <c r="G464" s="54" t="s">
        <v>1560</v>
      </c>
      <c r="H464" s="54" t="s">
        <v>1583</v>
      </c>
      <c r="I464" s="54" t="s">
        <v>1241</v>
      </c>
      <c r="J464" s="54" t="s">
        <v>1559</v>
      </c>
      <c r="X464" s="55" t="str">
        <f t="shared" si="1"/>
        <v>#NAME?</v>
      </c>
    </row>
    <row r="465">
      <c r="A465" s="4" t="s">
        <v>1947</v>
      </c>
      <c r="B465" s="4" t="s">
        <v>1087</v>
      </c>
      <c r="C465" s="4">
        <v>464.0</v>
      </c>
      <c r="D465" s="54" t="s">
        <v>1595</v>
      </c>
      <c r="E465" s="4" t="s">
        <v>1088</v>
      </c>
      <c r="F465" s="54" t="s">
        <v>357</v>
      </c>
      <c r="G465" s="54" t="s">
        <v>1212</v>
      </c>
      <c r="H465" s="54" t="s">
        <v>1185</v>
      </c>
      <c r="I465" s="54" t="s">
        <v>1172</v>
      </c>
      <c r="J465" s="54" t="s">
        <v>1215</v>
      </c>
      <c r="X465" s="55" t="str">
        <f t="shared" si="1"/>
        <v>#NAME?</v>
      </c>
    </row>
    <row r="466">
      <c r="A466" s="4" t="s">
        <v>1948</v>
      </c>
      <c r="B466" s="4" t="s">
        <v>1087</v>
      </c>
      <c r="C466" s="4">
        <v>465.0</v>
      </c>
      <c r="D466" s="54" t="s">
        <v>1597</v>
      </c>
      <c r="E466" s="4" t="s">
        <v>1088</v>
      </c>
      <c r="F466" s="54" t="s">
        <v>357</v>
      </c>
      <c r="G466" s="54" t="s">
        <v>1552</v>
      </c>
      <c r="H466" s="54" t="s">
        <v>1188</v>
      </c>
      <c r="I466" s="54" t="s">
        <v>1177</v>
      </c>
      <c r="J466" s="54" t="s">
        <v>1235</v>
      </c>
      <c r="X466" s="55" t="str">
        <f t="shared" si="1"/>
        <v>#NAME?</v>
      </c>
    </row>
    <row r="467">
      <c r="A467" s="4" t="s">
        <v>1949</v>
      </c>
      <c r="B467" s="4" t="s">
        <v>1087</v>
      </c>
      <c r="C467" s="4">
        <v>466.0</v>
      </c>
      <c r="D467" s="54" t="s">
        <v>1599</v>
      </c>
      <c r="E467" s="4" t="s">
        <v>1088</v>
      </c>
      <c r="F467" s="54" t="s">
        <v>357</v>
      </c>
      <c r="G467" s="54" t="s">
        <v>1235</v>
      </c>
      <c r="H467" s="54" t="s">
        <v>1559</v>
      </c>
      <c r="I467" s="54" t="s">
        <v>1235</v>
      </c>
      <c r="J467" s="54" t="s">
        <v>1172</v>
      </c>
      <c r="X467" s="55" t="str">
        <f t="shared" si="1"/>
        <v>#NAME?</v>
      </c>
    </row>
    <row r="468">
      <c r="A468" s="4" t="s">
        <v>1950</v>
      </c>
      <c r="B468" s="4" t="s">
        <v>1087</v>
      </c>
      <c r="C468" s="4">
        <v>467.0</v>
      </c>
      <c r="D468" s="54" t="s">
        <v>1601</v>
      </c>
      <c r="E468" s="4" t="s">
        <v>1088</v>
      </c>
      <c r="F468" s="54" t="s">
        <v>357</v>
      </c>
      <c r="G468" s="54" t="s">
        <v>1490</v>
      </c>
      <c r="H468" s="54" t="s">
        <v>1156</v>
      </c>
      <c r="I468" s="54" t="s">
        <v>1215</v>
      </c>
      <c r="J468" s="54" t="s">
        <v>1490</v>
      </c>
      <c r="X468" s="55" t="str">
        <f t="shared" si="1"/>
        <v>#NAME?</v>
      </c>
    </row>
    <row r="469">
      <c r="A469" s="4" t="s">
        <v>1951</v>
      </c>
      <c r="B469" s="4" t="s">
        <v>1087</v>
      </c>
      <c r="C469" s="4">
        <v>468.0</v>
      </c>
      <c r="D469" s="54" t="s">
        <v>1603</v>
      </c>
      <c r="E469" s="4" t="s">
        <v>1098</v>
      </c>
      <c r="F469" s="54" t="s">
        <v>357</v>
      </c>
      <c r="G469" s="54" t="s">
        <v>1132</v>
      </c>
      <c r="H469" s="54" t="s">
        <v>1494</v>
      </c>
      <c r="I469" s="54" t="s">
        <v>1604</v>
      </c>
      <c r="J469" s="54" t="s">
        <v>1605</v>
      </c>
      <c r="X469" s="55" t="str">
        <f t="shared" si="1"/>
        <v>#NAME?</v>
      </c>
    </row>
    <row r="470">
      <c r="A470" s="4" t="s">
        <v>1952</v>
      </c>
      <c r="B470" s="4" t="s">
        <v>1087</v>
      </c>
      <c r="C470" s="4">
        <v>469.0</v>
      </c>
      <c r="D470" s="54" t="s">
        <v>1603</v>
      </c>
      <c r="E470" s="4" t="s">
        <v>1098</v>
      </c>
      <c r="F470" s="54" t="s">
        <v>357</v>
      </c>
      <c r="G470" s="54" t="s">
        <v>1129</v>
      </c>
      <c r="H470" s="54" t="s">
        <v>1573</v>
      </c>
      <c r="I470" s="54" t="s">
        <v>1607</v>
      </c>
      <c r="J470" s="54" t="s">
        <v>1586</v>
      </c>
      <c r="X470" s="55" t="str">
        <f t="shared" si="1"/>
        <v>#NAME?</v>
      </c>
    </row>
    <row r="471">
      <c r="A471" s="4" t="s">
        <v>1953</v>
      </c>
      <c r="B471" s="4" t="s">
        <v>1087</v>
      </c>
      <c r="C471" s="4">
        <v>470.0</v>
      </c>
      <c r="D471" s="54" t="s">
        <v>1603</v>
      </c>
      <c r="E471" s="4" t="s">
        <v>1098</v>
      </c>
      <c r="F471" s="54" t="s">
        <v>357</v>
      </c>
      <c r="G471" s="54" t="s">
        <v>1584</v>
      </c>
      <c r="H471" s="54" t="s">
        <v>1573</v>
      </c>
      <c r="I471" s="54" t="s">
        <v>1221</v>
      </c>
      <c r="J471" s="54" t="s">
        <v>1609</v>
      </c>
      <c r="X471" s="55" t="str">
        <f t="shared" si="1"/>
        <v>#NAME?</v>
      </c>
    </row>
    <row r="472">
      <c r="A472" s="4" t="s">
        <v>1954</v>
      </c>
      <c r="B472" s="4" t="s">
        <v>1087</v>
      </c>
      <c r="C472" s="4">
        <v>471.0</v>
      </c>
      <c r="D472" s="54" t="s">
        <v>1611</v>
      </c>
      <c r="E472" s="4" t="s">
        <v>1088</v>
      </c>
      <c r="F472" s="54" t="s">
        <v>357</v>
      </c>
      <c r="G472" s="54" t="s">
        <v>1177</v>
      </c>
      <c r="H472" s="54" t="s">
        <v>1612</v>
      </c>
      <c r="I472" s="54" t="s">
        <v>1613</v>
      </c>
      <c r="J472" s="54" t="s">
        <v>1241</v>
      </c>
      <c r="X472" s="55" t="str">
        <f t="shared" si="1"/>
        <v>#NAME?</v>
      </c>
    </row>
    <row r="473">
      <c r="A473" s="4" t="s">
        <v>1955</v>
      </c>
      <c r="B473" s="4" t="s">
        <v>1087</v>
      </c>
      <c r="C473" s="4">
        <v>472.0</v>
      </c>
      <c r="D473" s="54" t="s">
        <v>1615</v>
      </c>
      <c r="E473" s="4" t="s">
        <v>1088</v>
      </c>
      <c r="F473" s="54" t="s">
        <v>357</v>
      </c>
      <c r="G473" s="54" t="s">
        <v>1177</v>
      </c>
      <c r="H473" s="54" t="s">
        <v>1609</v>
      </c>
      <c r="I473" s="54" t="s">
        <v>1612</v>
      </c>
      <c r="J473" s="54" t="s">
        <v>1490</v>
      </c>
      <c r="X473" s="55" t="str">
        <f t="shared" si="1"/>
        <v>#NAME?</v>
      </c>
    </row>
    <row r="474">
      <c r="A474" s="4" t="s">
        <v>1956</v>
      </c>
      <c r="B474" s="4" t="s">
        <v>1087</v>
      </c>
      <c r="C474" s="4">
        <v>473.0</v>
      </c>
      <c r="D474" s="54" t="s">
        <v>1589</v>
      </c>
      <c r="E474" s="4" t="s">
        <v>1397</v>
      </c>
      <c r="F474" s="54" t="s">
        <v>357</v>
      </c>
      <c r="G474" s="54" t="s">
        <v>1593</v>
      </c>
      <c r="H474" s="54" t="s">
        <v>1218</v>
      </c>
      <c r="I474" s="54" t="s">
        <v>1593</v>
      </c>
      <c r="J474" s="54" t="s">
        <v>1245</v>
      </c>
      <c r="X474" s="55" t="str">
        <f t="shared" si="1"/>
        <v>#NAME?</v>
      </c>
    </row>
    <row r="475">
      <c r="A475" s="4" t="s">
        <v>1957</v>
      </c>
      <c r="B475" s="4" t="s">
        <v>1087</v>
      </c>
      <c r="C475" s="4">
        <v>474.0</v>
      </c>
      <c r="D475" s="54" t="s">
        <v>1671</v>
      </c>
      <c r="E475" s="4" t="s">
        <v>1088</v>
      </c>
      <c r="F475" s="54" t="s">
        <v>357</v>
      </c>
      <c r="G475" s="54" t="s">
        <v>1544</v>
      </c>
      <c r="H475" s="54" t="s">
        <v>1175</v>
      </c>
      <c r="I475" s="54" t="s">
        <v>1216</v>
      </c>
      <c r="J475" s="54" t="s">
        <v>1181</v>
      </c>
      <c r="X475" s="55" t="str">
        <f t="shared" si="1"/>
        <v>#NAME?</v>
      </c>
    </row>
    <row r="476">
      <c r="A476" s="4" t="s">
        <v>1958</v>
      </c>
      <c r="B476" s="4" t="s">
        <v>1087</v>
      </c>
      <c r="C476" s="4">
        <v>475.0</v>
      </c>
      <c r="D476" s="4" t="s">
        <v>1423</v>
      </c>
      <c r="E476" s="4" t="s">
        <v>1088</v>
      </c>
      <c r="F476" s="54" t="s">
        <v>534</v>
      </c>
      <c r="G476" s="54" t="s">
        <v>1280</v>
      </c>
      <c r="H476" s="54" t="s">
        <v>1135</v>
      </c>
      <c r="I476" s="54" t="s">
        <v>1123</v>
      </c>
      <c r="J476" s="54" t="s">
        <v>1140</v>
      </c>
      <c r="X476" s="55" t="str">
        <f t="shared" si="1"/>
        <v>#NAME?</v>
      </c>
    </row>
    <row r="477">
      <c r="A477" s="4" t="s">
        <v>1959</v>
      </c>
      <c r="B477" s="4" t="s">
        <v>1087</v>
      </c>
      <c r="C477" s="4">
        <v>476.0</v>
      </c>
      <c r="D477" s="4" t="s">
        <v>1419</v>
      </c>
      <c r="E477" s="4" t="s">
        <v>1088</v>
      </c>
      <c r="F477" s="54" t="s">
        <v>534</v>
      </c>
      <c r="G477" s="54" t="s">
        <v>1093</v>
      </c>
      <c r="H477" s="54" t="s">
        <v>1093</v>
      </c>
      <c r="I477" s="54" t="s">
        <v>1109</v>
      </c>
      <c r="J477" s="54" t="s">
        <v>1109</v>
      </c>
      <c r="X477" s="55" t="str">
        <f t="shared" si="1"/>
        <v>#NAME?</v>
      </c>
    </row>
    <row r="478">
      <c r="A478" s="4" t="s">
        <v>1960</v>
      </c>
      <c r="B478" s="4" t="s">
        <v>1087</v>
      </c>
      <c r="C478" s="4">
        <v>477.0</v>
      </c>
      <c r="D478" s="54" t="s">
        <v>632</v>
      </c>
      <c r="E478" s="4" t="s">
        <v>1088</v>
      </c>
      <c r="F478" s="54" t="s">
        <v>534</v>
      </c>
      <c r="G478" s="54" t="s">
        <v>1183</v>
      </c>
      <c r="H478" s="54" t="s">
        <v>1184</v>
      </c>
      <c r="I478" s="54" t="s">
        <v>1185</v>
      </c>
      <c r="J478" s="54" t="s">
        <v>1186</v>
      </c>
      <c r="X478" s="55" t="str">
        <f t="shared" si="1"/>
        <v>#NAME?</v>
      </c>
    </row>
    <row r="479">
      <c r="A479" s="4" t="s">
        <v>1961</v>
      </c>
      <c r="B479" s="4" t="s">
        <v>1087</v>
      </c>
      <c r="C479" s="4">
        <v>478.0</v>
      </c>
      <c r="D479" s="54" t="s">
        <v>637</v>
      </c>
      <c r="E479" s="4" t="s">
        <v>1088</v>
      </c>
      <c r="F479" s="54" t="s">
        <v>534</v>
      </c>
      <c r="G479" s="54" t="s">
        <v>1188</v>
      </c>
      <c r="H479" s="54" t="s">
        <v>1189</v>
      </c>
      <c r="I479" s="54" t="s">
        <v>1176</v>
      </c>
      <c r="J479" s="54" t="s">
        <v>1155</v>
      </c>
      <c r="X479" s="55" t="str">
        <f t="shared" si="1"/>
        <v>#NAME?</v>
      </c>
    </row>
    <row r="480">
      <c r="A480" s="4" t="s">
        <v>1962</v>
      </c>
      <c r="B480" s="4" t="s">
        <v>1087</v>
      </c>
      <c r="C480" s="4">
        <v>479.0</v>
      </c>
      <c r="D480" s="54" t="s">
        <v>274</v>
      </c>
      <c r="E480" s="4" t="s">
        <v>1191</v>
      </c>
      <c r="F480" s="54" t="s">
        <v>534</v>
      </c>
      <c r="G480" s="54" t="s">
        <v>1192</v>
      </c>
      <c r="H480" s="54" t="s">
        <v>1193</v>
      </c>
      <c r="I480" s="54" t="s">
        <v>1122</v>
      </c>
      <c r="J480" s="54" t="s">
        <v>1194</v>
      </c>
      <c r="X480" s="55" t="str">
        <f t="shared" si="1"/>
        <v>#NAME?</v>
      </c>
    </row>
    <row r="481">
      <c r="A481" s="4" t="s">
        <v>1963</v>
      </c>
      <c r="B481" s="4" t="s">
        <v>1087</v>
      </c>
      <c r="C481" s="4">
        <v>480.0</v>
      </c>
      <c r="D481" s="54" t="s">
        <v>274</v>
      </c>
      <c r="E481" s="4" t="s">
        <v>1191</v>
      </c>
      <c r="F481" s="54" t="s">
        <v>534</v>
      </c>
      <c r="G481" s="54" t="s">
        <v>1196</v>
      </c>
      <c r="H481" s="54" t="s">
        <v>1197</v>
      </c>
      <c r="I481" s="54" t="s">
        <v>1138</v>
      </c>
      <c r="J481" s="54" t="s">
        <v>1198</v>
      </c>
      <c r="X481" s="55" t="str">
        <f t="shared" si="1"/>
        <v>#NAME?</v>
      </c>
    </row>
    <row r="482">
      <c r="A482" s="4" t="s">
        <v>1964</v>
      </c>
      <c r="B482" s="4" t="s">
        <v>1087</v>
      </c>
      <c r="C482" s="4">
        <v>481.0</v>
      </c>
      <c r="D482" s="54" t="s">
        <v>274</v>
      </c>
      <c r="E482" s="4" t="s">
        <v>1191</v>
      </c>
      <c r="F482" s="54" t="s">
        <v>534</v>
      </c>
      <c r="G482" s="54" t="s">
        <v>1200</v>
      </c>
      <c r="H482" s="54" t="s">
        <v>1160</v>
      </c>
      <c r="I482" s="54" t="s">
        <v>1201</v>
      </c>
      <c r="J482" s="54" t="s">
        <v>1200</v>
      </c>
      <c r="X482" s="55" t="str">
        <f t="shared" si="1"/>
        <v>#NAME?</v>
      </c>
    </row>
    <row r="483">
      <c r="A483" s="4" t="s">
        <v>1965</v>
      </c>
      <c r="B483" s="4" t="s">
        <v>1087</v>
      </c>
      <c r="C483" s="4">
        <v>482.0</v>
      </c>
      <c r="D483" s="54" t="s">
        <v>274</v>
      </c>
      <c r="E483" s="4" t="s">
        <v>1191</v>
      </c>
      <c r="F483" s="54" t="s">
        <v>534</v>
      </c>
      <c r="G483" s="54" t="s">
        <v>1203</v>
      </c>
      <c r="H483" s="54" t="s">
        <v>1204</v>
      </c>
      <c r="I483" s="54" t="s">
        <v>1205</v>
      </c>
      <c r="J483" s="54" t="s">
        <v>1198</v>
      </c>
      <c r="X483" s="55" t="str">
        <f t="shared" si="1"/>
        <v>#NAME?</v>
      </c>
    </row>
    <row r="484">
      <c r="A484" s="4" t="s">
        <v>1966</v>
      </c>
      <c r="B484" s="4" t="s">
        <v>1087</v>
      </c>
      <c r="C484" s="4">
        <v>483.0</v>
      </c>
      <c r="D484" s="54" t="s">
        <v>673</v>
      </c>
      <c r="E484" s="4" t="s">
        <v>1088</v>
      </c>
      <c r="F484" s="54" t="s">
        <v>534</v>
      </c>
      <c r="G484" s="54" t="s">
        <v>1161</v>
      </c>
      <c r="H484" s="54" t="s">
        <v>1207</v>
      </c>
      <c r="I484" s="54" t="s">
        <v>1185</v>
      </c>
      <c r="J484" s="54" t="s">
        <v>1208</v>
      </c>
      <c r="X484" s="55" t="str">
        <f t="shared" si="1"/>
        <v>#NAME?</v>
      </c>
    </row>
    <row r="485">
      <c r="A485" s="4" t="s">
        <v>1967</v>
      </c>
      <c r="B485" s="4" t="s">
        <v>1087</v>
      </c>
      <c r="C485" s="4">
        <v>484.0</v>
      </c>
      <c r="D485" s="54" t="s">
        <v>683</v>
      </c>
      <c r="E485" s="4" t="s">
        <v>1088</v>
      </c>
      <c r="F485" s="54" t="s">
        <v>534</v>
      </c>
      <c r="G485" s="54" t="s">
        <v>1207</v>
      </c>
      <c r="H485" s="54" t="s">
        <v>1154</v>
      </c>
      <c r="I485" s="54" t="s">
        <v>1110</v>
      </c>
      <c r="J485" s="54" t="s">
        <v>1210</v>
      </c>
      <c r="X485" s="55" t="str">
        <f t="shared" si="1"/>
        <v>#NAME?</v>
      </c>
    </row>
    <row r="486">
      <c r="A486" s="4" t="s">
        <v>1968</v>
      </c>
      <c r="B486" s="4" t="s">
        <v>1087</v>
      </c>
      <c r="C486" s="4">
        <v>485.0</v>
      </c>
      <c r="D486" s="54" t="s">
        <v>694</v>
      </c>
      <c r="E486" s="4" t="s">
        <v>1098</v>
      </c>
      <c r="F486" s="54" t="s">
        <v>534</v>
      </c>
      <c r="G486" s="54" t="s">
        <v>1175</v>
      </c>
      <c r="H486" s="54" t="s">
        <v>1130</v>
      </c>
      <c r="I486" s="54" t="s">
        <v>1212</v>
      </c>
      <c r="J486" s="54" t="s">
        <v>1213</v>
      </c>
      <c r="X486" s="55" t="str">
        <f t="shared" si="1"/>
        <v>#NAME?</v>
      </c>
    </row>
    <row r="487">
      <c r="A487" s="54" t="s">
        <v>1969</v>
      </c>
      <c r="B487" s="4" t="s">
        <v>1087</v>
      </c>
      <c r="C487" s="4">
        <v>486.0</v>
      </c>
      <c r="D487" s="54" t="s">
        <v>626</v>
      </c>
      <c r="E487" s="4" t="s">
        <v>1098</v>
      </c>
      <c r="F487" s="54" t="s">
        <v>534</v>
      </c>
      <c r="G487" s="54" t="s">
        <v>1179</v>
      </c>
      <c r="H487" s="54" t="s">
        <v>1180</v>
      </c>
      <c r="I487" s="54" t="s">
        <v>1158</v>
      </c>
      <c r="J487" s="54" t="s">
        <v>1181</v>
      </c>
      <c r="X487" s="55" t="str">
        <f t="shared" si="1"/>
        <v>#NAME?</v>
      </c>
    </row>
    <row r="488">
      <c r="A488" s="4" t="s">
        <v>1970</v>
      </c>
      <c r="B488" s="4" t="s">
        <v>1087</v>
      </c>
      <c r="C488" s="4">
        <v>487.0</v>
      </c>
      <c r="D488" s="54" t="s">
        <v>694</v>
      </c>
      <c r="E488" s="4" t="s">
        <v>1098</v>
      </c>
      <c r="F488" s="54" t="s">
        <v>534</v>
      </c>
      <c r="G488" s="54" t="s">
        <v>1111</v>
      </c>
      <c r="H488" s="54" t="s">
        <v>1215</v>
      </c>
      <c r="I488" s="54" t="s">
        <v>1185</v>
      </c>
      <c r="J488" s="54" t="s">
        <v>1216</v>
      </c>
      <c r="X488" s="55" t="str">
        <f t="shared" si="1"/>
        <v>#NAME?</v>
      </c>
    </row>
    <row r="489">
      <c r="A489" s="4" t="s">
        <v>1971</v>
      </c>
      <c r="B489" s="4" t="s">
        <v>1087</v>
      </c>
      <c r="C489" s="4">
        <v>488.0</v>
      </c>
      <c r="D489" s="54" t="s">
        <v>287</v>
      </c>
      <c r="E489" s="4" t="s">
        <v>1088</v>
      </c>
      <c r="F489" s="54" t="s">
        <v>534</v>
      </c>
      <c r="G489" s="54" t="s">
        <v>1221</v>
      </c>
      <c r="H489" s="54" t="s">
        <v>1222</v>
      </c>
      <c r="I489" s="54" t="s">
        <v>1222</v>
      </c>
      <c r="J489" s="54" t="s">
        <v>1223</v>
      </c>
      <c r="X489" s="55" t="str">
        <f t="shared" si="1"/>
        <v>#NAME?</v>
      </c>
    </row>
    <row r="490">
      <c r="A490" s="4" t="s">
        <v>1972</v>
      </c>
      <c r="B490" s="4" t="s">
        <v>1087</v>
      </c>
      <c r="C490" s="4">
        <v>489.0</v>
      </c>
      <c r="D490" s="54" t="s">
        <v>421</v>
      </c>
      <c r="E490" s="4" t="s">
        <v>1088</v>
      </c>
      <c r="F490" s="54" t="s">
        <v>534</v>
      </c>
      <c r="G490" s="54" t="s">
        <v>1225</v>
      </c>
      <c r="H490" s="54" t="s">
        <v>1226</v>
      </c>
      <c r="I490" s="54" t="s">
        <v>1227</v>
      </c>
      <c r="J490" s="54" t="s">
        <v>1228</v>
      </c>
      <c r="X490" s="55" t="str">
        <f t="shared" si="1"/>
        <v>#NAME?</v>
      </c>
    </row>
    <row r="491">
      <c r="A491" s="4" t="s">
        <v>1973</v>
      </c>
      <c r="B491" s="4" t="s">
        <v>1087</v>
      </c>
      <c r="C491" s="4">
        <v>490.0</v>
      </c>
      <c r="D491" s="54" t="s">
        <v>737</v>
      </c>
      <c r="E491" s="4" t="s">
        <v>1191</v>
      </c>
      <c r="F491" s="54" t="s">
        <v>534</v>
      </c>
      <c r="G491" s="54" t="s">
        <v>1111</v>
      </c>
      <c r="H491" s="54" t="s">
        <v>1216</v>
      </c>
      <c r="I491" s="54" t="s">
        <v>1093</v>
      </c>
      <c r="J491" s="54" t="s">
        <v>1102</v>
      </c>
      <c r="X491" s="55" t="str">
        <f t="shared" si="1"/>
        <v>#NAME?</v>
      </c>
    </row>
    <row r="492">
      <c r="A492" s="4" t="s">
        <v>1974</v>
      </c>
      <c r="B492" s="4" t="s">
        <v>1087</v>
      </c>
      <c r="C492" s="4">
        <v>491.0</v>
      </c>
      <c r="D492" s="54" t="s">
        <v>737</v>
      </c>
      <c r="E492" s="4" t="s">
        <v>1191</v>
      </c>
      <c r="F492" s="54" t="s">
        <v>534</v>
      </c>
      <c r="G492" s="54" t="s">
        <v>1111</v>
      </c>
      <c r="H492" s="54" t="s">
        <v>1231</v>
      </c>
      <c r="I492" s="54" t="s">
        <v>1232</v>
      </c>
      <c r="J492" s="54" t="s">
        <v>1233</v>
      </c>
      <c r="X492" s="55" t="str">
        <f t="shared" si="1"/>
        <v>#NAME?</v>
      </c>
    </row>
    <row r="493">
      <c r="A493" s="4" t="s">
        <v>1975</v>
      </c>
      <c r="B493" s="4" t="s">
        <v>1087</v>
      </c>
      <c r="C493" s="4">
        <v>492.0</v>
      </c>
      <c r="D493" s="54" t="s">
        <v>737</v>
      </c>
      <c r="E493" s="4" t="s">
        <v>1191</v>
      </c>
      <c r="F493" s="54" t="s">
        <v>534</v>
      </c>
      <c r="G493" s="54" t="s">
        <v>1235</v>
      </c>
      <c r="H493" s="54" t="s">
        <v>1236</v>
      </c>
      <c r="I493" s="54" t="s">
        <v>1215</v>
      </c>
      <c r="J493" s="54" t="s">
        <v>1179</v>
      </c>
      <c r="X493" s="55" t="str">
        <f t="shared" si="1"/>
        <v>#NAME?</v>
      </c>
    </row>
    <row r="494">
      <c r="A494" s="54" t="s">
        <v>1976</v>
      </c>
      <c r="B494" s="4" t="s">
        <v>1087</v>
      </c>
      <c r="C494" s="4">
        <v>493.0</v>
      </c>
      <c r="D494" s="54" t="s">
        <v>737</v>
      </c>
      <c r="E494" s="4" t="s">
        <v>1191</v>
      </c>
      <c r="F494" s="54" t="s">
        <v>534</v>
      </c>
      <c r="G494" s="54" t="s">
        <v>1238</v>
      </c>
      <c r="H494" s="54" t="s">
        <v>1233</v>
      </c>
      <c r="I494" s="54" t="s">
        <v>1238</v>
      </c>
      <c r="J494" s="54" t="s">
        <v>1233</v>
      </c>
      <c r="X494" s="55" t="str">
        <f t="shared" si="1"/>
        <v>#NAME?</v>
      </c>
    </row>
    <row r="495">
      <c r="A495" s="4" t="s">
        <v>1977</v>
      </c>
      <c r="B495" s="4" t="s">
        <v>1087</v>
      </c>
      <c r="C495" s="4">
        <v>494.0</v>
      </c>
      <c r="D495" s="54" t="s">
        <v>807</v>
      </c>
      <c r="E495" s="4" t="s">
        <v>1088</v>
      </c>
      <c r="F495" s="54" t="s">
        <v>534</v>
      </c>
      <c r="G495" s="54" t="s">
        <v>1240</v>
      </c>
      <c r="H495" s="54" t="s">
        <v>1100</v>
      </c>
      <c r="I495" s="54" t="s">
        <v>1241</v>
      </c>
      <c r="J495" s="54" t="s">
        <v>1242</v>
      </c>
      <c r="X495" s="55" t="str">
        <f t="shared" si="1"/>
        <v>#NAME?</v>
      </c>
    </row>
    <row r="496">
      <c r="A496" s="4" t="s">
        <v>1978</v>
      </c>
      <c r="B496" s="4" t="s">
        <v>1087</v>
      </c>
      <c r="C496" s="4">
        <v>495.0</v>
      </c>
      <c r="D496" s="54" t="s">
        <v>963</v>
      </c>
      <c r="E496" s="4" t="s">
        <v>1088</v>
      </c>
      <c r="F496" s="54" t="s">
        <v>534</v>
      </c>
      <c r="G496" s="54" t="s">
        <v>1244</v>
      </c>
      <c r="H496" s="54" t="s">
        <v>1215</v>
      </c>
      <c r="I496" s="54" t="s">
        <v>1244</v>
      </c>
      <c r="J496" s="54" t="s">
        <v>1245</v>
      </c>
      <c r="X496" s="55" t="str">
        <f t="shared" si="1"/>
        <v>#NAME?</v>
      </c>
    </row>
    <row r="497">
      <c r="A497" s="4" t="s">
        <v>1979</v>
      </c>
      <c r="B497" s="4" t="s">
        <v>1087</v>
      </c>
      <c r="C497" s="4">
        <v>496.0</v>
      </c>
      <c r="D497" s="54" t="s">
        <v>963</v>
      </c>
      <c r="E497" s="4" t="s">
        <v>1088</v>
      </c>
      <c r="F497" s="54" t="s">
        <v>534</v>
      </c>
      <c r="G497" s="54" t="s">
        <v>1247</v>
      </c>
      <c r="H497" s="54" t="s">
        <v>1181</v>
      </c>
      <c r="I497" s="54" t="s">
        <v>1248</v>
      </c>
      <c r="J497" s="54" t="s">
        <v>1238</v>
      </c>
      <c r="X497" s="55" t="str">
        <f t="shared" si="1"/>
        <v>#NAME?</v>
      </c>
    </row>
    <row r="498">
      <c r="A498" s="4" t="s">
        <v>1980</v>
      </c>
      <c r="B498" s="4" t="s">
        <v>1087</v>
      </c>
      <c r="C498" s="4">
        <v>497.0</v>
      </c>
      <c r="D498" s="54" t="s">
        <v>694</v>
      </c>
      <c r="E498" s="4" t="s">
        <v>1098</v>
      </c>
      <c r="F498" s="54" t="s">
        <v>534</v>
      </c>
      <c r="G498" s="54" t="s">
        <v>1218</v>
      </c>
      <c r="H498" s="54" t="s">
        <v>1184</v>
      </c>
      <c r="I498" s="54" t="s">
        <v>1110</v>
      </c>
      <c r="J498" s="54" t="s">
        <v>1219</v>
      </c>
      <c r="X498" s="55" t="str">
        <f t="shared" si="1"/>
        <v>#NAME?</v>
      </c>
    </row>
    <row r="499">
      <c r="A499" s="54" t="s">
        <v>1981</v>
      </c>
      <c r="B499" s="4" t="s">
        <v>1087</v>
      </c>
      <c r="C499" s="4">
        <v>498.0</v>
      </c>
      <c r="D499" s="54" t="s">
        <v>971</v>
      </c>
      <c r="E499" s="4" t="s">
        <v>1088</v>
      </c>
      <c r="F499" s="54" t="s">
        <v>534</v>
      </c>
      <c r="G499" s="54" t="s">
        <v>1219</v>
      </c>
      <c r="H499" s="54" t="s">
        <v>1216</v>
      </c>
      <c r="I499" s="54" t="s">
        <v>1109</v>
      </c>
      <c r="J499" s="54" t="s">
        <v>1159</v>
      </c>
      <c r="X499" s="55" t="str">
        <f t="shared" si="1"/>
        <v>#NAME?</v>
      </c>
    </row>
    <row r="500">
      <c r="A500" s="4" t="s">
        <v>1982</v>
      </c>
      <c r="B500" s="4" t="s">
        <v>1087</v>
      </c>
      <c r="C500" s="4">
        <v>499.0</v>
      </c>
      <c r="D500" s="54" t="s">
        <v>626</v>
      </c>
      <c r="E500" s="4" t="s">
        <v>1098</v>
      </c>
      <c r="F500" s="54" t="s">
        <v>534</v>
      </c>
      <c r="G500" s="54" t="s">
        <v>1175</v>
      </c>
      <c r="H500" s="54" t="s">
        <v>1176</v>
      </c>
      <c r="I500" s="54" t="s">
        <v>1177</v>
      </c>
      <c r="J500" s="54" t="s">
        <v>1109</v>
      </c>
      <c r="X500" s="55" t="str">
        <f t="shared" si="1"/>
        <v>#NAME?</v>
      </c>
    </row>
    <row r="501">
      <c r="A501" s="4" t="s">
        <v>1983</v>
      </c>
      <c r="B501" s="4" t="s">
        <v>1087</v>
      </c>
      <c r="C501" s="4">
        <v>500.0</v>
      </c>
      <c r="D501" s="54" t="s">
        <v>611</v>
      </c>
      <c r="E501" s="4" t="s">
        <v>1088</v>
      </c>
      <c r="F501" s="54" t="s">
        <v>534</v>
      </c>
      <c r="G501" s="54" t="s">
        <v>1165</v>
      </c>
      <c r="H501" s="54" t="s">
        <v>1166</v>
      </c>
      <c r="I501" s="54" t="s">
        <v>1167</v>
      </c>
      <c r="J501" s="54" t="s">
        <v>1168</v>
      </c>
      <c r="X501" s="55" t="str">
        <f t="shared" si="1"/>
        <v>#NAME?</v>
      </c>
    </row>
    <row r="502">
      <c r="A502" s="4" t="s">
        <v>1984</v>
      </c>
      <c r="B502" s="4" t="s">
        <v>1087</v>
      </c>
      <c r="C502" s="4">
        <v>501.0</v>
      </c>
      <c r="D502" s="54" t="s">
        <v>292</v>
      </c>
      <c r="E502" s="4" t="s">
        <v>1088</v>
      </c>
      <c r="F502" s="54" t="s">
        <v>534</v>
      </c>
      <c r="G502" s="54" t="s">
        <v>1276</v>
      </c>
      <c r="H502" s="54" t="s">
        <v>1138</v>
      </c>
      <c r="I502" s="54" t="s">
        <v>1089</v>
      </c>
      <c r="J502" s="54" t="s">
        <v>1090</v>
      </c>
      <c r="X502" s="55" t="str">
        <f t="shared" si="1"/>
        <v>#NAME?</v>
      </c>
    </row>
    <row r="503">
      <c r="A503" s="4" t="s">
        <v>1985</v>
      </c>
      <c r="B503" s="4" t="s">
        <v>1087</v>
      </c>
      <c r="C503" s="4">
        <v>502.0</v>
      </c>
      <c r="D503" s="54" t="s">
        <v>1092</v>
      </c>
      <c r="E503" s="4" t="s">
        <v>1088</v>
      </c>
      <c r="F503" s="54" t="s">
        <v>449</v>
      </c>
      <c r="G503" s="54" t="s">
        <v>1102</v>
      </c>
      <c r="H503" s="54" t="s">
        <v>1111</v>
      </c>
      <c r="I503" s="54" t="s">
        <v>1529</v>
      </c>
      <c r="J503" s="54" t="s">
        <v>1093</v>
      </c>
      <c r="X503" s="55" t="str">
        <f t="shared" si="1"/>
        <v>#NAME?</v>
      </c>
    </row>
    <row r="504">
      <c r="A504" s="4" t="s">
        <v>1986</v>
      </c>
      <c r="B504" s="4" t="s">
        <v>1087</v>
      </c>
      <c r="C504" s="4">
        <v>503.0</v>
      </c>
      <c r="D504" s="54" t="s">
        <v>1095</v>
      </c>
      <c r="E504" s="4" t="s">
        <v>1088</v>
      </c>
      <c r="F504" s="54" t="s">
        <v>534</v>
      </c>
      <c r="G504" s="54" t="s">
        <v>1104</v>
      </c>
      <c r="H504" s="54" t="s">
        <v>1104</v>
      </c>
      <c r="I504" s="54" t="s">
        <v>1104</v>
      </c>
      <c r="J504" s="54" t="s">
        <v>1104</v>
      </c>
      <c r="X504" s="55" t="str">
        <f t="shared" si="1"/>
        <v>#NAME?</v>
      </c>
    </row>
    <row r="505">
      <c r="A505" s="4" t="s">
        <v>1987</v>
      </c>
      <c r="B505" s="4" t="s">
        <v>1087</v>
      </c>
      <c r="C505" s="4">
        <v>504.0</v>
      </c>
      <c r="D505" s="54" t="s">
        <v>1097</v>
      </c>
      <c r="E505" s="4" t="s">
        <v>1098</v>
      </c>
      <c r="F505" s="54" t="s">
        <v>449</v>
      </c>
      <c r="G505" s="54" t="s">
        <v>1099</v>
      </c>
      <c r="H505" s="54" t="s">
        <v>1100</v>
      </c>
      <c r="I505" s="54" t="s">
        <v>1101</v>
      </c>
      <c r="J505" s="54" t="s">
        <v>1102</v>
      </c>
      <c r="X505" s="55" t="str">
        <f t="shared" si="1"/>
        <v>#NAME?</v>
      </c>
    </row>
    <row r="506">
      <c r="A506" s="4" t="s">
        <v>1988</v>
      </c>
      <c r="B506" s="4" t="s">
        <v>1087</v>
      </c>
      <c r="C506" s="4">
        <v>505.0</v>
      </c>
      <c r="D506" s="54" t="s">
        <v>1097</v>
      </c>
      <c r="E506" s="4" t="s">
        <v>1098</v>
      </c>
      <c r="F506" s="54" t="s">
        <v>449</v>
      </c>
      <c r="G506" s="54" t="s">
        <v>1104</v>
      </c>
      <c r="H506" s="54" t="s">
        <v>1105</v>
      </c>
      <c r="I506" s="54" t="s">
        <v>1099</v>
      </c>
      <c r="J506" s="54" t="s">
        <v>1106</v>
      </c>
      <c r="X506" s="55" t="str">
        <f t="shared" si="1"/>
        <v>#NAME?</v>
      </c>
    </row>
    <row r="507">
      <c r="A507" s="4" t="s">
        <v>1989</v>
      </c>
      <c r="B507" s="4" t="s">
        <v>1087</v>
      </c>
      <c r="C507" s="4">
        <v>506.0</v>
      </c>
      <c r="D507" s="54" t="s">
        <v>1097</v>
      </c>
      <c r="E507" s="4" t="s">
        <v>1098</v>
      </c>
      <c r="F507" s="54" t="s">
        <v>449</v>
      </c>
      <c r="G507" s="54" t="s">
        <v>1108</v>
      </c>
      <c r="H507" s="54" t="s">
        <v>1109</v>
      </c>
      <c r="I507" s="54" t="s">
        <v>1110</v>
      </c>
      <c r="J507" s="54" t="s">
        <v>1111</v>
      </c>
      <c r="X507" s="55" t="str">
        <f t="shared" si="1"/>
        <v>#NAME?</v>
      </c>
    </row>
    <row r="508">
      <c r="A508" s="4" t="s">
        <v>1990</v>
      </c>
      <c r="B508" s="4" t="s">
        <v>1087</v>
      </c>
      <c r="C508" s="4">
        <v>507.0</v>
      </c>
      <c r="D508" s="54" t="s">
        <v>1113</v>
      </c>
      <c r="E508" s="4" t="s">
        <v>1088</v>
      </c>
      <c r="F508" s="54" t="s">
        <v>449</v>
      </c>
      <c r="G508" s="54" t="s">
        <v>1109</v>
      </c>
      <c r="H508" s="54" t="s">
        <v>1111</v>
      </c>
      <c r="I508" s="54" t="s">
        <v>1093</v>
      </c>
      <c r="J508" s="54" t="s">
        <v>1111</v>
      </c>
      <c r="X508" s="55" t="str">
        <f t="shared" si="1"/>
        <v>#NAME?</v>
      </c>
    </row>
    <row r="509">
      <c r="A509" s="4" t="s">
        <v>1991</v>
      </c>
      <c r="B509" s="4" t="s">
        <v>1087</v>
      </c>
      <c r="C509" s="4">
        <v>508.0</v>
      </c>
      <c r="D509" s="54" t="s">
        <v>399</v>
      </c>
      <c r="E509" s="4" t="s">
        <v>1088</v>
      </c>
      <c r="F509" s="54" t="s">
        <v>534</v>
      </c>
      <c r="G509" s="54" t="s">
        <v>1115</v>
      </c>
      <c r="H509" s="54" t="s">
        <v>1116</v>
      </c>
      <c r="I509" s="54" t="s">
        <v>1117</v>
      </c>
      <c r="J509" s="54" t="s">
        <v>1118</v>
      </c>
      <c r="X509" s="55" t="str">
        <f t="shared" si="1"/>
        <v>#NAME?</v>
      </c>
    </row>
    <row r="510">
      <c r="A510" s="4" t="s">
        <v>1992</v>
      </c>
      <c r="B510" s="4" t="s">
        <v>1087</v>
      </c>
      <c r="C510" s="4">
        <v>509.0</v>
      </c>
      <c r="D510" s="54" t="s">
        <v>399</v>
      </c>
      <c r="E510" s="4" t="s">
        <v>1088</v>
      </c>
      <c r="F510" s="54" t="s">
        <v>534</v>
      </c>
      <c r="G510" s="54" t="s">
        <v>1120</v>
      </c>
      <c r="H510" s="54" t="s">
        <v>1121</v>
      </c>
      <c r="I510" s="54" t="s">
        <v>1122</v>
      </c>
      <c r="J510" s="54" t="s">
        <v>1123</v>
      </c>
      <c r="X510" s="55" t="str">
        <f t="shared" si="1"/>
        <v>#NAME?</v>
      </c>
    </row>
    <row r="511">
      <c r="A511" s="4" t="s">
        <v>1993</v>
      </c>
      <c r="B511" s="4" t="s">
        <v>1087</v>
      </c>
      <c r="C511" s="4">
        <v>510.0</v>
      </c>
      <c r="D511" s="54" t="s">
        <v>626</v>
      </c>
      <c r="E511" s="4" t="s">
        <v>1098</v>
      </c>
      <c r="F511" s="54" t="s">
        <v>534</v>
      </c>
      <c r="G511" s="54" t="s">
        <v>1170</v>
      </c>
      <c r="H511" s="54" t="s">
        <v>1171</v>
      </c>
      <c r="I511" s="54" t="s">
        <v>1172</v>
      </c>
      <c r="J511" s="54" t="s">
        <v>1173</v>
      </c>
      <c r="X511" s="55" t="str">
        <f t="shared" si="1"/>
        <v>#NAME?</v>
      </c>
    </row>
    <row r="512">
      <c r="A512" s="4" t="s">
        <v>1994</v>
      </c>
      <c r="B512" s="4" t="s">
        <v>1087</v>
      </c>
      <c r="C512" s="4">
        <v>511.0</v>
      </c>
      <c r="D512" s="54" t="s">
        <v>405</v>
      </c>
      <c r="E512" s="4" t="s">
        <v>1088</v>
      </c>
      <c r="F512" s="54" t="s">
        <v>534</v>
      </c>
      <c r="G512" s="54" t="s">
        <v>1125</v>
      </c>
      <c r="H512" s="54" t="s">
        <v>1126</v>
      </c>
      <c r="I512" s="54" t="s">
        <v>1127</v>
      </c>
      <c r="J512" s="54" t="s">
        <v>1125</v>
      </c>
      <c r="X512" s="55" t="str">
        <f t="shared" si="1"/>
        <v>#NAME?</v>
      </c>
    </row>
    <row r="513">
      <c r="A513" s="4" t="s">
        <v>1995</v>
      </c>
      <c r="B513" s="4" t="s">
        <v>1087</v>
      </c>
      <c r="C513" s="4">
        <v>512.0</v>
      </c>
      <c r="D513" s="54" t="s">
        <v>443</v>
      </c>
      <c r="E513" s="4" t="s">
        <v>1088</v>
      </c>
      <c r="F513" s="54" t="s">
        <v>534</v>
      </c>
      <c r="G513" s="54" t="s">
        <v>1134</v>
      </c>
      <c r="H513" s="54" t="s">
        <v>1135</v>
      </c>
      <c r="I513" s="54" t="s">
        <v>1118</v>
      </c>
      <c r="J513" s="54" t="s">
        <v>1123</v>
      </c>
      <c r="X513" s="55" t="str">
        <f t="shared" si="1"/>
        <v>#NAME?</v>
      </c>
    </row>
    <row r="514">
      <c r="A514" s="4" t="s">
        <v>1996</v>
      </c>
      <c r="B514" s="4" t="s">
        <v>1087</v>
      </c>
      <c r="C514" s="4">
        <v>513.0</v>
      </c>
      <c r="D514" s="54" t="s">
        <v>357</v>
      </c>
      <c r="E514" s="4" t="s">
        <v>1088</v>
      </c>
      <c r="F514" s="54" t="s">
        <v>534</v>
      </c>
      <c r="G514" s="54" t="s">
        <v>1137</v>
      </c>
      <c r="H514" s="54" t="s">
        <v>1138</v>
      </c>
      <c r="I514" s="54" t="s">
        <v>1139</v>
      </c>
      <c r="J514" s="54" t="s">
        <v>1140</v>
      </c>
      <c r="X514" s="55" t="str">
        <f t="shared" si="1"/>
        <v>#NAME?</v>
      </c>
    </row>
    <row r="515">
      <c r="A515" s="4" t="s">
        <v>1997</v>
      </c>
      <c r="B515" s="4" t="s">
        <v>1087</v>
      </c>
      <c r="C515" s="4">
        <v>514.0</v>
      </c>
      <c r="D515" s="54" t="s">
        <v>529</v>
      </c>
      <c r="E515" s="4" t="s">
        <v>1088</v>
      </c>
      <c r="F515" s="54" t="s">
        <v>534</v>
      </c>
      <c r="G515" s="54" t="s">
        <v>1142</v>
      </c>
      <c r="H515" s="54" t="s">
        <v>1143</v>
      </c>
      <c r="I515" s="54" t="s">
        <v>1140</v>
      </c>
      <c r="J515" s="54" t="s">
        <v>1144</v>
      </c>
      <c r="X515" s="55" t="str">
        <f t="shared" si="1"/>
        <v>#NAME?</v>
      </c>
    </row>
    <row r="516">
      <c r="A516" s="4" t="s">
        <v>1998</v>
      </c>
      <c r="B516" s="4" t="s">
        <v>1087</v>
      </c>
      <c r="C516" s="4">
        <v>515.0</v>
      </c>
      <c r="D516" s="54" t="s">
        <v>534</v>
      </c>
      <c r="E516" s="4" t="s">
        <v>1088</v>
      </c>
      <c r="F516" s="54" t="s">
        <v>534</v>
      </c>
      <c r="G516" s="54" t="s">
        <v>1117</v>
      </c>
      <c r="H516" s="54" t="s">
        <v>1139</v>
      </c>
      <c r="I516" s="54" t="s">
        <v>1135</v>
      </c>
      <c r="J516" s="54" t="s">
        <v>1139</v>
      </c>
      <c r="X516" s="55" t="str">
        <f t="shared" si="1"/>
        <v>#NAME?</v>
      </c>
    </row>
    <row r="517">
      <c r="A517" s="4" t="s">
        <v>1999</v>
      </c>
      <c r="B517" s="4" t="s">
        <v>1087</v>
      </c>
      <c r="C517" s="4">
        <v>516.0</v>
      </c>
      <c r="D517" s="54" t="s">
        <v>540</v>
      </c>
      <c r="E517" s="4" t="s">
        <v>1088</v>
      </c>
      <c r="F517" s="54" t="s">
        <v>534</v>
      </c>
      <c r="G517" s="54" t="s">
        <v>1135</v>
      </c>
      <c r="H517" s="54" t="s">
        <v>1147</v>
      </c>
      <c r="I517" s="54" t="s">
        <v>1135</v>
      </c>
      <c r="J517" s="54" t="s">
        <v>1148</v>
      </c>
      <c r="X517" s="55" t="str">
        <f t="shared" si="1"/>
        <v>#NAME?</v>
      </c>
    </row>
    <row r="518">
      <c r="A518" s="4" t="s">
        <v>2000</v>
      </c>
      <c r="B518" s="4" t="s">
        <v>1087</v>
      </c>
      <c r="C518" s="4">
        <v>517.0</v>
      </c>
      <c r="D518" s="54" t="s">
        <v>546</v>
      </c>
      <c r="E518" s="4" t="s">
        <v>1088</v>
      </c>
      <c r="F518" s="54" t="s">
        <v>534</v>
      </c>
      <c r="G518" s="54" t="s">
        <v>1150</v>
      </c>
      <c r="H518" s="54" t="s">
        <v>1151</v>
      </c>
      <c r="I518" s="54" t="s">
        <v>1152</v>
      </c>
      <c r="J518" s="54" t="s">
        <v>1123</v>
      </c>
      <c r="X518" s="55" t="str">
        <f t="shared" si="1"/>
        <v>#NAME?</v>
      </c>
    </row>
    <row r="519">
      <c r="A519" s="54" t="s">
        <v>2001</v>
      </c>
      <c r="B519" s="4" t="s">
        <v>1087</v>
      </c>
      <c r="C519" s="4">
        <v>518.0</v>
      </c>
      <c r="D519" s="54" t="s">
        <v>546</v>
      </c>
      <c r="E519" s="4" t="s">
        <v>1088</v>
      </c>
      <c r="F519" s="54" t="s">
        <v>534</v>
      </c>
      <c r="G519" s="54" t="s">
        <v>1154</v>
      </c>
      <c r="H519" s="54" t="s">
        <v>1155</v>
      </c>
      <c r="I519" s="54" t="s">
        <v>1156</v>
      </c>
      <c r="J519" s="54" t="s">
        <v>1110</v>
      </c>
      <c r="X519" s="55" t="str">
        <f t="shared" si="1"/>
        <v>#NAME?</v>
      </c>
    </row>
    <row r="520">
      <c r="A520" s="4" t="s">
        <v>2002</v>
      </c>
      <c r="B520" s="4" t="s">
        <v>1087</v>
      </c>
      <c r="C520" s="4">
        <v>519.0</v>
      </c>
      <c r="D520" s="54" t="s">
        <v>573</v>
      </c>
      <c r="E520" s="4" t="s">
        <v>1088</v>
      </c>
      <c r="F520" s="54" t="s">
        <v>534</v>
      </c>
      <c r="G520" s="54" t="s">
        <v>1158</v>
      </c>
      <c r="H520" s="54" t="s">
        <v>1159</v>
      </c>
      <c r="I520" s="54" t="s">
        <v>1160</v>
      </c>
      <c r="J520" s="54" t="s">
        <v>1161</v>
      </c>
      <c r="X520" s="55" t="str">
        <f t="shared" si="1"/>
        <v>#NAME?</v>
      </c>
    </row>
    <row r="521">
      <c r="A521" s="4" t="s">
        <v>2003</v>
      </c>
      <c r="B521" s="4" t="s">
        <v>1087</v>
      </c>
      <c r="C521" s="4">
        <v>520.0</v>
      </c>
      <c r="D521" s="54" t="s">
        <v>573</v>
      </c>
      <c r="E521" s="4" t="s">
        <v>1088</v>
      </c>
      <c r="F521" s="54" t="s">
        <v>534</v>
      </c>
      <c r="G521" s="54" t="s">
        <v>1090</v>
      </c>
      <c r="H521" s="54" t="s">
        <v>1163</v>
      </c>
      <c r="I521" s="54" t="s">
        <v>1150</v>
      </c>
      <c r="J521" s="54" t="s">
        <v>1118</v>
      </c>
      <c r="X521" s="55" t="str">
        <f t="shared" si="1"/>
        <v>#NAME?</v>
      </c>
    </row>
    <row r="522">
      <c r="A522" s="4" t="s">
        <v>2004</v>
      </c>
      <c r="B522" s="4" t="s">
        <v>1087</v>
      </c>
      <c r="C522" s="4">
        <v>521.0</v>
      </c>
      <c r="D522" s="54" t="s">
        <v>449</v>
      </c>
      <c r="E522" s="4" t="s">
        <v>1088</v>
      </c>
      <c r="F522" s="54" t="s">
        <v>534</v>
      </c>
      <c r="G522" s="54" t="s">
        <v>1129</v>
      </c>
      <c r="H522" s="54" t="s">
        <v>1130</v>
      </c>
      <c r="I522" s="54" t="s">
        <v>1131</v>
      </c>
      <c r="J522" s="54" t="s">
        <v>1132</v>
      </c>
      <c r="X522" s="55" t="str">
        <f t="shared" si="1"/>
        <v>#NAME?</v>
      </c>
    </row>
    <row r="523">
      <c r="A523" s="4" t="s">
        <v>2005</v>
      </c>
      <c r="B523" s="4" t="s">
        <v>1087</v>
      </c>
      <c r="C523" s="4">
        <v>522.0</v>
      </c>
      <c r="D523" s="4" t="s">
        <v>1421</v>
      </c>
      <c r="E523" s="4" t="s">
        <v>1088</v>
      </c>
      <c r="F523" s="54" t="s">
        <v>534</v>
      </c>
      <c r="G523" s="54" t="s">
        <v>1139</v>
      </c>
      <c r="H523" s="54" t="s">
        <v>1134</v>
      </c>
      <c r="I523" s="54" t="s">
        <v>1405</v>
      </c>
      <c r="J523" s="54" t="s">
        <v>1150</v>
      </c>
      <c r="X523" s="55" t="str">
        <f t="shared" si="1"/>
        <v>#NAME?</v>
      </c>
    </row>
    <row r="524">
      <c r="A524" s="4" t="s">
        <v>2006</v>
      </c>
      <c r="B524" s="4" t="s">
        <v>1087</v>
      </c>
      <c r="C524" s="4">
        <v>523.0</v>
      </c>
      <c r="D524" s="54" t="s">
        <v>809</v>
      </c>
      <c r="E524" s="4" t="s">
        <v>1251</v>
      </c>
      <c r="F524" s="54" t="s">
        <v>534</v>
      </c>
      <c r="G524" s="54" t="s">
        <v>1252</v>
      </c>
      <c r="H524" s="54" t="s">
        <v>1253</v>
      </c>
      <c r="I524" s="54" t="s">
        <v>1173</v>
      </c>
      <c r="J524" s="54" t="s">
        <v>1254</v>
      </c>
      <c r="X524" s="55" t="str">
        <f t="shared" si="1"/>
        <v>#NAME?</v>
      </c>
    </row>
    <row r="525">
      <c r="A525" s="4" t="s">
        <v>2007</v>
      </c>
      <c r="B525" s="4" t="s">
        <v>1087</v>
      </c>
      <c r="C525" s="4">
        <v>524.0</v>
      </c>
      <c r="D525" s="4" t="s">
        <v>1261</v>
      </c>
      <c r="E525" s="4" t="s">
        <v>1251</v>
      </c>
      <c r="F525" s="54" t="s">
        <v>534</v>
      </c>
      <c r="G525" s="54" t="s">
        <v>1262</v>
      </c>
      <c r="H525" s="54" t="s">
        <v>1263</v>
      </c>
      <c r="I525" s="54" t="s">
        <v>1264</v>
      </c>
      <c r="J525" s="54" t="s">
        <v>1265</v>
      </c>
      <c r="X525" s="55" t="str">
        <f t="shared" si="1"/>
        <v>#NAME?</v>
      </c>
    </row>
    <row r="526">
      <c r="A526" s="4" t="s">
        <v>2008</v>
      </c>
      <c r="B526" s="4" t="s">
        <v>1087</v>
      </c>
      <c r="C526" s="4">
        <v>525.0</v>
      </c>
      <c r="D526" s="4" t="s">
        <v>1363</v>
      </c>
      <c r="E526" s="4" t="s">
        <v>1251</v>
      </c>
      <c r="F526" s="54" t="s">
        <v>534</v>
      </c>
      <c r="G526" s="54" t="s">
        <v>1364</v>
      </c>
      <c r="H526" s="54" t="s">
        <v>1264</v>
      </c>
      <c r="I526" s="54" t="s">
        <v>1365</v>
      </c>
      <c r="J526" s="54" t="s">
        <v>1366</v>
      </c>
      <c r="X526" s="55" t="str">
        <f t="shared" si="1"/>
        <v>#NAME?</v>
      </c>
    </row>
    <row r="527">
      <c r="A527" s="4" t="s">
        <v>2009</v>
      </c>
      <c r="B527" s="4" t="s">
        <v>1087</v>
      </c>
      <c r="C527" s="4">
        <v>526.0</v>
      </c>
      <c r="D527" s="4" t="s">
        <v>1368</v>
      </c>
      <c r="E527" s="4" t="s">
        <v>1088</v>
      </c>
      <c r="F527" s="54" t="s">
        <v>357</v>
      </c>
      <c r="G527" s="54" t="s">
        <v>1292</v>
      </c>
      <c r="H527" s="54" t="s">
        <v>1337</v>
      </c>
      <c r="I527" s="54" t="s">
        <v>1288</v>
      </c>
      <c r="J527" s="54" t="s">
        <v>1292</v>
      </c>
      <c r="X527" s="55" t="str">
        <f t="shared" si="1"/>
        <v>#NAME?</v>
      </c>
    </row>
    <row r="528">
      <c r="A528" s="4" t="s">
        <v>2010</v>
      </c>
      <c r="B528" s="4" t="s">
        <v>1087</v>
      </c>
      <c r="C528" s="4">
        <v>527.0</v>
      </c>
      <c r="D528" s="4" t="s">
        <v>1370</v>
      </c>
      <c r="E528" s="4" t="s">
        <v>1088</v>
      </c>
      <c r="F528" s="54" t="s">
        <v>357</v>
      </c>
      <c r="G528" s="54" t="s">
        <v>1287</v>
      </c>
      <c r="H528" s="54" t="s">
        <v>1293</v>
      </c>
      <c r="I528" s="54" t="s">
        <v>1292</v>
      </c>
      <c r="J528" s="54" t="s">
        <v>1288</v>
      </c>
      <c r="X528" s="55" t="str">
        <f t="shared" si="1"/>
        <v>#NAME?</v>
      </c>
    </row>
    <row r="529">
      <c r="A529" s="4" t="s">
        <v>2011</v>
      </c>
      <c r="B529" s="4" t="s">
        <v>1087</v>
      </c>
      <c r="C529" s="4">
        <v>528.0</v>
      </c>
      <c r="D529" s="4" t="s">
        <v>1372</v>
      </c>
      <c r="E529" s="4" t="s">
        <v>1251</v>
      </c>
      <c r="F529" s="54" t="s">
        <v>357</v>
      </c>
      <c r="G529" s="54" t="s">
        <v>1194</v>
      </c>
      <c r="H529" s="54" t="s">
        <v>1192</v>
      </c>
      <c r="I529" s="54" t="s">
        <v>1349</v>
      </c>
      <c r="J529" s="54" t="s">
        <v>1373</v>
      </c>
      <c r="X529" s="55" t="str">
        <f t="shared" si="1"/>
        <v>#NAME?</v>
      </c>
    </row>
    <row r="530">
      <c r="A530" s="4" t="s">
        <v>2012</v>
      </c>
      <c r="B530" s="4" t="s">
        <v>1087</v>
      </c>
      <c r="C530" s="4">
        <v>529.0</v>
      </c>
      <c r="D530" s="4" t="s">
        <v>1375</v>
      </c>
      <c r="E530" s="4" t="s">
        <v>1251</v>
      </c>
      <c r="F530" s="54" t="s">
        <v>534</v>
      </c>
      <c r="G530" s="54" t="s">
        <v>1376</v>
      </c>
      <c r="H530" s="54" t="s">
        <v>1377</v>
      </c>
      <c r="I530" s="54" t="s">
        <v>1378</v>
      </c>
      <c r="J530" s="54" t="s">
        <v>1379</v>
      </c>
      <c r="X530" s="55" t="str">
        <f t="shared" si="1"/>
        <v>#NAME?</v>
      </c>
    </row>
    <row r="531">
      <c r="A531" s="4" t="s">
        <v>2013</v>
      </c>
      <c r="B531" s="4" t="s">
        <v>1087</v>
      </c>
      <c r="C531" s="4">
        <v>530.0</v>
      </c>
      <c r="D531" s="4" t="s">
        <v>1381</v>
      </c>
      <c r="E531" s="4" t="s">
        <v>1098</v>
      </c>
      <c r="F531" s="54" t="s">
        <v>534</v>
      </c>
      <c r="G531" s="54" t="s">
        <v>1382</v>
      </c>
      <c r="H531" s="54" t="s">
        <v>1274</v>
      </c>
      <c r="I531" s="54" t="s">
        <v>1147</v>
      </c>
      <c r="J531" s="54" t="s">
        <v>1383</v>
      </c>
      <c r="X531" s="55" t="str">
        <f t="shared" si="1"/>
        <v>#NAME?</v>
      </c>
    </row>
    <row r="532">
      <c r="A532" s="4" t="s">
        <v>2014</v>
      </c>
      <c r="B532" s="4" t="s">
        <v>1087</v>
      </c>
      <c r="C532" s="4">
        <v>531.0</v>
      </c>
      <c r="D532" s="4" t="s">
        <v>1385</v>
      </c>
      <c r="E532" s="4" t="s">
        <v>1098</v>
      </c>
      <c r="F532" s="54" t="s">
        <v>534</v>
      </c>
      <c r="G532" s="54" t="s">
        <v>1121</v>
      </c>
      <c r="H532" s="54" t="s">
        <v>1274</v>
      </c>
      <c r="I532" s="54" t="s">
        <v>1122</v>
      </c>
      <c r="J532" s="54" t="s">
        <v>1360</v>
      </c>
      <c r="X532" s="55" t="str">
        <f t="shared" si="1"/>
        <v>#NAME?</v>
      </c>
    </row>
    <row r="533">
      <c r="A533" s="4" t="s">
        <v>2015</v>
      </c>
      <c r="B533" s="4" t="s">
        <v>1087</v>
      </c>
      <c r="C533" s="4">
        <v>532.0</v>
      </c>
      <c r="D533" s="4" t="s">
        <v>1387</v>
      </c>
      <c r="E533" s="4" t="s">
        <v>1098</v>
      </c>
      <c r="F533" s="54" t="s">
        <v>534</v>
      </c>
      <c r="G533" s="54" t="s">
        <v>1148</v>
      </c>
      <c r="H533" s="54" t="s">
        <v>1309</v>
      </c>
      <c r="I533" s="54" t="s">
        <v>1139</v>
      </c>
      <c r="J533" s="54" t="s">
        <v>1308</v>
      </c>
      <c r="X533" s="55" t="str">
        <f t="shared" si="1"/>
        <v>#NAME?</v>
      </c>
    </row>
    <row r="534">
      <c r="A534" s="4" t="s">
        <v>2016</v>
      </c>
      <c r="B534" s="4" t="s">
        <v>1087</v>
      </c>
      <c r="C534" s="4">
        <v>533.0</v>
      </c>
      <c r="D534" s="4" t="s">
        <v>1389</v>
      </c>
      <c r="E534" s="4" t="s">
        <v>1088</v>
      </c>
      <c r="F534" s="54" t="s">
        <v>534</v>
      </c>
      <c r="G534" s="54" t="s">
        <v>1122</v>
      </c>
      <c r="H534" s="54" t="s">
        <v>1390</v>
      </c>
      <c r="I534" s="54" t="s">
        <v>1391</v>
      </c>
      <c r="J534" s="54" t="s">
        <v>1340</v>
      </c>
      <c r="X534" s="55" t="str">
        <f t="shared" si="1"/>
        <v>#NAME?</v>
      </c>
    </row>
    <row r="535">
      <c r="A535" s="4" t="s">
        <v>2017</v>
      </c>
      <c r="B535" s="4" t="s">
        <v>1087</v>
      </c>
      <c r="C535" s="4">
        <v>534.0</v>
      </c>
      <c r="D535" s="4" t="s">
        <v>1358</v>
      </c>
      <c r="E535" s="4" t="s">
        <v>1251</v>
      </c>
      <c r="F535" s="54" t="s">
        <v>357</v>
      </c>
      <c r="G535" s="54" t="s">
        <v>1359</v>
      </c>
      <c r="H535" s="54" t="s">
        <v>1200</v>
      </c>
      <c r="I535" s="54" t="s">
        <v>1360</v>
      </c>
      <c r="J535" s="54" t="s">
        <v>1361</v>
      </c>
      <c r="X535" s="55" t="str">
        <f t="shared" si="1"/>
        <v>#NAME?</v>
      </c>
    </row>
    <row r="536">
      <c r="A536" s="4" t="s">
        <v>2018</v>
      </c>
      <c r="B536" s="4" t="s">
        <v>1087</v>
      </c>
      <c r="C536" s="4">
        <v>535.0</v>
      </c>
      <c r="D536" s="4" t="s">
        <v>1393</v>
      </c>
      <c r="E536" s="4" t="s">
        <v>1088</v>
      </c>
      <c r="F536" s="54" t="s">
        <v>534</v>
      </c>
      <c r="G536" s="54" t="s">
        <v>1147</v>
      </c>
      <c r="H536" s="54" t="s">
        <v>1340</v>
      </c>
      <c r="I536" s="54" t="s">
        <v>1394</v>
      </c>
      <c r="J536" s="54" t="s">
        <v>1275</v>
      </c>
      <c r="X536" s="55" t="str">
        <f t="shared" si="1"/>
        <v>#NAME?</v>
      </c>
    </row>
    <row r="537">
      <c r="A537" s="4" t="s">
        <v>2019</v>
      </c>
      <c r="B537" s="4" t="s">
        <v>1087</v>
      </c>
      <c r="C537" s="4">
        <v>536.0</v>
      </c>
      <c r="D537" s="4" t="s">
        <v>1400</v>
      </c>
      <c r="E537" s="4" t="s">
        <v>1397</v>
      </c>
      <c r="F537" s="54" t="s">
        <v>534</v>
      </c>
      <c r="G537" s="54" t="s">
        <v>1152</v>
      </c>
      <c r="H537" s="54" t="s">
        <v>1275</v>
      </c>
      <c r="I537" s="54" t="s">
        <v>1148</v>
      </c>
      <c r="J537" s="54" t="s">
        <v>1318</v>
      </c>
      <c r="X537" s="55" t="str">
        <f t="shared" si="1"/>
        <v>#NAME?</v>
      </c>
    </row>
    <row r="538">
      <c r="A538" s="4" t="s">
        <v>2020</v>
      </c>
      <c r="B538" s="4" t="s">
        <v>1087</v>
      </c>
      <c r="C538" s="4">
        <v>537.0</v>
      </c>
      <c r="D538" s="4" t="s">
        <v>1402</v>
      </c>
      <c r="E538" s="4" t="s">
        <v>1397</v>
      </c>
      <c r="F538" s="54" t="s">
        <v>534</v>
      </c>
      <c r="G538" s="54" t="s">
        <v>1275</v>
      </c>
      <c r="H538" s="54" t="s">
        <v>1275</v>
      </c>
      <c r="I538" s="54" t="s">
        <v>1116</v>
      </c>
      <c r="J538" s="54" t="s">
        <v>1121</v>
      </c>
      <c r="X538" s="55" t="str">
        <f t="shared" si="1"/>
        <v>#NAME?</v>
      </c>
    </row>
    <row r="539">
      <c r="A539" s="4" t="s">
        <v>2021</v>
      </c>
      <c r="B539" s="4" t="s">
        <v>1087</v>
      </c>
      <c r="C539" s="4">
        <v>538.0</v>
      </c>
      <c r="D539" s="4" t="s">
        <v>1404</v>
      </c>
      <c r="E539" s="4" t="s">
        <v>1088</v>
      </c>
      <c r="F539" s="54" t="s">
        <v>534</v>
      </c>
      <c r="G539" s="54" t="s">
        <v>1275</v>
      </c>
      <c r="H539" s="54" t="s">
        <v>1343</v>
      </c>
      <c r="I539" s="54" t="s">
        <v>1343</v>
      </c>
      <c r="J539" s="54" t="s">
        <v>1405</v>
      </c>
      <c r="X539" s="55" t="str">
        <f t="shared" si="1"/>
        <v>#NAME?</v>
      </c>
    </row>
    <row r="540">
      <c r="A540" s="4" t="s">
        <v>2022</v>
      </c>
      <c r="B540" s="4" t="s">
        <v>1087</v>
      </c>
      <c r="C540" s="4">
        <v>539.0</v>
      </c>
      <c r="D540" s="4" t="s">
        <v>1407</v>
      </c>
      <c r="E540" s="4" t="s">
        <v>1088</v>
      </c>
      <c r="F540" s="54" t="s">
        <v>534</v>
      </c>
      <c r="G540" s="54" t="s">
        <v>1116</v>
      </c>
      <c r="H540" s="54" t="s">
        <v>1123</v>
      </c>
      <c r="I540" s="54" t="s">
        <v>1147</v>
      </c>
      <c r="J540" s="54" t="s">
        <v>1303</v>
      </c>
      <c r="X540" s="55" t="str">
        <f t="shared" si="1"/>
        <v>#NAME?</v>
      </c>
    </row>
    <row r="541">
      <c r="A541" s="4" t="s">
        <v>2023</v>
      </c>
      <c r="B541" s="4" t="s">
        <v>1087</v>
      </c>
      <c r="C541" s="4">
        <v>540.0</v>
      </c>
      <c r="D541" s="4" t="s">
        <v>1409</v>
      </c>
      <c r="E541" s="4" t="s">
        <v>1088</v>
      </c>
      <c r="F541" s="54" t="s">
        <v>534</v>
      </c>
      <c r="G541" s="54" t="s">
        <v>1115</v>
      </c>
      <c r="H541" s="54" t="s">
        <v>1115</v>
      </c>
      <c r="I541" s="54" t="s">
        <v>1405</v>
      </c>
      <c r="J541" s="54" t="s">
        <v>1340</v>
      </c>
      <c r="X541" s="55" t="str">
        <f t="shared" si="1"/>
        <v>#NAME?</v>
      </c>
    </row>
    <row r="542">
      <c r="A542" s="4" t="s">
        <v>2024</v>
      </c>
      <c r="B542" s="4" t="s">
        <v>1087</v>
      </c>
      <c r="C542" s="4">
        <v>541.0</v>
      </c>
      <c r="D542" s="4" t="s">
        <v>1411</v>
      </c>
      <c r="E542" s="4" t="s">
        <v>1088</v>
      </c>
      <c r="F542" s="54" t="s">
        <v>534</v>
      </c>
      <c r="G542" s="54" t="s">
        <v>1170</v>
      </c>
      <c r="H542" s="54" t="s">
        <v>1219</v>
      </c>
      <c r="I542" s="54" t="s">
        <v>1154</v>
      </c>
      <c r="J542" s="54" t="s">
        <v>1216</v>
      </c>
      <c r="X542" s="55" t="str">
        <f t="shared" si="1"/>
        <v>#NAME?</v>
      </c>
    </row>
    <row r="543">
      <c r="A543" s="4" t="s">
        <v>2025</v>
      </c>
      <c r="B543" s="4" t="s">
        <v>1087</v>
      </c>
      <c r="C543" s="4">
        <v>542.0</v>
      </c>
      <c r="D543" s="4" t="s">
        <v>1411</v>
      </c>
      <c r="E543" s="4" t="s">
        <v>1088</v>
      </c>
      <c r="F543" s="54" t="s">
        <v>534</v>
      </c>
      <c r="G543" s="54" t="s">
        <v>1170</v>
      </c>
      <c r="H543" s="54" t="s">
        <v>1159</v>
      </c>
      <c r="I543" s="54" t="s">
        <v>1413</v>
      </c>
      <c r="J543" s="54" t="s">
        <v>1093</v>
      </c>
      <c r="X543" s="55" t="str">
        <f t="shared" si="1"/>
        <v>#NAME?</v>
      </c>
    </row>
    <row r="544">
      <c r="A544" s="4" t="s">
        <v>2026</v>
      </c>
      <c r="B544" s="4" t="s">
        <v>1087</v>
      </c>
      <c r="C544" s="4">
        <v>543.0</v>
      </c>
      <c r="D544" s="4" t="s">
        <v>1411</v>
      </c>
      <c r="E544" s="4" t="s">
        <v>1088</v>
      </c>
      <c r="F544" s="54" t="s">
        <v>534</v>
      </c>
      <c r="G544" s="54" t="s">
        <v>1093</v>
      </c>
      <c r="H544" s="54" t="s">
        <v>1093</v>
      </c>
      <c r="I544" s="54" t="s">
        <v>1111</v>
      </c>
      <c r="J544" s="54" t="s">
        <v>1160</v>
      </c>
      <c r="X544" s="55" t="str">
        <f t="shared" si="1"/>
        <v>#NAME?</v>
      </c>
    </row>
    <row r="545">
      <c r="A545" s="4" t="s">
        <v>2027</v>
      </c>
      <c r="B545" s="4" t="s">
        <v>1087</v>
      </c>
      <c r="C545" s="4">
        <v>544.0</v>
      </c>
      <c r="D545" s="4" t="s">
        <v>1416</v>
      </c>
      <c r="E545" s="4" t="s">
        <v>1088</v>
      </c>
      <c r="F545" s="54" t="s">
        <v>534</v>
      </c>
      <c r="G545" s="54" t="s">
        <v>1093</v>
      </c>
      <c r="H545" s="54" t="s">
        <v>1154</v>
      </c>
      <c r="I545" s="54" t="s">
        <v>1236</v>
      </c>
      <c r="J545" s="54" t="s">
        <v>1417</v>
      </c>
      <c r="X545" s="55" t="str">
        <f t="shared" si="1"/>
        <v>#NAME?</v>
      </c>
    </row>
    <row r="546">
      <c r="A546" s="4" t="s">
        <v>2028</v>
      </c>
      <c r="B546" s="4" t="s">
        <v>1087</v>
      </c>
      <c r="C546" s="4">
        <v>545.0</v>
      </c>
      <c r="D546" s="4" t="s">
        <v>1396</v>
      </c>
      <c r="E546" s="4" t="s">
        <v>1397</v>
      </c>
      <c r="F546" s="54" t="s">
        <v>534</v>
      </c>
      <c r="G546" s="54" t="s">
        <v>1148</v>
      </c>
      <c r="H546" s="54" t="s">
        <v>1398</v>
      </c>
      <c r="I546" s="54" t="s">
        <v>1151</v>
      </c>
      <c r="J546" s="54" t="s">
        <v>1115</v>
      </c>
      <c r="X546" s="55" t="str">
        <f t="shared" si="1"/>
        <v>#NAME?</v>
      </c>
    </row>
    <row r="547">
      <c r="A547" s="4" t="s">
        <v>2029</v>
      </c>
      <c r="B547" s="4" t="s">
        <v>1087</v>
      </c>
      <c r="C547" s="4">
        <v>546.0</v>
      </c>
      <c r="D547" s="54" t="s">
        <v>481</v>
      </c>
      <c r="E547" s="4" t="s">
        <v>1251</v>
      </c>
      <c r="F547" s="54" t="s">
        <v>357</v>
      </c>
      <c r="G547" s="54" t="s">
        <v>1256</v>
      </c>
      <c r="H547" s="54" t="s">
        <v>1257</v>
      </c>
      <c r="I547" s="54" t="s">
        <v>1258</v>
      </c>
      <c r="J547" s="54" t="s">
        <v>1259</v>
      </c>
      <c r="X547" s="55" t="str">
        <f t="shared" si="1"/>
        <v>#NAME?</v>
      </c>
    </row>
    <row r="548">
      <c r="A548" s="4" t="s">
        <v>2030</v>
      </c>
      <c r="B548" s="4" t="s">
        <v>1087</v>
      </c>
      <c r="C548" s="4">
        <v>547.0</v>
      </c>
      <c r="D548" s="4" t="s">
        <v>1355</v>
      </c>
      <c r="E548" s="4" t="s">
        <v>1088</v>
      </c>
      <c r="F548" s="54" t="s">
        <v>357</v>
      </c>
      <c r="G548" s="54" t="s">
        <v>1356</v>
      </c>
      <c r="H548" s="54" t="s">
        <v>1244</v>
      </c>
      <c r="I548" s="54" t="s">
        <v>1244</v>
      </c>
      <c r="J548" s="54" t="s">
        <v>1244</v>
      </c>
      <c r="X548" s="55" t="str">
        <f t="shared" si="1"/>
        <v>#NAME?</v>
      </c>
    </row>
    <row r="549">
      <c r="A549" s="4" t="s">
        <v>2031</v>
      </c>
      <c r="B549" s="4" t="s">
        <v>1087</v>
      </c>
      <c r="C549" s="4">
        <v>548.0</v>
      </c>
      <c r="D549" s="4" t="s">
        <v>1348</v>
      </c>
      <c r="E549" s="4" t="s">
        <v>1098</v>
      </c>
      <c r="F549" s="54" t="s">
        <v>357</v>
      </c>
      <c r="G549" s="54" t="s">
        <v>1134</v>
      </c>
      <c r="H549" s="54" t="s">
        <v>1349</v>
      </c>
      <c r="I549" s="54" t="s">
        <v>1350</v>
      </c>
      <c r="J549" s="54" t="s">
        <v>1351</v>
      </c>
      <c r="X549" s="55" t="str">
        <f t="shared" si="1"/>
        <v>#NAME?</v>
      </c>
    </row>
    <row r="550">
      <c r="A550" s="4" t="s">
        <v>2032</v>
      </c>
      <c r="B550" s="4" t="s">
        <v>1087</v>
      </c>
      <c r="C550" s="4">
        <v>549.0</v>
      </c>
      <c r="D550" s="4" t="s">
        <v>1267</v>
      </c>
      <c r="E550" s="4" t="s">
        <v>1251</v>
      </c>
      <c r="F550" s="54" t="s">
        <v>357</v>
      </c>
      <c r="G550" s="54" t="s">
        <v>1200</v>
      </c>
      <c r="H550" s="54" t="s">
        <v>1099</v>
      </c>
      <c r="I550" s="54" t="s">
        <v>1099</v>
      </c>
      <c r="J550" s="54" t="s">
        <v>1253</v>
      </c>
      <c r="X550" s="55" t="str">
        <f t="shared" si="1"/>
        <v>#NAME?</v>
      </c>
    </row>
    <row r="551">
      <c r="A551" s="4" t="s">
        <v>2033</v>
      </c>
      <c r="B551" s="4" t="s">
        <v>1087</v>
      </c>
      <c r="C551" s="4">
        <v>550.0</v>
      </c>
      <c r="D551" s="4" t="s">
        <v>1269</v>
      </c>
      <c r="E551" s="4" t="s">
        <v>1088</v>
      </c>
      <c r="F551" s="54" t="s">
        <v>357</v>
      </c>
      <c r="G551" s="54" t="s">
        <v>1215</v>
      </c>
      <c r="H551" s="54" t="s">
        <v>1100</v>
      </c>
      <c r="I551" s="54" t="s">
        <v>1176</v>
      </c>
      <c r="J551" s="54" t="s">
        <v>1235</v>
      </c>
      <c r="X551" s="55" t="str">
        <f t="shared" si="1"/>
        <v>#NAME?</v>
      </c>
    </row>
    <row r="552">
      <c r="A552" s="4" t="s">
        <v>2034</v>
      </c>
      <c r="B552" s="4" t="s">
        <v>1087</v>
      </c>
      <c r="C552" s="4">
        <v>551.0</v>
      </c>
      <c r="D552" s="4" t="s">
        <v>1271</v>
      </c>
      <c r="E552" s="4" t="s">
        <v>1088</v>
      </c>
      <c r="F552" s="54" t="s">
        <v>357</v>
      </c>
      <c r="G552" s="54" t="s">
        <v>1156</v>
      </c>
      <c r="H552" s="54" t="s">
        <v>1156</v>
      </c>
      <c r="I552" s="54" t="s">
        <v>1100</v>
      </c>
      <c r="J552" s="54" t="s">
        <v>1176</v>
      </c>
      <c r="X552" s="55" t="str">
        <f t="shared" si="1"/>
        <v>#NAME?</v>
      </c>
    </row>
    <row r="553">
      <c r="A553" s="54" t="s">
        <v>2035</v>
      </c>
      <c r="B553" s="4" t="s">
        <v>1087</v>
      </c>
      <c r="C553" s="4">
        <v>552.0</v>
      </c>
      <c r="D553" s="4" t="s">
        <v>1273</v>
      </c>
      <c r="E553" s="4" t="s">
        <v>1098</v>
      </c>
      <c r="F553" s="54" t="s">
        <v>357</v>
      </c>
      <c r="G553" s="54" t="s">
        <v>1120</v>
      </c>
      <c r="H553" s="54" t="s">
        <v>1274</v>
      </c>
      <c r="I553" s="54" t="s">
        <v>1275</v>
      </c>
      <c r="J553" s="54" t="s">
        <v>1276</v>
      </c>
      <c r="X553" s="55" t="str">
        <f t="shared" si="1"/>
        <v>#NAME?</v>
      </c>
    </row>
    <row r="554">
      <c r="A554" s="4" t="s">
        <v>2036</v>
      </c>
      <c r="B554" s="4" t="s">
        <v>1087</v>
      </c>
      <c r="C554" s="4">
        <v>553.0</v>
      </c>
      <c r="D554" s="4" t="s">
        <v>1278</v>
      </c>
      <c r="E554" s="4" t="s">
        <v>1098</v>
      </c>
      <c r="F554" s="54" t="s">
        <v>357</v>
      </c>
      <c r="G554" s="54" t="s">
        <v>1279</v>
      </c>
      <c r="H554" s="54" t="s">
        <v>1280</v>
      </c>
      <c r="I554" s="54" t="s">
        <v>1121</v>
      </c>
      <c r="J554" s="54" t="s">
        <v>1276</v>
      </c>
      <c r="X554" s="55" t="str">
        <f t="shared" si="1"/>
        <v>#NAME?</v>
      </c>
    </row>
    <row r="555">
      <c r="A555" s="4" t="s">
        <v>2037</v>
      </c>
      <c r="B555" s="4" t="s">
        <v>1087</v>
      </c>
      <c r="C555" s="4">
        <v>554.0</v>
      </c>
      <c r="D555" s="4" t="s">
        <v>1282</v>
      </c>
      <c r="E555" s="4" t="s">
        <v>1098</v>
      </c>
      <c r="F555" s="54" t="s">
        <v>357</v>
      </c>
      <c r="G555" s="54" t="s">
        <v>1283</v>
      </c>
      <c r="H555" s="54" t="s">
        <v>1284</v>
      </c>
      <c r="I555" s="54" t="s">
        <v>1151</v>
      </c>
      <c r="J555" s="54" t="s">
        <v>1144</v>
      </c>
      <c r="X555" s="55" t="str">
        <f t="shared" si="1"/>
        <v>#NAME?</v>
      </c>
    </row>
    <row r="556">
      <c r="A556" s="4" t="s">
        <v>2038</v>
      </c>
      <c r="B556" s="4" t="s">
        <v>1087</v>
      </c>
      <c r="C556" s="4">
        <v>555.0</v>
      </c>
      <c r="D556" s="4" t="s">
        <v>1286</v>
      </c>
      <c r="E556" s="4" t="s">
        <v>1088</v>
      </c>
      <c r="F556" s="54" t="s">
        <v>357</v>
      </c>
      <c r="G556" s="54" t="s">
        <v>1287</v>
      </c>
      <c r="H556" s="54" t="s">
        <v>1287</v>
      </c>
      <c r="I556" s="54" t="s">
        <v>1288</v>
      </c>
      <c r="J556" s="54" t="s">
        <v>1289</v>
      </c>
      <c r="X556" s="55" t="str">
        <f t="shared" si="1"/>
        <v>#NAME?</v>
      </c>
    </row>
    <row r="557">
      <c r="A557" s="4" t="s">
        <v>2039</v>
      </c>
      <c r="B557" s="4" t="s">
        <v>1087</v>
      </c>
      <c r="C557" s="4">
        <v>556.0</v>
      </c>
      <c r="D557" s="4" t="s">
        <v>1291</v>
      </c>
      <c r="E557" s="4" t="s">
        <v>1088</v>
      </c>
      <c r="F557" s="54" t="s">
        <v>357</v>
      </c>
      <c r="G557" s="54" t="s">
        <v>1292</v>
      </c>
      <c r="H557" s="54" t="s">
        <v>1205</v>
      </c>
      <c r="I557" s="54" t="s">
        <v>1292</v>
      </c>
      <c r="J557" s="54" t="s">
        <v>1293</v>
      </c>
      <c r="X557" s="55" t="str">
        <f t="shared" si="1"/>
        <v>#NAME?</v>
      </c>
    </row>
    <row r="558">
      <c r="A558" s="4" t="s">
        <v>2040</v>
      </c>
      <c r="B558" s="4" t="s">
        <v>1087</v>
      </c>
      <c r="C558" s="4">
        <v>557.0</v>
      </c>
      <c r="D558" s="4" t="s">
        <v>1295</v>
      </c>
      <c r="E558" s="4" t="s">
        <v>1296</v>
      </c>
      <c r="F558" s="54" t="s">
        <v>357</v>
      </c>
      <c r="G558" s="54" t="s">
        <v>1297</v>
      </c>
      <c r="H558" s="54" t="s">
        <v>1298</v>
      </c>
      <c r="I558" s="54" t="s">
        <v>1299</v>
      </c>
      <c r="J558" s="54" t="s">
        <v>1300</v>
      </c>
      <c r="X558" s="55" t="str">
        <f t="shared" si="1"/>
        <v>#NAME?</v>
      </c>
    </row>
    <row r="559">
      <c r="A559" s="4" t="s">
        <v>2041</v>
      </c>
      <c r="B559" s="4" t="s">
        <v>1087</v>
      </c>
      <c r="C559" s="4">
        <v>558.0</v>
      </c>
      <c r="D559" s="4" t="s">
        <v>1353</v>
      </c>
      <c r="E559" s="4" t="s">
        <v>1088</v>
      </c>
      <c r="F559" s="54" t="s">
        <v>357</v>
      </c>
      <c r="G559" s="54" t="s">
        <v>1186</v>
      </c>
      <c r="H559" s="54" t="s">
        <v>1179</v>
      </c>
      <c r="I559" s="54" t="s">
        <v>1183</v>
      </c>
      <c r="J559" s="54" t="s">
        <v>1183</v>
      </c>
      <c r="X559" s="55" t="str">
        <f t="shared" si="1"/>
        <v>#NAME?</v>
      </c>
    </row>
    <row r="560">
      <c r="A560" s="4" t="s">
        <v>2042</v>
      </c>
      <c r="B560" s="4" t="s">
        <v>1087</v>
      </c>
      <c r="C560" s="4">
        <v>559.0</v>
      </c>
      <c r="D560" s="4" t="s">
        <v>1302</v>
      </c>
      <c r="E560" s="4" t="s">
        <v>1296</v>
      </c>
      <c r="F560" s="54" t="s">
        <v>357</v>
      </c>
      <c r="G560" s="54" t="s">
        <v>1198</v>
      </c>
      <c r="H560" s="54" t="s">
        <v>1144</v>
      </c>
      <c r="I560" s="54" t="s">
        <v>1303</v>
      </c>
      <c r="J560" s="54" t="s">
        <v>1304</v>
      </c>
      <c r="X560" s="55" t="str">
        <f t="shared" si="1"/>
        <v>#NAME?</v>
      </c>
    </row>
    <row r="561">
      <c r="A561" s="4" t="s">
        <v>2043</v>
      </c>
      <c r="B561" s="4" t="s">
        <v>1087</v>
      </c>
      <c r="C561" s="4">
        <v>560.0</v>
      </c>
      <c r="D561" s="4" t="s">
        <v>1311</v>
      </c>
      <c r="E561" s="4" t="s">
        <v>1296</v>
      </c>
      <c r="F561" s="54" t="s">
        <v>357</v>
      </c>
      <c r="G561" s="54" t="s">
        <v>1312</v>
      </c>
      <c r="H561" s="54" t="s">
        <v>1313</v>
      </c>
      <c r="I561" s="54" t="s">
        <v>1127</v>
      </c>
      <c r="J561" s="54" t="s">
        <v>1314</v>
      </c>
      <c r="X561" s="55" t="str">
        <f t="shared" si="1"/>
        <v>#NAME?</v>
      </c>
    </row>
    <row r="562">
      <c r="A562" s="4" t="s">
        <v>2044</v>
      </c>
      <c r="B562" s="4" t="s">
        <v>1087</v>
      </c>
      <c r="C562" s="4">
        <v>561.0</v>
      </c>
      <c r="D562" s="4" t="s">
        <v>1316</v>
      </c>
      <c r="E562" s="4" t="s">
        <v>1296</v>
      </c>
      <c r="F562" s="54" t="s">
        <v>357</v>
      </c>
      <c r="G562" s="54" t="s">
        <v>1126</v>
      </c>
      <c r="H562" s="54" t="s">
        <v>1317</v>
      </c>
      <c r="I562" s="54" t="s">
        <v>1318</v>
      </c>
      <c r="J562" s="54" t="s">
        <v>1314</v>
      </c>
      <c r="X562" s="55" t="str">
        <f t="shared" si="1"/>
        <v>#NAME?</v>
      </c>
    </row>
    <row r="563">
      <c r="A563" s="4" t="s">
        <v>2045</v>
      </c>
      <c r="B563" s="4" t="s">
        <v>1087</v>
      </c>
      <c r="C563" s="4">
        <v>562.0</v>
      </c>
      <c r="D563" s="4" t="s">
        <v>1320</v>
      </c>
      <c r="E563" s="4" t="s">
        <v>1296</v>
      </c>
      <c r="F563" s="54" t="s">
        <v>357</v>
      </c>
      <c r="G563" s="54" t="s">
        <v>1196</v>
      </c>
      <c r="H563" s="54" t="s">
        <v>1321</v>
      </c>
      <c r="I563" s="54" t="s">
        <v>1192</v>
      </c>
      <c r="J563" s="54" t="s">
        <v>1322</v>
      </c>
      <c r="X563" s="55" t="str">
        <f t="shared" si="1"/>
        <v>#NAME?</v>
      </c>
    </row>
    <row r="564">
      <c r="A564" s="4" t="s">
        <v>2046</v>
      </c>
      <c r="B564" s="4" t="s">
        <v>1087</v>
      </c>
      <c r="C564" s="4">
        <v>563.0</v>
      </c>
      <c r="D564" s="4" t="s">
        <v>1324</v>
      </c>
      <c r="E564" s="4" t="s">
        <v>1296</v>
      </c>
      <c r="F564" s="54" t="s">
        <v>357</v>
      </c>
      <c r="G564" s="54" t="s">
        <v>1325</v>
      </c>
      <c r="H564" s="54" t="s">
        <v>1303</v>
      </c>
      <c r="I564" s="54" t="s">
        <v>1326</v>
      </c>
      <c r="J564" s="54" t="s">
        <v>1117</v>
      </c>
      <c r="X564" s="55" t="str">
        <f t="shared" si="1"/>
        <v>#NAME?</v>
      </c>
    </row>
    <row r="565">
      <c r="A565" s="4" t="s">
        <v>2047</v>
      </c>
      <c r="B565" s="4" t="s">
        <v>1087</v>
      </c>
      <c r="C565" s="4">
        <v>564.0</v>
      </c>
      <c r="D565" s="4" t="s">
        <v>1328</v>
      </c>
      <c r="E565" s="4" t="s">
        <v>1296</v>
      </c>
      <c r="F565" s="54" t="s">
        <v>357</v>
      </c>
      <c r="G565" s="54" t="s">
        <v>1329</v>
      </c>
      <c r="H565" s="54" t="s">
        <v>1330</v>
      </c>
      <c r="I565" s="54" t="s">
        <v>1331</v>
      </c>
      <c r="J565" s="54" t="s">
        <v>1125</v>
      </c>
      <c r="X565" s="55" t="str">
        <f t="shared" si="1"/>
        <v>#NAME?</v>
      </c>
    </row>
    <row r="566">
      <c r="A566" s="4" t="s">
        <v>2048</v>
      </c>
      <c r="B566" s="4" t="s">
        <v>1087</v>
      </c>
      <c r="C566" s="4">
        <v>565.0</v>
      </c>
      <c r="D566" s="4" t="s">
        <v>1333</v>
      </c>
      <c r="E566" s="4" t="s">
        <v>1088</v>
      </c>
      <c r="F566" s="54" t="s">
        <v>357</v>
      </c>
      <c r="G566" s="54" t="s">
        <v>1287</v>
      </c>
      <c r="H566" s="54" t="s">
        <v>1293</v>
      </c>
      <c r="I566" s="54" t="s">
        <v>1334</v>
      </c>
      <c r="J566" s="54" t="s">
        <v>1203</v>
      </c>
      <c r="X566" s="55" t="str">
        <f t="shared" si="1"/>
        <v>#NAME?</v>
      </c>
    </row>
    <row r="567">
      <c r="A567" s="4" t="s">
        <v>2049</v>
      </c>
      <c r="B567" s="4" t="s">
        <v>1087</v>
      </c>
      <c r="C567" s="4">
        <v>566.0</v>
      </c>
      <c r="D567" s="4" t="s">
        <v>1336</v>
      </c>
      <c r="E567" s="4" t="s">
        <v>1088</v>
      </c>
      <c r="F567" s="54" t="s">
        <v>357</v>
      </c>
      <c r="G567" s="54" t="s">
        <v>1292</v>
      </c>
      <c r="H567" s="54" t="s">
        <v>1334</v>
      </c>
      <c r="I567" s="54" t="s">
        <v>1337</v>
      </c>
      <c r="J567" s="54" t="s">
        <v>1292</v>
      </c>
      <c r="X567" s="55" t="str">
        <f t="shared" si="1"/>
        <v>#NAME?</v>
      </c>
    </row>
    <row r="568">
      <c r="A568" s="4" t="s">
        <v>2050</v>
      </c>
      <c r="B568" s="4" t="s">
        <v>1087</v>
      </c>
      <c r="C568" s="4">
        <v>567.0</v>
      </c>
      <c r="D568" s="4" t="s">
        <v>1339</v>
      </c>
      <c r="E568" s="4" t="s">
        <v>1098</v>
      </c>
      <c r="F568" s="54" t="s">
        <v>357</v>
      </c>
      <c r="G568" s="54" t="s">
        <v>1340</v>
      </c>
      <c r="H568" s="54" t="s">
        <v>1140</v>
      </c>
      <c r="I568" s="54" t="s">
        <v>1326</v>
      </c>
      <c r="J568" s="54" t="s">
        <v>1303</v>
      </c>
      <c r="X568" s="55" t="str">
        <f t="shared" si="1"/>
        <v>#NAME?</v>
      </c>
    </row>
    <row r="569">
      <c r="A569" s="4" t="s">
        <v>2051</v>
      </c>
      <c r="B569" s="4" t="s">
        <v>1087</v>
      </c>
      <c r="C569" s="4">
        <v>568.0</v>
      </c>
      <c r="D569" s="4" t="s">
        <v>1342</v>
      </c>
      <c r="E569" s="4" t="s">
        <v>1098</v>
      </c>
      <c r="F569" s="54" t="s">
        <v>357</v>
      </c>
      <c r="G569" s="54" t="s">
        <v>1343</v>
      </c>
      <c r="H569" s="54" t="s">
        <v>1344</v>
      </c>
      <c r="I569" s="54" t="s">
        <v>1345</v>
      </c>
      <c r="J569" s="54" t="s">
        <v>1346</v>
      </c>
      <c r="X569" s="55" t="str">
        <f t="shared" si="1"/>
        <v>#NAME?</v>
      </c>
    </row>
    <row r="570">
      <c r="A570" s="4" t="s">
        <v>2052</v>
      </c>
      <c r="B570" s="4" t="s">
        <v>1087</v>
      </c>
      <c r="C570" s="4">
        <v>569.0</v>
      </c>
      <c r="D570" s="4" t="s">
        <v>1306</v>
      </c>
      <c r="E570" s="4" t="s">
        <v>1296</v>
      </c>
      <c r="F570" s="54" t="s">
        <v>357</v>
      </c>
      <c r="G570" s="54" t="s">
        <v>1283</v>
      </c>
      <c r="H570" s="54" t="s">
        <v>1307</v>
      </c>
      <c r="I570" s="54" t="s">
        <v>1308</v>
      </c>
      <c r="J570" s="54" t="s">
        <v>1309</v>
      </c>
      <c r="X570" s="55" t="str">
        <f t="shared" si="1"/>
        <v>#NAME?</v>
      </c>
    </row>
    <row r="571">
      <c r="A571" s="4" t="s">
        <v>2053</v>
      </c>
      <c r="B571" s="4" t="s">
        <v>1087</v>
      </c>
      <c r="C571" s="4">
        <v>570.0</v>
      </c>
      <c r="D571" s="54" t="s">
        <v>1673</v>
      </c>
      <c r="E571" s="4" t="s">
        <v>1088</v>
      </c>
      <c r="F571" s="54" t="s">
        <v>357</v>
      </c>
      <c r="G571" s="54" t="s">
        <v>1572</v>
      </c>
      <c r="H571" s="54" t="s">
        <v>1226</v>
      </c>
      <c r="I571" s="54" t="s">
        <v>1560</v>
      </c>
      <c r="J571" s="54" t="s">
        <v>1227</v>
      </c>
      <c r="X571" s="55" t="str">
        <f t="shared" si="1"/>
        <v>#NAME?</v>
      </c>
    </row>
    <row r="572">
      <c r="A572" s="4" t="s">
        <v>2054</v>
      </c>
      <c r="B572" s="4" t="s">
        <v>1087</v>
      </c>
      <c r="C572" s="4">
        <v>571.0</v>
      </c>
      <c r="D572" s="54" t="s">
        <v>1502</v>
      </c>
      <c r="E572" s="4" t="s">
        <v>1088</v>
      </c>
      <c r="F572" s="54" t="s">
        <v>357</v>
      </c>
      <c r="G572" s="54" t="s">
        <v>1503</v>
      </c>
      <c r="H572" s="54" t="s">
        <v>1504</v>
      </c>
      <c r="I572" s="54" t="s">
        <v>1168</v>
      </c>
      <c r="J572" s="54" t="s">
        <v>1503</v>
      </c>
      <c r="X572" s="55" t="str">
        <f t="shared" si="1"/>
        <v>#NAME?</v>
      </c>
    </row>
    <row r="573">
      <c r="A573" s="4" t="s">
        <v>2055</v>
      </c>
      <c r="B573" s="4" t="s">
        <v>1087</v>
      </c>
      <c r="C573" s="4">
        <v>572.0</v>
      </c>
      <c r="D573" s="54" t="s">
        <v>1506</v>
      </c>
      <c r="E573" s="4" t="s">
        <v>1296</v>
      </c>
      <c r="F573" s="54" t="s">
        <v>357</v>
      </c>
      <c r="G573" s="54" t="s">
        <v>1507</v>
      </c>
      <c r="H573" s="54" t="s">
        <v>1508</v>
      </c>
      <c r="I573" s="54" t="s">
        <v>1509</v>
      </c>
      <c r="J573" s="54" t="s">
        <v>1510</v>
      </c>
      <c r="X573" s="55" t="str">
        <f t="shared" si="1"/>
        <v>#NAME?</v>
      </c>
    </row>
    <row r="574">
      <c r="A574" s="4" t="s">
        <v>2056</v>
      </c>
      <c r="B574" s="4" t="s">
        <v>1087</v>
      </c>
      <c r="C574" s="4">
        <v>573.0</v>
      </c>
      <c r="D574" s="54" t="s">
        <v>1506</v>
      </c>
      <c r="E574" s="4" t="s">
        <v>1296</v>
      </c>
      <c r="F574" s="54" t="s">
        <v>357</v>
      </c>
      <c r="G574" s="54" t="s">
        <v>1365</v>
      </c>
      <c r="H574" s="54" t="s">
        <v>1512</v>
      </c>
      <c r="I574" s="54" t="s">
        <v>1513</v>
      </c>
      <c r="J574" s="54" t="s">
        <v>1514</v>
      </c>
      <c r="X574" s="55" t="str">
        <f t="shared" si="1"/>
        <v>#NAME?</v>
      </c>
    </row>
    <row r="575">
      <c r="A575" s="4" t="s">
        <v>2057</v>
      </c>
      <c r="B575" s="4" t="s">
        <v>1087</v>
      </c>
      <c r="C575" s="4">
        <v>574.0</v>
      </c>
      <c r="D575" s="54" t="s">
        <v>1506</v>
      </c>
      <c r="E575" s="4" t="s">
        <v>1296</v>
      </c>
      <c r="F575" s="54" t="s">
        <v>357</v>
      </c>
      <c r="G575" s="54" t="s">
        <v>1252</v>
      </c>
      <c r="H575" s="54" t="s">
        <v>1160</v>
      </c>
      <c r="I575" s="54" t="s">
        <v>1516</v>
      </c>
      <c r="J575" s="54" t="s">
        <v>1359</v>
      </c>
      <c r="X575" s="55" t="str">
        <f t="shared" si="1"/>
        <v>#NAME?</v>
      </c>
    </row>
    <row r="576">
      <c r="A576" s="4" t="s">
        <v>2058</v>
      </c>
      <c r="B576" s="4" t="s">
        <v>1087</v>
      </c>
      <c r="C576" s="4">
        <v>575.0</v>
      </c>
      <c r="D576" s="54" t="s">
        <v>1506</v>
      </c>
      <c r="E576" s="4" t="s">
        <v>1296</v>
      </c>
      <c r="F576" s="54" t="s">
        <v>357</v>
      </c>
      <c r="G576" s="54" t="s">
        <v>1257</v>
      </c>
      <c r="H576" s="54" t="s">
        <v>1518</v>
      </c>
      <c r="I576" s="54" t="s">
        <v>1518</v>
      </c>
      <c r="J576" s="54" t="s">
        <v>1366</v>
      </c>
      <c r="X576" s="55" t="str">
        <f t="shared" si="1"/>
        <v>#NAME?</v>
      </c>
    </row>
    <row r="577">
      <c r="A577" s="4" t="s">
        <v>2059</v>
      </c>
      <c r="B577" s="4" t="s">
        <v>1087</v>
      </c>
      <c r="C577" s="4">
        <v>576.0</v>
      </c>
      <c r="D577" s="54" t="s">
        <v>1520</v>
      </c>
      <c r="E577" s="4" t="s">
        <v>1088</v>
      </c>
      <c r="F577" s="54" t="s">
        <v>357</v>
      </c>
      <c r="G577" s="54" t="s">
        <v>1334</v>
      </c>
      <c r="H577" s="54" t="s">
        <v>1521</v>
      </c>
      <c r="I577" s="54" t="s">
        <v>1256</v>
      </c>
      <c r="J577" s="54" t="s">
        <v>1205</v>
      </c>
      <c r="X577" s="55" t="str">
        <f t="shared" si="1"/>
        <v>#NAME?</v>
      </c>
    </row>
    <row r="578">
      <c r="A578" s="4" t="s">
        <v>2060</v>
      </c>
      <c r="B578" s="4" t="s">
        <v>1087</v>
      </c>
      <c r="C578" s="4">
        <v>577.0</v>
      </c>
      <c r="D578" s="54" t="s">
        <v>1523</v>
      </c>
      <c r="E578" s="4" t="s">
        <v>1088</v>
      </c>
      <c r="F578" s="54" t="s">
        <v>357</v>
      </c>
      <c r="G578" s="54" t="s">
        <v>1168</v>
      </c>
      <c r="H578" s="54" t="s">
        <v>1524</v>
      </c>
      <c r="I578" s="54" t="s">
        <v>1504</v>
      </c>
      <c r="J578" s="54" t="s">
        <v>1500</v>
      </c>
      <c r="X578" s="55" t="str">
        <f t="shared" si="1"/>
        <v>#NAME?</v>
      </c>
    </row>
    <row r="579">
      <c r="A579" s="4" t="s">
        <v>2061</v>
      </c>
      <c r="B579" s="4" t="s">
        <v>1087</v>
      </c>
      <c r="C579" s="4">
        <v>578.0</v>
      </c>
      <c r="D579" s="54" t="s">
        <v>1526</v>
      </c>
      <c r="E579" s="4" t="s">
        <v>1088</v>
      </c>
      <c r="F579" s="54" t="s">
        <v>357</v>
      </c>
      <c r="G579" s="54" t="s">
        <v>1497</v>
      </c>
      <c r="H579" s="54" t="s">
        <v>1524</v>
      </c>
      <c r="I579" s="54" t="s">
        <v>1499</v>
      </c>
      <c r="J579" s="54" t="s">
        <v>1500</v>
      </c>
      <c r="X579" s="55" t="str">
        <f t="shared" si="1"/>
        <v>#NAME?</v>
      </c>
    </row>
    <row r="580">
      <c r="A580" s="4" t="s">
        <v>2062</v>
      </c>
      <c r="B580" s="4" t="s">
        <v>1087</v>
      </c>
      <c r="C580" s="4">
        <v>579.0</v>
      </c>
      <c r="D580" s="54" t="s">
        <v>1528</v>
      </c>
      <c r="E580" s="4" t="s">
        <v>1296</v>
      </c>
      <c r="F580" s="54" t="s">
        <v>357</v>
      </c>
      <c r="G580" s="54" t="s">
        <v>1108</v>
      </c>
      <c r="H580" s="54" t="s">
        <v>1417</v>
      </c>
      <c r="I580" s="54" t="s">
        <v>1529</v>
      </c>
      <c r="J580" s="54" t="s">
        <v>1158</v>
      </c>
      <c r="X580" s="55" t="str">
        <f t="shared" si="1"/>
        <v>#NAME?</v>
      </c>
    </row>
    <row r="581">
      <c r="A581" s="4" t="s">
        <v>2063</v>
      </c>
      <c r="B581" s="4" t="s">
        <v>1087</v>
      </c>
      <c r="C581" s="4">
        <v>580.0</v>
      </c>
      <c r="D581" s="54" t="s">
        <v>1496</v>
      </c>
      <c r="E581" s="4" t="s">
        <v>1088</v>
      </c>
      <c r="F581" s="54" t="s">
        <v>357</v>
      </c>
      <c r="G581" s="54" t="s">
        <v>1497</v>
      </c>
      <c r="H581" s="54" t="s">
        <v>1498</v>
      </c>
      <c r="I581" s="54" t="s">
        <v>1499</v>
      </c>
      <c r="J581" s="54" t="s">
        <v>1500</v>
      </c>
      <c r="X581" s="55" t="str">
        <f t="shared" si="1"/>
        <v>#NAME?</v>
      </c>
    </row>
    <row r="582">
      <c r="A582" s="4" t="s">
        <v>2064</v>
      </c>
      <c r="B582" s="4" t="s">
        <v>1087</v>
      </c>
      <c r="C582" s="4">
        <v>581.0</v>
      </c>
      <c r="D582" s="54" t="s">
        <v>1528</v>
      </c>
      <c r="E582" s="4" t="s">
        <v>1296</v>
      </c>
      <c r="F582" s="54" t="s">
        <v>357</v>
      </c>
      <c r="G582" s="54" t="s">
        <v>1531</v>
      </c>
      <c r="H582" s="54" t="s">
        <v>1106</v>
      </c>
      <c r="I582" s="54" t="s">
        <v>1532</v>
      </c>
      <c r="J582" s="54" t="s">
        <v>1533</v>
      </c>
      <c r="X582" s="55" t="str">
        <f t="shared" si="1"/>
        <v>#NAME?</v>
      </c>
    </row>
    <row r="583">
      <c r="A583" s="4" t="s">
        <v>2065</v>
      </c>
      <c r="B583" s="4" t="s">
        <v>1087</v>
      </c>
      <c r="C583" s="4">
        <v>582.0</v>
      </c>
      <c r="D583" s="54" t="s">
        <v>1528</v>
      </c>
      <c r="E583" s="4" t="s">
        <v>1296</v>
      </c>
      <c r="F583" s="54" t="s">
        <v>357</v>
      </c>
      <c r="G583" s="54" t="s">
        <v>1108</v>
      </c>
      <c r="H583" s="54" t="s">
        <v>1233</v>
      </c>
      <c r="I583" s="54" t="s">
        <v>1529</v>
      </c>
      <c r="J583" s="54" t="s">
        <v>1170</v>
      </c>
      <c r="X583" s="55" t="str">
        <f t="shared" si="1"/>
        <v>#NAME?</v>
      </c>
    </row>
    <row r="584">
      <c r="A584" s="4" t="s">
        <v>2066</v>
      </c>
      <c r="B584" s="4" t="s">
        <v>1087</v>
      </c>
      <c r="C584" s="4">
        <v>583.0</v>
      </c>
      <c r="D584" s="54" t="s">
        <v>1538</v>
      </c>
      <c r="E584" s="4" t="s">
        <v>1088</v>
      </c>
      <c r="F584" s="54" t="s">
        <v>357</v>
      </c>
      <c r="G584" s="54" t="s">
        <v>1497</v>
      </c>
      <c r="H584" s="54" t="s">
        <v>1503</v>
      </c>
      <c r="I584" s="54" t="s">
        <v>1503</v>
      </c>
      <c r="J584" s="54" t="s">
        <v>1504</v>
      </c>
      <c r="X584" s="55" t="str">
        <f t="shared" si="1"/>
        <v>#NAME?</v>
      </c>
    </row>
    <row r="585">
      <c r="A585" s="4" t="s">
        <v>2067</v>
      </c>
      <c r="B585" s="4" t="s">
        <v>1087</v>
      </c>
      <c r="C585" s="4">
        <v>584.0</v>
      </c>
      <c r="D585" s="54" t="s">
        <v>1540</v>
      </c>
      <c r="E585" s="4" t="s">
        <v>1088</v>
      </c>
      <c r="F585" s="54" t="s">
        <v>357</v>
      </c>
      <c r="G585" s="54" t="s">
        <v>1503</v>
      </c>
      <c r="H585" s="54" t="s">
        <v>1499</v>
      </c>
      <c r="I585" s="54" t="s">
        <v>1503</v>
      </c>
      <c r="J585" s="54" t="s">
        <v>1504</v>
      </c>
      <c r="X585" s="55" t="str">
        <f t="shared" si="1"/>
        <v>#NAME?</v>
      </c>
    </row>
    <row r="586">
      <c r="A586" s="4" t="s">
        <v>2068</v>
      </c>
      <c r="B586" s="4" t="s">
        <v>1087</v>
      </c>
      <c r="C586" s="4">
        <v>585.0</v>
      </c>
      <c r="D586" s="54" t="s">
        <v>1542</v>
      </c>
      <c r="E586" s="4" t="s">
        <v>1098</v>
      </c>
      <c r="F586" s="54" t="s">
        <v>357</v>
      </c>
      <c r="G586" s="54" t="s">
        <v>1543</v>
      </c>
      <c r="H586" s="54" t="s">
        <v>1185</v>
      </c>
      <c r="I586" s="54" t="s">
        <v>1544</v>
      </c>
      <c r="J586" s="54" t="s">
        <v>1105</v>
      </c>
      <c r="X586" s="55" t="str">
        <f t="shared" si="1"/>
        <v>#NAME?</v>
      </c>
    </row>
    <row r="587">
      <c r="A587" s="4" t="s">
        <v>2069</v>
      </c>
      <c r="B587" s="4" t="s">
        <v>1087</v>
      </c>
      <c r="C587" s="4">
        <v>586.0</v>
      </c>
      <c r="D587" s="54" t="s">
        <v>1542</v>
      </c>
      <c r="E587" s="4" t="s">
        <v>1098</v>
      </c>
      <c r="F587" s="54" t="s">
        <v>357</v>
      </c>
      <c r="G587" s="54" t="s">
        <v>1185</v>
      </c>
      <c r="H587" s="54" t="s">
        <v>1212</v>
      </c>
      <c r="I587" s="54" t="s">
        <v>1231</v>
      </c>
      <c r="J587" s="54" t="s">
        <v>1175</v>
      </c>
      <c r="X587" s="55" t="str">
        <f t="shared" si="1"/>
        <v>#NAME?</v>
      </c>
    </row>
    <row r="588">
      <c r="A588" s="4" t="s">
        <v>2070</v>
      </c>
      <c r="B588" s="4" t="s">
        <v>1087</v>
      </c>
      <c r="C588" s="4">
        <v>587.0</v>
      </c>
      <c r="D588" s="54" t="s">
        <v>1542</v>
      </c>
      <c r="E588" s="4" t="s">
        <v>1098</v>
      </c>
      <c r="F588" s="54" t="s">
        <v>357</v>
      </c>
      <c r="G588" s="54" t="s">
        <v>1188</v>
      </c>
      <c r="H588" s="54" t="s">
        <v>1547</v>
      </c>
      <c r="I588" s="54" t="s">
        <v>1158</v>
      </c>
      <c r="J588" s="54" t="s">
        <v>1110</v>
      </c>
      <c r="X588" s="55" t="str">
        <f t="shared" si="1"/>
        <v>#NAME?</v>
      </c>
    </row>
    <row r="589">
      <c r="A589" s="4" t="s">
        <v>2071</v>
      </c>
      <c r="B589" s="4" t="s">
        <v>1087</v>
      </c>
      <c r="C589" s="4">
        <v>588.0</v>
      </c>
      <c r="D589" s="54" t="s">
        <v>1549</v>
      </c>
      <c r="E589" s="4" t="s">
        <v>1088</v>
      </c>
      <c r="F589" s="54" t="s">
        <v>357</v>
      </c>
      <c r="G589" s="54" t="s">
        <v>1212</v>
      </c>
      <c r="H589" s="54" t="s">
        <v>1186</v>
      </c>
      <c r="I589" s="54" t="s">
        <v>1240</v>
      </c>
      <c r="J589" s="54" t="s">
        <v>1210</v>
      </c>
      <c r="X589" s="55" t="str">
        <f t="shared" si="1"/>
        <v>#NAME?</v>
      </c>
    </row>
    <row r="590">
      <c r="A590" s="4" t="s">
        <v>2072</v>
      </c>
      <c r="B590" s="4" t="s">
        <v>1087</v>
      </c>
      <c r="C590" s="4">
        <v>589.0</v>
      </c>
      <c r="D590" s="54" t="s">
        <v>1551</v>
      </c>
      <c r="E590" s="4" t="s">
        <v>1088</v>
      </c>
      <c r="F590" s="54" t="s">
        <v>357</v>
      </c>
      <c r="G590" s="54" t="s">
        <v>1179</v>
      </c>
      <c r="H590" s="54" t="s">
        <v>1240</v>
      </c>
      <c r="I590" s="54" t="s">
        <v>1552</v>
      </c>
      <c r="J590" s="54" t="s">
        <v>1210</v>
      </c>
      <c r="X590" s="55" t="str">
        <f t="shared" si="1"/>
        <v>#NAME?</v>
      </c>
    </row>
    <row r="591">
      <c r="A591" s="4" t="s">
        <v>2073</v>
      </c>
      <c r="B591" s="4" t="s">
        <v>1087</v>
      </c>
      <c r="C591" s="4">
        <v>590.0</v>
      </c>
      <c r="D591" s="54" t="s">
        <v>1554</v>
      </c>
      <c r="E591" s="4" t="s">
        <v>1098</v>
      </c>
      <c r="F591" s="54" t="s">
        <v>357</v>
      </c>
      <c r="G591" s="54" t="s">
        <v>1176</v>
      </c>
      <c r="H591" s="54" t="s">
        <v>1555</v>
      </c>
      <c r="I591" s="54" t="s">
        <v>1171</v>
      </c>
      <c r="J591" s="54" t="s">
        <v>1556</v>
      </c>
      <c r="X591" s="55" t="str">
        <f t="shared" si="1"/>
        <v>#NAME?</v>
      </c>
    </row>
    <row r="592">
      <c r="A592" s="4" t="s">
        <v>2074</v>
      </c>
      <c r="B592" s="4" t="s">
        <v>1087</v>
      </c>
      <c r="C592" s="4">
        <v>591.0</v>
      </c>
      <c r="D592" s="54" t="s">
        <v>1528</v>
      </c>
      <c r="E592" s="4" t="s">
        <v>1296</v>
      </c>
      <c r="F592" s="54" t="s">
        <v>357</v>
      </c>
      <c r="G592" s="54" t="s">
        <v>1244</v>
      </c>
      <c r="H592" s="54" t="s">
        <v>1170</v>
      </c>
      <c r="I592" s="54" t="s">
        <v>1177</v>
      </c>
      <c r="J592" s="54" t="s">
        <v>1535</v>
      </c>
      <c r="X592" s="55" t="str">
        <f t="shared" si="1"/>
        <v>#NAME?</v>
      </c>
    </row>
    <row r="593">
      <c r="A593" s="4" t="s">
        <v>2075</v>
      </c>
      <c r="B593" s="4" t="s">
        <v>1087</v>
      </c>
      <c r="C593" s="4">
        <v>592.0</v>
      </c>
      <c r="D593" s="54" t="s">
        <v>1554</v>
      </c>
      <c r="E593" s="4" t="s">
        <v>1098</v>
      </c>
      <c r="F593" s="54" t="s">
        <v>357</v>
      </c>
      <c r="G593" s="54" t="s">
        <v>1156</v>
      </c>
      <c r="H593" s="54" t="s">
        <v>1130</v>
      </c>
      <c r="I593" s="54" t="s">
        <v>1494</v>
      </c>
      <c r="J593" s="54" t="s">
        <v>1132</v>
      </c>
      <c r="X593" s="55" t="str">
        <f t="shared" si="1"/>
        <v>#NAME?</v>
      </c>
    </row>
    <row r="594">
      <c r="A594" s="4" t="s">
        <v>2076</v>
      </c>
      <c r="B594" s="4" t="s">
        <v>1087</v>
      </c>
      <c r="C594" s="4">
        <v>593.0</v>
      </c>
      <c r="D594" s="54" t="s">
        <v>1492</v>
      </c>
      <c r="E594" s="4" t="s">
        <v>1251</v>
      </c>
      <c r="F594" s="54" t="s">
        <v>357</v>
      </c>
      <c r="G594" s="54" t="s">
        <v>1493</v>
      </c>
      <c r="H594" s="54" t="s">
        <v>1215</v>
      </c>
      <c r="I594" s="54" t="s">
        <v>1494</v>
      </c>
      <c r="J594" s="54" t="s">
        <v>1226</v>
      </c>
      <c r="X594" s="55" t="str">
        <f t="shared" si="1"/>
        <v>#NAME?</v>
      </c>
    </row>
    <row r="595">
      <c r="A595" s="4" t="s">
        <v>2077</v>
      </c>
      <c r="B595" s="4" t="s">
        <v>1087</v>
      </c>
      <c r="C595" s="4">
        <v>594.0</v>
      </c>
      <c r="D595" s="4" t="s">
        <v>1486</v>
      </c>
      <c r="E595" s="4" t="s">
        <v>1088</v>
      </c>
      <c r="F595" s="54" t="s">
        <v>534</v>
      </c>
      <c r="G595" s="54" t="s">
        <v>1137</v>
      </c>
      <c r="H595" s="54" t="s">
        <v>1163</v>
      </c>
      <c r="I595" s="54" t="s">
        <v>1344</v>
      </c>
      <c r="J595" s="54" t="s">
        <v>1487</v>
      </c>
      <c r="X595" s="55" t="str">
        <f t="shared" si="1"/>
        <v>#NAME?</v>
      </c>
    </row>
    <row r="596">
      <c r="A596" s="4" t="s">
        <v>2078</v>
      </c>
      <c r="B596" s="4" t="s">
        <v>1087</v>
      </c>
      <c r="C596" s="4">
        <v>595.0</v>
      </c>
      <c r="D596" s="4" t="s">
        <v>1429</v>
      </c>
      <c r="E596" s="4" t="s">
        <v>1296</v>
      </c>
      <c r="F596" s="54" t="s">
        <v>534</v>
      </c>
      <c r="G596" s="54" t="s">
        <v>1275</v>
      </c>
      <c r="H596" s="54" t="s">
        <v>1275</v>
      </c>
      <c r="I596" s="54" t="s">
        <v>1340</v>
      </c>
      <c r="J596" s="54" t="s">
        <v>1405</v>
      </c>
      <c r="X596" s="55" t="str">
        <f t="shared" si="1"/>
        <v>#NAME?</v>
      </c>
    </row>
    <row r="597">
      <c r="A597" s="4" t="s">
        <v>2079</v>
      </c>
      <c r="B597" s="4" t="s">
        <v>1087</v>
      </c>
      <c r="C597" s="4">
        <v>596.0</v>
      </c>
      <c r="D597" s="4" t="s">
        <v>1431</v>
      </c>
      <c r="E597" s="4" t="s">
        <v>1296</v>
      </c>
      <c r="F597" s="54" t="s">
        <v>534</v>
      </c>
      <c r="G597" s="54" t="s">
        <v>1299</v>
      </c>
      <c r="H597" s="54" t="s">
        <v>1432</v>
      </c>
      <c r="I597" s="54" t="s">
        <v>1152</v>
      </c>
      <c r="J597" s="54" t="s">
        <v>1433</v>
      </c>
      <c r="X597" s="55" t="str">
        <f t="shared" si="1"/>
        <v>#NAME?</v>
      </c>
    </row>
    <row r="598">
      <c r="A598" s="4" t="s">
        <v>2080</v>
      </c>
      <c r="B598" s="4" t="s">
        <v>1087</v>
      </c>
      <c r="C598" s="4">
        <v>597.0</v>
      </c>
      <c r="D598" s="4" t="s">
        <v>1435</v>
      </c>
      <c r="E598" s="4" t="s">
        <v>1296</v>
      </c>
      <c r="F598" s="54" t="s">
        <v>534</v>
      </c>
      <c r="G598" s="54" t="s">
        <v>1405</v>
      </c>
      <c r="H598" s="54" t="s">
        <v>1436</v>
      </c>
      <c r="I598" s="54" t="s">
        <v>1275</v>
      </c>
      <c r="J598" s="54" t="s">
        <v>1437</v>
      </c>
      <c r="X598" s="55" t="str">
        <f t="shared" si="1"/>
        <v>#NAME?</v>
      </c>
    </row>
    <row r="599">
      <c r="A599" s="4" t="s">
        <v>2081</v>
      </c>
      <c r="B599" s="4" t="s">
        <v>1087</v>
      </c>
      <c r="C599" s="4">
        <v>598.0</v>
      </c>
      <c r="D599" s="4" t="s">
        <v>1439</v>
      </c>
      <c r="E599" s="4" t="s">
        <v>1088</v>
      </c>
      <c r="F599" s="54" t="s">
        <v>534</v>
      </c>
      <c r="G599" s="54" t="s">
        <v>1440</v>
      </c>
      <c r="H599" s="54" t="s">
        <v>1280</v>
      </c>
      <c r="I599" s="54" t="s">
        <v>1139</v>
      </c>
      <c r="J599" s="54" t="s">
        <v>1139</v>
      </c>
      <c r="X599" s="55" t="str">
        <f t="shared" si="1"/>
        <v>#NAME?</v>
      </c>
    </row>
    <row r="600">
      <c r="A600" s="4" t="s">
        <v>2082</v>
      </c>
      <c r="B600" s="4" t="s">
        <v>1087</v>
      </c>
      <c r="C600" s="4">
        <v>599.0</v>
      </c>
      <c r="D600" s="4" t="s">
        <v>1442</v>
      </c>
      <c r="E600" s="4" t="s">
        <v>1088</v>
      </c>
      <c r="F600" s="54" t="s">
        <v>534</v>
      </c>
      <c r="G600" s="54" t="s">
        <v>1163</v>
      </c>
      <c r="H600" s="54" t="s">
        <v>1440</v>
      </c>
      <c r="I600" s="54" t="s">
        <v>1280</v>
      </c>
      <c r="J600" s="54" t="s">
        <v>1123</v>
      </c>
      <c r="X600" s="55" t="str">
        <f t="shared" si="1"/>
        <v>#NAME?</v>
      </c>
    </row>
    <row r="601">
      <c r="A601" s="4" t="s">
        <v>2083</v>
      </c>
      <c r="B601" s="4" t="s">
        <v>1087</v>
      </c>
      <c r="C601" s="4">
        <v>600.0</v>
      </c>
      <c r="D601" s="4" t="s">
        <v>1444</v>
      </c>
      <c r="E601" s="4" t="s">
        <v>1088</v>
      </c>
      <c r="F601" s="54" t="s">
        <v>534</v>
      </c>
      <c r="G601" s="54" t="s">
        <v>1118</v>
      </c>
      <c r="H601" s="54" t="s">
        <v>1122</v>
      </c>
      <c r="I601" s="54" t="s">
        <v>1139</v>
      </c>
      <c r="J601" s="54" t="s">
        <v>1163</v>
      </c>
      <c r="X601" s="55" t="str">
        <f t="shared" si="1"/>
        <v>#NAME?</v>
      </c>
    </row>
    <row r="602">
      <c r="A602" s="4" t="s">
        <v>2084</v>
      </c>
      <c r="B602" s="4" t="s">
        <v>1087</v>
      </c>
      <c r="C602" s="4">
        <v>601.0</v>
      </c>
      <c r="D602" s="4" t="s">
        <v>1446</v>
      </c>
      <c r="E602" s="4" t="s">
        <v>1088</v>
      </c>
      <c r="F602" s="54" t="s">
        <v>534</v>
      </c>
      <c r="G602" s="54" t="s">
        <v>1122</v>
      </c>
      <c r="H602" s="54" t="s">
        <v>1134</v>
      </c>
      <c r="I602" s="54" t="s">
        <v>1150</v>
      </c>
      <c r="J602" s="54" t="s">
        <v>1150</v>
      </c>
      <c r="X602" s="55" t="str">
        <f t="shared" si="1"/>
        <v>#NAME?</v>
      </c>
    </row>
    <row r="603">
      <c r="A603" s="4" t="s">
        <v>2085</v>
      </c>
      <c r="B603" s="4" t="s">
        <v>1087</v>
      </c>
      <c r="C603" s="4">
        <v>602.0</v>
      </c>
      <c r="D603" s="4" t="s">
        <v>1448</v>
      </c>
      <c r="E603" s="4" t="s">
        <v>1088</v>
      </c>
      <c r="F603" s="54" t="s">
        <v>534</v>
      </c>
      <c r="G603" s="54" t="s">
        <v>1382</v>
      </c>
      <c r="H603" s="54" t="s">
        <v>1118</v>
      </c>
      <c r="I603" s="54" t="s">
        <v>1440</v>
      </c>
      <c r="J603" s="54" t="s">
        <v>1140</v>
      </c>
      <c r="X603" s="55" t="str">
        <f t="shared" si="1"/>
        <v>#NAME?</v>
      </c>
    </row>
    <row r="604">
      <c r="A604" s="4" t="s">
        <v>2086</v>
      </c>
      <c r="B604" s="4" t="s">
        <v>1087</v>
      </c>
      <c r="C604" s="4">
        <v>603.0</v>
      </c>
      <c r="D604" s="4" t="s">
        <v>1450</v>
      </c>
      <c r="E604" s="4" t="s">
        <v>1191</v>
      </c>
      <c r="F604" s="54" t="s">
        <v>534</v>
      </c>
      <c r="G604" s="54" t="s">
        <v>1139</v>
      </c>
      <c r="H604" s="54" t="s">
        <v>1451</v>
      </c>
      <c r="I604" s="54" t="s">
        <v>1127</v>
      </c>
      <c r="J604" s="54" t="s">
        <v>1337</v>
      </c>
      <c r="X604" s="55" t="str">
        <f t="shared" si="1"/>
        <v>#NAME?</v>
      </c>
    </row>
    <row r="605">
      <c r="A605" s="54" t="s">
        <v>2087</v>
      </c>
      <c r="B605" s="4" t="s">
        <v>1087</v>
      </c>
      <c r="C605" s="4">
        <v>604.0</v>
      </c>
      <c r="D605" s="54" t="s">
        <v>1489</v>
      </c>
      <c r="E605" s="4" t="s">
        <v>1251</v>
      </c>
      <c r="F605" s="54" t="s">
        <v>449</v>
      </c>
      <c r="G605" s="54" t="s">
        <v>1212</v>
      </c>
      <c r="H605" s="54" t="s">
        <v>1356</v>
      </c>
      <c r="I605" s="54" t="s">
        <v>1216</v>
      </c>
      <c r="J605" s="54" t="s">
        <v>1490</v>
      </c>
      <c r="X605" s="55" t="str">
        <f t="shared" si="1"/>
        <v>#NAME?</v>
      </c>
    </row>
    <row r="606">
      <c r="A606" s="4" t="s">
        <v>2088</v>
      </c>
      <c r="B606" s="4" t="s">
        <v>1087</v>
      </c>
      <c r="C606" s="4">
        <v>605.0</v>
      </c>
      <c r="D606" s="4" t="s">
        <v>1453</v>
      </c>
      <c r="E606" s="4" t="s">
        <v>1191</v>
      </c>
      <c r="F606" s="54" t="s">
        <v>534</v>
      </c>
      <c r="G606" s="54" t="s">
        <v>1398</v>
      </c>
      <c r="H606" s="54" t="s">
        <v>1454</v>
      </c>
      <c r="I606" s="54" t="s">
        <v>1197</v>
      </c>
      <c r="J606" s="54" t="s">
        <v>1455</v>
      </c>
      <c r="X606" s="55" t="str">
        <f t="shared" si="1"/>
        <v>#NAME?</v>
      </c>
    </row>
    <row r="607">
      <c r="A607" s="4" t="s">
        <v>2089</v>
      </c>
      <c r="B607" s="4" t="s">
        <v>1087</v>
      </c>
      <c r="C607" s="4">
        <v>606.0</v>
      </c>
      <c r="D607" s="4" t="s">
        <v>1460</v>
      </c>
      <c r="E607" s="4" t="s">
        <v>1191</v>
      </c>
      <c r="F607" s="54" t="s">
        <v>534</v>
      </c>
      <c r="G607" s="54" t="s">
        <v>1391</v>
      </c>
      <c r="H607" s="54" t="s">
        <v>1461</v>
      </c>
      <c r="I607" s="54" t="s">
        <v>1462</v>
      </c>
      <c r="J607" s="54" t="s">
        <v>1463</v>
      </c>
      <c r="X607" s="55" t="str">
        <f t="shared" si="1"/>
        <v>#NAME?</v>
      </c>
    </row>
    <row r="608">
      <c r="A608" s="4" t="s">
        <v>2090</v>
      </c>
      <c r="B608" s="4" t="s">
        <v>1087</v>
      </c>
      <c r="C608" s="4">
        <v>607.0</v>
      </c>
      <c r="D608" s="4" t="s">
        <v>1465</v>
      </c>
      <c r="E608" s="4" t="s">
        <v>1088</v>
      </c>
      <c r="F608" s="54" t="s">
        <v>534</v>
      </c>
      <c r="G608" s="54" t="s">
        <v>1122</v>
      </c>
      <c r="H608" s="54" t="s">
        <v>1122</v>
      </c>
      <c r="I608" s="54" t="s">
        <v>1152</v>
      </c>
      <c r="J608" s="54" t="s">
        <v>1123</v>
      </c>
      <c r="X608" s="55" t="str">
        <f t="shared" si="1"/>
        <v>#NAME?</v>
      </c>
    </row>
    <row r="609">
      <c r="A609" s="4" t="s">
        <v>2091</v>
      </c>
      <c r="B609" s="4" t="s">
        <v>1087</v>
      </c>
      <c r="C609" s="4">
        <v>608.0</v>
      </c>
      <c r="D609" s="4" t="s">
        <v>1467</v>
      </c>
      <c r="E609" s="4" t="s">
        <v>1088</v>
      </c>
      <c r="F609" s="54" t="s">
        <v>534</v>
      </c>
      <c r="G609" s="54" t="s">
        <v>1123</v>
      </c>
      <c r="H609" s="54" t="s">
        <v>1122</v>
      </c>
      <c r="I609" s="54" t="s">
        <v>1150</v>
      </c>
      <c r="J609" s="54" t="s">
        <v>1123</v>
      </c>
      <c r="X609" s="55" t="str">
        <f t="shared" si="1"/>
        <v>#NAME?</v>
      </c>
    </row>
    <row r="610">
      <c r="A610" s="4" t="s">
        <v>2092</v>
      </c>
      <c r="B610" s="4" t="s">
        <v>1087</v>
      </c>
      <c r="C610" s="4">
        <v>609.0</v>
      </c>
      <c r="D610" s="4" t="s">
        <v>1469</v>
      </c>
      <c r="E610" s="4" t="s">
        <v>1088</v>
      </c>
      <c r="F610" s="54" t="s">
        <v>534</v>
      </c>
      <c r="G610" s="54" t="s">
        <v>1139</v>
      </c>
      <c r="H610" s="54" t="s">
        <v>1122</v>
      </c>
      <c r="I610" s="54" t="s">
        <v>1440</v>
      </c>
      <c r="J610" s="54" t="s">
        <v>1139</v>
      </c>
      <c r="X610" s="55" t="str">
        <f t="shared" si="1"/>
        <v>#NAME?</v>
      </c>
    </row>
    <row r="611">
      <c r="A611" s="4" t="s">
        <v>2093</v>
      </c>
      <c r="B611" s="4" t="s">
        <v>1087</v>
      </c>
      <c r="C611" s="4">
        <v>610.0</v>
      </c>
      <c r="D611" s="4" t="s">
        <v>1471</v>
      </c>
      <c r="E611" s="4" t="s">
        <v>1191</v>
      </c>
      <c r="F611" s="54" t="s">
        <v>534</v>
      </c>
      <c r="G611" s="54" t="s">
        <v>1143</v>
      </c>
      <c r="H611" s="54" t="s">
        <v>1118</v>
      </c>
      <c r="I611" s="54" t="s">
        <v>1126</v>
      </c>
      <c r="J611" s="54" t="s">
        <v>1138</v>
      </c>
      <c r="X611" s="55" t="str">
        <f t="shared" si="1"/>
        <v>#NAME?</v>
      </c>
    </row>
    <row r="612">
      <c r="A612" s="4" t="s">
        <v>2094</v>
      </c>
      <c r="B612" s="4" t="s">
        <v>1087</v>
      </c>
      <c r="C612" s="4">
        <v>611.0</v>
      </c>
      <c r="D612" s="4" t="s">
        <v>1473</v>
      </c>
      <c r="E612" s="4" t="s">
        <v>1191</v>
      </c>
      <c r="F612" s="54" t="s">
        <v>534</v>
      </c>
      <c r="G612" s="54" t="s">
        <v>1337</v>
      </c>
      <c r="H612" s="54" t="s">
        <v>1474</v>
      </c>
      <c r="I612" s="54" t="s">
        <v>1256</v>
      </c>
      <c r="J612" s="54" t="s">
        <v>1475</v>
      </c>
      <c r="X612" s="55" t="str">
        <f t="shared" si="1"/>
        <v>#NAME?</v>
      </c>
    </row>
    <row r="613">
      <c r="A613" s="4" t="s">
        <v>2095</v>
      </c>
      <c r="B613" s="4" t="s">
        <v>1087</v>
      </c>
      <c r="C613" s="4">
        <v>612.0</v>
      </c>
      <c r="D613" s="4" t="s">
        <v>1477</v>
      </c>
      <c r="E613" s="4" t="s">
        <v>1191</v>
      </c>
      <c r="F613" s="54" t="s">
        <v>534</v>
      </c>
      <c r="G613" s="54" t="s">
        <v>1478</v>
      </c>
      <c r="H613" s="54" t="s">
        <v>1194</v>
      </c>
      <c r="I613" s="54" t="s">
        <v>1321</v>
      </c>
      <c r="J613" s="54" t="s">
        <v>1479</v>
      </c>
      <c r="X613" s="55" t="str">
        <f t="shared" si="1"/>
        <v>#NAME?</v>
      </c>
    </row>
    <row r="614">
      <c r="A614" s="4" t="s">
        <v>2096</v>
      </c>
      <c r="B614" s="4" t="s">
        <v>1087</v>
      </c>
      <c r="C614" s="4">
        <v>613.0</v>
      </c>
      <c r="D614" s="4" t="s">
        <v>1481</v>
      </c>
      <c r="E614" s="4" t="s">
        <v>1191</v>
      </c>
      <c r="F614" s="54" t="s">
        <v>534</v>
      </c>
      <c r="G614" s="54" t="s">
        <v>1482</v>
      </c>
      <c r="H614" s="54" t="s">
        <v>1192</v>
      </c>
      <c r="I614" s="54" t="s">
        <v>1137</v>
      </c>
      <c r="J614" s="54" t="s">
        <v>1276</v>
      </c>
      <c r="X614" s="55" t="str">
        <f t="shared" si="1"/>
        <v>#NAME?</v>
      </c>
    </row>
    <row r="615">
      <c r="A615" s="4" t="s">
        <v>2097</v>
      </c>
      <c r="B615" s="4" t="s">
        <v>1087</v>
      </c>
      <c r="C615" s="4">
        <v>614.0</v>
      </c>
      <c r="D615" s="4" t="s">
        <v>1484</v>
      </c>
      <c r="E615" s="4" t="s">
        <v>1088</v>
      </c>
      <c r="F615" s="54" t="s">
        <v>534</v>
      </c>
      <c r="G615" s="54" t="s">
        <v>1117</v>
      </c>
      <c r="H615" s="54" t="s">
        <v>1382</v>
      </c>
      <c r="I615" s="54" t="s">
        <v>1138</v>
      </c>
      <c r="J615" s="54" t="s">
        <v>1344</v>
      </c>
      <c r="X615" s="55" t="str">
        <f t="shared" si="1"/>
        <v>#NAME?</v>
      </c>
    </row>
    <row r="616">
      <c r="A616" s="4" t="s">
        <v>2098</v>
      </c>
      <c r="B616" s="4" t="s">
        <v>1087</v>
      </c>
      <c r="C616" s="4">
        <v>615.0</v>
      </c>
      <c r="D616" s="4" t="s">
        <v>1457</v>
      </c>
      <c r="E616" s="4" t="s">
        <v>1191</v>
      </c>
      <c r="F616" s="54" t="s">
        <v>534</v>
      </c>
      <c r="G616" s="54" t="s">
        <v>1194</v>
      </c>
      <c r="H616" s="54" t="s">
        <v>1458</v>
      </c>
      <c r="I616" s="54" t="s">
        <v>1436</v>
      </c>
      <c r="J616" s="54" t="s">
        <v>1365</v>
      </c>
      <c r="X616" s="55" t="str">
        <f t="shared" si="1"/>
        <v>#NAME?</v>
      </c>
    </row>
    <row r="617">
      <c r="A617" s="4" t="s">
        <v>2099</v>
      </c>
      <c r="B617" s="4" t="s">
        <v>1087</v>
      </c>
      <c r="C617" s="4">
        <v>616.0</v>
      </c>
      <c r="D617" s="4" t="s">
        <v>1425</v>
      </c>
      <c r="E617" s="4" t="s">
        <v>1296</v>
      </c>
      <c r="F617" s="54" t="s">
        <v>534</v>
      </c>
      <c r="G617" s="54" t="s">
        <v>1426</v>
      </c>
      <c r="H617" s="54" t="s">
        <v>1142</v>
      </c>
      <c r="I617" s="54" t="s">
        <v>1284</v>
      </c>
      <c r="J617" s="54" t="s">
        <v>1427</v>
      </c>
      <c r="X617" s="55" t="str">
        <f t="shared" si="1"/>
        <v>#NAME?</v>
      </c>
    </row>
    <row r="618">
      <c r="A618" s="4" t="s">
        <v>2100</v>
      </c>
      <c r="B618" s="4" t="s">
        <v>1087</v>
      </c>
      <c r="C618" s="4">
        <v>617.0</v>
      </c>
      <c r="D618" s="54" t="s">
        <v>1554</v>
      </c>
      <c r="E618" s="4" t="s">
        <v>1098</v>
      </c>
      <c r="F618" s="54" t="s">
        <v>357</v>
      </c>
      <c r="G618" s="54" t="s">
        <v>1171</v>
      </c>
      <c r="H618" s="54" t="s">
        <v>1225</v>
      </c>
      <c r="I618" s="54" t="s">
        <v>1559</v>
      </c>
      <c r="J618" s="54" t="s">
        <v>1560</v>
      </c>
      <c r="X618" s="55" t="str">
        <f t="shared" si="1"/>
        <v>#NAME?</v>
      </c>
    </row>
    <row r="619">
      <c r="A619" s="4" t="s">
        <v>2101</v>
      </c>
      <c r="B619" s="4" t="s">
        <v>1087</v>
      </c>
      <c r="C619" s="4">
        <v>618.0</v>
      </c>
      <c r="D619" s="54" t="s">
        <v>1566</v>
      </c>
      <c r="E619" s="4" t="s">
        <v>1296</v>
      </c>
      <c r="F619" s="54" t="s">
        <v>357</v>
      </c>
      <c r="G619" s="54" t="s">
        <v>1567</v>
      </c>
      <c r="H619" s="54" t="s">
        <v>1359</v>
      </c>
      <c r="I619" s="54" t="s">
        <v>1568</v>
      </c>
      <c r="J619" s="54" t="s">
        <v>1093</v>
      </c>
      <c r="X619" s="55" t="str">
        <f t="shared" si="1"/>
        <v>#NAME?</v>
      </c>
    </row>
    <row r="620">
      <c r="A620" s="4" t="s">
        <v>2102</v>
      </c>
      <c r="B620" s="4" t="s">
        <v>1087</v>
      </c>
      <c r="C620" s="4">
        <v>619.0</v>
      </c>
      <c r="D620" s="54" t="s">
        <v>1624</v>
      </c>
      <c r="E620" s="4" t="s">
        <v>1098</v>
      </c>
      <c r="F620" s="54" t="s">
        <v>357</v>
      </c>
      <c r="G620" s="54" t="s">
        <v>1628</v>
      </c>
      <c r="H620" s="54" t="s">
        <v>1573</v>
      </c>
      <c r="I620" s="54" t="s">
        <v>1180</v>
      </c>
      <c r="J620" s="54" t="s">
        <v>1607</v>
      </c>
      <c r="X620" s="55" t="str">
        <f t="shared" si="1"/>
        <v>#NAME?</v>
      </c>
    </row>
    <row r="621">
      <c r="A621" s="4" t="s">
        <v>2103</v>
      </c>
      <c r="B621" s="4" t="s">
        <v>1087</v>
      </c>
      <c r="C621" s="4">
        <v>620.0</v>
      </c>
      <c r="D621" s="54" t="s">
        <v>1630</v>
      </c>
      <c r="E621" s="4" t="s">
        <v>1088</v>
      </c>
      <c r="F621" s="54" t="s">
        <v>357</v>
      </c>
      <c r="G621" s="54" t="s">
        <v>1593</v>
      </c>
      <c r="H621" s="54" t="s">
        <v>1609</v>
      </c>
      <c r="I621" s="54" t="s">
        <v>1177</v>
      </c>
      <c r="J621" s="54" t="s">
        <v>1176</v>
      </c>
      <c r="X621" s="55" t="str">
        <f t="shared" si="1"/>
        <v>#NAME?</v>
      </c>
    </row>
    <row r="622">
      <c r="A622" s="4" t="s">
        <v>2104</v>
      </c>
      <c r="B622" s="4" t="s">
        <v>1087</v>
      </c>
      <c r="C622" s="4">
        <v>621.0</v>
      </c>
      <c r="D622" s="54" t="s">
        <v>1632</v>
      </c>
      <c r="E622" s="4" t="s">
        <v>1088</v>
      </c>
      <c r="F622" s="54" t="s">
        <v>357</v>
      </c>
      <c r="G622" s="54" t="s">
        <v>1242</v>
      </c>
      <c r="H622" s="54" t="s">
        <v>1180</v>
      </c>
      <c r="I622" s="54" t="s">
        <v>1563</v>
      </c>
      <c r="J622" s="54" t="s">
        <v>1218</v>
      </c>
      <c r="X622" s="55" t="str">
        <f t="shared" si="1"/>
        <v>#NAME?</v>
      </c>
    </row>
    <row r="623">
      <c r="A623" s="4" t="s">
        <v>2105</v>
      </c>
      <c r="B623" s="4" t="s">
        <v>1087</v>
      </c>
      <c r="C623" s="4">
        <v>622.0</v>
      </c>
      <c r="D623" s="54" t="s">
        <v>1634</v>
      </c>
      <c r="E623" s="4" t="s">
        <v>1296</v>
      </c>
      <c r="F623" s="54" t="s">
        <v>357</v>
      </c>
      <c r="G623" s="54" t="s">
        <v>1253</v>
      </c>
      <c r="H623" s="54" t="s">
        <v>1105</v>
      </c>
      <c r="I623" s="54" t="s">
        <v>1104</v>
      </c>
      <c r="J623" s="54" t="s">
        <v>1568</v>
      </c>
      <c r="X623" s="55" t="str">
        <f t="shared" si="1"/>
        <v>#NAME?</v>
      </c>
    </row>
    <row r="624">
      <c r="A624" s="4" t="s">
        <v>2106</v>
      </c>
      <c r="B624" s="4" t="s">
        <v>1087</v>
      </c>
      <c r="C624" s="4">
        <v>623.0</v>
      </c>
      <c r="D624" s="54" t="s">
        <v>1634</v>
      </c>
      <c r="E624" s="4" t="s">
        <v>1296</v>
      </c>
      <c r="F624" s="54" t="s">
        <v>357</v>
      </c>
      <c r="G624" s="54" t="s">
        <v>1514</v>
      </c>
      <c r="H624" s="54" t="s">
        <v>1359</v>
      </c>
      <c r="I624" s="54" t="s">
        <v>1104</v>
      </c>
      <c r="J624" s="54" t="s">
        <v>1636</v>
      </c>
      <c r="X624" s="55" t="str">
        <f t="shared" si="1"/>
        <v>#NAME?</v>
      </c>
    </row>
    <row r="625">
      <c r="A625" s="4" t="s">
        <v>2107</v>
      </c>
      <c r="B625" s="4" t="s">
        <v>1087</v>
      </c>
      <c r="C625" s="4">
        <v>624.0</v>
      </c>
      <c r="D625" s="54" t="s">
        <v>1634</v>
      </c>
      <c r="E625" s="4" t="s">
        <v>1296</v>
      </c>
      <c r="F625" s="54" t="s">
        <v>357</v>
      </c>
      <c r="G625" s="54" t="s">
        <v>1563</v>
      </c>
      <c r="H625" s="54" t="s">
        <v>1236</v>
      </c>
      <c r="I625" s="54" t="s">
        <v>1563</v>
      </c>
      <c r="J625" s="54" t="s">
        <v>1159</v>
      </c>
      <c r="X625" s="55" t="str">
        <f t="shared" si="1"/>
        <v>#NAME?</v>
      </c>
    </row>
    <row r="626">
      <c r="A626" s="4" t="s">
        <v>2108</v>
      </c>
      <c r="B626" s="4" t="s">
        <v>1087</v>
      </c>
      <c r="C626" s="4">
        <v>625.0</v>
      </c>
      <c r="D626" s="54" t="s">
        <v>1634</v>
      </c>
      <c r="E626" s="4" t="s">
        <v>1296</v>
      </c>
      <c r="F626" s="54" t="s">
        <v>357</v>
      </c>
      <c r="G626" s="54" t="s">
        <v>1104</v>
      </c>
      <c r="H626" s="54" t="s">
        <v>1639</v>
      </c>
      <c r="I626" s="54" t="s">
        <v>1516</v>
      </c>
      <c r="J626" s="54" t="s">
        <v>1639</v>
      </c>
      <c r="X626" s="55" t="str">
        <f t="shared" si="1"/>
        <v>#NAME?</v>
      </c>
    </row>
    <row r="627">
      <c r="A627" s="4" t="s">
        <v>2109</v>
      </c>
      <c r="B627" s="4" t="s">
        <v>1087</v>
      </c>
      <c r="C627" s="4">
        <v>626.0</v>
      </c>
      <c r="D627" s="54" t="s">
        <v>1641</v>
      </c>
      <c r="E627" s="4" t="s">
        <v>1088</v>
      </c>
      <c r="F627" s="54" t="s">
        <v>357</v>
      </c>
      <c r="G627" s="54" t="s">
        <v>1564</v>
      </c>
      <c r="H627" s="54" t="s">
        <v>1604</v>
      </c>
      <c r="I627" s="54" t="s">
        <v>1212</v>
      </c>
      <c r="J627" s="54" t="s">
        <v>1563</v>
      </c>
      <c r="X627" s="55" t="str">
        <f t="shared" si="1"/>
        <v>#NAME?</v>
      </c>
    </row>
    <row r="628">
      <c r="A628" s="4" t="s">
        <v>2110</v>
      </c>
      <c r="B628" s="4" t="s">
        <v>1087</v>
      </c>
      <c r="C628" s="4">
        <v>627.0</v>
      </c>
      <c r="D628" s="54" t="s">
        <v>1643</v>
      </c>
      <c r="E628" s="4" t="s">
        <v>1088</v>
      </c>
      <c r="F628" s="54" t="s">
        <v>357</v>
      </c>
      <c r="G628" s="54" t="s">
        <v>1583</v>
      </c>
      <c r="H628" s="54" t="s">
        <v>1586</v>
      </c>
      <c r="I628" s="54" t="s">
        <v>1212</v>
      </c>
      <c r="J628" s="54" t="s">
        <v>1644</v>
      </c>
      <c r="X628" s="55" t="str">
        <f t="shared" si="1"/>
        <v>#NAME?</v>
      </c>
    </row>
    <row r="629">
      <c r="A629" s="4" t="s">
        <v>2111</v>
      </c>
      <c r="B629" s="4" t="s">
        <v>1087</v>
      </c>
      <c r="C629" s="4">
        <v>628.0</v>
      </c>
      <c r="D629" s="54" t="s">
        <v>1624</v>
      </c>
      <c r="E629" s="4" t="s">
        <v>1098</v>
      </c>
      <c r="F629" s="54" t="s">
        <v>357</v>
      </c>
      <c r="G629" s="54" t="s">
        <v>1590</v>
      </c>
      <c r="H629" s="54" t="s">
        <v>1493</v>
      </c>
      <c r="I629" s="54" t="s">
        <v>1583</v>
      </c>
      <c r="J629" s="54" t="s">
        <v>1494</v>
      </c>
      <c r="X629" s="55" t="str">
        <f t="shared" si="1"/>
        <v>#NAME?</v>
      </c>
    </row>
    <row r="630">
      <c r="A630" s="4" t="s">
        <v>2112</v>
      </c>
      <c r="B630" s="4" t="s">
        <v>1087</v>
      </c>
      <c r="C630" s="4">
        <v>629.0</v>
      </c>
      <c r="D630" s="54" t="s">
        <v>1646</v>
      </c>
      <c r="E630" s="4" t="s">
        <v>1098</v>
      </c>
      <c r="F630" s="54" t="s">
        <v>357</v>
      </c>
      <c r="G630" s="54" t="s">
        <v>1572</v>
      </c>
      <c r="H630" s="54" t="s">
        <v>1494</v>
      </c>
      <c r="I630" s="54" t="s">
        <v>1555</v>
      </c>
      <c r="J630" s="54" t="s">
        <v>1628</v>
      </c>
      <c r="X630" s="55" t="str">
        <f t="shared" si="1"/>
        <v>#NAME?</v>
      </c>
    </row>
    <row r="631">
      <c r="A631" s="4" t="s">
        <v>2113</v>
      </c>
      <c r="B631" s="4" t="s">
        <v>1087</v>
      </c>
      <c r="C631" s="4">
        <v>630.0</v>
      </c>
      <c r="D631" s="54" t="s">
        <v>1646</v>
      </c>
      <c r="E631" s="4" t="s">
        <v>1098</v>
      </c>
      <c r="F631" s="54" t="s">
        <v>357</v>
      </c>
      <c r="G631" s="54" t="s">
        <v>1649</v>
      </c>
      <c r="H631" s="54" t="s">
        <v>1628</v>
      </c>
      <c r="I631" s="54" t="s">
        <v>1555</v>
      </c>
      <c r="J631" s="54" t="s">
        <v>1555</v>
      </c>
      <c r="X631" s="55" t="str">
        <f t="shared" si="1"/>
        <v>#NAME?</v>
      </c>
    </row>
    <row r="632">
      <c r="A632" s="4" t="s">
        <v>2114</v>
      </c>
      <c r="B632" s="4" t="s">
        <v>1087</v>
      </c>
      <c r="C632" s="4">
        <v>631.0</v>
      </c>
      <c r="D632" s="54" t="s">
        <v>1651</v>
      </c>
      <c r="E632" s="4" t="s">
        <v>1251</v>
      </c>
      <c r="F632" s="54" t="s">
        <v>357</v>
      </c>
      <c r="G632" s="54" t="s">
        <v>1373</v>
      </c>
      <c r="H632" s="54" t="s">
        <v>1120</v>
      </c>
      <c r="I632" s="54" t="s">
        <v>1313</v>
      </c>
      <c r="J632" s="54" t="s">
        <v>1618</v>
      </c>
      <c r="X632" s="55" t="str">
        <f t="shared" si="1"/>
        <v>#NAME?</v>
      </c>
    </row>
    <row r="633">
      <c r="A633" s="4" t="s">
        <v>2115</v>
      </c>
      <c r="B633" s="4" t="s">
        <v>1087</v>
      </c>
      <c r="C633" s="4">
        <v>632.0</v>
      </c>
      <c r="D633" s="54" t="s">
        <v>1653</v>
      </c>
      <c r="E633" s="4" t="s">
        <v>1251</v>
      </c>
      <c r="F633" s="54" t="s">
        <v>449</v>
      </c>
      <c r="G633" s="54" t="s">
        <v>1264</v>
      </c>
      <c r="H633" s="54" t="s">
        <v>1264</v>
      </c>
      <c r="I633" s="54" t="s">
        <v>1521</v>
      </c>
      <c r="J633" s="54" t="s">
        <v>1654</v>
      </c>
      <c r="X633" s="55" t="str">
        <f t="shared" si="1"/>
        <v>#NAME?</v>
      </c>
    </row>
    <row r="634">
      <c r="A634" s="4" t="s">
        <v>2116</v>
      </c>
      <c r="B634" s="4" t="s">
        <v>1087</v>
      </c>
      <c r="C634" s="4">
        <v>633.0</v>
      </c>
      <c r="D634" s="54" t="s">
        <v>1656</v>
      </c>
      <c r="E634" s="4" t="s">
        <v>1088</v>
      </c>
      <c r="F634" s="54" t="s">
        <v>449</v>
      </c>
      <c r="G634" s="54" t="s">
        <v>1555</v>
      </c>
      <c r="H634" s="54" t="s">
        <v>1227</v>
      </c>
      <c r="I634" s="54" t="s">
        <v>1657</v>
      </c>
      <c r="J634" s="54" t="s">
        <v>1658</v>
      </c>
      <c r="X634" s="55" t="str">
        <f t="shared" si="1"/>
        <v>#NAME?</v>
      </c>
    </row>
    <row r="635">
      <c r="A635" s="4" t="s">
        <v>2117</v>
      </c>
      <c r="B635" s="4" t="s">
        <v>1087</v>
      </c>
      <c r="C635" s="4">
        <v>634.0</v>
      </c>
      <c r="D635" s="54" t="s">
        <v>1660</v>
      </c>
      <c r="E635" s="4" t="s">
        <v>1088</v>
      </c>
      <c r="F635" s="54" t="s">
        <v>449</v>
      </c>
      <c r="G635" s="54" t="s">
        <v>1560</v>
      </c>
      <c r="H635" s="54" t="s">
        <v>1584</v>
      </c>
      <c r="I635" s="54" t="s">
        <v>1584</v>
      </c>
      <c r="J635" s="54" t="s">
        <v>1226</v>
      </c>
      <c r="X635" s="55" t="str">
        <f t="shared" si="1"/>
        <v>#NAME?</v>
      </c>
    </row>
    <row r="636">
      <c r="A636" s="4" t="s">
        <v>2118</v>
      </c>
      <c r="B636" s="4" t="s">
        <v>1087</v>
      </c>
      <c r="C636" s="4">
        <v>635.0</v>
      </c>
      <c r="D636" s="54" t="s">
        <v>1662</v>
      </c>
      <c r="E636" s="4" t="s">
        <v>1251</v>
      </c>
      <c r="F636" s="54" t="s">
        <v>449</v>
      </c>
      <c r="G636" s="54" t="s">
        <v>1170</v>
      </c>
      <c r="H636" s="54" t="s">
        <v>1170</v>
      </c>
      <c r="I636" s="54" t="s">
        <v>1543</v>
      </c>
      <c r="J636" s="54" t="s">
        <v>1181</v>
      </c>
      <c r="X636" s="55" t="str">
        <f t="shared" si="1"/>
        <v>#NAME?</v>
      </c>
    </row>
    <row r="637">
      <c r="A637" s="4" t="s">
        <v>2119</v>
      </c>
      <c r="B637" s="4" t="s">
        <v>1087</v>
      </c>
      <c r="C637" s="4">
        <v>636.0</v>
      </c>
      <c r="D637" s="54" t="s">
        <v>1664</v>
      </c>
      <c r="E637" s="4" t="s">
        <v>1251</v>
      </c>
      <c r="F637" s="54" t="s">
        <v>357</v>
      </c>
      <c r="G637" s="54" t="s">
        <v>1236</v>
      </c>
      <c r="H637" s="54" t="s">
        <v>1160</v>
      </c>
      <c r="I637" s="54" t="s">
        <v>1231</v>
      </c>
      <c r="J637" s="54" t="s">
        <v>1158</v>
      </c>
      <c r="X637" s="55" t="str">
        <f t="shared" si="1"/>
        <v>#NAME?</v>
      </c>
    </row>
    <row r="638">
      <c r="A638" s="4" t="s">
        <v>2120</v>
      </c>
      <c r="B638" s="4" t="s">
        <v>1087</v>
      </c>
      <c r="C638" s="4">
        <v>637.0</v>
      </c>
      <c r="D638" s="54" t="s">
        <v>797</v>
      </c>
      <c r="E638" s="4" t="s">
        <v>1251</v>
      </c>
      <c r="F638" s="54" t="s">
        <v>357</v>
      </c>
      <c r="G638" s="54" t="s">
        <v>1181</v>
      </c>
      <c r="H638" s="54" t="s">
        <v>1231</v>
      </c>
      <c r="I638" s="54" t="s">
        <v>1231</v>
      </c>
      <c r="J638" s="54" t="s">
        <v>1188</v>
      </c>
      <c r="X638" s="55" t="str">
        <f t="shared" si="1"/>
        <v>#NAME?</v>
      </c>
    </row>
    <row r="639">
      <c r="A639" s="4" t="s">
        <v>2121</v>
      </c>
      <c r="B639" s="4" t="s">
        <v>1087</v>
      </c>
      <c r="C639" s="4">
        <v>638.0</v>
      </c>
      <c r="D639" s="54" t="s">
        <v>1667</v>
      </c>
      <c r="E639" s="4" t="s">
        <v>1251</v>
      </c>
      <c r="F639" s="54" t="s">
        <v>449</v>
      </c>
      <c r="G639" s="54" t="s">
        <v>1110</v>
      </c>
      <c r="H639" s="54" t="s">
        <v>1175</v>
      </c>
      <c r="I639" s="54" t="s">
        <v>1668</v>
      </c>
      <c r="J639" s="54" t="s">
        <v>1669</v>
      </c>
      <c r="X639" s="55" t="str">
        <f t="shared" si="1"/>
        <v>#NAME?</v>
      </c>
    </row>
    <row r="640">
      <c r="A640" s="4" t="s">
        <v>2122</v>
      </c>
      <c r="B640" s="4" t="s">
        <v>1087</v>
      </c>
      <c r="C640" s="4">
        <v>639.0</v>
      </c>
      <c r="D640" s="54" t="s">
        <v>1646</v>
      </c>
      <c r="E640" s="4" t="s">
        <v>1098</v>
      </c>
      <c r="F640" s="54" t="s">
        <v>357</v>
      </c>
      <c r="G640" s="54" t="s">
        <v>1494</v>
      </c>
      <c r="H640" s="54" t="s">
        <v>1607</v>
      </c>
      <c r="I640" s="54" t="s">
        <v>1131</v>
      </c>
      <c r="J640" s="54" t="s">
        <v>1225</v>
      </c>
      <c r="X640" s="55" t="str">
        <f t="shared" si="1"/>
        <v>#NAME?</v>
      </c>
    </row>
    <row r="641">
      <c r="A641" s="4" t="s">
        <v>2123</v>
      </c>
      <c r="B641" s="4" t="s">
        <v>1087</v>
      </c>
      <c r="C641" s="4">
        <v>640.0</v>
      </c>
      <c r="D641" s="54" t="s">
        <v>1562</v>
      </c>
      <c r="E641" s="4" t="s">
        <v>1088</v>
      </c>
      <c r="F641" s="54" t="s">
        <v>357</v>
      </c>
      <c r="G641" s="54" t="s">
        <v>1563</v>
      </c>
      <c r="H641" s="54" t="s">
        <v>1564</v>
      </c>
      <c r="I641" s="54" t="s">
        <v>1235</v>
      </c>
      <c r="J641" s="54" t="s">
        <v>1183</v>
      </c>
      <c r="X641" s="55" t="str">
        <f t="shared" si="1"/>
        <v>#NAME?</v>
      </c>
    </row>
    <row r="642">
      <c r="A642" s="4" t="s">
        <v>2124</v>
      </c>
      <c r="B642" s="4" t="s">
        <v>1087</v>
      </c>
      <c r="C642" s="4">
        <v>641.0</v>
      </c>
      <c r="D642" s="54" t="s">
        <v>1624</v>
      </c>
      <c r="E642" s="4" t="s">
        <v>1098</v>
      </c>
      <c r="F642" s="54" t="s">
        <v>357</v>
      </c>
      <c r="G642" s="54" t="s">
        <v>1590</v>
      </c>
      <c r="H642" s="54" t="s">
        <v>1625</v>
      </c>
      <c r="I642" s="54" t="s">
        <v>1242</v>
      </c>
      <c r="J642" s="54" t="s">
        <v>1556</v>
      </c>
      <c r="X642" s="55" t="str">
        <f t="shared" si="1"/>
        <v>#NAME?</v>
      </c>
    </row>
    <row r="643">
      <c r="A643" s="4" t="s">
        <v>2125</v>
      </c>
      <c r="B643" s="4" t="s">
        <v>1087</v>
      </c>
      <c r="C643" s="4">
        <v>642.0</v>
      </c>
      <c r="D643" s="54" t="s">
        <v>1617</v>
      </c>
      <c r="E643" s="4" t="s">
        <v>1251</v>
      </c>
      <c r="F643" s="54" t="s">
        <v>449</v>
      </c>
      <c r="G643" s="54" t="s">
        <v>1203</v>
      </c>
      <c r="H643" s="54" t="s">
        <v>1618</v>
      </c>
      <c r="I643" s="54" t="s">
        <v>1619</v>
      </c>
      <c r="J643" s="54" t="s">
        <v>1259</v>
      </c>
      <c r="X643" s="55" t="str">
        <f t="shared" si="1"/>
        <v>#NAME?</v>
      </c>
    </row>
    <row r="644">
      <c r="A644" s="4" t="s">
        <v>2126</v>
      </c>
      <c r="B644" s="4" t="s">
        <v>1087</v>
      </c>
      <c r="C644" s="4">
        <v>643.0</v>
      </c>
      <c r="D644" s="54" t="s">
        <v>1566</v>
      </c>
      <c r="E644" s="4" t="s">
        <v>1296</v>
      </c>
      <c r="F644" s="54" t="s">
        <v>357</v>
      </c>
      <c r="G644" s="54" t="s">
        <v>1567</v>
      </c>
      <c r="H644" s="54" t="s">
        <v>1570</v>
      </c>
      <c r="I644" s="54" t="s">
        <v>1233</v>
      </c>
      <c r="J644" s="54" t="s">
        <v>1109</v>
      </c>
      <c r="X644" s="55" t="str">
        <f t="shared" si="1"/>
        <v>#NAME?</v>
      </c>
    </row>
    <row r="645">
      <c r="A645" s="4" t="s">
        <v>2127</v>
      </c>
      <c r="B645" s="4" t="s">
        <v>1087</v>
      </c>
      <c r="C645" s="4">
        <v>644.0</v>
      </c>
      <c r="D645" s="54" t="s">
        <v>1566</v>
      </c>
      <c r="E645" s="4" t="s">
        <v>1296</v>
      </c>
      <c r="F645" s="54" t="s">
        <v>357</v>
      </c>
      <c r="G645" s="54" t="s">
        <v>1572</v>
      </c>
      <c r="H645" s="54" t="s">
        <v>1248</v>
      </c>
      <c r="I645" s="54" t="s">
        <v>1573</v>
      </c>
      <c r="J645" s="54" t="s">
        <v>1245</v>
      </c>
      <c r="X645" s="55" t="str">
        <f t="shared" si="1"/>
        <v>#NAME?</v>
      </c>
    </row>
    <row r="646">
      <c r="A646" s="4" t="s">
        <v>2128</v>
      </c>
      <c r="B646" s="4" t="s">
        <v>1087</v>
      </c>
      <c r="C646" s="4">
        <v>645.0</v>
      </c>
      <c r="D646" s="54" t="s">
        <v>1566</v>
      </c>
      <c r="E646" s="4" t="s">
        <v>1296</v>
      </c>
      <c r="F646" s="54" t="s">
        <v>357</v>
      </c>
      <c r="G646" s="54" t="s">
        <v>1359</v>
      </c>
      <c r="H646" s="54" t="s">
        <v>1200</v>
      </c>
      <c r="I646" s="54" t="s">
        <v>1575</v>
      </c>
      <c r="J646" s="54" t="s">
        <v>1567</v>
      </c>
      <c r="X646" s="55" t="str">
        <f t="shared" si="1"/>
        <v>#NAME?</v>
      </c>
    </row>
    <row r="647">
      <c r="A647" s="4" t="s">
        <v>2129</v>
      </c>
      <c r="B647" s="4" t="s">
        <v>1087</v>
      </c>
      <c r="C647" s="4">
        <v>646.0</v>
      </c>
      <c r="D647" s="54" t="s">
        <v>1577</v>
      </c>
      <c r="E647" s="4" t="s">
        <v>1088</v>
      </c>
      <c r="F647" s="54" t="s">
        <v>357</v>
      </c>
      <c r="G647" s="54" t="s">
        <v>1531</v>
      </c>
      <c r="H647" s="54" t="s">
        <v>1183</v>
      </c>
      <c r="I647" s="54" t="s">
        <v>1171</v>
      </c>
      <c r="J647" s="54" t="s">
        <v>1212</v>
      </c>
      <c r="X647" s="55" t="str">
        <f t="shared" si="1"/>
        <v>#NAME?</v>
      </c>
    </row>
    <row r="648">
      <c r="A648" s="4" t="s">
        <v>2130</v>
      </c>
      <c r="B648" s="4" t="s">
        <v>1087</v>
      </c>
      <c r="C648" s="4">
        <v>647.0</v>
      </c>
      <c r="D648" s="54" t="s">
        <v>1579</v>
      </c>
      <c r="E648" s="4" t="s">
        <v>1088</v>
      </c>
      <c r="F648" s="54" t="s">
        <v>357</v>
      </c>
      <c r="G648" s="54" t="s">
        <v>1244</v>
      </c>
      <c r="H648" s="54" t="s">
        <v>1186</v>
      </c>
      <c r="I648" s="54" t="s">
        <v>1156</v>
      </c>
      <c r="J648" s="54" t="s">
        <v>1244</v>
      </c>
      <c r="X648" s="55" t="str">
        <f t="shared" si="1"/>
        <v>#NAME?</v>
      </c>
    </row>
    <row r="649">
      <c r="A649" s="4" t="s">
        <v>2131</v>
      </c>
      <c r="B649" s="4" t="s">
        <v>1087</v>
      </c>
      <c r="C649" s="4">
        <v>648.0</v>
      </c>
      <c r="D649" s="54" t="s">
        <v>1581</v>
      </c>
      <c r="E649" s="4" t="s">
        <v>1098</v>
      </c>
      <c r="F649" s="54" t="s">
        <v>357</v>
      </c>
      <c r="G649" s="54" t="s">
        <v>1564</v>
      </c>
      <c r="H649" s="54" t="s">
        <v>1582</v>
      </c>
      <c r="I649" s="54" t="s">
        <v>1583</v>
      </c>
      <c r="J649" s="54" t="s">
        <v>1584</v>
      </c>
      <c r="X649" s="55" t="str">
        <f t="shared" si="1"/>
        <v>#NAME?</v>
      </c>
    </row>
    <row r="650">
      <c r="A650" s="4" t="s">
        <v>2132</v>
      </c>
      <c r="B650" s="4" t="s">
        <v>1087</v>
      </c>
      <c r="C650" s="4">
        <v>649.0</v>
      </c>
      <c r="D650" s="54" t="s">
        <v>1581</v>
      </c>
      <c r="E650" s="4" t="s">
        <v>1098</v>
      </c>
      <c r="F650" s="54" t="s">
        <v>357</v>
      </c>
      <c r="G650" s="54" t="s">
        <v>1235</v>
      </c>
      <c r="H650" s="54" t="s">
        <v>1556</v>
      </c>
      <c r="I650" s="54" t="s">
        <v>1586</v>
      </c>
      <c r="J650" s="54" t="s">
        <v>1132</v>
      </c>
      <c r="X650" s="55" t="str">
        <f t="shared" si="1"/>
        <v>#NAME?</v>
      </c>
    </row>
    <row r="651">
      <c r="A651" s="4" t="s">
        <v>2133</v>
      </c>
      <c r="B651" s="4" t="s">
        <v>1087</v>
      </c>
      <c r="C651" s="4">
        <v>650.0</v>
      </c>
      <c r="D651" s="54" t="s">
        <v>1581</v>
      </c>
      <c r="E651" s="4" t="s">
        <v>1098</v>
      </c>
      <c r="F651" s="54" t="s">
        <v>357</v>
      </c>
      <c r="G651" s="54" t="s">
        <v>1172</v>
      </c>
      <c r="H651" s="54" t="s">
        <v>1493</v>
      </c>
      <c r="I651" s="54" t="s">
        <v>1218</v>
      </c>
      <c r="J651" s="54" t="s">
        <v>1560</v>
      </c>
      <c r="X651" s="55" t="str">
        <f t="shared" si="1"/>
        <v>#NAME?</v>
      </c>
    </row>
    <row r="652">
      <c r="A652" s="4" t="s">
        <v>2134</v>
      </c>
      <c r="B652" s="4" t="s">
        <v>1087</v>
      </c>
      <c r="C652" s="4">
        <v>651.0</v>
      </c>
      <c r="D652" s="54" t="s">
        <v>1589</v>
      </c>
      <c r="E652" s="4" t="s">
        <v>1397</v>
      </c>
      <c r="F652" s="54" t="s">
        <v>357</v>
      </c>
      <c r="G652" s="54" t="s">
        <v>1582</v>
      </c>
      <c r="H652" s="54" t="s">
        <v>1590</v>
      </c>
      <c r="I652" s="54" t="s">
        <v>1171</v>
      </c>
      <c r="J652" s="54" t="s">
        <v>1179</v>
      </c>
      <c r="X652" s="55" t="str">
        <f t="shared" si="1"/>
        <v>#NAME?</v>
      </c>
    </row>
    <row r="653">
      <c r="A653" s="4" t="s">
        <v>2135</v>
      </c>
      <c r="B653" s="4" t="s">
        <v>1087</v>
      </c>
      <c r="C653" s="4">
        <v>652.0</v>
      </c>
      <c r="D653" s="54" t="s">
        <v>1621</v>
      </c>
      <c r="E653" s="4" t="s">
        <v>1251</v>
      </c>
      <c r="F653" s="54" t="s">
        <v>357</v>
      </c>
      <c r="G653" s="54" t="s">
        <v>1350</v>
      </c>
      <c r="H653" s="54" t="s">
        <v>1436</v>
      </c>
      <c r="I653" s="54" t="s">
        <v>1196</v>
      </c>
      <c r="J653" s="54" t="s">
        <v>1622</v>
      </c>
      <c r="X653" s="55" t="str">
        <f t="shared" si="1"/>
        <v>#NAME?</v>
      </c>
    </row>
    <row r="654">
      <c r="A654" s="4" t="s">
        <v>2136</v>
      </c>
      <c r="B654" s="4" t="s">
        <v>1087</v>
      </c>
      <c r="C654" s="4">
        <v>653.0</v>
      </c>
      <c r="D654" s="54" t="s">
        <v>1589</v>
      </c>
      <c r="E654" s="4" t="s">
        <v>1397</v>
      </c>
      <c r="F654" s="54" t="s">
        <v>357</v>
      </c>
      <c r="G654" s="54" t="s">
        <v>1560</v>
      </c>
      <c r="H654" s="54" t="s">
        <v>1583</v>
      </c>
      <c r="I654" s="54" t="s">
        <v>1241</v>
      </c>
      <c r="J654" s="54" t="s">
        <v>1559</v>
      </c>
      <c r="X654" s="55" t="str">
        <f t="shared" si="1"/>
        <v>#NAME?</v>
      </c>
    </row>
    <row r="655">
      <c r="A655" s="4" t="s">
        <v>2137</v>
      </c>
      <c r="B655" s="4" t="s">
        <v>1087</v>
      </c>
      <c r="C655" s="4">
        <v>654.0</v>
      </c>
      <c r="D655" s="54" t="s">
        <v>1595</v>
      </c>
      <c r="E655" s="4" t="s">
        <v>1088</v>
      </c>
      <c r="F655" s="54" t="s">
        <v>357</v>
      </c>
      <c r="G655" s="54" t="s">
        <v>1212</v>
      </c>
      <c r="H655" s="54" t="s">
        <v>1185</v>
      </c>
      <c r="I655" s="54" t="s">
        <v>1172</v>
      </c>
      <c r="J655" s="54" t="s">
        <v>1215</v>
      </c>
      <c r="X655" s="55" t="str">
        <f t="shared" si="1"/>
        <v>#NAME?</v>
      </c>
    </row>
    <row r="656">
      <c r="A656" s="4" t="s">
        <v>2138</v>
      </c>
      <c r="B656" s="4" t="s">
        <v>1087</v>
      </c>
      <c r="C656" s="4">
        <v>655.0</v>
      </c>
      <c r="D656" s="54" t="s">
        <v>1597</v>
      </c>
      <c r="E656" s="4" t="s">
        <v>1088</v>
      </c>
      <c r="F656" s="54" t="s">
        <v>357</v>
      </c>
      <c r="G656" s="54" t="s">
        <v>1552</v>
      </c>
      <c r="H656" s="54" t="s">
        <v>1188</v>
      </c>
      <c r="I656" s="54" t="s">
        <v>1177</v>
      </c>
      <c r="J656" s="54" t="s">
        <v>1235</v>
      </c>
      <c r="X656" s="55" t="str">
        <f t="shared" si="1"/>
        <v>#NAME?</v>
      </c>
    </row>
    <row r="657">
      <c r="A657" s="4" t="s">
        <v>2139</v>
      </c>
      <c r="B657" s="4" t="s">
        <v>1087</v>
      </c>
      <c r="C657" s="4">
        <v>656.0</v>
      </c>
      <c r="D657" s="54" t="s">
        <v>1599</v>
      </c>
      <c r="E657" s="4" t="s">
        <v>1088</v>
      </c>
      <c r="F657" s="54" t="s">
        <v>357</v>
      </c>
      <c r="G657" s="54" t="s">
        <v>1235</v>
      </c>
      <c r="H657" s="54" t="s">
        <v>1559</v>
      </c>
      <c r="I657" s="54" t="s">
        <v>1235</v>
      </c>
      <c r="J657" s="54" t="s">
        <v>1172</v>
      </c>
      <c r="X657" s="55" t="str">
        <f t="shared" si="1"/>
        <v>#NAME?</v>
      </c>
    </row>
    <row r="658">
      <c r="A658" s="4" t="s">
        <v>2140</v>
      </c>
      <c r="B658" s="4" t="s">
        <v>1087</v>
      </c>
      <c r="C658" s="4">
        <v>657.0</v>
      </c>
      <c r="D658" s="54" t="s">
        <v>1601</v>
      </c>
      <c r="E658" s="4" t="s">
        <v>1088</v>
      </c>
      <c r="F658" s="54" t="s">
        <v>357</v>
      </c>
      <c r="G658" s="54" t="s">
        <v>1490</v>
      </c>
      <c r="H658" s="54" t="s">
        <v>1156</v>
      </c>
      <c r="I658" s="54" t="s">
        <v>1215</v>
      </c>
      <c r="J658" s="54" t="s">
        <v>1490</v>
      </c>
      <c r="X658" s="55" t="str">
        <f t="shared" si="1"/>
        <v>#NAME?</v>
      </c>
    </row>
    <row r="659">
      <c r="A659" s="4" t="s">
        <v>2141</v>
      </c>
      <c r="B659" s="4" t="s">
        <v>1087</v>
      </c>
      <c r="C659" s="4">
        <v>658.0</v>
      </c>
      <c r="D659" s="54" t="s">
        <v>1603</v>
      </c>
      <c r="E659" s="4" t="s">
        <v>1098</v>
      </c>
      <c r="F659" s="54" t="s">
        <v>357</v>
      </c>
      <c r="G659" s="54" t="s">
        <v>1132</v>
      </c>
      <c r="H659" s="54" t="s">
        <v>1494</v>
      </c>
      <c r="I659" s="54" t="s">
        <v>1604</v>
      </c>
      <c r="J659" s="54" t="s">
        <v>1605</v>
      </c>
      <c r="X659" s="55" t="str">
        <f t="shared" si="1"/>
        <v>#NAME?</v>
      </c>
    </row>
    <row r="660">
      <c r="A660" s="4" t="s">
        <v>2142</v>
      </c>
      <c r="B660" s="4" t="s">
        <v>1087</v>
      </c>
      <c r="C660" s="4">
        <v>659.0</v>
      </c>
      <c r="D660" s="54" t="s">
        <v>1603</v>
      </c>
      <c r="E660" s="4" t="s">
        <v>1098</v>
      </c>
      <c r="F660" s="54" t="s">
        <v>357</v>
      </c>
      <c r="G660" s="54" t="s">
        <v>1129</v>
      </c>
      <c r="H660" s="54" t="s">
        <v>1573</v>
      </c>
      <c r="I660" s="54" t="s">
        <v>1607</v>
      </c>
      <c r="J660" s="54" t="s">
        <v>1586</v>
      </c>
      <c r="X660" s="55" t="str">
        <f t="shared" si="1"/>
        <v>#NAME?</v>
      </c>
    </row>
    <row r="661">
      <c r="A661" s="4" t="s">
        <v>2143</v>
      </c>
      <c r="B661" s="4" t="s">
        <v>1087</v>
      </c>
      <c r="C661" s="4">
        <v>660.0</v>
      </c>
      <c r="D661" s="54" t="s">
        <v>1603</v>
      </c>
      <c r="E661" s="4" t="s">
        <v>1098</v>
      </c>
      <c r="F661" s="54" t="s">
        <v>357</v>
      </c>
      <c r="G661" s="54" t="s">
        <v>1584</v>
      </c>
      <c r="H661" s="54" t="s">
        <v>1573</v>
      </c>
      <c r="I661" s="54" t="s">
        <v>1221</v>
      </c>
      <c r="J661" s="54" t="s">
        <v>1609</v>
      </c>
      <c r="X661" s="55" t="str">
        <f t="shared" si="1"/>
        <v>#NAME?</v>
      </c>
    </row>
    <row r="662">
      <c r="A662" s="4" t="s">
        <v>2144</v>
      </c>
      <c r="B662" s="4" t="s">
        <v>1087</v>
      </c>
      <c r="C662" s="4">
        <v>661.0</v>
      </c>
      <c r="D662" s="54" t="s">
        <v>1611</v>
      </c>
      <c r="E662" s="4" t="s">
        <v>1088</v>
      </c>
      <c r="F662" s="54" t="s">
        <v>357</v>
      </c>
      <c r="G662" s="54" t="s">
        <v>1177</v>
      </c>
      <c r="H662" s="54" t="s">
        <v>1612</v>
      </c>
      <c r="I662" s="54" t="s">
        <v>1613</v>
      </c>
      <c r="J662" s="54" t="s">
        <v>1241</v>
      </c>
      <c r="X662" s="55" t="str">
        <f t="shared" si="1"/>
        <v>#NAME?</v>
      </c>
    </row>
    <row r="663">
      <c r="A663" s="4" t="s">
        <v>2145</v>
      </c>
      <c r="B663" s="4" t="s">
        <v>1087</v>
      </c>
      <c r="C663" s="4">
        <v>662.0</v>
      </c>
      <c r="D663" s="54" t="s">
        <v>1615</v>
      </c>
      <c r="E663" s="4" t="s">
        <v>1088</v>
      </c>
      <c r="F663" s="54" t="s">
        <v>357</v>
      </c>
      <c r="G663" s="54" t="s">
        <v>1177</v>
      </c>
      <c r="H663" s="54" t="s">
        <v>1609</v>
      </c>
      <c r="I663" s="54" t="s">
        <v>1612</v>
      </c>
      <c r="J663" s="54" t="s">
        <v>1490</v>
      </c>
      <c r="X663" s="55" t="str">
        <f t="shared" si="1"/>
        <v>#NAME?</v>
      </c>
    </row>
    <row r="664">
      <c r="A664" s="4" t="s">
        <v>2146</v>
      </c>
      <c r="B664" s="4" t="s">
        <v>1087</v>
      </c>
      <c r="C664" s="4">
        <v>663.0</v>
      </c>
      <c r="D664" s="54" t="s">
        <v>1589</v>
      </c>
      <c r="E664" s="4" t="s">
        <v>1397</v>
      </c>
      <c r="F664" s="54" t="s">
        <v>357</v>
      </c>
      <c r="G664" s="54" t="s">
        <v>1593</v>
      </c>
      <c r="H664" s="54" t="s">
        <v>1218</v>
      </c>
      <c r="I664" s="54" t="s">
        <v>1593</v>
      </c>
      <c r="J664" s="54" t="s">
        <v>1245</v>
      </c>
      <c r="X664" s="55" t="str">
        <f t="shared" si="1"/>
        <v>#NAME?</v>
      </c>
    </row>
    <row r="665">
      <c r="A665" s="4" t="s">
        <v>2147</v>
      </c>
      <c r="B665" s="4" t="s">
        <v>1087</v>
      </c>
      <c r="C665" s="4">
        <v>664.0</v>
      </c>
      <c r="D665" s="54" t="s">
        <v>1671</v>
      </c>
      <c r="E665" s="4" t="s">
        <v>1088</v>
      </c>
      <c r="F665" s="54" t="s">
        <v>357</v>
      </c>
      <c r="G665" s="54" t="s">
        <v>1544</v>
      </c>
      <c r="H665" s="54" t="s">
        <v>1175</v>
      </c>
      <c r="I665" s="54" t="s">
        <v>1216</v>
      </c>
      <c r="J665" s="54" t="s">
        <v>1181</v>
      </c>
      <c r="X665" s="55" t="str">
        <f t="shared" si="1"/>
        <v>#NAME?</v>
      </c>
    </row>
    <row r="666">
      <c r="A666" s="54" t="s">
        <v>2148</v>
      </c>
      <c r="B666" s="4" t="s">
        <v>1087</v>
      </c>
      <c r="C666" s="4">
        <v>665.0</v>
      </c>
      <c r="D666" s="4" t="s">
        <v>1423</v>
      </c>
      <c r="E666" s="4" t="s">
        <v>1088</v>
      </c>
      <c r="F666" s="54" t="s">
        <v>534</v>
      </c>
      <c r="G666" s="54" t="s">
        <v>1280</v>
      </c>
      <c r="H666" s="54" t="s">
        <v>1135</v>
      </c>
      <c r="I666" s="54" t="s">
        <v>1123</v>
      </c>
      <c r="J666" s="54" t="s">
        <v>1140</v>
      </c>
      <c r="X666" s="55" t="str">
        <f t="shared" si="1"/>
        <v>#NAME?</v>
      </c>
    </row>
    <row r="667">
      <c r="A667" s="4" t="s">
        <v>2149</v>
      </c>
      <c r="B667" s="4" t="s">
        <v>1087</v>
      </c>
      <c r="C667" s="4">
        <v>666.0</v>
      </c>
      <c r="D667" s="4" t="s">
        <v>1419</v>
      </c>
      <c r="E667" s="4" t="s">
        <v>1088</v>
      </c>
      <c r="F667" s="54" t="s">
        <v>534</v>
      </c>
      <c r="G667" s="54" t="s">
        <v>1093</v>
      </c>
      <c r="H667" s="54" t="s">
        <v>1093</v>
      </c>
      <c r="I667" s="54" t="s">
        <v>1109</v>
      </c>
      <c r="J667" s="54" t="s">
        <v>1109</v>
      </c>
      <c r="X667" s="55" t="str">
        <f t="shared" si="1"/>
        <v>#NAME?</v>
      </c>
    </row>
    <row r="668">
      <c r="A668" s="4" t="s">
        <v>2150</v>
      </c>
      <c r="B668" s="4" t="s">
        <v>1087</v>
      </c>
      <c r="C668" s="4">
        <v>667.0</v>
      </c>
      <c r="D668" s="54" t="s">
        <v>632</v>
      </c>
      <c r="E668" s="4" t="s">
        <v>1088</v>
      </c>
      <c r="F668" s="54" t="s">
        <v>534</v>
      </c>
      <c r="G668" s="54" t="s">
        <v>1183</v>
      </c>
      <c r="H668" s="54" t="s">
        <v>1184</v>
      </c>
      <c r="I668" s="54" t="s">
        <v>1185</v>
      </c>
      <c r="J668" s="54" t="s">
        <v>1186</v>
      </c>
      <c r="X668" s="55" t="str">
        <f t="shared" si="1"/>
        <v>#NAME?</v>
      </c>
    </row>
    <row r="669">
      <c r="A669" s="4" t="s">
        <v>2151</v>
      </c>
      <c r="B669" s="4" t="s">
        <v>1087</v>
      </c>
      <c r="C669" s="4">
        <v>668.0</v>
      </c>
      <c r="D669" s="54" t="s">
        <v>637</v>
      </c>
      <c r="E669" s="4" t="s">
        <v>1088</v>
      </c>
      <c r="F669" s="54" t="s">
        <v>534</v>
      </c>
      <c r="G669" s="54" t="s">
        <v>1188</v>
      </c>
      <c r="H669" s="54" t="s">
        <v>1189</v>
      </c>
      <c r="I669" s="54" t="s">
        <v>1176</v>
      </c>
      <c r="J669" s="54" t="s">
        <v>1155</v>
      </c>
      <c r="X669" s="55" t="str">
        <f t="shared" si="1"/>
        <v>#NAME?</v>
      </c>
    </row>
    <row r="670">
      <c r="A670" s="4" t="s">
        <v>2152</v>
      </c>
      <c r="B670" s="4" t="s">
        <v>1087</v>
      </c>
      <c r="C670" s="4">
        <v>669.0</v>
      </c>
      <c r="D670" s="54" t="s">
        <v>274</v>
      </c>
      <c r="E670" s="4" t="s">
        <v>1191</v>
      </c>
      <c r="F670" s="54" t="s">
        <v>534</v>
      </c>
      <c r="G670" s="54" t="s">
        <v>1192</v>
      </c>
      <c r="H670" s="54" t="s">
        <v>1193</v>
      </c>
      <c r="I670" s="54" t="s">
        <v>1122</v>
      </c>
      <c r="J670" s="54" t="s">
        <v>1194</v>
      </c>
      <c r="X670" s="55" t="str">
        <f t="shared" si="1"/>
        <v>#NAME?</v>
      </c>
    </row>
    <row r="671">
      <c r="A671" s="4" t="s">
        <v>2153</v>
      </c>
      <c r="B671" s="4" t="s">
        <v>1087</v>
      </c>
      <c r="C671" s="4">
        <v>670.0</v>
      </c>
      <c r="D671" s="54" t="s">
        <v>274</v>
      </c>
      <c r="E671" s="4" t="s">
        <v>1191</v>
      </c>
      <c r="F671" s="54" t="s">
        <v>534</v>
      </c>
      <c r="G671" s="54" t="s">
        <v>1196</v>
      </c>
      <c r="H671" s="54" t="s">
        <v>1197</v>
      </c>
      <c r="I671" s="54" t="s">
        <v>1138</v>
      </c>
      <c r="J671" s="54" t="s">
        <v>1198</v>
      </c>
      <c r="X671" s="55" t="str">
        <f t="shared" si="1"/>
        <v>#NAME?</v>
      </c>
    </row>
    <row r="672">
      <c r="A672" s="4" t="s">
        <v>2154</v>
      </c>
      <c r="B672" s="4" t="s">
        <v>1087</v>
      </c>
      <c r="C672" s="4">
        <v>671.0</v>
      </c>
      <c r="D672" s="54" t="s">
        <v>274</v>
      </c>
      <c r="E672" s="4" t="s">
        <v>1191</v>
      </c>
      <c r="F672" s="54" t="s">
        <v>534</v>
      </c>
      <c r="G672" s="54" t="s">
        <v>1200</v>
      </c>
      <c r="H672" s="54" t="s">
        <v>1160</v>
      </c>
      <c r="I672" s="54" t="s">
        <v>1201</v>
      </c>
      <c r="J672" s="54" t="s">
        <v>1200</v>
      </c>
      <c r="X672" s="55" t="str">
        <f t="shared" si="1"/>
        <v>#NAME?</v>
      </c>
    </row>
    <row r="673">
      <c r="A673" s="4" t="s">
        <v>2155</v>
      </c>
      <c r="B673" s="4" t="s">
        <v>1087</v>
      </c>
      <c r="C673" s="4">
        <v>672.0</v>
      </c>
      <c r="D673" s="54" t="s">
        <v>274</v>
      </c>
      <c r="E673" s="4" t="s">
        <v>1191</v>
      </c>
      <c r="F673" s="54" t="s">
        <v>534</v>
      </c>
      <c r="G673" s="54" t="s">
        <v>1203</v>
      </c>
      <c r="H673" s="54" t="s">
        <v>1204</v>
      </c>
      <c r="I673" s="54" t="s">
        <v>1205</v>
      </c>
      <c r="J673" s="54" t="s">
        <v>1198</v>
      </c>
      <c r="X673" s="55" t="str">
        <f t="shared" si="1"/>
        <v>#NAME?</v>
      </c>
    </row>
    <row r="674">
      <c r="A674" s="4" t="s">
        <v>2156</v>
      </c>
      <c r="B674" s="4" t="s">
        <v>1087</v>
      </c>
      <c r="C674" s="4">
        <v>673.0</v>
      </c>
      <c r="D674" s="54" t="s">
        <v>673</v>
      </c>
      <c r="E674" s="4" t="s">
        <v>1088</v>
      </c>
      <c r="F674" s="54" t="s">
        <v>534</v>
      </c>
      <c r="G674" s="54" t="s">
        <v>1161</v>
      </c>
      <c r="H674" s="54" t="s">
        <v>1207</v>
      </c>
      <c r="I674" s="54" t="s">
        <v>1185</v>
      </c>
      <c r="J674" s="54" t="s">
        <v>1208</v>
      </c>
      <c r="X674" s="55" t="str">
        <f t="shared" si="1"/>
        <v>#NAME?</v>
      </c>
    </row>
    <row r="675">
      <c r="A675" s="4" t="s">
        <v>2157</v>
      </c>
      <c r="B675" s="4" t="s">
        <v>1087</v>
      </c>
      <c r="C675" s="4">
        <v>674.0</v>
      </c>
      <c r="D675" s="54" t="s">
        <v>683</v>
      </c>
      <c r="E675" s="4" t="s">
        <v>1088</v>
      </c>
      <c r="F675" s="54" t="s">
        <v>534</v>
      </c>
      <c r="G675" s="54" t="s">
        <v>1207</v>
      </c>
      <c r="H675" s="54" t="s">
        <v>1154</v>
      </c>
      <c r="I675" s="54" t="s">
        <v>1110</v>
      </c>
      <c r="J675" s="54" t="s">
        <v>1210</v>
      </c>
      <c r="X675" s="55" t="str">
        <f t="shared" si="1"/>
        <v>#NAME?</v>
      </c>
    </row>
    <row r="676">
      <c r="A676" s="4" t="s">
        <v>2158</v>
      </c>
      <c r="B676" s="4" t="s">
        <v>1087</v>
      </c>
      <c r="C676" s="4">
        <v>675.0</v>
      </c>
      <c r="D676" s="54" t="s">
        <v>694</v>
      </c>
      <c r="E676" s="4" t="s">
        <v>1098</v>
      </c>
      <c r="F676" s="54" t="s">
        <v>534</v>
      </c>
      <c r="G676" s="54" t="s">
        <v>1175</v>
      </c>
      <c r="H676" s="54" t="s">
        <v>1130</v>
      </c>
      <c r="I676" s="54" t="s">
        <v>1212</v>
      </c>
      <c r="J676" s="54" t="s">
        <v>1213</v>
      </c>
      <c r="X676" s="55" t="str">
        <f t="shared" si="1"/>
        <v>#NAME?</v>
      </c>
    </row>
    <row r="677">
      <c r="A677" s="4" t="s">
        <v>2159</v>
      </c>
      <c r="B677" s="4" t="s">
        <v>1087</v>
      </c>
      <c r="C677" s="4">
        <v>676.0</v>
      </c>
      <c r="D677" s="54" t="s">
        <v>626</v>
      </c>
      <c r="E677" s="4" t="s">
        <v>1098</v>
      </c>
      <c r="F677" s="54" t="s">
        <v>534</v>
      </c>
      <c r="G677" s="54" t="s">
        <v>1179</v>
      </c>
      <c r="H677" s="54" t="s">
        <v>1180</v>
      </c>
      <c r="I677" s="54" t="s">
        <v>1158</v>
      </c>
      <c r="J677" s="54" t="s">
        <v>1181</v>
      </c>
      <c r="X677" s="55" t="str">
        <f t="shared" si="1"/>
        <v>#NAME?</v>
      </c>
    </row>
    <row r="678">
      <c r="A678" s="4" t="s">
        <v>2160</v>
      </c>
      <c r="B678" s="4" t="s">
        <v>1087</v>
      </c>
      <c r="C678" s="4">
        <v>677.0</v>
      </c>
      <c r="D678" s="54" t="s">
        <v>694</v>
      </c>
      <c r="E678" s="4" t="s">
        <v>1098</v>
      </c>
      <c r="F678" s="54" t="s">
        <v>534</v>
      </c>
      <c r="G678" s="54" t="s">
        <v>1111</v>
      </c>
      <c r="H678" s="54" t="s">
        <v>1215</v>
      </c>
      <c r="I678" s="54" t="s">
        <v>1185</v>
      </c>
      <c r="J678" s="54" t="s">
        <v>1216</v>
      </c>
      <c r="X678" s="55" t="str">
        <f t="shared" si="1"/>
        <v>#NAME?</v>
      </c>
    </row>
    <row r="679">
      <c r="A679" s="4" t="s">
        <v>2161</v>
      </c>
      <c r="B679" s="4" t="s">
        <v>1087</v>
      </c>
      <c r="C679" s="4">
        <v>678.0</v>
      </c>
      <c r="D679" s="54" t="s">
        <v>287</v>
      </c>
      <c r="E679" s="4" t="s">
        <v>1088</v>
      </c>
      <c r="F679" s="54" t="s">
        <v>534</v>
      </c>
      <c r="G679" s="54" t="s">
        <v>1221</v>
      </c>
      <c r="H679" s="54" t="s">
        <v>1222</v>
      </c>
      <c r="I679" s="54" t="s">
        <v>1222</v>
      </c>
      <c r="J679" s="54" t="s">
        <v>1223</v>
      </c>
      <c r="X679" s="55" t="str">
        <f t="shared" si="1"/>
        <v>#NAME?</v>
      </c>
    </row>
    <row r="680">
      <c r="A680" s="4" t="s">
        <v>2162</v>
      </c>
      <c r="B680" s="4" t="s">
        <v>1087</v>
      </c>
      <c r="C680" s="4">
        <v>679.0</v>
      </c>
      <c r="D680" s="54" t="s">
        <v>421</v>
      </c>
      <c r="E680" s="4" t="s">
        <v>1088</v>
      </c>
      <c r="F680" s="54" t="s">
        <v>534</v>
      </c>
      <c r="G680" s="54" t="s">
        <v>1225</v>
      </c>
      <c r="H680" s="54" t="s">
        <v>1226</v>
      </c>
      <c r="I680" s="54" t="s">
        <v>1227</v>
      </c>
      <c r="J680" s="54" t="s">
        <v>1228</v>
      </c>
      <c r="X680" s="55" t="str">
        <f t="shared" si="1"/>
        <v>#NAME?</v>
      </c>
    </row>
    <row r="681">
      <c r="A681" s="4" t="s">
        <v>2163</v>
      </c>
      <c r="B681" s="4" t="s">
        <v>1087</v>
      </c>
      <c r="C681" s="4">
        <v>680.0</v>
      </c>
      <c r="D681" s="54" t="s">
        <v>737</v>
      </c>
      <c r="E681" s="4" t="s">
        <v>1191</v>
      </c>
      <c r="F681" s="54" t="s">
        <v>534</v>
      </c>
      <c r="G681" s="54" t="s">
        <v>1111</v>
      </c>
      <c r="H681" s="54" t="s">
        <v>1216</v>
      </c>
      <c r="I681" s="54" t="s">
        <v>1093</v>
      </c>
      <c r="J681" s="54" t="s">
        <v>1102</v>
      </c>
      <c r="X681" s="55" t="str">
        <f t="shared" si="1"/>
        <v>#NAME?</v>
      </c>
    </row>
    <row r="682">
      <c r="A682" s="4" t="s">
        <v>2164</v>
      </c>
      <c r="B682" s="4" t="s">
        <v>1087</v>
      </c>
      <c r="C682" s="4">
        <v>681.0</v>
      </c>
      <c r="D682" s="54" t="s">
        <v>737</v>
      </c>
      <c r="E682" s="4" t="s">
        <v>1191</v>
      </c>
      <c r="F682" s="54" t="s">
        <v>534</v>
      </c>
      <c r="G682" s="54" t="s">
        <v>1111</v>
      </c>
      <c r="H682" s="54" t="s">
        <v>1231</v>
      </c>
      <c r="I682" s="54" t="s">
        <v>1232</v>
      </c>
      <c r="J682" s="54" t="s">
        <v>1233</v>
      </c>
      <c r="X682" s="55" t="str">
        <f t="shared" si="1"/>
        <v>#NAME?</v>
      </c>
    </row>
    <row r="683">
      <c r="A683" s="4" t="s">
        <v>2165</v>
      </c>
      <c r="B683" s="4" t="s">
        <v>1087</v>
      </c>
      <c r="C683" s="4">
        <v>682.0</v>
      </c>
      <c r="D683" s="54" t="s">
        <v>737</v>
      </c>
      <c r="E683" s="4" t="s">
        <v>1191</v>
      </c>
      <c r="F683" s="54" t="s">
        <v>534</v>
      </c>
      <c r="G683" s="54" t="s">
        <v>1235</v>
      </c>
      <c r="H683" s="54" t="s">
        <v>1236</v>
      </c>
      <c r="I683" s="54" t="s">
        <v>1215</v>
      </c>
      <c r="J683" s="54" t="s">
        <v>1179</v>
      </c>
      <c r="X683" s="55" t="str">
        <f t="shared" si="1"/>
        <v>#NAME?</v>
      </c>
    </row>
    <row r="684">
      <c r="A684" s="4" t="s">
        <v>2166</v>
      </c>
      <c r="B684" s="4" t="s">
        <v>1087</v>
      </c>
      <c r="C684" s="4">
        <v>683.0</v>
      </c>
      <c r="D684" s="54" t="s">
        <v>737</v>
      </c>
      <c r="E684" s="4" t="s">
        <v>1191</v>
      </c>
      <c r="F684" s="54" t="s">
        <v>534</v>
      </c>
      <c r="G684" s="54" t="s">
        <v>1238</v>
      </c>
      <c r="H684" s="54" t="s">
        <v>1233</v>
      </c>
      <c r="I684" s="54" t="s">
        <v>1238</v>
      </c>
      <c r="J684" s="54" t="s">
        <v>1233</v>
      </c>
      <c r="X684" s="55" t="str">
        <f t="shared" si="1"/>
        <v>#NAME?</v>
      </c>
    </row>
    <row r="685">
      <c r="A685" s="4" t="s">
        <v>2167</v>
      </c>
      <c r="B685" s="4" t="s">
        <v>1087</v>
      </c>
      <c r="C685" s="4">
        <v>684.0</v>
      </c>
      <c r="D685" s="54" t="s">
        <v>807</v>
      </c>
      <c r="E685" s="4" t="s">
        <v>1088</v>
      </c>
      <c r="F685" s="54" t="s">
        <v>534</v>
      </c>
      <c r="G685" s="54" t="s">
        <v>1240</v>
      </c>
      <c r="H685" s="54" t="s">
        <v>1100</v>
      </c>
      <c r="I685" s="54" t="s">
        <v>1241</v>
      </c>
      <c r="J685" s="54" t="s">
        <v>1242</v>
      </c>
      <c r="X685" s="55" t="str">
        <f t="shared" si="1"/>
        <v>#NAME?</v>
      </c>
    </row>
    <row r="686">
      <c r="A686" s="4" t="s">
        <v>2168</v>
      </c>
      <c r="B686" s="4" t="s">
        <v>1087</v>
      </c>
      <c r="C686" s="4">
        <v>685.0</v>
      </c>
      <c r="D686" s="54" t="s">
        <v>963</v>
      </c>
      <c r="E686" s="4" t="s">
        <v>1088</v>
      </c>
      <c r="F686" s="54" t="s">
        <v>534</v>
      </c>
      <c r="G686" s="54" t="s">
        <v>1244</v>
      </c>
      <c r="H686" s="54" t="s">
        <v>1215</v>
      </c>
      <c r="I686" s="54" t="s">
        <v>1244</v>
      </c>
      <c r="J686" s="54" t="s">
        <v>1245</v>
      </c>
      <c r="X686" s="55" t="str">
        <f t="shared" si="1"/>
        <v>#NAME?</v>
      </c>
    </row>
    <row r="687">
      <c r="A687" s="4" t="s">
        <v>2169</v>
      </c>
      <c r="B687" s="4" t="s">
        <v>1087</v>
      </c>
      <c r="C687" s="4">
        <v>686.0</v>
      </c>
      <c r="D687" s="54" t="s">
        <v>963</v>
      </c>
      <c r="E687" s="4" t="s">
        <v>1088</v>
      </c>
      <c r="F687" s="54" t="s">
        <v>534</v>
      </c>
      <c r="G687" s="54" t="s">
        <v>1247</v>
      </c>
      <c r="H687" s="54" t="s">
        <v>1181</v>
      </c>
      <c r="I687" s="54" t="s">
        <v>1248</v>
      </c>
      <c r="J687" s="54" t="s">
        <v>1238</v>
      </c>
      <c r="X687" s="55" t="str">
        <f t="shared" si="1"/>
        <v>#NAME?</v>
      </c>
    </row>
    <row r="688">
      <c r="A688" s="4" t="s">
        <v>2170</v>
      </c>
      <c r="B688" s="4" t="s">
        <v>1087</v>
      </c>
      <c r="C688" s="4">
        <v>687.0</v>
      </c>
      <c r="D688" s="54" t="s">
        <v>694</v>
      </c>
      <c r="E688" s="4" t="s">
        <v>1098</v>
      </c>
      <c r="F688" s="54" t="s">
        <v>534</v>
      </c>
      <c r="G688" s="54" t="s">
        <v>1218</v>
      </c>
      <c r="H688" s="54" t="s">
        <v>1184</v>
      </c>
      <c r="I688" s="54" t="s">
        <v>1110</v>
      </c>
      <c r="J688" s="54" t="s">
        <v>1219</v>
      </c>
      <c r="X688" s="55" t="str">
        <f t="shared" si="1"/>
        <v>#NAME?</v>
      </c>
    </row>
    <row r="689">
      <c r="A689" s="4" t="s">
        <v>2171</v>
      </c>
      <c r="B689" s="4" t="s">
        <v>1087</v>
      </c>
      <c r="C689" s="4">
        <v>688.0</v>
      </c>
      <c r="D689" s="54" t="s">
        <v>971</v>
      </c>
      <c r="E689" s="4" t="s">
        <v>1088</v>
      </c>
      <c r="F689" s="54" t="s">
        <v>534</v>
      </c>
      <c r="G689" s="54" t="s">
        <v>1219</v>
      </c>
      <c r="H689" s="54" t="s">
        <v>1216</v>
      </c>
      <c r="I689" s="54" t="s">
        <v>1109</v>
      </c>
      <c r="J689" s="54" t="s">
        <v>1159</v>
      </c>
      <c r="X689" s="55" t="str">
        <f t="shared" si="1"/>
        <v>#NAME?</v>
      </c>
    </row>
    <row r="690">
      <c r="A690" s="4" t="s">
        <v>2172</v>
      </c>
      <c r="B690" s="4" t="s">
        <v>1087</v>
      </c>
      <c r="C690" s="4">
        <v>689.0</v>
      </c>
      <c r="D690" s="54" t="s">
        <v>626</v>
      </c>
      <c r="E690" s="4" t="s">
        <v>1098</v>
      </c>
      <c r="F690" s="54" t="s">
        <v>534</v>
      </c>
      <c r="G690" s="54" t="s">
        <v>1175</v>
      </c>
      <c r="H690" s="54" t="s">
        <v>1176</v>
      </c>
      <c r="I690" s="54" t="s">
        <v>1177</v>
      </c>
      <c r="J690" s="54" t="s">
        <v>1109</v>
      </c>
      <c r="X690" s="55" t="str">
        <f t="shared" si="1"/>
        <v>#NAME?</v>
      </c>
    </row>
    <row r="691">
      <c r="A691" s="4" t="s">
        <v>2173</v>
      </c>
      <c r="B691" s="4" t="s">
        <v>1087</v>
      </c>
      <c r="C691" s="4">
        <v>690.0</v>
      </c>
      <c r="D691" s="54" t="s">
        <v>611</v>
      </c>
      <c r="E691" s="4" t="s">
        <v>1088</v>
      </c>
      <c r="F691" s="54" t="s">
        <v>534</v>
      </c>
      <c r="G691" s="54" t="s">
        <v>1165</v>
      </c>
      <c r="H691" s="54" t="s">
        <v>1166</v>
      </c>
      <c r="I691" s="54" t="s">
        <v>1167</v>
      </c>
      <c r="J691" s="54" t="s">
        <v>1168</v>
      </c>
      <c r="X691" s="55" t="str">
        <f t="shared" si="1"/>
        <v>#NAME?</v>
      </c>
    </row>
    <row r="692">
      <c r="A692" s="4" t="s">
        <v>2174</v>
      </c>
      <c r="B692" s="4" t="s">
        <v>1087</v>
      </c>
      <c r="C692" s="4">
        <v>691.0</v>
      </c>
      <c r="D692" s="54" t="s">
        <v>292</v>
      </c>
      <c r="E692" s="4" t="s">
        <v>1088</v>
      </c>
      <c r="F692" s="54" t="s">
        <v>534</v>
      </c>
      <c r="G692" s="54" t="s">
        <v>1276</v>
      </c>
      <c r="H692" s="54" t="s">
        <v>1138</v>
      </c>
      <c r="I692" s="54" t="s">
        <v>1089</v>
      </c>
      <c r="J692" s="54" t="s">
        <v>1090</v>
      </c>
      <c r="X692" s="55" t="str">
        <f t="shared" si="1"/>
        <v>#NAME?</v>
      </c>
    </row>
    <row r="693">
      <c r="A693" s="4" t="s">
        <v>2175</v>
      </c>
      <c r="B693" s="4" t="s">
        <v>1087</v>
      </c>
      <c r="C693" s="4">
        <v>692.0</v>
      </c>
      <c r="D693" s="54" t="s">
        <v>1092</v>
      </c>
      <c r="E693" s="4" t="s">
        <v>1088</v>
      </c>
      <c r="F693" s="54" t="s">
        <v>449</v>
      </c>
      <c r="G693" s="54" t="s">
        <v>1102</v>
      </c>
      <c r="H693" s="54" t="s">
        <v>1111</v>
      </c>
      <c r="I693" s="54" t="s">
        <v>1529</v>
      </c>
      <c r="J693" s="54" t="s">
        <v>1093</v>
      </c>
      <c r="X693" s="55" t="str">
        <f t="shared" si="1"/>
        <v>#NAME?</v>
      </c>
    </row>
    <row r="694">
      <c r="A694" s="4" t="s">
        <v>2176</v>
      </c>
      <c r="B694" s="4" t="s">
        <v>1087</v>
      </c>
      <c r="C694" s="4">
        <v>693.0</v>
      </c>
      <c r="D694" s="54" t="s">
        <v>1095</v>
      </c>
      <c r="E694" s="4" t="s">
        <v>1088</v>
      </c>
      <c r="F694" s="54" t="s">
        <v>534</v>
      </c>
      <c r="G694" s="54" t="s">
        <v>1104</v>
      </c>
      <c r="H694" s="54" t="s">
        <v>1104</v>
      </c>
      <c r="I694" s="54" t="s">
        <v>1104</v>
      </c>
      <c r="J694" s="54" t="s">
        <v>1104</v>
      </c>
      <c r="X694" s="55" t="str">
        <f t="shared" si="1"/>
        <v>#NAME?</v>
      </c>
    </row>
    <row r="695">
      <c r="A695" s="4" t="s">
        <v>2177</v>
      </c>
      <c r="B695" s="4" t="s">
        <v>1087</v>
      </c>
      <c r="C695" s="4">
        <v>694.0</v>
      </c>
      <c r="D695" s="54" t="s">
        <v>1097</v>
      </c>
      <c r="E695" s="4" t="s">
        <v>1098</v>
      </c>
      <c r="F695" s="54" t="s">
        <v>449</v>
      </c>
      <c r="G695" s="54" t="s">
        <v>1099</v>
      </c>
      <c r="H695" s="54" t="s">
        <v>1100</v>
      </c>
      <c r="I695" s="54" t="s">
        <v>1101</v>
      </c>
      <c r="J695" s="54" t="s">
        <v>1102</v>
      </c>
      <c r="X695" s="55" t="str">
        <f t="shared" si="1"/>
        <v>#NAME?</v>
      </c>
    </row>
    <row r="696">
      <c r="A696" s="4" t="s">
        <v>2178</v>
      </c>
      <c r="B696" s="4" t="s">
        <v>1087</v>
      </c>
      <c r="C696" s="4">
        <v>695.0</v>
      </c>
      <c r="D696" s="54" t="s">
        <v>1097</v>
      </c>
      <c r="E696" s="4" t="s">
        <v>1098</v>
      </c>
      <c r="F696" s="54" t="s">
        <v>449</v>
      </c>
      <c r="G696" s="54" t="s">
        <v>1104</v>
      </c>
      <c r="H696" s="54" t="s">
        <v>1105</v>
      </c>
      <c r="I696" s="54" t="s">
        <v>1099</v>
      </c>
      <c r="J696" s="54" t="s">
        <v>1106</v>
      </c>
      <c r="X696" s="55" t="str">
        <f t="shared" si="1"/>
        <v>#NAME?</v>
      </c>
    </row>
    <row r="697">
      <c r="A697" s="4" t="s">
        <v>2179</v>
      </c>
      <c r="B697" s="4" t="s">
        <v>1087</v>
      </c>
      <c r="C697" s="4">
        <v>696.0</v>
      </c>
      <c r="D697" s="54" t="s">
        <v>1097</v>
      </c>
      <c r="E697" s="4" t="s">
        <v>1098</v>
      </c>
      <c r="F697" s="54" t="s">
        <v>449</v>
      </c>
      <c r="G697" s="54" t="s">
        <v>1108</v>
      </c>
      <c r="H697" s="54" t="s">
        <v>1109</v>
      </c>
      <c r="I697" s="54" t="s">
        <v>1110</v>
      </c>
      <c r="J697" s="54" t="s">
        <v>1111</v>
      </c>
      <c r="X697" s="55" t="str">
        <f t="shared" si="1"/>
        <v>#NAME?</v>
      </c>
    </row>
    <row r="698">
      <c r="A698" s="4" t="s">
        <v>2180</v>
      </c>
      <c r="B698" s="4" t="s">
        <v>1087</v>
      </c>
      <c r="C698" s="4">
        <v>697.0</v>
      </c>
      <c r="D698" s="54" t="s">
        <v>1113</v>
      </c>
      <c r="E698" s="4" t="s">
        <v>1088</v>
      </c>
      <c r="F698" s="54" t="s">
        <v>449</v>
      </c>
      <c r="G698" s="54" t="s">
        <v>1109</v>
      </c>
      <c r="H698" s="54" t="s">
        <v>1111</v>
      </c>
      <c r="I698" s="54" t="s">
        <v>1093</v>
      </c>
      <c r="J698" s="54" t="s">
        <v>1111</v>
      </c>
      <c r="X698" s="55" t="str">
        <f t="shared" si="1"/>
        <v>#NAME?</v>
      </c>
    </row>
    <row r="699">
      <c r="A699" s="4" t="s">
        <v>2181</v>
      </c>
      <c r="B699" s="4" t="s">
        <v>1087</v>
      </c>
      <c r="C699" s="4">
        <v>698.0</v>
      </c>
      <c r="D699" s="54" t="s">
        <v>399</v>
      </c>
      <c r="E699" s="4" t="s">
        <v>1088</v>
      </c>
      <c r="F699" s="54" t="s">
        <v>534</v>
      </c>
      <c r="G699" s="54" t="s">
        <v>1115</v>
      </c>
      <c r="H699" s="54" t="s">
        <v>1116</v>
      </c>
      <c r="I699" s="54" t="s">
        <v>1117</v>
      </c>
      <c r="J699" s="54" t="s">
        <v>1118</v>
      </c>
      <c r="X699" s="55" t="str">
        <f t="shared" si="1"/>
        <v>#NAME?</v>
      </c>
    </row>
    <row r="700">
      <c r="A700" s="4" t="s">
        <v>2182</v>
      </c>
      <c r="B700" s="4" t="s">
        <v>1087</v>
      </c>
      <c r="C700" s="4">
        <v>699.0</v>
      </c>
      <c r="D700" s="54" t="s">
        <v>399</v>
      </c>
      <c r="E700" s="4" t="s">
        <v>1088</v>
      </c>
      <c r="F700" s="54" t="s">
        <v>534</v>
      </c>
      <c r="G700" s="54" t="s">
        <v>1120</v>
      </c>
      <c r="H700" s="54" t="s">
        <v>1121</v>
      </c>
      <c r="I700" s="54" t="s">
        <v>1122</v>
      </c>
      <c r="J700" s="54" t="s">
        <v>1123</v>
      </c>
      <c r="X700" s="55" t="str">
        <f t="shared" si="1"/>
        <v>#NAME?</v>
      </c>
    </row>
    <row r="701">
      <c r="A701" s="4" t="s">
        <v>2183</v>
      </c>
      <c r="B701" s="4" t="s">
        <v>1087</v>
      </c>
      <c r="C701" s="4">
        <v>700.0</v>
      </c>
      <c r="D701" s="54" t="s">
        <v>626</v>
      </c>
      <c r="E701" s="4" t="s">
        <v>1098</v>
      </c>
      <c r="F701" s="54" t="s">
        <v>534</v>
      </c>
      <c r="G701" s="54" t="s">
        <v>1170</v>
      </c>
      <c r="H701" s="54" t="s">
        <v>1171</v>
      </c>
      <c r="I701" s="54" t="s">
        <v>1172</v>
      </c>
      <c r="J701" s="54" t="s">
        <v>1173</v>
      </c>
      <c r="X701" s="55" t="str">
        <f t="shared" si="1"/>
        <v>#NAME?</v>
      </c>
    </row>
    <row r="702">
      <c r="A702" s="4" t="s">
        <v>2184</v>
      </c>
      <c r="B702" s="4" t="s">
        <v>1087</v>
      </c>
      <c r="C702" s="4">
        <v>701.0</v>
      </c>
      <c r="D702" s="54" t="s">
        <v>405</v>
      </c>
      <c r="E702" s="4" t="s">
        <v>1088</v>
      </c>
      <c r="F702" s="54" t="s">
        <v>534</v>
      </c>
      <c r="G702" s="54" t="s">
        <v>1125</v>
      </c>
      <c r="H702" s="54" t="s">
        <v>1126</v>
      </c>
      <c r="I702" s="54" t="s">
        <v>1127</v>
      </c>
      <c r="J702" s="54" t="s">
        <v>1125</v>
      </c>
      <c r="X702" s="55" t="str">
        <f t="shared" si="1"/>
        <v>#NAME?</v>
      </c>
    </row>
    <row r="703">
      <c r="A703" s="4" t="s">
        <v>2185</v>
      </c>
      <c r="B703" s="4" t="s">
        <v>1087</v>
      </c>
      <c r="C703" s="4">
        <v>702.0</v>
      </c>
      <c r="D703" s="54" t="s">
        <v>443</v>
      </c>
      <c r="E703" s="4" t="s">
        <v>1088</v>
      </c>
      <c r="F703" s="54" t="s">
        <v>534</v>
      </c>
      <c r="G703" s="54" t="s">
        <v>1134</v>
      </c>
      <c r="H703" s="54" t="s">
        <v>1135</v>
      </c>
      <c r="I703" s="54" t="s">
        <v>1118</v>
      </c>
      <c r="J703" s="54" t="s">
        <v>1123</v>
      </c>
      <c r="X703" s="55" t="str">
        <f t="shared" si="1"/>
        <v>#NAME?</v>
      </c>
    </row>
    <row r="704">
      <c r="A704" s="4" t="s">
        <v>2186</v>
      </c>
      <c r="B704" s="4" t="s">
        <v>1087</v>
      </c>
      <c r="C704" s="4">
        <v>703.0</v>
      </c>
      <c r="D704" s="54" t="s">
        <v>357</v>
      </c>
      <c r="E704" s="4" t="s">
        <v>1088</v>
      </c>
      <c r="F704" s="54" t="s">
        <v>534</v>
      </c>
      <c r="G704" s="54" t="s">
        <v>1137</v>
      </c>
      <c r="H704" s="54" t="s">
        <v>1138</v>
      </c>
      <c r="I704" s="54" t="s">
        <v>1139</v>
      </c>
      <c r="J704" s="54" t="s">
        <v>1140</v>
      </c>
      <c r="X704" s="55" t="str">
        <f t="shared" si="1"/>
        <v>#NAME?</v>
      </c>
    </row>
    <row r="705">
      <c r="A705" s="4" t="s">
        <v>2187</v>
      </c>
      <c r="B705" s="4" t="s">
        <v>1087</v>
      </c>
      <c r="C705" s="4">
        <v>704.0</v>
      </c>
      <c r="D705" s="54" t="s">
        <v>529</v>
      </c>
      <c r="E705" s="4" t="s">
        <v>1088</v>
      </c>
      <c r="F705" s="54" t="s">
        <v>534</v>
      </c>
      <c r="G705" s="54" t="s">
        <v>1142</v>
      </c>
      <c r="H705" s="54" t="s">
        <v>1143</v>
      </c>
      <c r="I705" s="54" t="s">
        <v>1140</v>
      </c>
      <c r="J705" s="54" t="s">
        <v>1144</v>
      </c>
      <c r="X705" s="55" t="str">
        <f t="shared" si="1"/>
        <v>#NAME?</v>
      </c>
    </row>
    <row r="706">
      <c r="A706" s="4" t="s">
        <v>2188</v>
      </c>
      <c r="B706" s="4" t="s">
        <v>1087</v>
      </c>
      <c r="C706" s="4">
        <v>705.0</v>
      </c>
      <c r="D706" s="54" t="s">
        <v>534</v>
      </c>
      <c r="E706" s="4" t="s">
        <v>1088</v>
      </c>
      <c r="F706" s="54" t="s">
        <v>534</v>
      </c>
      <c r="G706" s="54" t="s">
        <v>1117</v>
      </c>
      <c r="H706" s="54" t="s">
        <v>1139</v>
      </c>
      <c r="I706" s="54" t="s">
        <v>1135</v>
      </c>
      <c r="J706" s="54" t="s">
        <v>1139</v>
      </c>
      <c r="X706" s="55" t="str">
        <f t="shared" si="1"/>
        <v>#NAME?</v>
      </c>
    </row>
    <row r="707">
      <c r="A707" s="4" t="s">
        <v>2189</v>
      </c>
      <c r="B707" s="4" t="s">
        <v>1087</v>
      </c>
      <c r="C707" s="4">
        <v>706.0</v>
      </c>
      <c r="D707" s="54" t="s">
        <v>540</v>
      </c>
      <c r="E707" s="4" t="s">
        <v>1088</v>
      </c>
      <c r="F707" s="54" t="s">
        <v>534</v>
      </c>
      <c r="G707" s="54" t="s">
        <v>1135</v>
      </c>
      <c r="H707" s="54" t="s">
        <v>1147</v>
      </c>
      <c r="I707" s="54" t="s">
        <v>1135</v>
      </c>
      <c r="J707" s="54" t="s">
        <v>1148</v>
      </c>
      <c r="X707" s="55" t="str">
        <f t="shared" si="1"/>
        <v>#NAME?</v>
      </c>
    </row>
    <row r="708">
      <c r="A708" s="4" t="s">
        <v>2190</v>
      </c>
      <c r="B708" s="4" t="s">
        <v>1087</v>
      </c>
      <c r="C708" s="4">
        <v>707.0</v>
      </c>
      <c r="D708" s="54" t="s">
        <v>546</v>
      </c>
      <c r="E708" s="4" t="s">
        <v>1088</v>
      </c>
      <c r="F708" s="54" t="s">
        <v>534</v>
      </c>
      <c r="G708" s="54" t="s">
        <v>1150</v>
      </c>
      <c r="H708" s="54" t="s">
        <v>1151</v>
      </c>
      <c r="I708" s="54" t="s">
        <v>1152</v>
      </c>
      <c r="J708" s="54" t="s">
        <v>1123</v>
      </c>
      <c r="X708" s="55" t="str">
        <f t="shared" si="1"/>
        <v>#NAME?</v>
      </c>
    </row>
    <row r="709">
      <c r="A709" s="4" t="s">
        <v>2191</v>
      </c>
      <c r="B709" s="4" t="s">
        <v>1087</v>
      </c>
      <c r="C709" s="4">
        <v>708.0</v>
      </c>
      <c r="D709" s="54" t="s">
        <v>546</v>
      </c>
      <c r="E709" s="4" t="s">
        <v>1088</v>
      </c>
      <c r="F709" s="54" t="s">
        <v>534</v>
      </c>
      <c r="G709" s="54" t="s">
        <v>1154</v>
      </c>
      <c r="H709" s="54" t="s">
        <v>1155</v>
      </c>
      <c r="I709" s="54" t="s">
        <v>1156</v>
      </c>
      <c r="J709" s="54" t="s">
        <v>1110</v>
      </c>
      <c r="X709" s="55" t="str">
        <f t="shared" si="1"/>
        <v>#NAME?</v>
      </c>
    </row>
    <row r="710">
      <c r="A710" s="4" t="s">
        <v>2192</v>
      </c>
      <c r="B710" s="4" t="s">
        <v>1087</v>
      </c>
      <c r="C710" s="4">
        <v>709.0</v>
      </c>
      <c r="D710" s="54" t="s">
        <v>573</v>
      </c>
      <c r="E710" s="4" t="s">
        <v>1088</v>
      </c>
      <c r="F710" s="54" t="s">
        <v>534</v>
      </c>
      <c r="G710" s="54" t="s">
        <v>1158</v>
      </c>
      <c r="H710" s="54" t="s">
        <v>1159</v>
      </c>
      <c r="I710" s="54" t="s">
        <v>1160</v>
      </c>
      <c r="J710" s="54" t="s">
        <v>1161</v>
      </c>
      <c r="X710" s="55" t="str">
        <f t="shared" si="1"/>
        <v>#NAME?</v>
      </c>
    </row>
    <row r="711">
      <c r="A711" s="4" t="s">
        <v>2193</v>
      </c>
      <c r="B711" s="4" t="s">
        <v>1087</v>
      </c>
      <c r="C711" s="4">
        <v>710.0</v>
      </c>
      <c r="D711" s="54" t="s">
        <v>573</v>
      </c>
      <c r="E711" s="4" t="s">
        <v>1088</v>
      </c>
      <c r="F711" s="54" t="s">
        <v>534</v>
      </c>
      <c r="G711" s="54" t="s">
        <v>1090</v>
      </c>
      <c r="H711" s="54" t="s">
        <v>1163</v>
      </c>
      <c r="I711" s="54" t="s">
        <v>1150</v>
      </c>
      <c r="J711" s="54" t="s">
        <v>1118</v>
      </c>
      <c r="X711" s="55" t="str">
        <f t="shared" si="1"/>
        <v>#NAME?</v>
      </c>
    </row>
    <row r="712">
      <c r="A712" s="4" t="s">
        <v>2194</v>
      </c>
      <c r="B712" s="4" t="s">
        <v>1087</v>
      </c>
      <c r="C712" s="4">
        <v>711.0</v>
      </c>
      <c r="D712" s="54" t="s">
        <v>449</v>
      </c>
      <c r="E712" s="4" t="s">
        <v>1088</v>
      </c>
      <c r="F712" s="54" t="s">
        <v>534</v>
      </c>
      <c r="G712" s="54" t="s">
        <v>1129</v>
      </c>
      <c r="H712" s="54" t="s">
        <v>1130</v>
      </c>
      <c r="I712" s="54" t="s">
        <v>1131</v>
      </c>
      <c r="J712" s="54" t="s">
        <v>1132</v>
      </c>
      <c r="X712" s="55" t="str">
        <f t="shared" si="1"/>
        <v>#NAME?</v>
      </c>
    </row>
    <row r="713">
      <c r="A713" s="4" t="s">
        <v>2195</v>
      </c>
      <c r="B713" s="4" t="s">
        <v>1087</v>
      </c>
      <c r="C713" s="4">
        <v>712.0</v>
      </c>
      <c r="D713" s="4" t="s">
        <v>1421</v>
      </c>
      <c r="E713" s="4" t="s">
        <v>1088</v>
      </c>
      <c r="F713" s="54" t="s">
        <v>534</v>
      </c>
      <c r="G713" s="54" t="s">
        <v>1139</v>
      </c>
      <c r="H713" s="54" t="s">
        <v>1134</v>
      </c>
      <c r="I713" s="54" t="s">
        <v>1405</v>
      </c>
      <c r="J713" s="54" t="s">
        <v>1150</v>
      </c>
      <c r="X713" s="55" t="str">
        <f t="shared" si="1"/>
        <v>#NAME?</v>
      </c>
    </row>
    <row r="714">
      <c r="A714" s="4" t="s">
        <v>2196</v>
      </c>
      <c r="B714" s="4" t="s">
        <v>1087</v>
      </c>
      <c r="C714" s="4">
        <v>713.0</v>
      </c>
      <c r="D714" s="54" t="s">
        <v>809</v>
      </c>
      <c r="E714" s="4" t="s">
        <v>1251</v>
      </c>
      <c r="F714" s="54" t="s">
        <v>534</v>
      </c>
      <c r="G714" s="54" t="s">
        <v>1252</v>
      </c>
      <c r="H714" s="54" t="s">
        <v>1253</v>
      </c>
      <c r="I714" s="54" t="s">
        <v>1173</v>
      </c>
      <c r="J714" s="54" t="s">
        <v>1254</v>
      </c>
      <c r="X714" s="55" t="str">
        <f t="shared" si="1"/>
        <v>#NAME?</v>
      </c>
    </row>
    <row r="715">
      <c r="A715" s="4" t="s">
        <v>2197</v>
      </c>
      <c r="B715" s="4" t="s">
        <v>1087</v>
      </c>
      <c r="C715" s="4">
        <v>714.0</v>
      </c>
      <c r="D715" s="4" t="s">
        <v>1261</v>
      </c>
      <c r="E715" s="4" t="s">
        <v>1251</v>
      </c>
      <c r="F715" s="54" t="s">
        <v>534</v>
      </c>
      <c r="G715" s="54" t="s">
        <v>1262</v>
      </c>
      <c r="H715" s="54" t="s">
        <v>1263</v>
      </c>
      <c r="I715" s="54" t="s">
        <v>1264</v>
      </c>
      <c r="J715" s="54" t="s">
        <v>1265</v>
      </c>
      <c r="X715" s="55" t="str">
        <f t="shared" si="1"/>
        <v>#NAME?</v>
      </c>
    </row>
    <row r="716">
      <c r="A716" s="4" t="s">
        <v>2198</v>
      </c>
      <c r="B716" s="4" t="s">
        <v>1087</v>
      </c>
      <c r="C716" s="4">
        <v>715.0</v>
      </c>
      <c r="D716" s="4" t="s">
        <v>1363</v>
      </c>
      <c r="E716" s="4" t="s">
        <v>1251</v>
      </c>
      <c r="F716" s="54" t="s">
        <v>534</v>
      </c>
      <c r="G716" s="54" t="s">
        <v>1364</v>
      </c>
      <c r="H716" s="54" t="s">
        <v>1264</v>
      </c>
      <c r="I716" s="54" t="s">
        <v>1365</v>
      </c>
      <c r="J716" s="54" t="s">
        <v>1366</v>
      </c>
      <c r="X716" s="55" t="str">
        <f t="shared" si="1"/>
        <v>#NAME?</v>
      </c>
    </row>
    <row r="717">
      <c r="A717" s="4" t="s">
        <v>2199</v>
      </c>
      <c r="B717" s="4" t="s">
        <v>1087</v>
      </c>
      <c r="C717" s="4">
        <v>716.0</v>
      </c>
      <c r="D717" s="4" t="s">
        <v>1368</v>
      </c>
      <c r="E717" s="4" t="s">
        <v>1088</v>
      </c>
      <c r="F717" s="54" t="s">
        <v>357</v>
      </c>
      <c r="G717" s="54" t="s">
        <v>1292</v>
      </c>
      <c r="H717" s="54" t="s">
        <v>1337</v>
      </c>
      <c r="I717" s="54" t="s">
        <v>1288</v>
      </c>
      <c r="J717" s="54" t="s">
        <v>1292</v>
      </c>
      <c r="X717" s="55" t="str">
        <f t="shared" si="1"/>
        <v>#NAME?</v>
      </c>
    </row>
    <row r="718">
      <c r="A718" s="4" t="s">
        <v>2200</v>
      </c>
      <c r="B718" s="4" t="s">
        <v>1087</v>
      </c>
      <c r="C718" s="4">
        <v>717.0</v>
      </c>
      <c r="D718" s="4" t="s">
        <v>1370</v>
      </c>
      <c r="E718" s="4" t="s">
        <v>1088</v>
      </c>
      <c r="F718" s="54" t="s">
        <v>357</v>
      </c>
      <c r="G718" s="54" t="s">
        <v>1287</v>
      </c>
      <c r="H718" s="54" t="s">
        <v>1293</v>
      </c>
      <c r="I718" s="54" t="s">
        <v>1292</v>
      </c>
      <c r="J718" s="54" t="s">
        <v>1288</v>
      </c>
      <c r="X718" s="55" t="str">
        <f t="shared" si="1"/>
        <v>#NAME?</v>
      </c>
    </row>
    <row r="719">
      <c r="A719" s="4" t="s">
        <v>2201</v>
      </c>
      <c r="B719" s="4" t="s">
        <v>1087</v>
      </c>
      <c r="C719" s="4">
        <v>718.0</v>
      </c>
      <c r="D719" s="4" t="s">
        <v>1372</v>
      </c>
      <c r="E719" s="4" t="s">
        <v>1251</v>
      </c>
      <c r="F719" s="54" t="s">
        <v>357</v>
      </c>
      <c r="G719" s="54" t="s">
        <v>1194</v>
      </c>
      <c r="H719" s="54" t="s">
        <v>1192</v>
      </c>
      <c r="I719" s="54" t="s">
        <v>1349</v>
      </c>
      <c r="J719" s="54" t="s">
        <v>1373</v>
      </c>
      <c r="X719" s="55" t="str">
        <f t="shared" si="1"/>
        <v>#NAME?</v>
      </c>
    </row>
    <row r="720">
      <c r="A720" s="4" t="s">
        <v>2202</v>
      </c>
      <c r="B720" s="4" t="s">
        <v>1087</v>
      </c>
      <c r="C720" s="4">
        <v>719.0</v>
      </c>
      <c r="D720" s="4" t="s">
        <v>1375</v>
      </c>
      <c r="E720" s="4" t="s">
        <v>1251</v>
      </c>
      <c r="F720" s="54" t="s">
        <v>534</v>
      </c>
      <c r="G720" s="54" t="s">
        <v>1376</v>
      </c>
      <c r="H720" s="54" t="s">
        <v>1377</v>
      </c>
      <c r="I720" s="54" t="s">
        <v>1378</v>
      </c>
      <c r="J720" s="54" t="s">
        <v>1379</v>
      </c>
      <c r="X720" s="55" t="str">
        <f t="shared" si="1"/>
        <v>#NAME?</v>
      </c>
    </row>
    <row r="721">
      <c r="A721" s="4" t="s">
        <v>2203</v>
      </c>
      <c r="B721" s="4" t="s">
        <v>1087</v>
      </c>
      <c r="C721" s="4">
        <v>720.0</v>
      </c>
      <c r="D721" s="4" t="s">
        <v>1381</v>
      </c>
      <c r="E721" s="4" t="s">
        <v>1098</v>
      </c>
      <c r="F721" s="54" t="s">
        <v>534</v>
      </c>
      <c r="G721" s="54" t="s">
        <v>1382</v>
      </c>
      <c r="H721" s="54" t="s">
        <v>1274</v>
      </c>
      <c r="I721" s="54" t="s">
        <v>1147</v>
      </c>
      <c r="J721" s="54" t="s">
        <v>1383</v>
      </c>
      <c r="X721" s="55" t="str">
        <f t="shared" si="1"/>
        <v>#NAME?</v>
      </c>
    </row>
    <row r="722">
      <c r="A722" s="4" t="s">
        <v>2204</v>
      </c>
      <c r="B722" s="4" t="s">
        <v>1087</v>
      </c>
      <c r="C722" s="4">
        <v>721.0</v>
      </c>
      <c r="D722" s="4" t="s">
        <v>1385</v>
      </c>
      <c r="E722" s="4" t="s">
        <v>1098</v>
      </c>
      <c r="F722" s="54" t="s">
        <v>534</v>
      </c>
      <c r="G722" s="54" t="s">
        <v>1121</v>
      </c>
      <c r="H722" s="54" t="s">
        <v>1274</v>
      </c>
      <c r="I722" s="54" t="s">
        <v>1122</v>
      </c>
      <c r="J722" s="54" t="s">
        <v>1360</v>
      </c>
      <c r="X722" s="55" t="str">
        <f t="shared" si="1"/>
        <v>#NAME?</v>
      </c>
    </row>
    <row r="723">
      <c r="A723" s="4" t="s">
        <v>2205</v>
      </c>
      <c r="B723" s="4" t="s">
        <v>1087</v>
      </c>
      <c r="C723" s="4">
        <v>722.0</v>
      </c>
      <c r="D723" s="4" t="s">
        <v>1387</v>
      </c>
      <c r="E723" s="4" t="s">
        <v>1098</v>
      </c>
      <c r="F723" s="54" t="s">
        <v>534</v>
      </c>
      <c r="G723" s="54" t="s">
        <v>1148</v>
      </c>
      <c r="H723" s="54" t="s">
        <v>1309</v>
      </c>
      <c r="I723" s="54" t="s">
        <v>1139</v>
      </c>
      <c r="J723" s="54" t="s">
        <v>1308</v>
      </c>
      <c r="X723" s="55" t="str">
        <f t="shared" si="1"/>
        <v>#NAME?</v>
      </c>
    </row>
    <row r="724">
      <c r="A724" s="4" t="s">
        <v>2206</v>
      </c>
      <c r="B724" s="4" t="s">
        <v>1087</v>
      </c>
      <c r="C724" s="4">
        <v>723.0</v>
      </c>
      <c r="D724" s="4" t="s">
        <v>1389</v>
      </c>
      <c r="E724" s="4" t="s">
        <v>1088</v>
      </c>
      <c r="F724" s="54" t="s">
        <v>534</v>
      </c>
      <c r="G724" s="54" t="s">
        <v>1122</v>
      </c>
      <c r="H724" s="54" t="s">
        <v>1390</v>
      </c>
      <c r="I724" s="54" t="s">
        <v>1391</v>
      </c>
      <c r="J724" s="54" t="s">
        <v>1340</v>
      </c>
      <c r="X724" s="55" t="str">
        <f t="shared" si="1"/>
        <v>#NAME?</v>
      </c>
    </row>
    <row r="725">
      <c r="A725" s="4" t="s">
        <v>2207</v>
      </c>
      <c r="B725" s="4" t="s">
        <v>1087</v>
      </c>
      <c r="C725" s="4">
        <v>724.0</v>
      </c>
      <c r="D725" s="4" t="s">
        <v>1358</v>
      </c>
      <c r="E725" s="4" t="s">
        <v>1251</v>
      </c>
      <c r="F725" s="54" t="s">
        <v>357</v>
      </c>
      <c r="G725" s="54" t="s">
        <v>1359</v>
      </c>
      <c r="H725" s="54" t="s">
        <v>1200</v>
      </c>
      <c r="I725" s="54" t="s">
        <v>1360</v>
      </c>
      <c r="J725" s="54" t="s">
        <v>1361</v>
      </c>
      <c r="X725" s="55" t="str">
        <f t="shared" si="1"/>
        <v>#NAME?</v>
      </c>
    </row>
    <row r="726">
      <c r="A726" s="4" t="s">
        <v>2208</v>
      </c>
      <c r="B726" s="4" t="s">
        <v>1087</v>
      </c>
      <c r="C726" s="4">
        <v>725.0</v>
      </c>
      <c r="D726" s="4" t="s">
        <v>1393</v>
      </c>
      <c r="E726" s="4" t="s">
        <v>1088</v>
      </c>
      <c r="F726" s="54" t="s">
        <v>534</v>
      </c>
      <c r="G726" s="54" t="s">
        <v>1147</v>
      </c>
      <c r="H726" s="54" t="s">
        <v>1340</v>
      </c>
      <c r="I726" s="54" t="s">
        <v>1394</v>
      </c>
      <c r="J726" s="54" t="s">
        <v>1275</v>
      </c>
      <c r="X726" s="55" t="str">
        <f t="shared" si="1"/>
        <v>#NAME?</v>
      </c>
    </row>
    <row r="727">
      <c r="A727" s="4" t="s">
        <v>2209</v>
      </c>
      <c r="B727" s="4" t="s">
        <v>1087</v>
      </c>
      <c r="C727" s="4">
        <v>726.0</v>
      </c>
      <c r="D727" s="4" t="s">
        <v>1400</v>
      </c>
      <c r="E727" s="4" t="s">
        <v>1397</v>
      </c>
      <c r="F727" s="54" t="s">
        <v>534</v>
      </c>
      <c r="G727" s="54" t="s">
        <v>1152</v>
      </c>
      <c r="H727" s="54" t="s">
        <v>1275</v>
      </c>
      <c r="I727" s="54" t="s">
        <v>1148</v>
      </c>
      <c r="J727" s="54" t="s">
        <v>1318</v>
      </c>
      <c r="X727" s="55" t="str">
        <f t="shared" si="1"/>
        <v>#NAME?</v>
      </c>
    </row>
    <row r="728">
      <c r="A728" s="4" t="s">
        <v>2210</v>
      </c>
      <c r="B728" s="4" t="s">
        <v>1087</v>
      </c>
      <c r="C728" s="4">
        <v>727.0</v>
      </c>
      <c r="D728" s="4" t="s">
        <v>1402</v>
      </c>
      <c r="E728" s="4" t="s">
        <v>1397</v>
      </c>
      <c r="F728" s="54" t="s">
        <v>534</v>
      </c>
      <c r="G728" s="54" t="s">
        <v>1275</v>
      </c>
      <c r="H728" s="54" t="s">
        <v>1275</v>
      </c>
      <c r="I728" s="54" t="s">
        <v>1116</v>
      </c>
      <c r="J728" s="54" t="s">
        <v>1121</v>
      </c>
      <c r="X728" s="55" t="str">
        <f t="shared" si="1"/>
        <v>#NAME?</v>
      </c>
    </row>
    <row r="729">
      <c r="A729" s="4" t="s">
        <v>2211</v>
      </c>
      <c r="B729" s="4" t="s">
        <v>1087</v>
      </c>
      <c r="C729" s="4">
        <v>728.0</v>
      </c>
      <c r="D729" s="4" t="s">
        <v>1404</v>
      </c>
      <c r="E729" s="4" t="s">
        <v>1088</v>
      </c>
      <c r="F729" s="54" t="s">
        <v>534</v>
      </c>
      <c r="G729" s="54" t="s">
        <v>1275</v>
      </c>
      <c r="H729" s="54" t="s">
        <v>1343</v>
      </c>
      <c r="I729" s="54" t="s">
        <v>1343</v>
      </c>
      <c r="J729" s="54" t="s">
        <v>1405</v>
      </c>
      <c r="X729" s="55" t="str">
        <f t="shared" si="1"/>
        <v>#NAME?</v>
      </c>
    </row>
    <row r="730">
      <c r="A730" s="4" t="s">
        <v>2212</v>
      </c>
      <c r="B730" s="4" t="s">
        <v>1087</v>
      </c>
      <c r="C730" s="4">
        <v>729.0</v>
      </c>
      <c r="D730" s="4" t="s">
        <v>1407</v>
      </c>
      <c r="E730" s="4" t="s">
        <v>1088</v>
      </c>
      <c r="F730" s="54" t="s">
        <v>534</v>
      </c>
      <c r="G730" s="54" t="s">
        <v>1116</v>
      </c>
      <c r="H730" s="54" t="s">
        <v>1123</v>
      </c>
      <c r="I730" s="54" t="s">
        <v>1147</v>
      </c>
      <c r="J730" s="54" t="s">
        <v>1303</v>
      </c>
      <c r="X730" s="55" t="str">
        <f t="shared" si="1"/>
        <v>#NAME?</v>
      </c>
    </row>
    <row r="731">
      <c r="A731" s="4" t="s">
        <v>2213</v>
      </c>
      <c r="B731" s="4" t="s">
        <v>1087</v>
      </c>
      <c r="C731" s="4">
        <v>730.0</v>
      </c>
      <c r="D731" s="4" t="s">
        <v>1409</v>
      </c>
      <c r="E731" s="4" t="s">
        <v>1088</v>
      </c>
      <c r="F731" s="54" t="s">
        <v>534</v>
      </c>
      <c r="G731" s="54" t="s">
        <v>1115</v>
      </c>
      <c r="H731" s="54" t="s">
        <v>1115</v>
      </c>
      <c r="I731" s="54" t="s">
        <v>1405</v>
      </c>
      <c r="J731" s="54" t="s">
        <v>1340</v>
      </c>
      <c r="X731" s="55" t="str">
        <f t="shared" si="1"/>
        <v>#NAME?</v>
      </c>
    </row>
    <row r="732">
      <c r="A732" s="4" t="s">
        <v>2214</v>
      </c>
      <c r="B732" s="4" t="s">
        <v>1087</v>
      </c>
      <c r="C732" s="4">
        <v>731.0</v>
      </c>
      <c r="D732" s="4" t="s">
        <v>1411</v>
      </c>
      <c r="E732" s="4" t="s">
        <v>1088</v>
      </c>
      <c r="F732" s="54" t="s">
        <v>534</v>
      </c>
      <c r="G732" s="54" t="s">
        <v>1170</v>
      </c>
      <c r="H732" s="54" t="s">
        <v>1219</v>
      </c>
      <c r="I732" s="54" t="s">
        <v>1154</v>
      </c>
      <c r="J732" s="54" t="s">
        <v>1216</v>
      </c>
      <c r="X732" s="55" t="str">
        <f t="shared" si="1"/>
        <v>#NAME?</v>
      </c>
    </row>
    <row r="733">
      <c r="A733" s="4" t="s">
        <v>2215</v>
      </c>
      <c r="B733" s="4" t="s">
        <v>1087</v>
      </c>
      <c r="C733" s="4">
        <v>732.0</v>
      </c>
      <c r="D733" s="4" t="s">
        <v>1411</v>
      </c>
      <c r="E733" s="4" t="s">
        <v>1088</v>
      </c>
      <c r="F733" s="54" t="s">
        <v>534</v>
      </c>
      <c r="G733" s="54" t="s">
        <v>1170</v>
      </c>
      <c r="H733" s="54" t="s">
        <v>1159</v>
      </c>
      <c r="I733" s="54" t="s">
        <v>1413</v>
      </c>
      <c r="J733" s="54" t="s">
        <v>1093</v>
      </c>
      <c r="X733" s="55" t="str">
        <f t="shared" si="1"/>
        <v>#NAME?</v>
      </c>
    </row>
    <row r="734">
      <c r="A734" s="4" t="s">
        <v>2216</v>
      </c>
      <c r="B734" s="4" t="s">
        <v>1087</v>
      </c>
      <c r="C734" s="4">
        <v>733.0</v>
      </c>
      <c r="D734" s="4" t="s">
        <v>1411</v>
      </c>
      <c r="E734" s="4" t="s">
        <v>1088</v>
      </c>
      <c r="F734" s="54" t="s">
        <v>534</v>
      </c>
      <c r="G734" s="54" t="s">
        <v>1093</v>
      </c>
      <c r="H734" s="54" t="s">
        <v>1093</v>
      </c>
      <c r="I734" s="54" t="s">
        <v>1111</v>
      </c>
      <c r="J734" s="54" t="s">
        <v>1160</v>
      </c>
      <c r="X734" s="55" t="str">
        <f t="shared" si="1"/>
        <v>#NAME?</v>
      </c>
    </row>
    <row r="735">
      <c r="A735" s="4" t="s">
        <v>2217</v>
      </c>
      <c r="B735" s="4" t="s">
        <v>1087</v>
      </c>
      <c r="C735" s="4">
        <v>734.0</v>
      </c>
      <c r="D735" s="4" t="s">
        <v>1416</v>
      </c>
      <c r="E735" s="4" t="s">
        <v>1088</v>
      </c>
      <c r="F735" s="54" t="s">
        <v>534</v>
      </c>
      <c r="G735" s="54" t="s">
        <v>1093</v>
      </c>
      <c r="H735" s="54" t="s">
        <v>1154</v>
      </c>
      <c r="I735" s="54" t="s">
        <v>1236</v>
      </c>
      <c r="J735" s="54" t="s">
        <v>1417</v>
      </c>
      <c r="X735" s="55" t="str">
        <f t="shared" si="1"/>
        <v>#NAME?</v>
      </c>
    </row>
    <row r="736">
      <c r="A736" s="4" t="s">
        <v>2218</v>
      </c>
      <c r="B736" s="4" t="s">
        <v>1087</v>
      </c>
      <c r="C736" s="4">
        <v>735.0</v>
      </c>
      <c r="D736" s="4" t="s">
        <v>1396</v>
      </c>
      <c r="E736" s="4" t="s">
        <v>1397</v>
      </c>
      <c r="F736" s="54" t="s">
        <v>534</v>
      </c>
      <c r="G736" s="54" t="s">
        <v>1148</v>
      </c>
      <c r="H736" s="54" t="s">
        <v>1398</v>
      </c>
      <c r="I736" s="54" t="s">
        <v>1151</v>
      </c>
      <c r="J736" s="54" t="s">
        <v>1115</v>
      </c>
      <c r="X736" s="55" t="str">
        <f t="shared" si="1"/>
        <v>#NAME?</v>
      </c>
    </row>
    <row r="737">
      <c r="A737" s="4" t="s">
        <v>2219</v>
      </c>
      <c r="B737" s="4" t="s">
        <v>1087</v>
      </c>
      <c r="C737" s="4">
        <v>736.0</v>
      </c>
      <c r="D737" s="54" t="s">
        <v>481</v>
      </c>
      <c r="E737" s="4" t="s">
        <v>1251</v>
      </c>
      <c r="F737" s="54" t="s">
        <v>357</v>
      </c>
      <c r="G737" s="54" t="s">
        <v>1256</v>
      </c>
      <c r="H737" s="54" t="s">
        <v>1257</v>
      </c>
      <c r="I737" s="54" t="s">
        <v>1258</v>
      </c>
      <c r="J737" s="54" t="s">
        <v>1259</v>
      </c>
      <c r="X737" s="55" t="str">
        <f t="shared" si="1"/>
        <v>#NAME?</v>
      </c>
    </row>
    <row r="738">
      <c r="A738" s="4" t="s">
        <v>2220</v>
      </c>
      <c r="B738" s="4" t="s">
        <v>1087</v>
      </c>
      <c r="C738" s="4">
        <v>737.0</v>
      </c>
      <c r="D738" s="4" t="s">
        <v>1355</v>
      </c>
      <c r="E738" s="4" t="s">
        <v>1088</v>
      </c>
      <c r="F738" s="54" t="s">
        <v>357</v>
      </c>
      <c r="G738" s="54" t="s">
        <v>1356</v>
      </c>
      <c r="H738" s="54" t="s">
        <v>1244</v>
      </c>
      <c r="I738" s="54" t="s">
        <v>1244</v>
      </c>
      <c r="J738" s="54" t="s">
        <v>1244</v>
      </c>
      <c r="X738" s="55" t="str">
        <f t="shared" si="1"/>
        <v>#NAME?</v>
      </c>
    </row>
    <row r="739">
      <c r="A739" s="4" t="s">
        <v>2221</v>
      </c>
      <c r="B739" s="4" t="s">
        <v>1087</v>
      </c>
      <c r="C739" s="4">
        <v>738.0</v>
      </c>
      <c r="D739" s="4" t="s">
        <v>1348</v>
      </c>
      <c r="E739" s="4" t="s">
        <v>1098</v>
      </c>
      <c r="F739" s="54" t="s">
        <v>357</v>
      </c>
      <c r="G739" s="54" t="s">
        <v>1134</v>
      </c>
      <c r="H739" s="54" t="s">
        <v>1349</v>
      </c>
      <c r="I739" s="54" t="s">
        <v>1350</v>
      </c>
      <c r="J739" s="54" t="s">
        <v>1351</v>
      </c>
      <c r="X739" s="55" t="str">
        <f t="shared" si="1"/>
        <v>#NAME?</v>
      </c>
    </row>
    <row r="740">
      <c r="A740" s="54" t="s">
        <v>2222</v>
      </c>
      <c r="B740" s="4" t="s">
        <v>1087</v>
      </c>
      <c r="C740" s="4">
        <v>739.0</v>
      </c>
      <c r="D740" s="4" t="s">
        <v>1267</v>
      </c>
      <c r="E740" s="4" t="s">
        <v>1251</v>
      </c>
      <c r="F740" s="54" t="s">
        <v>357</v>
      </c>
      <c r="G740" s="54" t="s">
        <v>1200</v>
      </c>
      <c r="H740" s="54" t="s">
        <v>1099</v>
      </c>
      <c r="I740" s="54" t="s">
        <v>1099</v>
      </c>
      <c r="J740" s="54" t="s">
        <v>1253</v>
      </c>
      <c r="X740" s="55" t="str">
        <f t="shared" si="1"/>
        <v>#NAME?</v>
      </c>
    </row>
    <row r="741">
      <c r="A741" s="4" t="s">
        <v>2223</v>
      </c>
      <c r="B741" s="4" t="s">
        <v>1087</v>
      </c>
      <c r="C741" s="4">
        <v>740.0</v>
      </c>
      <c r="D741" s="4" t="s">
        <v>1269</v>
      </c>
      <c r="E741" s="4" t="s">
        <v>1088</v>
      </c>
      <c r="F741" s="54" t="s">
        <v>357</v>
      </c>
      <c r="G741" s="54" t="s">
        <v>1215</v>
      </c>
      <c r="H741" s="54" t="s">
        <v>1100</v>
      </c>
      <c r="I741" s="54" t="s">
        <v>1176</v>
      </c>
      <c r="J741" s="54" t="s">
        <v>1235</v>
      </c>
      <c r="X741" s="55" t="str">
        <f t="shared" si="1"/>
        <v>#NAME?</v>
      </c>
    </row>
    <row r="742">
      <c r="A742" s="4" t="s">
        <v>2224</v>
      </c>
      <c r="B742" s="4" t="s">
        <v>1087</v>
      </c>
      <c r="C742" s="4">
        <v>741.0</v>
      </c>
      <c r="D742" s="4" t="s">
        <v>1271</v>
      </c>
      <c r="E742" s="4" t="s">
        <v>1088</v>
      </c>
      <c r="F742" s="54" t="s">
        <v>357</v>
      </c>
      <c r="G742" s="54" t="s">
        <v>1156</v>
      </c>
      <c r="H742" s="54" t="s">
        <v>1156</v>
      </c>
      <c r="I742" s="54" t="s">
        <v>1100</v>
      </c>
      <c r="J742" s="54" t="s">
        <v>1176</v>
      </c>
      <c r="X742" s="55" t="str">
        <f t="shared" si="1"/>
        <v>#NAME?</v>
      </c>
    </row>
    <row r="743">
      <c r="A743" s="4" t="s">
        <v>2225</v>
      </c>
      <c r="B743" s="4" t="s">
        <v>1087</v>
      </c>
      <c r="C743" s="4">
        <v>742.0</v>
      </c>
      <c r="D743" s="4" t="s">
        <v>1273</v>
      </c>
      <c r="E743" s="4" t="s">
        <v>1098</v>
      </c>
      <c r="F743" s="54" t="s">
        <v>357</v>
      </c>
      <c r="G743" s="54" t="s">
        <v>1120</v>
      </c>
      <c r="H743" s="54" t="s">
        <v>1274</v>
      </c>
      <c r="I743" s="54" t="s">
        <v>1275</v>
      </c>
      <c r="J743" s="54" t="s">
        <v>1276</v>
      </c>
      <c r="X743" s="55" t="str">
        <f t="shared" si="1"/>
        <v>#NAME?</v>
      </c>
    </row>
    <row r="744">
      <c r="A744" s="4" t="s">
        <v>2226</v>
      </c>
      <c r="B744" s="4" t="s">
        <v>1087</v>
      </c>
      <c r="C744" s="4">
        <v>743.0</v>
      </c>
      <c r="D744" s="4" t="s">
        <v>1278</v>
      </c>
      <c r="E744" s="4" t="s">
        <v>1098</v>
      </c>
      <c r="F744" s="54" t="s">
        <v>357</v>
      </c>
      <c r="G744" s="54" t="s">
        <v>1279</v>
      </c>
      <c r="H744" s="54" t="s">
        <v>1280</v>
      </c>
      <c r="I744" s="54" t="s">
        <v>1121</v>
      </c>
      <c r="J744" s="54" t="s">
        <v>1276</v>
      </c>
      <c r="X744" s="55" t="str">
        <f t="shared" si="1"/>
        <v>#NAME?</v>
      </c>
    </row>
    <row r="745">
      <c r="A745" s="4" t="s">
        <v>2227</v>
      </c>
      <c r="B745" s="4" t="s">
        <v>1087</v>
      </c>
      <c r="C745" s="4">
        <v>744.0</v>
      </c>
      <c r="D745" s="4" t="s">
        <v>1282</v>
      </c>
      <c r="E745" s="4" t="s">
        <v>1098</v>
      </c>
      <c r="F745" s="54" t="s">
        <v>357</v>
      </c>
      <c r="G745" s="54" t="s">
        <v>1283</v>
      </c>
      <c r="H745" s="54" t="s">
        <v>1284</v>
      </c>
      <c r="I745" s="54" t="s">
        <v>1151</v>
      </c>
      <c r="J745" s="54" t="s">
        <v>1144</v>
      </c>
      <c r="X745" s="55" t="str">
        <f t="shared" si="1"/>
        <v>#NAME?</v>
      </c>
    </row>
    <row r="746">
      <c r="A746" s="4" t="s">
        <v>2228</v>
      </c>
      <c r="B746" s="4" t="s">
        <v>1087</v>
      </c>
      <c r="C746" s="4">
        <v>745.0</v>
      </c>
      <c r="D746" s="4" t="s">
        <v>1286</v>
      </c>
      <c r="E746" s="4" t="s">
        <v>1088</v>
      </c>
      <c r="F746" s="54" t="s">
        <v>357</v>
      </c>
      <c r="G746" s="54" t="s">
        <v>1287</v>
      </c>
      <c r="H746" s="54" t="s">
        <v>1287</v>
      </c>
      <c r="I746" s="54" t="s">
        <v>1288</v>
      </c>
      <c r="J746" s="54" t="s">
        <v>1289</v>
      </c>
      <c r="X746" s="55" t="str">
        <f t="shared" si="1"/>
        <v>#NAME?</v>
      </c>
    </row>
    <row r="747">
      <c r="A747" s="4" t="s">
        <v>2229</v>
      </c>
      <c r="B747" s="4" t="s">
        <v>1087</v>
      </c>
      <c r="C747" s="4">
        <v>746.0</v>
      </c>
      <c r="D747" s="4" t="s">
        <v>1291</v>
      </c>
      <c r="E747" s="4" t="s">
        <v>1088</v>
      </c>
      <c r="F747" s="54" t="s">
        <v>357</v>
      </c>
      <c r="G747" s="54" t="s">
        <v>1292</v>
      </c>
      <c r="H747" s="54" t="s">
        <v>1205</v>
      </c>
      <c r="I747" s="54" t="s">
        <v>1292</v>
      </c>
      <c r="J747" s="54" t="s">
        <v>1293</v>
      </c>
      <c r="X747" s="55" t="str">
        <f t="shared" si="1"/>
        <v>#NAME?</v>
      </c>
    </row>
    <row r="748">
      <c r="A748" s="4" t="s">
        <v>2230</v>
      </c>
      <c r="B748" s="4" t="s">
        <v>1087</v>
      </c>
      <c r="C748" s="4">
        <v>747.0</v>
      </c>
      <c r="D748" s="4" t="s">
        <v>1295</v>
      </c>
      <c r="E748" s="4" t="s">
        <v>1296</v>
      </c>
      <c r="F748" s="54" t="s">
        <v>357</v>
      </c>
      <c r="G748" s="54" t="s">
        <v>1297</v>
      </c>
      <c r="H748" s="54" t="s">
        <v>1298</v>
      </c>
      <c r="I748" s="54" t="s">
        <v>1299</v>
      </c>
      <c r="J748" s="54" t="s">
        <v>1300</v>
      </c>
      <c r="X748" s="55" t="str">
        <f t="shared" si="1"/>
        <v>#NAME?</v>
      </c>
    </row>
    <row r="749">
      <c r="A749" s="4" t="s">
        <v>2231</v>
      </c>
      <c r="B749" s="4" t="s">
        <v>1087</v>
      </c>
      <c r="C749" s="4">
        <v>748.0</v>
      </c>
      <c r="D749" s="4" t="s">
        <v>1353</v>
      </c>
      <c r="E749" s="4" t="s">
        <v>1088</v>
      </c>
      <c r="F749" s="54" t="s">
        <v>357</v>
      </c>
      <c r="G749" s="54" t="s">
        <v>1186</v>
      </c>
      <c r="H749" s="54" t="s">
        <v>1179</v>
      </c>
      <c r="I749" s="54" t="s">
        <v>1183</v>
      </c>
      <c r="J749" s="54" t="s">
        <v>1183</v>
      </c>
      <c r="X749" s="55" t="str">
        <f t="shared" si="1"/>
        <v>#NAME?</v>
      </c>
    </row>
    <row r="750">
      <c r="A750" s="4" t="s">
        <v>2232</v>
      </c>
      <c r="B750" s="4" t="s">
        <v>1087</v>
      </c>
      <c r="C750" s="4">
        <v>749.0</v>
      </c>
      <c r="D750" s="4" t="s">
        <v>1302</v>
      </c>
      <c r="E750" s="4" t="s">
        <v>1296</v>
      </c>
      <c r="F750" s="54" t="s">
        <v>357</v>
      </c>
      <c r="G750" s="54" t="s">
        <v>1198</v>
      </c>
      <c r="H750" s="54" t="s">
        <v>1144</v>
      </c>
      <c r="I750" s="54" t="s">
        <v>1303</v>
      </c>
      <c r="J750" s="54" t="s">
        <v>1304</v>
      </c>
      <c r="X750" s="55" t="str">
        <f t="shared" si="1"/>
        <v>#NAME?</v>
      </c>
    </row>
    <row r="751">
      <c r="A751" s="4" t="s">
        <v>2233</v>
      </c>
      <c r="B751" s="4" t="s">
        <v>1087</v>
      </c>
      <c r="C751" s="4">
        <v>750.0</v>
      </c>
      <c r="D751" s="4" t="s">
        <v>1311</v>
      </c>
      <c r="E751" s="4" t="s">
        <v>1296</v>
      </c>
      <c r="F751" s="54" t="s">
        <v>357</v>
      </c>
      <c r="G751" s="54" t="s">
        <v>1312</v>
      </c>
      <c r="H751" s="54" t="s">
        <v>1313</v>
      </c>
      <c r="I751" s="54" t="s">
        <v>1127</v>
      </c>
      <c r="J751" s="54" t="s">
        <v>1314</v>
      </c>
      <c r="X751" s="55" t="str">
        <f t="shared" si="1"/>
        <v>#NAME?</v>
      </c>
    </row>
    <row r="752">
      <c r="A752" s="4" t="s">
        <v>2234</v>
      </c>
      <c r="B752" s="4" t="s">
        <v>1087</v>
      </c>
      <c r="C752" s="4">
        <v>751.0</v>
      </c>
      <c r="D752" s="4" t="s">
        <v>1316</v>
      </c>
      <c r="E752" s="4" t="s">
        <v>1296</v>
      </c>
      <c r="F752" s="54" t="s">
        <v>357</v>
      </c>
      <c r="G752" s="54" t="s">
        <v>1126</v>
      </c>
      <c r="H752" s="54" t="s">
        <v>1317</v>
      </c>
      <c r="I752" s="54" t="s">
        <v>1318</v>
      </c>
      <c r="J752" s="54" t="s">
        <v>1314</v>
      </c>
      <c r="X752" s="55" t="str">
        <f t="shared" si="1"/>
        <v>#NAME?</v>
      </c>
    </row>
    <row r="753">
      <c r="A753" s="4" t="s">
        <v>2235</v>
      </c>
      <c r="B753" s="4" t="s">
        <v>1087</v>
      </c>
      <c r="C753" s="4">
        <v>752.0</v>
      </c>
      <c r="D753" s="4" t="s">
        <v>1320</v>
      </c>
      <c r="E753" s="4" t="s">
        <v>1296</v>
      </c>
      <c r="F753" s="54" t="s">
        <v>357</v>
      </c>
      <c r="G753" s="54" t="s">
        <v>1196</v>
      </c>
      <c r="H753" s="54" t="s">
        <v>1321</v>
      </c>
      <c r="I753" s="54" t="s">
        <v>1192</v>
      </c>
      <c r="J753" s="54" t="s">
        <v>1322</v>
      </c>
      <c r="X753" s="55" t="str">
        <f t="shared" si="1"/>
        <v>#NAME?</v>
      </c>
    </row>
    <row r="754">
      <c r="A754" s="4" t="s">
        <v>2236</v>
      </c>
      <c r="B754" s="4" t="s">
        <v>1087</v>
      </c>
      <c r="C754" s="4">
        <v>753.0</v>
      </c>
      <c r="D754" s="4" t="s">
        <v>1324</v>
      </c>
      <c r="E754" s="4" t="s">
        <v>1296</v>
      </c>
      <c r="F754" s="54" t="s">
        <v>357</v>
      </c>
      <c r="G754" s="54" t="s">
        <v>1325</v>
      </c>
      <c r="H754" s="54" t="s">
        <v>1303</v>
      </c>
      <c r="I754" s="54" t="s">
        <v>1326</v>
      </c>
      <c r="J754" s="54" t="s">
        <v>1117</v>
      </c>
      <c r="X754" s="55" t="str">
        <f t="shared" si="1"/>
        <v>#NAME?</v>
      </c>
    </row>
    <row r="755">
      <c r="A755" s="4" t="s">
        <v>2237</v>
      </c>
      <c r="B755" s="4" t="s">
        <v>1087</v>
      </c>
      <c r="C755" s="4">
        <v>754.0</v>
      </c>
      <c r="D755" s="4" t="s">
        <v>1328</v>
      </c>
      <c r="E755" s="4" t="s">
        <v>1296</v>
      </c>
      <c r="F755" s="54" t="s">
        <v>357</v>
      </c>
      <c r="G755" s="54" t="s">
        <v>1329</v>
      </c>
      <c r="H755" s="54" t="s">
        <v>1330</v>
      </c>
      <c r="I755" s="54" t="s">
        <v>1331</v>
      </c>
      <c r="J755" s="54" t="s">
        <v>1125</v>
      </c>
      <c r="X755" s="55" t="str">
        <f t="shared" si="1"/>
        <v>#NAME?</v>
      </c>
    </row>
    <row r="756">
      <c r="A756" s="4" t="s">
        <v>2238</v>
      </c>
      <c r="B756" s="4" t="s">
        <v>1087</v>
      </c>
      <c r="C756" s="4">
        <v>755.0</v>
      </c>
      <c r="D756" s="4" t="s">
        <v>1333</v>
      </c>
      <c r="E756" s="4" t="s">
        <v>1088</v>
      </c>
      <c r="F756" s="54" t="s">
        <v>357</v>
      </c>
      <c r="G756" s="54" t="s">
        <v>1287</v>
      </c>
      <c r="H756" s="54" t="s">
        <v>1293</v>
      </c>
      <c r="I756" s="54" t="s">
        <v>1334</v>
      </c>
      <c r="J756" s="54" t="s">
        <v>1203</v>
      </c>
      <c r="X756" s="55" t="str">
        <f t="shared" si="1"/>
        <v>#NAME?</v>
      </c>
    </row>
    <row r="757">
      <c r="A757" s="4" t="s">
        <v>2239</v>
      </c>
      <c r="B757" s="4" t="s">
        <v>1087</v>
      </c>
      <c r="C757" s="4">
        <v>756.0</v>
      </c>
      <c r="D757" s="4" t="s">
        <v>1336</v>
      </c>
      <c r="E757" s="4" t="s">
        <v>1088</v>
      </c>
      <c r="F757" s="54" t="s">
        <v>357</v>
      </c>
      <c r="G757" s="54" t="s">
        <v>1292</v>
      </c>
      <c r="H757" s="54" t="s">
        <v>1334</v>
      </c>
      <c r="I757" s="54" t="s">
        <v>1337</v>
      </c>
      <c r="J757" s="54" t="s">
        <v>1292</v>
      </c>
      <c r="X757" s="55" t="str">
        <f t="shared" si="1"/>
        <v>#NAME?</v>
      </c>
    </row>
    <row r="758">
      <c r="A758" s="4" t="s">
        <v>2240</v>
      </c>
      <c r="B758" s="4" t="s">
        <v>1087</v>
      </c>
      <c r="C758" s="4">
        <v>757.0</v>
      </c>
      <c r="D758" s="4" t="s">
        <v>1339</v>
      </c>
      <c r="E758" s="4" t="s">
        <v>1098</v>
      </c>
      <c r="F758" s="54" t="s">
        <v>357</v>
      </c>
      <c r="G758" s="54" t="s">
        <v>1340</v>
      </c>
      <c r="H758" s="54" t="s">
        <v>1140</v>
      </c>
      <c r="I758" s="54" t="s">
        <v>1326</v>
      </c>
      <c r="J758" s="54" t="s">
        <v>1303</v>
      </c>
      <c r="X758" s="55" t="str">
        <f t="shared" si="1"/>
        <v>#NAME?</v>
      </c>
    </row>
    <row r="759">
      <c r="A759" s="4" t="s">
        <v>2241</v>
      </c>
      <c r="B759" s="4" t="s">
        <v>1087</v>
      </c>
      <c r="C759" s="4">
        <v>758.0</v>
      </c>
      <c r="D759" s="4" t="s">
        <v>1342</v>
      </c>
      <c r="E759" s="4" t="s">
        <v>1098</v>
      </c>
      <c r="F759" s="54" t="s">
        <v>357</v>
      </c>
      <c r="G759" s="54" t="s">
        <v>1343</v>
      </c>
      <c r="H759" s="54" t="s">
        <v>1344</v>
      </c>
      <c r="I759" s="54" t="s">
        <v>1345</v>
      </c>
      <c r="J759" s="54" t="s">
        <v>1346</v>
      </c>
      <c r="X759" s="55" t="str">
        <f t="shared" si="1"/>
        <v>#NAME?</v>
      </c>
    </row>
    <row r="760">
      <c r="A760" s="4" t="s">
        <v>2242</v>
      </c>
      <c r="B760" s="4" t="s">
        <v>1087</v>
      </c>
      <c r="C760" s="4">
        <v>759.0</v>
      </c>
      <c r="D760" s="4" t="s">
        <v>1306</v>
      </c>
      <c r="E760" s="4" t="s">
        <v>1296</v>
      </c>
      <c r="F760" s="54" t="s">
        <v>357</v>
      </c>
      <c r="G760" s="54" t="s">
        <v>1283</v>
      </c>
      <c r="H760" s="54" t="s">
        <v>1307</v>
      </c>
      <c r="I760" s="54" t="s">
        <v>1308</v>
      </c>
      <c r="J760" s="54" t="s">
        <v>1309</v>
      </c>
      <c r="X760" s="55" t="str">
        <f t="shared" si="1"/>
        <v>#NAME?</v>
      </c>
    </row>
    <row r="761">
      <c r="A761" s="4" t="s">
        <v>2243</v>
      </c>
      <c r="B761" s="4" t="s">
        <v>1087</v>
      </c>
      <c r="C761" s="4">
        <v>760.0</v>
      </c>
      <c r="D761" s="54" t="s">
        <v>1673</v>
      </c>
      <c r="E761" s="4" t="s">
        <v>1088</v>
      </c>
      <c r="F761" s="54" t="s">
        <v>357</v>
      </c>
      <c r="G761" s="54" t="s">
        <v>1572</v>
      </c>
      <c r="H761" s="54" t="s">
        <v>1226</v>
      </c>
      <c r="I761" s="54" t="s">
        <v>1560</v>
      </c>
      <c r="J761" s="54" t="s">
        <v>1227</v>
      </c>
      <c r="X761" s="55" t="str">
        <f t="shared" si="1"/>
        <v>#NAME?</v>
      </c>
    </row>
    <row r="762">
      <c r="A762" s="4" t="s">
        <v>2244</v>
      </c>
      <c r="B762" s="4" t="s">
        <v>2245</v>
      </c>
      <c r="C762" s="4">
        <v>1.0</v>
      </c>
      <c r="D762" s="54" t="s">
        <v>1092</v>
      </c>
      <c r="E762" s="4" t="s">
        <v>1088</v>
      </c>
      <c r="F762" s="54" t="s">
        <v>449</v>
      </c>
      <c r="G762" s="54" t="s">
        <v>1102</v>
      </c>
      <c r="H762" s="54" t="s">
        <v>1111</v>
      </c>
      <c r="I762" s="54" t="s">
        <v>1529</v>
      </c>
      <c r="J762" s="54" t="s">
        <v>1093</v>
      </c>
      <c r="X762" s="55" t="str">
        <f t="shared" si="1"/>
        <v>#NAME?</v>
      </c>
    </row>
    <row r="763">
      <c r="A763" s="4" t="s">
        <v>2246</v>
      </c>
      <c r="B763" s="4" t="s">
        <v>2247</v>
      </c>
      <c r="C763" s="4">
        <v>1.0</v>
      </c>
      <c r="D763" s="54" t="s">
        <v>1095</v>
      </c>
      <c r="E763" s="4" t="s">
        <v>1088</v>
      </c>
      <c r="F763" s="54" t="s">
        <v>534</v>
      </c>
      <c r="G763" s="54" t="s">
        <v>1104</v>
      </c>
      <c r="H763" s="54" t="s">
        <v>1104</v>
      </c>
      <c r="I763" s="54" t="s">
        <v>1104</v>
      </c>
      <c r="J763" s="54" t="s">
        <v>1104</v>
      </c>
      <c r="X763" s="55" t="str">
        <f t="shared" si="1"/>
        <v>#NAME?</v>
      </c>
    </row>
    <row r="764">
      <c r="A764" s="4" t="s">
        <v>2248</v>
      </c>
      <c r="B764" s="4" t="s">
        <v>2249</v>
      </c>
      <c r="C764" s="4">
        <v>1.0</v>
      </c>
      <c r="D764" s="54" t="s">
        <v>1097</v>
      </c>
      <c r="E764" s="4" t="s">
        <v>1098</v>
      </c>
      <c r="F764" s="54" t="s">
        <v>449</v>
      </c>
      <c r="G764" s="54" t="s">
        <v>1099</v>
      </c>
      <c r="H764" s="54" t="s">
        <v>1100</v>
      </c>
      <c r="I764" s="54" t="s">
        <v>1101</v>
      </c>
      <c r="J764" s="54" t="s">
        <v>1102</v>
      </c>
      <c r="X764" s="55" t="str">
        <f t="shared" si="1"/>
        <v>#NAME?</v>
      </c>
    </row>
    <row r="765">
      <c r="A765" s="4" t="s">
        <v>2250</v>
      </c>
      <c r="B765" s="4" t="s">
        <v>2251</v>
      </c>
      <c r="C765" s="4">
        <v>1.0</v>
      </c>
      <c r="D765" s="54" t="s">
        <v>1097</v>
      </c>
      <c r="E765" s="4" t="s">
        <v>1098</v>
      </c>
      <c r="F765" s="54" t="s">
        <v>449</v>
      </c>
      <c r="G765" s="54" t="s">
        <v>1104</v>
      </c>
      <c r="H765" s="54" t="s">
        <v>1105</v>
      </c>
      <c r="I765" s="54" t="s">
        <v>1099</v>
      </c>
      <c r="J765" s="54" t="s">
        <v>1106</v>
      </c>
      <c r="X765" s="55" t="str">
        <f t="shared" si="1"/>
        <v>#NAME?</v>
      </c>
    </row>
    <row r="766">
      <c r="A766" s="4" t="s">
        <v>2252</v>
      </c>
      <c r="B766" s="4" t="s">
        <v>2253</v>
      </c>
      <c r="C766" s="4">
        <v>1.0</v>
      </c>
      <c r="D766" s="54" t="s">
        <v>1097</v>
      </c>
      <c r="E766" s="4" t="s">
        <v>1098</v>
      </c>
      <c r="F766" s="54" t="s">
        <v>449</v>
      </c>
      <c r="G766" s="54" t="s">
        <v>1108</v>
      </c>
      <c r="H766" s="54" t="s">
        <v>1109</v>
      </c>
      <c r="I766" s="54" t="s">
        <v>1110</v>
      </c>
      <c r="J766" s="54" t="s">
        <v>1111</v>
      </c>
      <c r="X766" s="55" t="str">
        <f t="shared" si="1"/>
        <v>#NAME?</v>
      </c>
    </row>
    <row r="767">
      <c r="A767" s="4" t="s">
        <v>2254</v>
      </c>
      <c r="B767" s="4" t="s">
        <v>2255</v>
      </c>
      <c r="C767" s="4">
        <v>1.0</v>
      </c>
      <c r="D767" s="54" t="s">
        <v>1113</v>
      </c>
      <c r="E767" s="4" t="s">
        <v>1088</v>
      </c>
      <c r="F767" s="54" t="s">
        <v>449</v>
      </c>
      <c r="G767" s="54" t="s">
        <v>1109</v>
      </c>
      <c r="H767" s="54" t="s">
        <v>1111</v>
      </c>
      <c r="I767" s="54" t="s">
        <v>1093</v>
      </c>
      <c r="J767" s="54" t="s">
        <v>1111</v>
      </c>
      <c r="X767" s="55" t="str">
        <f t="shared" si="1"/>
        <v>#NAME?</v>
      </c>
    </row>
    <row r="768">
      <c r="A768" s="4" t="s">
        <v>2256</v>
      </c>
      <c r="B768" s="4" t="s">
        <v>2257</v>
      </c>
      <c r="C768" s="4">
        <v>1.0</v>
      </c>
      <c r="D768" s="54" t="s">
        <v>399</v>
      </c>
      <c r="E768" s="4" t="s">
        <v>1088</v>
      </c>
      <c r="F768" s="54" t="s">
        <v>534</v>
      </c>
      <c r="G768" s="54" t="s">
        <v>1115</v>
      </c>
      <c r="H768" s="54" t="s">
        <v>1116</v>
      </c>
      <c r="I768" s="54" t="s">
        <v>1117</v>
      </c>
      <c r="J768" s="54" t="s">
        <v>1118</v>
      </c>
      <c r="X768" s="55" t="str">
        <f t="shared" si="1"/>
        <v>#NAME?</v>
      </c>
    </row>
    <row r="769">
      <c r="A769" s="4" t="s">
        <v>2258</v>
      </c>
      <c r="B769" s="4" t="s">
        <v>2259</v>
      </c>
      <c r="C769" s="4">
        <v>1.0</v>
      </c>
      <c r="D769" s="54" t="s">
        <v>399</v>
      </c>
      <c r="E769" s="4" t="s">
        <v>1088</v>
      </c>
      <c r="F769" s="54" t="s">
        <v>534</v>
      </c>
      <c r="G769" s="54" t="s">
        <v>1120</v>
      </c>
      <c r="H769" s="54" t="s">
        <v>1121</v>
      </c>
      <c r="I769" s="54" t="s">
        <v>1122</v>
      </c>
      <c r="J769" s="54" t="s">
        <v>1123</v>
      </c>
      <c r="X769" s="55" t="str">
        <f t="shared" si="1"/>
        <v>#NAME?</v>
      </c>
    </row>
    <row r="770">
      <c r="A770" s="4" t="s">
        <v>2260</v>
      </c>
      <c r="B770" s="4" t="s">
        <v>2261</v>
      </c>
      <c r="C770" s="4">
        <v>1.0</v>
      </c>
      <c r="D770" s="54" t="s">
        <v>626</v>
      </c>
      <c r="E770" s="4" t="s">
        <v>1098</v>
      </c>
      <c r="F770" s="54" t="s">
        <v>534</v>
      </c>
      <c r="G770" s="54" t="s">
        <v>1170</v>
      </c>
      <c r="H770" s="54" t="s">
        <v>1171</v>
      </c>
      <c r="I770" s="54" t="s">
        <v>1172</v>
      </c>
      <c r="J770" s="54" t="s">
        <v>1173</v>
      </c>
      <c r="X770" s="55" t="str">
        <f t="shared" si="1"/>
        <v>#NAME?</v>
      </c>
    </row>
    <row r="771">
      <c r="A771" s="4" t="s">
        <v>2262</v>
      </c>
      <c r="B771" s="4" t="s">
        <v>2263</v>
      </c>
      <c r="C771" s="4">
        <v>1.0</v>
      </c>
      <c r="D771" s="54" t="s">
        <v>405</v>
      </c>
      <c r="E771" s="4" t="s">
        <v>1088</v>
      </c>
      <c r="F771" s="54" t="s">
        <v>534</v>
      </c>
      <c r="G771" s="54" t="s">
        <v>1125</v>
      </c>
      <c r="H771" s="54" t="s">
        <v>1126</v>
      </c>
      <c r="I771" s="54" t="s">
        <v>1127</v>
      </c>
      <c r="J771" s="54" t="s">
        <v>1125</v>
      </c>
      <c r="X771" s="55" t="str">
        <f t="shared" si="1"/>
        <v>#NAME?</v>
      </c>
    </row>
    <row r="772">
      <c r="A772" s="4" t="s">
        <v>2264</v>
      </c>
      <c r="B772" s="4" t="s">
        <v>2265</v>
      </c>
      <c r="C772" s="4">
        <v>1.0</v>
      </c>
      <c r="D772" s="54" t="s">
        <v>443</v>
      </c>
      <c r="E772" s="4" t="s">
        <v>1088</v>
      </c>
      <c r="F772" s="54" t="s">
        <v>534</v>
      </c>
      <c r="G772" s="54" t="s">
        <v>1134</v>
      </c>
      <c r="H772" s="54" t="s">
        <v>1135</v>
      </c>
      <c r="I772" s="54" t="s">
        <v>1118</v>
      </c>
      <c r="J772" s="54" t="s">
        <v>1123</v>
      </c>
      <c r="X772" s="55" t="str">
        <f t="shared" si="1"/>
        <v>#NAME?</v>
      </c>
    </row>
    <row r="773">
      <c r="A773" s="4" t="s">
        <v>2266</v>
      </c>
      <c r="B773" s="4" t="s">
        <v>2267</v>
      </c>
      <c r="C773" s="4">
        <v>1.0</v>
      </c>
      <c r="D773" s="54" t="s">
        <v>357</v>
      </c>
      <c r="E773" s="4" t="s">
        <v>1088</v>
      </c>
      <c r="F773" s="54" t="s">
        <v>534</v>
      </c>
      <c r="G773" s="54" t="s">
        <v>1137</v>
      </c>
      <c r="H773" s="54" t="s">
        <v>1138</v>
      </c>
      <c r="I773" s="54" t="s">
        <v>1139</v>
      </c>
      <c r="J773" s="54" t="s">
        <v>1140</v>
      </c>
      <c r="X773" s="55" t="str">
        <f t="shared" si="1"/>
        <v>#NAME?</v>
      </c>
    </row>
    <row r="774">
      <c r="A774" s="4" t="s">
        <v>2268</v>
      </c>
      <c r="B774" s="4" t="s">
        <v>2269</v>
      </c>
      <c r="C774" s="4">
        <v>1.0</v>
      </c>
      <c r="D774" s="54" t="s">
        <v>529</v>
      </c>
      <c r="E774" s="4" t="s">
        <v>1088</v>
      </c>
      <c r="F774" s="54" t="s">
        <v>534</v>
      </c>
      <c r="G774" s="54" t="s">
        <v>1142</v>
      </c>
      <c r="H774" s="54" t="s">
        <v>1143</v>
      </c>
      <c r="I774" s="54" t="s">
        <v>1140</v>
      </c>
      <c r="J774" s="54" t="s">
        <v>1144</v>
      </c>
      <c r="X774" s="55" t="str">
        <f t="shared" si="1"/>
        <v>#NAME?</v>
      </c>
    </row>
    <row r="775">
      <c r="A775" s="4" t="s">
        <v>2270</v>
      </c>
      <c r="B775" s="4" t="s">
        <v>2271</v>
      </c>
      <c r="C775" s="4">
        <v>1.0</v>
      </c>
      <c r="D775" s="54" t="s">
        <v>534</v>
      </c>
      <c r="E775" s="4" t="s">
        <v>1088</v>
      </c>
      <c r="F775" s="54" t="s">
        <v>534</v>
      </c>
      <c r="G775" s="54" t="s">
        <v>1117</v>
      </c>
      <c r="H775" s="54" t="s">
        <v>1139</v>
      </c>
      <c r="I775" s="54" t="s">
        <v>1135</v>
      </c>
      <c r="J775" s="54" t="s">
        <v>1139</v>
      </c>
      <c r="X775" s="55" t="str">
        <f t="shared" si="1"/>
        <v>#NAME?</v>
      </c>
    </row>
    <row r="776">
      <c r="A776" s="4" t="s">
        <v>2272</v>
      </c>
      <c r="B776" s="4" t="s">
        <v>2273</v>
      </c>
      <c r="C776" s="4">
        <v>1.0</v>
      </c>
      <c r="D776" s="54" t="s">
        <v>540</v>
      </c>
      <c r="E776" s="4" t="s">
        <v>1088</v>
      </c>
      <c r="F776" s="54" t="s">
        <v>534</v>
      </c>
      <c r="G776" s="54" t="s">
        <v>1135</v>
      </c>
      <c r="H776" s="54" t="s">
        <v>1147</v>
      </c>
      <c r="I776" s="54" t="s">
        <v>1135</v>
      </c>
      <c r="J776" s="54" t="s">
        <v>1148</v>
      </c>
      <c r="X776" s="55" t="str">
        <f t="shared" si="1"/>
        <v>#NAME?</v>
      </c>
    </row>
    <row r="777">
      <c r="A777" s="4" t="s">
        <v>2274</v>
      </c>
      <c r="B777" s="4" t="s">
        <v>2275</v>
      </c>
      <c r="C777" s="4">
        <v>1.0</v>
      </c>
      <c r="D777" s="54" t="s">
        <v>546</v>
      </c>
      <c r="E777" s="4" t="s">
        <v>1088</v>
      </c>
      <c r="F777" s="54" t="s">
        <v>534</v>
      </c>
      <c r="G777" s="54" t="s">
        <v>1150</v>
      </c>
      <c r="H777" s="54" t="s">
        <v>1151</v>
      </c>
      <c r="I777" s="54" t="s">
        <v>1152</v>
      </c>
      <c r="J777" s="54" t="s">
        <v>1123</v>
      </c>
      <c r="X777" s="55" t="str">
        <f t="shared" si="1"/>
        <v>#NAME?</v>
      </c>
    </row>
    <row r="778">
      <c r="A778" s="4" t="s">
        <v>2276</v>
      </c>
      <c r="B778" s="4" t="s">
        <v>2277</v>
      </c>
      <c r="C778" s="4">
        <v>1.0</v>
      </c>
      <c r="D778" s="54" t="s">
        <v>546</v>
      </c>
      <c r="E778" s="4" t="s">
        <v>1088</v>
      </c>
      <c r="F778" s="54" t="s">
        <v>534</v>
      </c>
      <c r="G778" s="54" t="s">
        <v>1154</v>
      </c>
      <c r="H778" s="54" t="s">
        <v>1155</v>
      </c>
      <c r="I778" s="54" t="s">
        <v>1156</v>
      </c>
      <c r="J778" s="54" t="s">
        <v>1110</v>
      </c>
      <c r="X778" s="55" t="str">
        <f t="shared" si="1"/>
        <v>#NAME?</v>
      </c>
    </row>
    <row r="779">
      <c r="A779" s="4" t="s">
        <v>2278</v>
      </c>
      <c r="B779" s="4" t="s">
        <v>2279</v>
      </c>
      <c r="C779" s="4">
        <v>1.0</v>
      </c>
      <c r="D779" s="54" t="s">
        <v>573</v>
      </c>
      <c r="E779" s="4" t="s">
        <v>1088</v>
      </c>
      <c r="F779" s="54" t="s">
        <v>534</v>
      </c>
      <c r="G779" s="54" t="s">
        <v>1158</v>
      </c>
      <c r="H779" s="54" t="s">
        <v>1159</v>
      </c>
      <c r="I779" s="54" t="s">
        <v>1160</v>
      </c>
      <c r="J779" s="54" t="s">
        <v>1161</v>
      </c>
      <c r="X779" s="55" t="str">
        <f t="shared" si="1"/>
        <v>#NAME?</v>
      </c>
    </row>
    <row r="780">
      <c r="A780" s="4" t="s">
        <v>2280</v>
      </c>
      <c r="B780" s="4" t="s">
        <v>2281</v>
      </c>
      <c r="C780" s="4">
        <v>1.0</v>
      </c>
      <c r="D780" s="54" t="s">
        <v>573</v>
      </c>
      <c r="E780" s="4" t="s">
        <v>1088</v>
      </c>
      <c r="F780" s="54" t="s">
        <v>534</v>
      </c>
      <c r="G780" s="54" t="s">
        <v>1090</v>
      </c>
      <c r="H780" s="54" t="s">
        <v>1163</v>
      </c>
      <c r="I780" s="54" t="s">
        <v>1150</v>
      </c>
      <c r="J780" s="54" t="s">
        <v>1118</v>
      </c>
      <c r="X780" s="55" t="str">
        <f t="shared" si="1"/>
        <v>#NAME?</v>
      </c>
    </row>
    <row r="781">
      <c r="A781" s="4" t="s">
        <v>2282</v>
      </c>
      <c r="B781" s="4" t="s">
        <v>2283</v>
      </c>
      <c r="C781" s="4">
        <v>1.0</v>
      </c>
      <c r="D781" s="54" t="s">
        <v>292</v>
      </c>
      <c r="E781" s="4" t="s">
        <v>1088</v>
      </c>
      <c r="F781" s="54" t="s">
        <v>534</v>
      </c>
      <c r="G781" s="54" t="s">
        <v>1276</v>
      </c>
      <c r="H781" s="54" t="s">
        <v>1138</v>
      </c>
      <c r="I781" s="54" t="s">
        <v>1089</v>
      </c>
      <c r="J781" s="54" t="s">
        <v>1090</v>
      </c>
      <c r="X781" s="55" t="str">
        <f t="shared" si="1"/>
        <v>#NAME?</v>
      </c>
    </row>
    <row r="782">
      <c r="A782" s="4" t="s">
        <v>2284</v>
      </c>
      <c r="B782" s="4" t="s">
        <v>2285</v>
      </c>
      <c r="C782" s="4">
        <v>1.0</v>
      </c>
      <c r="D782" s="54" t="s">
        <v>611</v>
      </c>
      <c r="E782" s="4" t="s">
        <v>1088</v>
      </c>
      <c r="F782" s="54" t="s">
        <v>534</v>
      </c>
      <c r="G782" s="54" t="s">
        <v>1165</v>
      </c>
      <c r="H782" s="54" t="s">
        <v>1166</v>
      </c>
      <c r="I782" s="54" t="s">
        <v>1167</v>
      </c>
      <c r="J782" s="54" t="s">
        <v>1168</v>
      </c>
      <c r="X782" s="55" t="str">
        <f t="shared" si="1"/>
        <v>#NAME?</v>
      </c>
    </row>
    <row r="783">
      <c r="A783" s="4" t="s">
        <v>2286</v>
      </c>
      <c r="B783" s="4" t="s">
        <v>2287</v>
      </c>
      <c r="C783" s="4">
        <v>1.0</v>
      </c>
      <c r="D783" s="54" t="s">
        <v>626</v>
      </c>
      <c r="E783" s="4" t="s">
        <v>1098</v>
      </c>
      <c r="F783" s="54" t="s">
        <v>534</v>
      </c>
      <c r="G783" s="54" t="s">
        <v>1175</v>
      </c>
      <c r="H783" s="54" t="s">
        <v>1176</v>
      </c>
      <c r="I783" s="54" t="s">
        <v>1177</v>
      </c>
      <c r="J783" s="54" t="s">
        <v>1109</v>
      </c>
      <c r="X783" s="55" t="str">
        <f t="shared" si="1"/>
        <v>#NAME?</v>
      </c>
    </row>
    <row r="784">
      <c r="A784" s="4" t="s">
        <v>2288</v>
      </c>
      <c r="B784" s="4" t="s">
        <v>2289</v>
      </c>
      <c r="C784" s="4">
        <v>1.0</v>
      </c>
      <c r="D784" s="54" t="s">
        <v>971</v>
      </c>
      <c r="E784" s="4" t="s">
        <v>1088</v>
      </c>
      <c r="F784" s="54" t="s">
        <v>534</v>
      </c>
      <c r="G784" s="54" t="s">
        <v>1219</v>
      </c>
      <c r="H784" s="54" t="s">
        <v>1216</v>
      </c>
      <c r="I784" s="54" t="s">
        <v>1109</v>
      </c>
      <c r="J784" s="54" t="s">
        <v>1159</v>
      </c>
      <c r="X784" s="55" t="str">
        <f t="shared" si="1"/>
        <v>#NAME?</v>
      </c>
    </row>
    <row r="785">
      <c r="A785" s="4" t="s">
        <v>2290</v>
      </c>
      <c r="B785" s="4" t="s">
        <v>2291</v>
      </c>
      <c r="C785" s="4">
        <v>1.0</v>
      </c>
      <c r="D785" s="54" t="s">
        <v>637</v>
      </c>
      <c r="E785" s="4" t="s">
        <v>1088</v>
      </c>
      <c r="F785" s="54" t="s">
        <v>534</v>
      </c>
      <c r="G785" s="54" t="s">
        <v>1188</v>
      </c>
      <c r="H785" s="54" t="s">
        <v>1189</v>
      </c>
      <c r="I785" s="54" t="s">
        <v>1176</v>
      </c>
      <c r="J785" s="54" t="s">
        <v>1155</v>
      </c>
      <c r="X785" s="55" t="str">
        <f t="shared" si="1"/>
        <v>#NAME?</v>
      </c>
    </row>
    <row r="786">
      <c r="A786" s="4" t="s">
        <v>2292</v>
      </c>
      <c r="B786" s="4" t="s">
        <v>2293</v>
      </c>
      <c r="C786" s="4">
        <v>1.0</v>
      </c>
      <c r="D786" s="54" t="s">
        <v>274</v>
      </c>
      <c r="E786" s="4" t="s">
        <v>1191</v>
      </c>
      <c r="F786" s="54" t="s">
        <v>534</v>
      </c>
      <c r="G786" s="54" t="s">
        <v>1192</v>
      </c>
      <c r="H786" s="54" t="s">
        <v>1193</v>
      </c>
      <c r="I786" s="54" t="s">
        <v>1122</v>
      </c>
      <c r="J786" s="54" t="s">
        <v>1194</v>
      </c>
      <c r="X786" s="55" t="str">
        <f t="shared" si="1"/>
        <v>#NAME?</v>
      </c>
    </row>
    <row r="787">
      <c r="A787" s="4" t="s">
        <v>2294</v>
      </c>
      <c r="B787" s="4" t="s">
        <v>2295</v>
      </c>
      <c r="C787" s="4">
        <v>1.0</v>
      </c>
      <c r="D787" s="54" t="s">
        <v>274</v>
      </c>
      <c r="E787" s="4" t="s">
        <v>1191</v>
      </c>
      <c r="F787" s="54" t="s">
        <v>534</v>
      </c>
      <c r="G787" s="54" t="s">
        <v>1196</v>
      </c>
      <c r="H787" s="54" t="s">
        <v>1197</v>
      </c>
      <c r="I787" s="54" t="s">
        <v>1138</v>
      </c>
      <c r="J787" s="54" t="s">
        <v>1198</v>
      </c>
      <c r="X787" s="55" t="str">
        <f t="shared" si="1"/>
        <v>#NAME?</v>
      </c>
    </row>
    <row r="788">
      <c r="A788" s="4" t="s">
        <v>2296</v>
      </c>
      <c r="B788" s="4" t="s">
        <v>2297</v>
      </c>
      <c r="C788" s="4">
        <v>1.0</v>
      </c>
      <c r="D788" s="54" t="s">
        <v>274</v>
      </c>
      <c r="E788" s="4" t="s">
        <v>1191</v>
      </c>
      <c r="F788" s="54" t="s">
        <v>534</v>
      </c>
      <c r="G788" s="54" t="s">
        <v>1200</v>
      </c>
      <c r="H788" s="54" t="s">
        <v>1160</v>
      </c>
      <c r="I788" s="54" t="s">
        <v>1201</v>
      </c>
      <c r="J788" s="54" t="s">
        <v>1200</v>
      </c>
      <c r="X788" s="55" t="str">
        <f t="shared" si="1"/>
        <v>#NAME?</v>
      </c>
    </row>
    <row r="789">
      <c r="A789" s="4" t="s">
        <v>2298</v>
      </c>
      <c r="B789" s="4" t="s">
        <v>2299</v>
      </c>
      <c r="C789" s="4">
        <v>1.0</v>
      </c>
      <c r="D789" s="54" t="s">
        <v>274</v>
      </c>
      <c r="E789" s="4" t="s">
        <v>1191</v>
      </c>
      <c r="F789" s="54" t="s">
        <v>534</v>
      </c>
      <c r="G789" s="54" t="s">
        <v>1203</v>
      </c>
      <c r="H789" s="54" t="s">
        <v>1204</v>
      </c>
      <c r="I789" s="54" t="s">
        <v>1205</v>
      </c>
      <c r="J789" s="54" t="s">
        <v>1198</v>
      </c>
      <c r="X789" s="55" t="str">
        <f t="shared" si="1"/>
        <v>#NAME?</v>
      </c>
    </row>
    <row r="790">
      <c r="A790" s="4" t="s">
        <v>2300</v>
      </c>
      <c r="B790" s="4" t="s">
        <v>2301</v>
      </c>
      <c r="C790" s="4">
        <v>1.0</v>
      </c>
      <c r="D790" s="54" t="s">
        <v>673</v>
      </c>
      <c r="E790" s="4" t="s">
        <v>1088</v>
      </c>
      <c r="F790" s="54" t="s">
        <v>534</v>
      </c>
      <c r="G790" s="54" t="s">
        <v>1161</v>
      </c>
      <c r="H790" s="54" t="s">
        <v>1207</v>
      </c>
      <c r="I790" s="54" t="s">
        <v>1185</v>
      </c>
      <c r="J790" s="54" t="s">
        <v>1208</v>
      </c>
      <c r="X790" s="55" t="str">
        <f t="shared" si="1"/>
        <v>#NAME?</v>
      </c>
    </row>
    <row r="791">
      <c r="A791" s="4" t="s">
        <v>2302</v>
      </c>
      <c r="B791" s="4" t="s">
        <v>2303</v>
      </c>
      <c r="C791" s="4">
        <v>1.0</v>
      </c>
      <c r="D791" s="54" t="s">
        <v>683</v>
      </c>
      <c r="E791" s="4" t="s">
        <v>1088</v>
      </c>
      <c r="F791" s="54" t="s">
        <v>534</v>
      </c>
      <c r="G791" s="54" t="s">
        <v>1207</v>
      </c>
      <c r="H791" s="54" t="s">
        <v>1154</v>
      </c>
      <c r="I791" s="54" t="s">
        <v>1110</v>
      </c>
      <c r="J791" s="54" t="s">
        <v>1210</v>
      </c>
      <c r="X791" s="55" t="str">
        <f t="shared" si="1"/>
        <v>#NAME?</v>
      </c>
    </row>
    <row r="792">
      <c r="A792" s="4" t="s">
        <v>2304</v>
      </c>
      <c r="B792" s="4" t="s">
        <v>2305</v>
      </c>
      <c r="C792" s="4">
        <v>1.0</v>
      </c>
      <c r="D792" s="54" t="s">
        <v>694</v>
      </c>
      <c r="E792" s="4" t="s">
        <v>1098</v>
      </c>
      <c r="F792" s="54" t="s">
        <v>534</v>
      </c>
      <c r="G792" s="54" t="s">
        <v>1175</v>
      </c>
      <c r="H792" s="54" t="s">
        <v>1130</v>
      </c>
      <c r="I792" s="54" t="s">
        <v>1212</v>
      </c>
      <c r="J792" s="54" t="s">
        <v>1213</v>
      </c>
      <c r="X792" s="55" t="str">
        <f t="shared" si="1"/>
        <v>#NAME?</v>
      </c>
    </row>
    <row r="793">
      <c r="A793" s="4" t="s">
        <v>2306</v>
      </c>
      <c r="B793" s="4" t="s">
        <v>2307</v>
      </c>
      <c r="C793" s="4">
        <v>1.0</v>
      </c>
      <c r="D793" s="54" t="s">
        <v>626</v>
      </c>
      <c r="E793" s="4" t="s">
        <v>1098</v>
      </c>
      <c r="F793" s="54" t="s">
        <v>534</v>
      </c>
      <c r="G793" s="54" t="s">
        <v>1179</v>
      </c>
      <c r="H793" s="54" t="s">
        <v>1180</v>
      </c>
      <c r="I793" s="54" t="s">
        <v>1158</v>
      </c>
      <c r="J793" s="54" t="s">
        <v>1181</v>
      </c>
      <c r="X793" s="55" t="str">
        <f t="shared" si="1"/>
        <v>#NAME?</v>
      </c>
    </row>
    <row r="794">
      <c r="A794" s="4" t="s">
        <v>2308</v>
      </c>
      <c r="B794" s="4" t="s">
        <v>2309</v>
      </c>
      <c r="C794" s="4">
        <v>1.0</v>
      </c>
      <c r="D794" s="54" t="s">
        <v>449</v>
      </c>
      <c r="E794" s="4" t="s">
        <v>1088</v>
      </c>
      <c r="F794" s="54" t="s">
        <v>534</v>
      </c>
      <c r="G794" s="54" t="s">
        <v>1129</v>
      </c>
      <c r="H794" s="54" t="s">
        <v>1130</v>
      </c>
      <c r="I794" s="54" t="s">
        <v>1131</v>
      </c>
      <c r="J794" s="54" t="s">
        <v>1132</v>
      </c>
      <c r="X794" s="55" t="str">
        <f t="shared" si="1"/>
        <v>#NAME?</v>
      </c>
    </row>
    <row r="795">
      <c r="A795" s="4" t="s">
        <v>2310</v>
      </c>
      <c r="B795" s="4" t="s">
        <v>2311</v>
      </c>
      <c r="C795" s="4">
        <v>1.0</v>
      </c>
      <c r="D795" s="54" t="s">
        <v>694</v>
      </c>
      <c r="E795" s="4" t="s">
        <v>1098</v>
      </c>
      <c r="F795" s="54" t="s">
        <v>534</v>
      </c>
      <c r="G795" s="54" t="s">
        <v>1111</v>
      </c>
      <c r="H795" s="54" t="s">
        <v>1215</v>
      </c>
      <c r="I795" s="54" t="s">
        <v>1185</v>
      </c>
      <c r="J795" s="54" t="s">
        <v>1216</v>
      </c>
      <c r="X795" s="55" t="str">
        <f t="shared" si="1"/>
        <v>#NAME?</v>
      </c>
    </row>
    <row r="796">
      <c r="A796" s="54" t="s">
        <v>2312</v>
      </c>
      <c r="B796" s="4" t="s">
        <v>2313</v>
      </c>
      <c r="C796" s="4">
        <v>1.0</v>
      </c>
      <c r="D796" s="54" t="s">
        <v>421</v>
      </c>
      <c r="E796" s="4" t="s">
        <v>1088</v>
      </c>
      <c r="F796" s="54" t="s">
        <v>534</v>
      </c>
      <c r="G796" s="54" t="s">
        <v>1225</v>
      </c>
      <c r="H796" s="54" t="s">
        <v>1226</v>
      </c>
      <c r="I796" s="54" t="s">
        <v>1227</v>
      </c>
      <c r="J796" s="54" t="s">
        <v>1228</v>
      </c>
      <c r="X796" s="55" t="str">
        <f t="shared" si="1"/>
        <v>#NAME?</v>
      </c>
    </row>
    <row r="797">
      <c r="A797" s="4" t="s">
        <v>2314</v>
      </c>
      <c r="B797" s="4" t="s">
        <v>2315</v>
      </c>
      <c r="C797" s="4">
        <v>1.0</v>
      </c>
      <c r="D797" s="54" t="s">
        <v>737</v>
      </c>
      <c r="E797" s="4" t="s">
        <v>1191</v>
      </c>
      <c r="F797" s="54" t="s">
        <v>534</v>
      </c>
      <c r="G797" s="54" t="s">
        <v>1111</v>
      </c>
      <c r="H797" s="54" t="s">
        <v>1216</v>
      </c>
      <c r="I797" s="54" t="s">
        <v>1093</v>
      </c>
      <c r="J797" s="54" t="s">
        <v>1102</v>
      </c>
      <c r="X797" s="55" t="str">
        <f t="shared" si="1"/>
        <v>#NAME?</v>
      </c>
    </row>
    <row r="798">
      <c r="A798" s="4" t="s">
        <v>2316</v>
      </c>
      <c r="B798" s="4" t="s">
        <v>2317</v>
      </c>
      <c r="C798" s="4">
        <v>1.0</v>
      </c>
      <c r="D798" s="54" t="s">
        <v>737</v>
      </c>
      <c r="E798" s="4" t="s">
        <v>1191</v>
      </c>
      <c r="F798" s="54" t="s">
        <v>534</v>
      </c>
      <c r="G798" s="54" t="s">
        <v>1111</v>
      </c>
      <c r="H798" s="54" t="s">
        <v>1231</v>
      </c>
      <c r="I798" s="54" t="s">
        <v>1232</v>
      </c>
      <c r="J798" s="54" t="s">
        <v>1233</v>
      </c>
      <c r="X798" s="55" t="str">
        <f t="shared" si="1"/>
        <v>#NAME?</v>
      </c>
    </row>
    <row r="799">
      <c r="A799" s="4" t="s">
        <v>2318</v>
      </c>
      <c r="B799" s="4" t="s">
        <v>2319</v>
      </c>
      <c r="C799" s="4">
        <v>1.0</v>
      </c>
      <c r="D799" s="54" t="s">
        <v>737</v>
      </c>
      <c r="E799" s="4" t="s">
        <v>1191</v>
      </c>
      <c r="F799" s="54" t="s">
        <v>534</v>
      </c>
      <c r="G799" s="54" t="s">
        <v>1235</v>
      </c>
      <c r="H799" s="54" t="s">
        <v>1236</v>
      </c>
      <c r="I799" s="54" t="s">
        <v>1215</v>
      </c>
      <c r="J799" s="54" t="s">
        <v>1179</v>
      </c>
      <c r="X799" s="55" t="str">
        <f t="shared" si="1"/>
        <v>#NAME?</v>
      </c>
    </row>
    <row r="800">
      <c r="A800" s="4" t="s">
        <v>2320</v>
      </c>
      <c r="B800" s="4" t="s">
        <v>2321</v>
      </c>
      <c r="C800" s="4">
        <v>1.0</v>
      </c>
      <c r="D800" s="54" t="s">
        <v>737</v>
      </c>
      <c r="E800" s="4" t="s">
        <v>1191</v>
      </c>
      <c r="F800" s="54" t="s">
        <v>534</v>
      </c>
      <c r="G800" s="54" t="s">
        <v>1238</v>
      </c>
      <c r="H800" s="54" t="s">
        <v>1233</v>
      </c>
      <c r="I800" s="54" t="s">
        <v>1238</v>
      </c>
      <c r="J800" s="54" t="s">
        <v>1233</v>
      </c>
      <c r="X800" s="55" t="str">
        <f t="shared" si="1"/>
        <v>#NAME?</v>
      </c>
    </row>
    <row r="801">
      <c r="A801" s="4" t="s">
        <v>2322</v>
      </c>
      <c r="B801" s="4" t="s">
        <v>2323</v>
      </c>
      <c r="C801" s="4">
        <v>1.0</v>
      </c>
      <c r="D801" s="54" t="s">
        <v>807</v>
      </c>
      <c r="E801" s="4" t="s">
        <v>1088</v>
      </c>
      <c r="F801" s="54" t="s">
        <v>534</v>
      </c>
      <c r="G801" s="54" t="s">
        <v>1240</v>
      </c>
      <c r="H801" s="54" t="s">
        <v>1100</v>
      </c>
      <c r="I801" s="54" t="s">
        <v>1241</v>
      </c>
      <c r="J801" s="54" t="s">
        <v>1242</v>
      </c>
      <c r="X801" s="55" t="str">
        <f t="shared" si="1"/>
        <v>#NAME?</v>
      </c>
    </row>
    <row r="802">
      <c r="A802" s="4" t="s">
        <v>2324</v>
      </c>
      <c r="B802" s="4" t="s">
        <v>2325</v>
      </c>
      <c r="C802" s="4">
        <v>1.0</v>
      </c>
      <c r="D802" s="54" t="s">
        <v>963</v>
      </c>
      <c r="E802" s="4" t="s">
        <v>1088</v>
      </c>
      <c r="F802" s="54" t="s">
        <v>534</v>
      </c>
      <c r="G802" s="54" t="s">
        <v>1244</v>
      </c>
      <c r="H802" s="54" t="s">
        <v>1215</v>
      </c>
      <c r="I802" s="54" t="s">
        <v>1244</v>
      </c>
      <c r="J802" s="54" t="s">
        <v>1245</v>
      </c>
      <c r="X802" s="55" t="str">
        <f t="shared" si="1"/>
        <v>#NAME?</v>
      </c>
    </row>
    <row r="803">
      <c r="A803" s="4" t="s">
        <v>2326</v>
      </c>
      <c r="B803" s="4" t="s">
        <v>2327</v>
      </c>
      <c r="C803" s="4">
        <v>1.0</v>
      </c>
      <c r="D803" s="54" t="s">
        <v>963</v>
      </c>
      <c r="E803" s="4" t="s">
        <v>1088</v>
      </c>
      <c r="F803" s="54" t="s">
        <v>534</v>
      </c>
      <c r="G803" s="54" t="s">
        <v>1247</v>
      </c>
      <c r="H803" s="54" t="s">
        <v>1181</v>
      </c>
      <c r="I803" s="54" t="s">
        <v>1248</v>
      </c>
      <c r="J803" s="54" t="s">
        <v>1238</v>
      </c>
      <c r="X803" s="55" t="str">
        <f t="shared" si="1"/>
        <v>#NAME?</v>
      </c>
    </row>
    <row r="804">
      <c r="A804" s="4" t="s">
        <v>2328</v>
      </c>
      <c r="B804" s="4" t="s">
        <v>2329</v>
      </c>
      <c r="C804" s="4">
        <v>1.0</v>
      </c>
      <c r="D804" s="54" t="s">
        <v>694</v>
      </c>
      <c r="E804" s="4" t="s">
        <v>1098</v>
      </c>
      <c r="F804" s="54" t="s">
        <v>534</v>
      </c>
      <c r="G804" s="54" t="s">
        <v>1218</v>
      </c>
      <c r="H804" s="54" t="s">
        <v>1184</v>
      </c>
      <c r="I804" s="54" t="s">
        <v>1110</v>
      </c>
      <c r="J804" s="54" t="s">
        <v>1219</v>
      </c>
      <c r="X804" s="55" t="str">
        <f t="shared" si="1"/>
        <v>#NAME?</v>
      </c>
    </row>
    <row r="805">
      <c r="A805" s="4" t="s">
        <v>2330</v>
      </c>
      <c r="B805" s="4" t="s">
        <v>2331</v>
      </c>
      <c r="C805" s="4">
        <v>1.0</v>
      </c>
      <c r="D805" s="54" t="s">
        <v>287</v>
      </c>
      <c r="E805" s="4" t="s">
        <v>1088</v>
      </c>
      <c r="F805" s="54" t="s">
        <v>534</v>
      </c>
      <c r="G805" s="54" t="s">
        <v>1221</v>
      </c>
      <c r="H805" s="54" t="s">
        <v>1222</v>
      </c>
      <c r="I805" s="54" t="s">
        <v>1222</v>
      </c>
      <c r="J805" s="54" t="s">
        <v>1223</v>
      </c>
      <c r="X805" s="55" t="str">
        <f t="shared" si="1"/>
        <v>#NAME?</v>
      </c>
    </row>
    <row r="806">
      <c r="A806" s="54" t="s">
        <v>2332</v>
      </c>
      <c r="B806" s="4" t="s">
        <v>2333</v>
      </c>
      <c r="C806" s="4">
        <v>1.0</v>
      </c>
      <c r="D806" s="4" t="s">
        <v>1421</v>
      </c>
      <c r="E806" s="4" t="s">
        <v>1088</v>
      </c>
      <c r="F806" s="54" t="s">
        <v>534</v>
      </c>
      <c r="G806" s="54" t="s">
        <v>1139</v>
      </c>
      <c r="H806" s="54" t="s">
        <v>1134</v>
      </c>
      <c r="I806" s="54" t="s">
        <v>1405</v>
      </c>
      <c r="J806" s="54" t="s">
        <v>1150</v>
      </c>
      <c r="X806" s="55" t="str">
        <f t="shared" si="1"/>
        <v>#NAME?</v>
      </c>
    </row>
    <row r="807">
      <c r="A807" s="4" t="s">
        <v>2334</v>
      </c>
      <c r="B807" s="4" t="s">
        <v>2335</v>
      </c>
      <c r="C807" s="4">
        <v>1.0</v>
      </c>
      <c r="D807" s="54" t="s">
        <v>809</v>
      </c>
      <c r="E807" s="4" t="s">
        <v>1251</v>
      </c>
      <c r="F807" s="54" t="s">
        <v>534</v>
      </c>
      <c r="G807" s="54" t="s">
        <v>1252</v>
      </c>
      <c r="H807" s="54" t="s">
        <v>1253</v>
      </c>
      <c r="I807" s="54" t="s">
        <v>1173</v>
      </c>
      <c r="J807" s="54" t="s">
        <v>1254</v>
      </c>
      <c r="X807" s="55" t="str">
        <f t="shared" si="1"/>
        <v>#NAME?</v>
      </c>
    </row>
    <row r="808">
      <c r="A808" s="4" t="s">
        <v>2336</v>
      </c>
      <c r="B808" s="4" t="s">
        <v>2337</v>
      </c>
      <c r="C808" s="4">
        <v>1.0</v>
      </c>
      <c r="D808" s="4" t="s">
        <v>1261</v>
      </c>
      <c r="E808" s="4" t="s">
        <v>1251</v>
      </c>
      <c r="F808" s="54" t="s">
        <v>534</v>
      </c>
      <c r="G808" s="54" t="s">
        <v>1262</v>
      </c>
      <c r="H808" s="54" t="s">
        <v>1263</v>
      </c>
      <c r="I808" s="54" t="s">
        <v>1264</v>
      </c>
      <c r="J808" s="54" t="s">
        <v>1265</v>
      </c>
      <c r="X808" s="55" t="str">
        <f t="shared" si="1"/>
        <v>#NAME?</v>
      </c>
    </row>
    <row r="809">
      <c r="A809" s="4" t="s">
        <v>2338</v>
      </c>
      <c r="B809" s="4" t="s">
        <v>2339</v>
      </c>
      <c r="C809" s="4">
        <v>1.0</v>
      </c>
      <c r="D809" s="4" t="s">
        <v>1267</v>
      </c>
      <c r="E809" s="4" t="s">
        <v>1251</v>
      </c>
      <c r="F809" s="54" t="s">
        <v>357</v>
      </c>
      <c r="G809" s="54" t="s">
        <v>1200</v>
      </c>
      <c r="H809" s="54" t="s">
        <v>1099</v>
      </c>
      <c r="I809" s="54" t="s">
        <v>1099</v>
      </c>
      <c r="J809" s="54" t="s">
        <v>1253</v>
      </c>
      <c r="X809" s="55" t="str">
        <f t="shared" si="1"/>
        <v>#NAME?</v>
      </c>
    </row>
    <row r="810">
      <c r="A810" s="4" t="s">
        <v>2340</v>
      </c>
      <c r="B810" s="4" t="s">
        <v>2341</v>
      </c>
      <c r="C810" s="4">
        <v>1.0</v>
      </c>
      <c r="D810" s="4" t="s">
        <v>1269</v>
      </c>
      <c r="E810" s="4" t="s">
        <v>1088</v>
      </c>
      <c r="F810" s="54" t="s">
        <v>357</v>
      </c>
      <c r="G810" s="54" t="s">
        <v>1215</v>
      </c>
      <c r="H810" s="54" t="s">
        <v>1100</v>
      </c>
      <c r="I810" s="54" t="s">
        <v>1176</v>
      </c>
      <c r="J810" s="54" t="s">
        <v>1235</v>
      </c>
      <c r="X810" s="55" t="str">
        <f t="shared" si="1"/>
        <v>#NAME?</v>
      </c>
    </row>
    <row r="811">
      <c r="A811" s="4" t="s">
        <v>2342</v>
      </c>
      <c r="B811" s="4" t="s">
        <v>2343</v>
      </c>
      <c r="C811" s="4">
        <v>1.0</v>
      </c>
      <c r="D811" s="4" t="s">
        <v>1271</v>
      </c>
      <c r="E811" s="4" t="s">
        <v>1088</v>
      </c>
      <c r="F811" s="54" t="s">
        <v>357</v>
      </c>
      <c r="G811" s="54" t="s">
        <v>1156</v>
      </c>
      <c r="H811" s="54" t="s">
        <v>1156</v>
      </c>
      <c r="I811" s="54" t="s">
        <v>1100</v>
      </c>
      <c r="J811" s="54" t="s">
        <v>1176</v>
      </c>
      <c r="X811" s="55" t="str">
        <f t="shared" si="1"/>
        <v>#NAME?</v>
      </c>
    </row>
    <row r="812">
      <c r="A812" s="4" t="s">
        <v>2344</v>
      </c>
      <c r="B812" s="4" t="s">
        <v>2345</v>
      </c>
      <c r="C812" s="4">
        <v>1.0</v>
      </c>
      <c r="D812" s="4" t="s">
        <v>1273</v>
      </c>
      <c r="E812" s="4" t="s">
        <v>1098</v>
      </c>
      <c r="F812" s="54" t="s">
        <v>357</v>
      </c>
      <c r="G812" s="54" t="s">
        <v>1120</v>
      </c>
      <c r="H812" s="54" t="s">
        <v>1274</v>
      </c>
      <c r="I812" s="54" t="s">
        <v>1275</v>
      </c>
      <c r="J812" s="54" t="s">
        <v>1276</v>
      </c>
      <c r="X812" s="55" t="str">
        <f t="shared" si="1"/>
        <v>#NAME?</v>
      </c>
    </row>
    <row r="813">
      <c r="A813" s="4" t="s">
        <v>2346</v>
      </c>
      <c r="B813" s="4" t="s">
        <v>2347</v>
      </c>
      <c r="C813" s="4">
        <v>1.0</v>
      </c>
      <c r="D813" s="4" t="s">
        <v>1278</v>
      </c>
      <c r="E813" s="4" t="s">
        <v>1098</v>
      </c>
      <c r="F813" s="54" t="s">
        <v>357</v>
      </c>
      <c r="G813" s="54" t="s">
        <v>1279</v>
      </c>
      <c r="H813" s="54" t="s">
        <v>1280</v>
      </c>
      <c r="I813" s="54" t="s">
        <v>1121</v>
      </c>
      <c r="J813" s="54" t="s">
        <v>1276</v>
      </c>
      <c r="X813" s="55" t="str">
        <f t="shared" si="1"/>
        <v>#NAME?</v>
      </c>
    </row>
    <row r="814">
      <c r="A814" s="4" t="s">
        <v>2348</v>
      </c>
      <c r="B814" s="4" t="s">
        <v>2349</v>
      </c>
      <c r="C814" s="4">
        <v>1.0</v>
      </c>
      <c r="D814" s="4" t="s">
        <v>1282</v>
      </c>
      <c r="E814" s="4" t="s">
        <v>1098</v>
      </c>
      <c r="F814" s="54" t="s">
        <v>357</v>
      </c>
      <c r="G814" s="54" t="s">
        <v>1283</v>
      </c>
      <c r="H814" s="54" t="s">
        <v>1284</v>
      </c>
      <c r="I814" s="54" t="s">
        <v>1151</v>
      </c>
      <c r="J814" s="54" t="s">
        <v>1144</v>
      </c>
      <c r="X814" s="55" t="str">
        <f t="shared" si="1"/>
        <v>#NAME?</v>
      </c>
    </row>
    <row r="815">
      <c r="A815" s="4" t="s">
        <v>2350</v>
      </c>
      <c r="B815" s="4" t="s">
        <v>2351</v>
      </c>
      <c r="C815" s="4">
        <v>1.0</v>
      </c>
      <c r="D815" s="4" t="s">
        <v>1286</v>
      </c>
      <c r="E815" s="4" t="s">
        <v>1088</v>
      </c>
      <c r="F815" s="54" t="s">
        <v>357</v>
      </c>
      <c r="G815" s="54" t="s">
        <v>1287</v>
      </c>
      <c r="H815" s="54" t="s">
        <v>1287</v>
      </c>
      <c r="I815" s="54" t="s">
        <v>1288</v>
      </c>
      <c r="J815" s="54" t="s">
        <v>1289</v>
      </c>
      <c r="X815" s="55" t="str">
        <f t="shared" si="1"/>
        <v>#NAME?</v>
      </c>
    </row>
    <row r="816">
      <c r="A816" s="4" t="s">
        <v>2352</v>
      </c>
      <c r="B816" s="4" t="s">
        <v>2353</v>
      </c>
      <c r="C816" s="4">
        <v>1.0</v>
      </c>
      <c r="D816" s="4" t="s">
        <v>1291</v>
      </c>
      <c r="E816" s="4" t="s">
        <v>1088</v>
      </c>
      <c r="F816" s="54" t="s">
        <v>357</v>
      </c>
      <c r="G816" s="54" t="s">
        <v>1292</v>
      </c>
      <c r="H816" s="54" t="s">
        <v>1205</v>
      </c>
      <c r="I816" s="54" t="s">
        <v>1292</v>
      </c>
      <c r="J816" s="54" t="s">
        <v>1293</v>
      </c>
      <c r="X816" s="55" t="str">
        <f t="shared" si="1"/>
        <v>#NAME?</v>
      </c>
    </row>
    <row r="817">
      <c r="A817" s="4" t="s">
        <v>2354</v>
      </c>
      <c r="B817" s="4" t="s">
        <v>2355</v>
      </c>
      <c r="C817" s="4">
        <v>1.0</v>
      </c>
      <c r="D817" s="4" t="s">
        <v>1295</v>
      </c>
      <c r="E817" s="4" t="s">
        <v>1296</v>
      </c>
      <c r="F817" s="54" t="s">
        <v>357</v>
      </c>
      <c r="G817" s="54" t="s">
        <v>1297</v>
      </c>
      <c r="H817" s="54" t="s">
        <v>1298</v>
      </c>
      <c r="I817" s="54" t="s">
        <v>1299</v>
      </c>
      <c r="J817" s="54" t="s">
        <v>1300</v>
      </c>
      <c r="X817" s="55" t="str">
        <f t="shared" si="1"/>
        <v>#NAME?</v>
      </c>
    </row>
    <row r="818">
      <c r="A818" s="4" t="s">
        <v>2356</v>
      </c>
      <c r="B818" s="4" t="s">
        <v>2357</v>
      </c>
      <c r="C818" s="4">
        <v>1.0</v>
      </c>
      <c r="D818" s="4" t="s">
        <v>1348</v>
      </c>
      <c r="E818" s="4" t="s">
        <v>1098</v>
      </c>
      <c r="F818" s="54" t="s">
        <v>357</v>
      </c>
      <c r="G818" s="54" t="s">
        <v>1134</v>
      </c>
      <c r="H818" s="54" t="s">
        <v>1349</v>
      </c>
      <c r="I818" s="54" t="s">
        <v>1350</v>
      </c>
      <c r="J818" s="54" t="s">
        <v>1351</v>
      </c>
      <c r="X818" s="55" t="str">
        <f t="shared" si="1"/>
        <v>#NAME?</v>
      </c>
    </row>
    <row r="819">
      <c r="A819" s="4" t="s">
        <v>2358</v>
      </c>
      <c r="B819" s="4" t="s">
        <v>2359</v>
      </c>
      <c r="C819" s="4">
        <v>1.0</v>
      </c>
      <c r="D819" s="4" t="s">
        <v>1353</v>
      </c>
      <c r="E819" s="4" t="s">
        <v>1088</v>
      </c>
      <c r="F819" s="54" t="s">
        <v>357</v>
      </c>
      <c r="G819" s="54" t="s">
        <v>1186</v>
      </c>
      <c r="H819" s="54" t="s">
        <v>1179</v>
      </c>
      <c r="I819" s="54" t="s">
        <v>1183</v>
      </c>
      <c r="J819" s="54" t="s">
        <v>1183</v>
      </c>
      <c r="X819" s="55" t="str">
        <f t="shared" si="1"/>
        <v>#NAME?</v>
      </c>
    </row>
    <row r="820">
      <c r="A820" s="4" t="s">
        <v>2360</v>
      </c>
      <c r="B820" s="4" t="s">
        <v>2361</v>
      </c>
      <c r="C820" s="4">
        <v>1.0</v>
      </c>
      <c r="D820" s="4" t="s">
        <v>1311</v>
      </c>
      <c r="E820" s="4" t="s">
        <v>1296</v>
      </c>
      <c r="F820" s="54" t="s">
        <v>357</v>
      </c>
      <c r="G820" s="54" t="s">
        <v>1312</v>
      </c>
      <c r="H820" s="54" t="s">
        <v>1313</v>
      </c>
      <c r="I820" s="54" t="s">
        <v>1127</v>
      </c>
      <c r="J820" s="54" t="s">
        <v>1314</v>
      </c>
      <c r="X820" s="55" t="str">
        <f t="shared" si="1"/>
        <v>#NAME?</v>
      </c>
    </row>
    <row r="821">
      <c r="A821" s="4" t="s">
        <v>2362</v>
      </c>
      <c r="B821" s="4" t="s">
        <v>2363</v>
      </c>
      <c r="C821" s="4">
        <v>1.0</v>
      </c>
      <c r="D821" s="4" t="s">
        <v>1316</v>
      </c>
      <c r="E821" s="4" t="s">
        <v>1296</v>
      </c>
      <c r="F821" s="54" t="s">
        <v>357</v>
      </c>
      <c r="G821" s="54" t="s">
        <v>1126</v>
      </c>
      <c r="H821" s="54" t="s">
        <v>1317</v>
      </c>
      <c r="I821" s="54" t="s">
        <v>1318</v>
      </c>
      <c r="J821" s="54" t="s">
        <v>1314</v>
      </c>
      <c r="X821" s="55" t="str">
        <f t="shared" si="1"/>
        <v>#NAME?</v>
      </c>
    </row>
    <row r="822">
      <c r="A822" s="4" t="s">
        <v>2364</v>
      </c>
      <c r="B822" s="4" t="s">
        <v>2365</v>
      </c>
      <c r="C822" s="4">
        <v>1.0</v>
      </c>
      <c r="D822" s="4" t="s">
        <v>1320</v>
      </c>
      <c r="E822" s="4" t="s">
        <v>1296</v>
      </c>
      <c r="F822" s="54" t="s">
        <v>357</v>
      </c>
      <c r="G822" s="54" t="s">
        <v>1196</v>
      </c>
      <c r="H822" s="54" t="s">
        <v>1321</v>
      </c>
      <c r="I822" s="54" t="s">
        <v>1192</v>
      </c>
      <c r="J822" s="54" t="s">
        <v>1322</v>
      </c>
      <c r="X822" s="55" t="str">
        <f t="shared" si="1"/>
        <v>#NAME?</v>
      </c>
    </row>
    <row r="823">
      <c r="A823" s="4" t="s">
        <v>2366</v>
      </c>
      <c r="B823" s="4" t="s">
        <v>2367</v>
      </c>
      <c r="C823" s="4">
        <v>1.0</v>
      </c>
      <c r="D823" s="4" t="s">
        <v>1324</v>
      </c>
      <c r="E823" s="4" t="s">
        <v>1296</v>
      </c>
      <c r="F823" s="54" t="s">
        <v>357</v>
      </c>
      <c r="G823" s="54" t="s">
        <v>1325</v>
      </c>
      <c r="H823" s="54" t="s">
        <v>1303</v>
      </c>
      <c r="I823" s="54" t="s">
        <v>1326</v>
      </c>
      <c r="J823" s="54" t="s">
        <v>1117</v>
      </c>
      <c r="X823" s="55" t="str">
        <f t="shared" si="1"/>
        <v>#NAME?</v>
      </c>
    </row>
    <row r="824">
      <c r="A824" s="4" t="s">
        <v>2368</v>
      </c>
      <c r="B824" s="4" t="s">
        <v>2369</v>
      </c>
      <c r="C824" s="4">
        <v>1.0</v>
      </c>
      <c r="D824" s="4" t="s">
        <v>1328</v>
      </c>
      <c r="E824" s="4" t="s">
        <v>1296</v>
      </c>
      <c r="F824" s="54" t="s">
        <v>357</v>
      </c>
      <c r="G824" s="54" t="s">
        <v>1329</v>
      </c>
      <c r="H824" s="54" t="s">
        <v>1330</v>
      </c>
      <c r="I824" s="54" t="s">
        <v>1331</v>
      </c>
      <c r="J824" s="54" t="s">
        <v>1125</v>
      </c>
      <c r="X824" s="55" t="str">
        <f t="shared" si="1"/>
        <v>#NAME?</v>
      </c>
    </row>
    <row r="825">
      <c r="A825" s="4" t="s">
        <v>2370</v>
      </c>
      <c r="B825" s="4" t="s">
        <v>2371</v>
      </c>
      <c r="C825" s="4">
        <v>1.0</v>
      </c>
      <c r="D825" s="4" t="s">
        <v>1333</v>
      </c>
      <c r="E825" s="4" t="s">
        <v>1088</v>
      </c>
      <c r="F825" s="54" t="s">
        <v>357</v>
      </c>
      <c r="G825" s="54" t="s">
        <v>1287</v>
      </c>
      <c r="H825" s="54" t="s">
        <v>1293</v>
      </c>
      <c r="I825" s="54" t="s">
        <v>1334</v>
      </c>
      <c r="J825" s="54" t="s">
        <v>1203</v>
      </c>
      <c r="X825" s="55" t="str">
        <f t="shared" si="1"/>
        <v>#NAME?</v>
      </c>
    </row>
    <row r="826">
      <c r="A826" s="4" t="s">
        <v>2372</v>
      </c>
      <c r="B826" s="4" t="s">
        <v>2373</v>
      </c>
      <c r="C826" s="4">
        <v>1.0</v>
      </c>
      <c r="D826" s="4" t="s">
        <v>1336</v>
      </c>
      <c r="E826" s="4" t="s">
        <v>1088</v>
      </c>
      <c r="F826" s="54" t="s">
        <v>357</v>
      </c>
      <c r="G826" s="54" t="s">
        <v>1292</v>
      </c>
      <c r="H826" s="54" t="s">
        <v>1334</v>
      </c>
      <c r="I826" s="54" t="s">
        <v>1337</v>
      </c>
      <c r="J826" s="54" t="s">
        <v>1292</v>
      </c>
      <c r="X826" s="55" t="str">
        <f t="shared" si="1"/>
        <v>#NAME?</v>
      </c>
    </row>
    <row r="827">
      <c r="A827" s="4" t="s">
        <v>2374</v>
      </c>
      <c r="B827" s="4" t="s">
        <v>2375</v>
      </c>
      <c r="C827" s="4">
        <v>1.0</v>
      </c>
      <c r="D827" s="4" t="s">
        <v>1339</v>
      </c>
      <c r="E827" s="4" t="s">
        <v>1098</v>
      </c>
      <c r="F827" s="54" t="s">
        <v>357</v>
      </c>
      <c r="G827" s="54" t="s">
        <v>1340</v>
      </c>
      <c r="H827" s="54" t="s">
        <v>1140</v>
      </c>
      <c r="I827" s="54" t="s">
        <v>1326</v>
      </c>
      <c r="J827" s="54" t="s">
        <v>1303</v>
      </c>
      <c r="X827" s="55" t="str">
        <f t="shared" si="1"/>
        <v>#NAME?</v>
      </c>
    </row>
    <row r="828">
      <c r="A828" s="4" t="s">
        <v>2376</v>
      </c>
      <c r="B828" s="4" t="s">
        <v>2377</v>
      </c>
      <c r="C828" s="4">
        <v>1.0</v>
      </c>
      <c r="D828" s="4" t="s">
        <v>1342</v>
      </c>
      <c r="E828" s="4" t="s">
        <v>1098</v>
      </c>
      <c r="F828" s="54" t="s">
        <v>357</v>
      </c>
      <c r="G828" s="54" t="s">
        <v>1343</v>
      </c>
      <c r="H828" s="54" t="s">
        <v>1344</v>
      </c>
      <c r="I828" s="54" t="s">
        <v>1345</v>
      </c>
      <c r="J828" s="54" t="s">
        <v>1346</v>
      </c>
      <c r="X828" s="55" t="str">
        <f t="shared" si="1"/>
        <v>#NAME?</v>
      </c>
    </row>
    <row r="829">
      <c r="A829" s="4" t="s">
        <v>2378</v>
      </c>
      <c r="B829" s="4" t="s">
        <v>2379</v>
      </c>
      <c r="C829" s="4">
        <v>1.0</v>
      </c>
      <c r="D829" s="4" t="s">
        <v>1302</v>
      </c>
      <c r="E829" s="4" t="s">
        <v>1296</v>
      </c>
      <c r="F829" s="54" t="s">
        <v>357</v>
      </c>
      <c r="G829" s="54" t="s">
        <v>1198</v>
      </c>
      <c r="H829" s="54" t="s">
        <v>1144</v>
      </c>
      <c r="I829" s="54" t="s">
        <v>1303</v>
      </c>
      <c r="J829" s="54" t="s">
        <v>1304</v>
      </c>
      <c r="X829" s="55" t="str">
        <f t="shared" si="1"/>
        <v>#NAME?</v>
      </c>
    </row>
    <row r="830">
      <c r="A830" s="4" t="s">
        <v>2380</v>
      </c>
      <c r="B830" s="4" t="s">
        <v>2381</v>
      </c>
      <c r="C830" s="4">
        <v>1.0</v>
      </c>
      <c r="D830" s="54" t="s">
        <v>632</v>
      </c>
      <c r="E830" s="4" t="s">
        <v>1088</v>
      </c>
      <c r="F830" s="54" t="s">
        <v>534</v>
      </c>
      <c r="G830" s="54" t="s">
        <v>1183</v>
      </c>
      <c r="H830" s="54" t="s">
        <v>1184</v>
      </c>
      <c r="I830" s="54" t="s">
        <v>1185</v>
      </c>
      <c r="J830" s="54" t="s">
        <v>1186</v>
      </c>
      <c r="X830" s="55" t="str">
        <f t="shared" si="1"/>
        <v>#NAME?</v>
      </c>
    </row>
    <row r="831">
      <c r="A831" s="4" t="s">
        <v>2382</v>
      </c>
      <c r="B831" s="4" t="s">
        <v>2383</v>
      </c>
      <c r="C831" s="4">
        <v>1.0</v>
      </c>
      <c r="D831" s="4" t="s">
        <v>1355</v>
      </c>
      <c r="E831" s="4" t="s">
        <v>1088</v>
      </c>
      <c r="F831" s="54" t="s">
        <v>357</v>
      </c>
      <c r="G831" s="54" t="s">
        <v>1356</v>
      </c>
      <c r="H831" s="54" t="s">
        <v>1244</v>
      </c>
      <c r="I831" s="54" t="s">
        <v>1244</v>
      </c>
      <c r="J831" s="54" t="s">
        <v>1244</v>
      </c>
      <c r="X831" s="55" t="str">
        <f t="shared" si="1"/>
        <v>#NAME?</v>
      </c>
    </row>
    <row r="832">
      <c r="A832" s="4" t="s">
        <v>2384</v>
      </c>
      <c r="B832" s="4" t="s">
        <v>2385</v>
      </c>
      <c r="C832" s="4">
        <v>1.0</v>
      </c>
      <c r="D832" s="4" t="s">
        <v>1396</v>
      </c>
      <c r="E832" s="4" t="s">
        <v>1397</v>
      </c>
      <c r="F832" s="54" t="s">
        <v>534</v>
      </c>
      <c r="G832" s="54" t="s">
        <v>1148</v>
      </c>
      <c r="H832" s="54" t="s">
        <v>1398</v>
      </c>
      <c r="I832" s="54" t="s">
        <v>1151</v>
      </c>
      <c r="J832" s="54" t="s">
        <v>1115</v>
      </c>
      <c r="X832" s="55" t="str">
        <f t="shared" si="1"/>
        <v>#NAME?</v>
      </c>
    </row>
    <row r="833">
      <c r="A833" s="4" t="s">
        <v>2386</v>
      </c>
      <c r="B833" s="4" t="s">
        <v>2387</v>
      </c>
      <c r="C833" s="4">
        <v>1.0</v>
      </c>
      <c r="D833" s="4" t="s">
        <v>1363</v>
      </c>
      <c r="E833" s="4" t="s">
        <v>1251</v>
      </c>
      <c r="F833" s="54" t="s">
        <v>534</v>
      </c>
      <c r="G833" s="54" t="s">
        <v>1364</v>
      </c>
      <c r="H833" s="54" t="s">
        <v>1264</v>
      </c>
      <c r="I833" s="54" t="s">
        <v>1365</v>
      </c>
      <c r="J833" s="54" t="s">
        <v>1366</v>
      </c>
      <c r="X833" s="55" t="str">
        <f t="shared" si="1"/>
        <v>#NAME?</v>
      </c>
    </row>
    <row r="834">
      <c r="A834" s="4" t="s">
        <v>2388</v>
      </c>
      <c r="B834" s="4" t="s">
        <v>2389</v>
      </c>
      <c r="C834" s="4">
        <v>1.0</v>
      </c>
      <c r="D834" s="4" t="s">
        <v>1368</v>
      </c>
      <c r="E834" s="4" t="s">
        <v>1088</v>
      </c>
      <c r="F834" s="54" t="s">
        <v>357</v>
      </c>
      <c r="G834" s="54" t="s">
        <v>1292</v>
      </c>
      <c r="H834" s="54" t="s">
        <v>1337</v>
      </c>
      <c r="I834" s="54" t="s">
        <v>1288</v>
      </c>
      <c r="J834" s="54" t="s">
        <v>1292</v>
      </c>
      <c r="X834" s="55" t="str">
        <f t="shared" si="1"/>
        <v>#NAME?</v>
      </c>
    </row>
    <row r="835">
      <c r="A835" s="4" t="s">
        <v>2390</v>
      </c>
      <c r="B835" s="4" t="s">
        <v>2391</v>
      </c>
      <c r="C835" s="4">
        <v>1.0</v>
      </c>
      <c r="D835" s="4" t="s">
        <v>1370</v>
      </c>
      <c r="E835" s="4" t="s">
        <v>1088</v>
      </c>
      <c r="F835" s="54" t="s">
        <v>357</v>
      </c>
      <c r="G835" s="54" t="s">
        <v>1287</v>
      </c>
      <c r="H835" s="54" t="s">
        <v>1293</v>
      </c>
      <c r="I835" s="54" t="s">
        <v>1292</v>
      </c>
      <c r="J835" s="54" t="s">
        <v>1288</v>
      </c>
      <c r="X835" s="55" t="str">
        <f t="shared" si="1"/>
        <v>#NAME?</v>
      </c>
    </row>
    <row r="836">
      <c r="A836" s="4" t="s">
        <v>2392</v>
      </c>
      <c r="B836" s="4" t="s">
        <v>2393</v>
      </c>
      <c r="C836" s="4">
        <v>1.0</v>
      </c>
      <c r="D836" s="4" t="s">
        <v>1372</v>
      </c>
      <c r="E836" s="4" t="s">
        <v>1251</v>
      </c>
      <c r="F836" s="54" t="s">
        <v>357</v>
      </c>
      <c r="G836" s="54" t="s">
        <v>1194</v>
      </c>
      <c r="H836" s="54" t="s">
        <v>1192</v>
      </c>
      <c r="I836" s="54" t="s">
        <v>1349</v>
      </c>
      <c r="J836" s="54" t="s">
        <v>1373</v>
      </c>
      <c r="X836" s="55" t="str">
        <f t="shared" si="1"/>
        <v>#NAME?</v>
      </c>
    </row>
    <row r="837">
      <c r="A837" s="4" t="s">
        <v>2394</v>
      </c>
      <c r="B837" s="4" t="s">
        <v>2395</v>
      </c>
      <c r="C837" s="4">
        <v>1.0</v>
      </c>
      <c r="D837" s="4" t="s">
        <v>1375</v>
      </c>
      <c r="E837" s="4" t="s">
        <v>1251</v>
      </c>
      <c r="F837" s="54" t="s">
        <v>534</v>
      </c>
      <c r="G837" s="54" t="s">
        <v>1376</v>
      </c>
      <c r="H837" s="54" t="s">
        <v>1377</v>
      </c>
      <c r="I837" s="54" t="s">
        <v>1378</v>
      </c>
      <c r="J837" s="54" t="s">
        <v>1379</v>
      </c>
      <c r="X837" s="55" t="str">
        <f t="shared" si="1"/>
        <v>#NAME?</v>
      </c>
    </row>
    <row r="838">
      <c r="A838" s="4" t="s">
        <v>2396</v>
      </c>
      <c r="B838" s="4" t="s">
        <v>2397</v>
      </c>
      <c r="C838" s="4">
        <v>1.0</v>
      </c>
      <c r="D838" s="4" t="s">
        <v>1381</v>
      </c>
      <c r="E838" s="4" t="s">
        <v>1098</v>
      </c>
      <c r="F838" s="54" t="s">
        <v>534</v>
      </c>
      <c r="G838" s="54" t="s">
        <v>1382</v>
      </c>
      <c r="H838" s="54" t="s">
        <v>1274</v>
      </c>
      <c r="I838" s="54" t="s">
        <v>1147</v>
      </c>
      <c r="J838" s="54" t="s">
        <v>1383</v>
      </c>
      <c r="X838" s="55" t="str">
        <f t="shared" si="1"/>
        <v>#NAME?</v>
      </c>
    </row>
    <row r="839">
      <c r="A839" s="4" t="s">
        <v>2398</v>
      </c>
      <c r="B839" s="4" t="s">
        <v>2399</v>
      </c>
      <c r="C839" s="4">
        <v>1.0</v>
      </c>
      <c r="D839" s="4" t="s">
        <v>1385</v>
      </c>
      <c r="E839" s="4" t="s">
        <v>1098</v>
      </c>
      <c r="F839" s="54" t="s">
        <v>534</v>
      </c>
      <c r="G839" s="54" t="s">
        <v>1121</v>
      </c>
      <c r="H839" s="54" t="s">
        <v>1274</v>
      </c>
      <c r="I839" s="54" t="s">
        <v>1122</v>
      </c>
      <c r="J839" s="54" t="s">
        <v>1360</v>
      </c>
      <c r="X839" s="55" t="str">
        <f t="shared" si="1"/>
        <v>#NAME?</v>
      </c>
    </row>
    <row r="840">
      <c r="A840" s="4" t="s">
        <v>2400</v>
      </c>
      <c r="B840" s="4" t="s">
        <v>2401</v>
      </c>
      <c r="C840" s="4">
        <v>1.0</v>
      </c>
      <c r="D840" s="4" t="s">
        <v>1387</v>
      </c>
      <c r="E840" s="4" t="s">
        <v>1098</v>
      </c>
      <c r="F840" s="54" t="s">
        <v>534</v>
      </c>
      <c r="G840" s="54" t="s">
        <v>1148</v>
      </c>
      <c r="H840" s="54" t="s">
        <v>1309</v>
      </c>
      <c r="I840" s="54" t="s">
        <v>1139</v>
      </c>
      <c r="J840" s="54" t="s">
        <v>1308</v>
      </c>
      <c r="X840" s="55" t="str">
        <f t="shared" si="1"/>
        <v>#NAME?</v>
      </c>
    </row>
    <row r="841">
      <c r="A841" s="4" t="s">
        <v>2402</v>
      </c>
      <c r="B841" s="4" t="s">
        <v>2403</v>
      </c>
      <c r="C841" s="4">
        <v>1.0</v>
      </c>
      <c r="D841" s="4" t="s">
        <v>1389</v>
      </c>
      <c r="E841" s="4" t="s">
        <v>1088</v>
      </c>
      <c r="F841" s="54" t="s">
        <v>534</v>
      </c>
      <c r="G841" s="54" t="s">
        <v>1122</v>
      </c>
      <c r="H841" s="54" t="s">
        <v>1390</v>
      </c>
      <c r="I841" s="54" t="s">
        <v>1391</v>
      </c>
      <c r="J841" s="54" t="s">
        <v>1340</v>
      </c>
      <c r="X841" s="55" t="str">
        <f t="shared" si="1"/>
        <v>#NAME?</v>
      </c>
    </row>
    <row r="842">
      <c r="A842" s="4" t="s">
        <v>2404</v>
      </c>
      <c r="B842" s="4" t="s">
        <v>2405</v>
      </c>
      <c r="C842" s="4">
        <v>1.0</v>
      </c>
      <c r="D842" s="54" t="s">
        <v>481</v>
      </c>
      <c r="E842" s="4" t="s">
        <v>1251</v>
      </c>
      <c r="F842" s="54" t="s">
        <v>357</v>
      </c>
      <c r="G842" s="54" t="s">
        <v>1256</v>
      </c>
      <c r="H842" s="54" t="s">
        <v>1257</v>
      </c>
      <c r="I842" s="54" t="s">
        <v>1258</v>
      </c>
      <c r="J842" s="54" t="s">
        <v>1259</v>
      </c>
      <c r="X842" s="55" t="str">
        <f t="shared" si="1"/>
        <v>#NAME?</v>
      </c>
    </row>
    <row r="843">
      <c r="A843" s="4" t="s">
        <v>2406</v>
      </c>
      <c r="B843" s="4" t="s">
        <v>2407</v>
      </c>
      <c r="C843" s="4">
        <v>1.0</v>
      </c>
      <c r="D843" s="4" t="s">
        <v>1358</v>
      </c>
      <c r="E843" s="4" t="s">
        <v>1251</v>
      </c>
      <c r="F843" s="54" t="s">
        <v>357</v>
      </c>
      <c r="G843" s="54" t="s">
        <v>1359</v>
      </c>
      <c r="H843" s="54" t="s">
        <v>1200</v>
      </c>
      <c r="I843" s="54" t="s">
        <v>1360</v>
      </c>
      <c r="J843" s="54" t="s">
        <v>1361</v>
      </c>
      <c r="X843" s="55" t="str">
        <f t="shared" si="1"/>
        <v>#NAME?</v>
      </c>
    </row>
    <row r="844">
      <c r="A844" s="4" t="s">
        <v>2408</v>
      </c>
      <c r="B844" s="4" t="s">
        <v>2409</v>
      </c>
      <c r="C844" s="4">
        <v>1.0</v>
      </c>
      <c r="D844" s="4" t="s">
        <v>1400</v>
      </c>
      <c r="E844" s="4" t="s">
        <v>1397</v>
      </c>
      <c r="F844" s="54" t="s">
        <v>534</v>
      </c>
      <c r="G844" s="54" t="s">
        <v>1152</v>
      </c>
      <c r="H844" s="54" t="s">
        <v>1275</v>
      </c>
      <c r="I844" s="54" t="s">
        <v>1148</v>
      </c>
      <c r="J844" s="54" t="s">
        <v>1318</v>
      </c>
      <c r="X844" s="55" t="str">
        <f t="shared" si="1"/>
        <v>#NAME?</v>
      </c>
    </row>
    <row r="845">
      <c r="A845" s="4" t="s">
        <v>2410</v>
      </c>
      <c r="B845" s="4" t="s">
        <v>2411</v>
      </c>
      <c r="C845" s="4">
        <v>1.0</v>
      </c>
      <c r="D845" s="4" t="s">
        <v>1402</v>
      </c>
      <c r="E845" s="4" t="s">
        <v>1397</v>
      </c>
      <c r="F845" s="54" t="s">
        <v>534</v>
      </c>
      <c r="G845" s="54" t="s">
        <v>1275</v>
      </c>
      <c r="H845" s="54" t="s">
        <v>1275</v>
      </c>
      <c r="I845" s="54" t="s">
        <v>1116</v>
      </c>
      <c r="J845" s="54" t="s">
        <v>1121</v>
      </c>
      <c r="X845" s="55" t="str">
        <f t="shared" si="1"/>
        <v>#NAME?</v>
      </c>
    </row>
    <row r="846">
      <c r="A846" s="4" t="s">
        <v>2412</v>
      </c>
      <c r="B846" s="4" t="s">
        <v>2413</v>
      </c>
      <c r="C846" s="4">
        <v>1.0</v>
      </c>
      <c r="D846" s="4" t="s">
        <v>1404</v>
      </c>
      <c r="E846" s="4" t="s">
        <v>1088</v>
      </c>
      <c r="F846" s="54" t="s">
        <v>534</v>
      </c>
      <c r="G846" s="54" t="s">
        <v>1275</v>
      </c>
      <c r="H846" s="54" t="s">
        <v>1343</v>
      </c>
      <c r="I846" s="54" t="s">
        <v>1343</v>
      </c>
      <c r="J846" s="54" t="s">
        <v>1405</v>
      </c>
      <c r="X846" s="55" t="str">
        <f t="shared" si="1"/>
        <v>#NAME?</v>
      </c>
    </row>
    <row r="847">
      <c r="A847" s="4" t="s">
        <v>2414</v>
      </c>
      <c r="B847" s="4" t="s">
        <v>2415</v>
      </c>
      <c r="C847" s="4">
        <v>1.0</v>
      </c>
      <c r="D847" s="4" t="s">
        <v>1407</v>
      </c>
      <c r="E847" s="4" t="s">
        <v>1088</v>
      </c>
      <c r="F847" s="54" t="s">
        <v>534</v>
      </c>
      <c r="G847" s="54" t="s">
        <v>1116</v>
      </c>
      <c r="H847" s="54" t="s">
        <v>1123</v>
      </c>
      <c r="I847" s="54" t="s">
        <v>1147</v>
      </c>
      <c r="J847" s="54" t="s">
        <v>1303</v>
      </c>
      <c r="X847" s="55" t="str">
        <f t="shared" si="1"/>
        <v>#NAME?</v>
      </c>
    </row>
    <row r="848">
      <c r="A848" s="4" t="s">
        <v>2416</v>
      </c>
      <c r="B848" s="4" t="s">
        <v>2417</v>
      </c>
      <c r="C848" s="4">
        <v>1.0</v>
      </c>
      <c r="D848" s="4" t="s">
        <v>1409</v>
      </c>
      <c r="E848" s="4" t="s">
        <v>1088</v>
      </c>
      <c r="F848" s="54" t="s">
        <v>534</v>
      </c>
      <c r="G848" s="54" t="s">
        <v>1115</v>
      </c>
      <c r="H848" s="54" t="s">
        <v>1115</v>
      </c>
      <c r="I848" s="54" t="s">
        <v>1405</v>
      </c>
      <c r="J848" s="54" t="s">
        <v>1340</v>
      </c>
      <c r="X848" s="55" t="str">
        <f t="shared" si="1"/>
        <v>#NAME?</v>
      </c>
    </row>
    <row r="849">
      <c r="A849" s="4" t="s">
        <v>2418</v>
      </c>
      <c r="B849" s="4" t="s">
        <v>2419</v>
      </c>
      <c r="C849" s="4">
        <v>1.0</v>
      </c>
      <c r="D849" s="4" t="s">
        <v>1411</v>
      </c>
      <c r="E849" s="4" t="s">
        <v>1088</v>
      </c>
      <c r="F849" s="54" t="s">
        <v>534</v>
      </c>
      <c r="G849" s="54" t="s">
        <v>1170</v>
      </c>
      <c r="H849" s="54" t="s">
        <v>1219</v>
      </c>
      <c r="I849" s="54" t="s">
        <v>1154</v>
      </c>
      <c r="J849" s="54" t="s">
        <v>1216</v>
      </c>
      <c r="X849" s="55" t="str">
        <f t="shared" si="1"/>
        <v>#NAME?</v>
      </c>
    </row>
    <row r="850">
      <c r="A850" s="4" t="s">
        <v>2420</v>
      </c>
      <c r="B850" s="4" t="s">
        <v>2421</v>
      </c>
      <c r="C850" s="4">
        <v>1.0</v>
      </c>
      <c r="D850" s="4" t="s">
        <v>1411</v>
      </c>
      <c r="E850" s="4" t="s">
        <v>1088</v>
      </c>
      <c r="F850" s="54" t="s">
        <v>534</v>
      </c>
      <c r="G850" s="54" t="s">
        <v>1170</v>
      </c>
      <c r="H850" s="54" t="s">
        <v>1159</v>
      </c>
      <c r="I850" s="54" t="s">
        <v>1413</v>
      </c>
      <c r="J850" s="54" t="s">
        <v>1093</v>
      </c>
      <c r="X850" s="55" t="str">
        <f t="shared" si="1"/>
        <v>#NAME?</v>
      </c>
    </row>
    <row r="851">
      <c r="A851" s="4" t="s">
        <v>2422</v>
      </c>
      <c r="B851" s="4" t="s">
        <v>2423</v>
      </c>
      <c r="C851" s="4">
        <v>1.0</v>
      </c>
      <c r="D851" s="4" t="s">
        <v>1411</v>
      </c>
      <c r="E851" s="4" t="s">
        <v>1088</v>
      </c>
      <c r="F851" s="54" t="s">
        <v>534</v>
      </c>
      <c r="G851" s="54" t="s">
        <v>1093</v>
      </c>
      <c r="H851" s="54" t="s">
        <v>1093</v>
      </c>
      <c r="I851" s="54" t="s">
        <v>1111</v>
      </c>
      <c r="J851" s="54" t="s">
        <v>1160</v>
      </c>
      <c r="X851" s="55" t="str">
        <f t="shared" si="1"/>
        <v>#NAME?</v>
      </c>
    </row>
    <row r="852">
      <c r="A852" s="4" t="s">
        <v>2424</v>
      </c>
      <c r="B852" s="4" t="s">
        <v>2425</v>
      </c>
      <c r="C852" s="4">
        <v>1.0</v>
      </c>
      <c r="D852" s="4" t="s">
        <v>1416</v>
      </c>
      <c r="E852" s="4" t="s">
        <v>1088</v>
      </c>
      <c r="F852" s="54" t="s">
        <v>534</v>
      </c>
      <c r="G852" s="54" t="s">
        <v>1093</v>
      </c>
      <c r="H852" s="54" t="s">
        <v>1154</v>
      </c>
      <c r="I852" s="54" t="s">
        <v>1236</v>
      </c>
      <c r="J852" s="54" t="s">
        <v>1417</v>
      </c>
      <c r="X852" s="55" t="str">
        <f t="shared" si="1"/>
        <v>#NAME?</v>
      </c>
    </row>
    <row r="853">
      <c r="A853" s="54" t="s">
        <v>2426</v>
      </c>
      <c r="B853" s="4" t="s">
        <v>2427</v>
      </c>
      <c r="C853" s="4">
        <v>1.0</v>
      </c>
      <c r="D853" s="4" t="s">
        <v>1393</v>
      </c>
      <c r="E853" s="4" t="s">
        <v>1088</v>
      </c>
      <c r="F853" s="54" t="s">
        <v>534</v>
      </c>
      <c r="G853" s="54" t="s">
        <v>1147</v>
      </c>
      <c r="H853" s="54" t="s">
        <v>1340</v>
      </c>
      <c r="I853" s="54" t="s">
        <v>1394</v>
      </c>
      <c r="J853" s="54" t="s">
        <v>1275</v>
      </c>
      <c r="X853" s="55" t="str">
        <f t="shared" si="1"/>
        <v>#NAME?</v>
      </c>
    </row>
    <row r="854">
      <c r="A854" s="4" t="s">
        <v>2428</v>
      </c>
      <c r="B854" s="4" t="s">
        <v>2429</v>
      </c>
      <c r="C854" s="4">
        <v>1.0</v>
      </c>
      <c r="D854" s="4" t="s">
        <v>1419</v>
      </c>
      <c r="E854" s="4" t="s">
        <v>1088</v>
      </c>
      <c r="F854" s="54" t="s">
        <v>534</v>
      </c>
      <c r="G854" s="54" t="s">
        <v>1093</v>
      </c>
      <c r="H854" s="54" t="s">
        <v>1093</v>
      </c>
      <c r="I854" s="54" t="s">
        <v>1109</v>
      </c>
      <c r="J854" s="54" t="s">
        <v>1109</v>
      </c>
      <c r="X854" s="55" t="str">
        <f t="shared" si="1"/>
        <v>#NAME?</v>
      </c>
    </row>
    <row r="855">
      <c r="A855" s="4" t="s">
        <v>2430</v>
      </c>
      <c r="B855" s="4" t="s">
        <v>2431</v>
      </c>
      <c r="C855" s="4">
        <v>1.0</v>
      </c>
      <c r="D855" s="4" t="s">
        <v>1423</v>
      </c>
      <c r="E855" s="4" t="s">
        <v>1088</v>
      </c>
      <c r="F855" s="54" t="s">
        <v>534</v>
      </c>
      <c r="G855" s="54" t="s">
        <v>1280</v>
      </c>
      <c r="H855" s="54" t="s">
        <v>1135</v>
      </c>
      <c r="I855" s="54" t="s">
        <v>1123</v>
      </c>
      <c r="J855" s="54" t="s">
        <v>1140</v>
      </c>
      <c r="X855" s="55" t="str">
        <f t="shared" si="1"/>
        <v>#NAME?</v>
      </c>
    </row>
    <row r="856">
      <c r="A856" s="4" t="s">
        <v>2432</v>
      </c>
      <c r="B856" s="4" t="s">
        <v>2433</v>
      </c>
      <c r="C856" s="4">
        <v>1.0</v>
      </c>
      <c r="D856" s="54" t="s">
        <v>1671</v>
      </c>
      <c r="E856" s="4" t="s">
        <v>1088</v>
      </c>
      <c r="F856" s="54" t="s">
        <v>357</v>
      </c>
      <c r="G856" s="54" t="s">
        <v>1544</v>
      </c>
      <c r="H856" s="54" t="s">
        <v>1175</v>
      </c>
      <c r="I856" s="54" t="s">
        <v>1216</v>
      </c>
      <c r="J856" s="54" t="s">
        <v>1181</v>
      </c>
      <c r="X856" s="55" t="str">
        <f t="shared" si="1"/>
        <v>#NAME?</v>
      </c>
    </row>
    <row r="857">
      <c r="A857" s="4" t="s">
        <v>2434</v>
      </c>
      <c r="B857" s="4" t="s">
        <v>2435</v>
      </c>
      <c r="C857" s="4">
        <v>1.0</v>
      </c>
      <c r="D857" s="4" t="s">
        <v>1431</v>
      </c>
      <c r="E857" s="4" t="s">
        <v>1296</v>
      </c>
      <c r="F857" s="54" t="s">
        <v>534</v>
      </c>
      <c r="G857" s="54" t="s">
        <v>1299</v>
      </c>
      <c r="H857" s="54" t="s">
        <v>1432</v>
      </c>
      <c r="I857" s="54" t="s">
        <v>1152</v>
      </c>
      <c r="J857" s="54" t="s">
        <v>1433</v>
      </c>
      <c r="X857" s="55" t="str">
        <f t="shared" si="1"/>
        <v>#NAME?</v>
      </c>
    </row>
    <row r="858">
      <c r="A858" s="4" t="s">
        <v>2436</v>
      </c>
      <c r="B858" s="4" t="s">
        <v>2437</v>
      </c>
      <c r="C858" s="4">
        <v>1.0</v>
      </c>
      <c r="D858" s="4" t="s">
        <v>1435</v>
      </c>
      <c r="E858" s="4" t="s">
        <v>1296</v>
      </c>
      <c r="F858" s="54" t="s">
        <v>534</v>
      </c>
      <c r="G858" s="54" t="s">
        <v>1405</v>
      </c>
      <c r="H858" s="54" t="s">
        <v>1436</v>
      </c>
      <c r="I858" s="54" t="s">
        <v>1275</v>
      </c>
      <c r="J858" s="54" t="s">
        <v>1437</v>
      </c>
      <c r="X858" s="55" t="str">
        <f t="shared" si="1"/>
        <v>#NAME?</v>
      </c>
    </row>
    <row r="859">
      <c r="A859" s="4" t="s">
        <v>2438</v>
      </c>
      <c r="B859" s="4" t="s">
        <v>2439</v>
      </c>
      <c r="C859" s="4">
        <v>1.0</v>
      </c>
      <c r="D859" s="4" t="s">
        <v>1439</v>
      </c>
      <c r="E859" s="4" t="s">
        <v>1088</v>
      </c>
      <c r="F859" s="54" t="s">
        <v>534</v>
      </c>
      <c r="G859" s="54" t="s">
        <v>1440</v>
      </c>
      <c r="H859" s="54" t="s">
        <v>1280</v>
      </c>
      <c r="I859" s="54" t="s">
        <v>1139</v>
      </c>
      <c r="J859" s="54" t="s">
        <v>1139</v>
      </c>
      <c r="X859" s="55" t="str">
        <f t="shared" si="1"/>
        <v>#NAME?</v>
      </c>
    </row>
    <row r="860">
      <c r="A860" s="4" t="s">
        <v>2440</v>
      </c>
      <c r="B860" s="4" t="s">
        <v>2441</v>
      </c>
      <c r="C860" s="4">
        <v>1.0</v>
      </c>
      <c r="D860" s="4" t="s">
        <v>1442</v>
      </c>
      <c r="E860" s="4" t="s">
        <v>1088</v>
      </c>
      <c r="F860" s="54" t="s">
        <v>534</v>
      </c>
      <c r="G860" s="54" t="s">
        <v>1163</v>
      </c>
      <c r="H860" s="54" t="s">
        <v>1440</v>
      </c>
      <c r="I860" s="54" t="s">
        <v>1280</v>
      </c>
      <c r="J860" s="54" t="s">
        <v>1123</v>
      </c>
      <c r="X860" s="55" t="str">
        <f t="shared" si="1"/>
        <v>#NAME?</v>
      </c>
    </row>
    <row r="861">
      <c r="A861" s="4" t="s">
        <v>2442</v>
      </c>
      <c r="B861" s="4" t="s">
        <v>2443</v>
      </c>
      <c r="C861" s="4">
        <v>1.0</v>
      </c>
      <c r="D861" s="4" t="s">
        <v>1444</v>
      </c>
      <c r="E861" s="4" t="s">
        <v>1088</v>
      </c>
      <c r="F861" s="54" t="s">
        <v>534</v>
      </c>
      <c r="G861" s="54" t="s">
        <v>1118</v>
      </c>
      <c r="H861" s="54" t="s">
        <v>1122</v>
      </c>
      <c r="I861" s="54" t="s">
        <v>1139</v>
      </c>
      <c r="J861" s="54" t="s">
        <v>1163</v>
      </c>
      <c r="X861" s="55" t="str">
        <f t="shared" si="1"/>
        <v>#NAME?</v>
      </c>
    </row>
    <row r="862">
      <c r="A862" s="4" t="s">
        <v>2444</v>
      </c>
      <c r="B862" s="4" t="s">
        <v>2445</v>
      </c>
      <c r="C862" s="4">
        <v>1.0</v>
      </c>
      <c r="D862" s="4" t="s">
        <v>1446</v>
      </c>
      <c r="E862" s="4" t="s">
        <v>1088</v>
      </c>
      <c r="F862" s="54" t="s">
        <v>534</v>
      </c>
      <c r="G862" s="54" t="s">
        <v>1122</v>
      </c>
      <c r="H862" s="54" t="s">
        <v>1134</v>
      </c>
      <c r="I862" s="54" t="s">
        <v>1150</v>
      </c>
      <c r="J862" s="54" t="s">
        <v>1150</v>
      </c>
      <c r="X862" s="55" t="str">
        <f t="shared" si="1"/>
        <v>#NAME?</v>
      </c>
    </row>
    <row r="863">
      <c r="A863" s="4" t="s">
        <v>2446</v>
      </c>
      <c r="B863" s="4" t="s">
        <v>2447</v>
      </c>
      <c r="C863" s="4">
        <v>1.0</v>
      </c>
      <c r="D863" s="4" t="s">
        <v>1448</v>
      </c>
      <c r="E863" s="4" t="s">
        <v>1088</v>
      </c>
      <c r="F863" s="54" t="s">
        <v>534</v>
      </c>
      <c r="G863" s="54" t="s">
        <v>1382</v>
      </c>
      <c r="H863" s="54" t="s">
        <v>1118</v>
      </c>
      <c r="I863" s="54" t="s">
        <v>1440</v>
      </c>
      <c r="J863" s="54" t="s">
        <v>1140</v>
      </c>
      <c r="X863" s="55" t="str">
        <f t="shared" si="1"/>
        <v>#NAME?</v>
      </c>
    </row>
    <row r="864">
      <c r="A864" s="4" t="s">
        <v>2448</v>
      </c>
      <c r="B864" s="4" t="s">
        <v>2449</v>
      </c>
      <c r="C864" s="4">
        <v>1.0</v>
      </c>
      <c r="D864" s="4" t="s">
        <v>1450</v>
      </c>
      <c r="E864" s="4" t="s">
        <v>1191</v>
      </c>
      <c r="F864" s="54" t="s">
        <v>534</v>
      </c>
      <c r="G864" s="54" t="s">
        <v>1139</v>
      </c>
      <c r="H864" s="54" t="s">
        <v>1451</v>
      </c>
      <c r="I864" s="54" t="s">
        <v>1127</v>
      </c>
      <c r="J864" s="54" t="s">
        <v>1337</v>
      </c>
      <c r="X864" s="55" t="str">
        <f t="shared" si="1"/>
        <v>#NAME?</v>
      </c>
    </row>
    <row r="865">
      <c r="A865" s="4" t="s">
        <v>2450</v>
      </c>
      <c r="B865" s="4" t="s">
        <v>2451</v>
      </c>
      <c r="C865" s="4">
        <v>1.0</v>
      </c>
      <c r="D865" s="54" t="s">
        <v>1489</v>
      </c>
      <c r="E865" s="4" t="s">
        <v>1251</v>
      </c>
      <c r="F865" s="54" t="s">
        <v>449</v>
      </c>
      <c r="G865" s="54" t="s">
        <v>1212</v>
      </c>
      <c r="H865" s="54" t="s">
        <v>1356</v>
      </c>
      <c r="I865" s="54" t="s">
        <v>1216</v>
      </c>
      <c r="J865" s="54" t="s">
        <v>1490</v>
      </c>
      <c r="X865" s="55" t="str">
        <f t="shared" si="1"/>
        <v>#NAME?</v>
      </c>
    </row>
    <row r="866">
      <c r="A866" s="4" t="s">
        <v>2452</v>
      </c>
      <c r="B866" s="4" t="s">
        <v>2453</v>
      </c>
      <c r="C866" s="4">
        <v>1.0</v>
      </c>
      <c r="D866" s="4" t="s">
        <v>1429</v>
      </c>
      <c r="E866" s="4" t="s">
        <v>1296</v>
      </c>
      <c r="F866" s="54" t="s">
        <v>534</v>
      </c>
      <c r="G866" s="54" t="s">
        <v>1275</v>
      </c>
      <c r="H866" s="54" t="s">
        <v>1275</v>
      </c>
      <c r="I866" s="54" t="s">
        <v>1340</v>
      </c>
      <c r="J866" s="54" t="s">
        <v>1405</v>
      </c>
      <c r="X866" s="55" t="str">
        <f t="shared" si="1"/>
        <v>#NAME?</v>
      </c>
    </row>
    <row r="867">
      <c r="A867" s="4" t="s">
        <v>2454</v>
      </c>
      <c r="B867" s="4" t="s">
        <v>2455</v>
      </c>
      <c r="C867" s="4">
        <v>1.0</v>
      </c>
      <c r="D867" s="4" t="s">
        <v>1453</v>
      </c>
      <c r="E867" s="4" t="s">
        <v>1191</v>
      </c>
      <c r="F867" s="54" t="s">
        <v>534</v>
      </c>
      <c r="G867" s="54" t="s">
        <v>1398</v>
      </c>
      <c r="H867" s="54" t="s">
        <v>1454</v>
      </c>
      <c r="I867" s="54" t="s">
        <v>1197</v>
      </c>
      <c r="J867" s="54" t="s">
        <v>1455</v>
      </c>
      <c r="X867" s="55" t="str">
        <f t="shared" si="1"/>
        <v>#NAME?</v>
      </c>
    </row>
    <row r="868">
      <c r="A868" s="4" t="s">
        <v>2456</v>
      </c>
      <c r="B868" s="4" t="s">
        <v>2457</v>
      </c>
      <c r="C868" s="4">
        <v>1.0</v>
      </c>
      <c r="D868" s="4" t="s">
        <v>1465</v>
      </c>
      <c r="E868" s="4" t="s">
        <v>1088</v>
      </c>
      <c r="F868" s="54" t="s">
        <v>534</v>
      </c>
      <c r="G868" s="54" t="s">
        <v>1122</v>
      </c>
      <c r="H868" s="54" t="s">
        <v>1122</v>
      </c>
      <c r="I868" s="54" t="s">
        <v>1152</v>
      </c>
      <c r="J868" s="54" t="s">
        <v>1123</v>
      </c>
      <c r="X868" s="55" t="str">
        <f t="shared" si="1"/>
        <v>#NAME?</v>
      </c>
    </row>
    <row r="869">
      <c r="A869" s="4" t="s">
        <v>2458</v>
      </c>
      <c r="B869" s="4" t="s">
        <v>2459</v>
      </c>
      <c r="C869" s="4">
        <v>1.0</v>
      </c>
      <c r="D869" s="4" t="s">
        <v>1467</v>
      </c>
      <c r="E869" s="4" t="s">
        <v>1088</v>
      </c>
      <c r="F869" s="54" t="s">
        <v>534</v>
      </c>
      <c r="G869" s="54" t="s">
        <v>1123</v>
      </c>
      <c r="H869" s="54" t="s">
        <v>1122</v>
      </c>
      <c r="I869" s="54" t="s">
        <v>1150</v>
      </c>
      <c r="J869" s="54" t="s">
        <v>1123</v>
      </c>
      <c r="X869" s="55" t="str">
        <f t="shared" si="1"/>
        <v>#NAME?</v>
      </c>
    </row>
    <row r="870">
      <c r="A870" s="4" t="s">
        <v>2460</v>
      </c>
      <c r="B870" s="4" t="s">
        <v>2461</v>
      </c>
      <c r="C870" s="4">
        <v>1.0</v>
      </c>
      <c r="D870" s="4" t="s">
        <v>1469</v>
      </c>
      <c r="E870" s="4" t="s">
        <v>1088</v>
      </c>
      <c r="F870" s="54" t="s">
        <v>534</v>
      </c>
      <c r="G870" s="54" t="s">
        <v>1139</v>
      </c>
      <c r="H870" s="54" t="s">
        <v>1122</v>
      </c>
      <c r="I870" s="54" t="s">
        <v>1440</v>
      </c>
      <c r="J870" s="54" t="s">
        <v>1139</v>
      </c>
      <c r="X870" s="55" t="str">
        <f t="shared" si="1"/>
        <v>#NAME?</v>
      </c>
    </row>
    <row r="871">
      <c r="A871" s="4" t="s">
        <v>2462</v>
      </c>
      <c r="B871" s="4" t="s">
        <v>2463</v>
      </c>
      <c r="C871" s="4">
        <v>1.0</v>
      </c>
      <c r="D871" s="4" t="s">
        <v>1471</v>
      </c>
      <c r="E871" s="4" t="s">
        <v>1191</v>
      </c>
      <c r="F871" s="54" t="s">
        <v>534</v>
      </c>
      <c r="G871" s="54" t="s">
        <v>1143</v>
      </c>
      <c r="H871" s="54" t="s">
        <v>1118</v>
      </c>
      <c r="I871" s="54" t="s">
        <v>1126</v>
      </c>
      <c r="J871" s="54" t="s">
        <v>1138</v>
      </c>
      <c r="X871" s="55" t="str">
        <f t="shared" si="1"/>
        <v>#NAME?</v>
      </c>
    </row>
    <row r="872">
      <c r="A872" s="4" t="s">
        <v>2464</v>
      </c>
      <c r="B872" s="4" t="s">
        <v>2465</v>
      </c>
      <c r="C872" s="4">
        <v>1.0</v>
      </c>
      <c r="D872" s="4" t="s">
        <v>1473</v>
      </c>
      <c r="E872" s="4" t="s">
        <v>1191</v>
      </c>
      <c r="F872" s="54" t="s">
        <v>534</v>
      </c>
      <c r="G872" s="54" t="s">
        <v>1337</v>
      </c>
      <c r="H872" s="54" t="s">
        <v>1474</v>
      </c>
      <c r="I872" s="54" t="s">
        <v>1256</v>
      </c>
      <c r="J872" s="54" t="s">
        <v>1475</v>
      </c>
      <c r="X872" s="55" t="str">
        <f t="shared" si="1"/>
        <v>#NAME?</v>
      </c>
    </row>
    <row r="873">
      <c r="A873" s="4" t="s">
        <v>2466</v>
      </c>
      <c r="B873" s="4" t="s">
        <v>2467</v>
      </c>
      <c r="C873" s="4">
        <v>1.0</v>
      </c>
      <c r="D873" s="4" t="s">
        <v>1477</v>
      </c>
      <c r="E873" s="4" t="s">
        <v>1191</v>
      </c>
      <c r="F873" s="54" t="s">
        <v>534</v>
      </c>
      <c r="G873" s="54" t="s">
        <v>1478</v>
      </c>
      <c r="H873" s="54" t="s">
        <v>1194</v>
      </c>
      <c r="I873" s="54" t="s">
        <v>1321</v>
      </c>
      <c r="J873" s="54" t="s">
        <v>1479</v>
      </c>
      <c r="X873" s="55" t="str">
        <f t="shared" si="1"/>
        <v>#NAME?</v>
      </c>
    </row>
    <row r="874">
      <c r="A874" s="4" t="s">
        <v>2468</v>
      </c>
      <c r="B874" s="4" t="s">
        <v>2469</v>
      </c>
      <c r="C874" s="4">
        <v>1.0</v>
      </c>
      <c r="D874" s="4" t="s">
        <v>1481</v>
      </c>
      <c r="E874" s="4" t="s">
        <v>1191</v>
      </c>
      <c r="F874" s="54" t="s">
        <v>534</v>
      </c>
      <c r="G874" s="54" t="s">
        <v>1482</v>
      </c>
      <c r="H874" s="54" t="s">
        <v>1192</v>
      </c>
      <c r="I874" s="54" t="s">
        <v>1137</v>
      </c>
      <c r="J874" s="54" t="s">
        <v>1276</v>
      </c>
      <c r="X874" s="55" t="str">
        <f t="shared" si="1"/>
        <v>#NAME?</v>
      </c>
    </row>
    <row r="875">
      <c r="A875" s="4" t="s">
        <v>2470</v>
      </c>
      <c r="B875" s="4" t="s">
        <v>2471</v>
      </c>
      <c r="C875" s="4">
        <v>1.0</v>
      </c>
      <c r="D875" s="4" t="s">
        <v>1484</v>
      </c>
      <c r="E875" s="4" t="s">
        <v>1088</v>
      </c>
      <c r="F875" s="54" t="s">
        <v>534</v>
      </c>
      <c r="G875" s="54" t="s">
        <v>1117</v>
      </c>
      <c r="H875" s="54" t="s">
        <v>1382</v>
      </c>
      <c r="I875" s="54" t="s">
        <v>1138</v>
      </c>
      <c r="J875" s="54" t="s">
        <v>1344</v>
      </c>
      <c r="X875" s="55" t="str">
        <f t="shared" si="1"/>
        <v>#NAME?</v>
      </c>
    </row>
    <row r="876">
      <c r="A876" s="4" t="s">
        <v>2472</v>
      </c>
      <c r="B876" s="4" t="s">
        <v>2473</v>
      </c>
      <c r="C876" s="4">
        <v>1.0</v>
      </c>
      <c r="D876" s="4" t="s">
        <v>1457</v>
      </c>
      <c r="E876" s="4" t="s">
        <v>1191</v>
      </c>
      <c r="F876" s="54" t="s">
        <v>534</v>
      </c>
      <c r="G876" s="54" t="s">
        <v>1194</v>
      </c>
      <c r="H876" s="54" t="s">
        <v>1458</v>
      </c>
      <c r="I876" s="54" t="s">
        <v>1436</v>
      </c>
      <c r="J876" s="54" t="s">
        <v>1365</v>
      </c>
      <c r="X876" s="55" t="str">
        <f t="shared" si="1"/>
        <v>#NAME?</v>
      </c>
    </row>
    <row r="877">
      <c r="A877" s="4" t="s">
        <v>2474</v>
      </c>
      <c r="B877" s="4" t="s">
        <v>2475</v>
      </c>
      <c r="C877" s="4">
        <v>1.0</v>
      </c>
      <c r="D877" s="4" t="s">
        <v>1460</v>
      </c>
      <c r="E877" s="4" t="s">
        <v>1191</v>
      </c>
      <c r="F877" s="54" t="s">
        <v>534</v>
      </c>
      <c r="G877" s="54" t="s">
        <v>1391</v>
      </c>
      <c r="H877" s="54" t="s">
        <v>1461</v>
      </c>
      <c r="I877" s="54" t="s">
        <v>1462</v>
      </c>
      <c r="J877" s="54" t="s">
        <v>1463</v>
      </c>
      <c r="X877" s="55" t="str">
        <f t="shared" si="1"/>
        <v>#NAME?</v>
      </c>
    </row>
    <row r="878">
      <c r="A878" s="4" t="s">
        <v>2476</v>
      </c>
      <c r="B878" s="4" t="s">
        <v>2477</v>
      </c>
      <c r="C878" s="4">
        <v>1.0</v>
      </c>
      <c r="D878" s="4" t="s">
        <v>1425</v>
      </c>
      <c r="E878" s="4" t="s">
        <v>1296</v>
      </c>
      <c r="F878" s="54" t="s">
        <v>534</v>
      </c>
      <c r="G878" s="54" t="s">
        <v>1426</v>
      </c>
      <c r="H878" s="54" t="s">
        <v>1142</v>
      </c>
      <c r="I878" s="54" t="s">
        <v>1284</v>
      </c>
      <c r="J878" s="54" t="s">
        <v>1427</v>
      </c>
      <c r="X878" s="55" t="str">
        <f t="shared" si="1"/>
        <v>#NAME?</v>
      </c>
    </row>
    <row r="879">
      <c r="A879" s="4" t="s">
        <v>2478</v>
      </c>
      <c r="B879" s="4" t="s">
        <v>2479</v>
      </c>
      <c r="C879" s="4">
        <v>1.0</v>
      </c>
      <c r="D879" s="4" t="s">
        <v>1486</v>
      </c>
      <c r="E879" s="4" t="s">
        <v>1088</v>
      </c>
      <c r="F879" s="54" t="s">
        <v>534</v>
      </c>
      <c r="G879" s="54" t="s">
        <v>1137</v>
      </c>
      <c r="H879" s="54" t="s">
        <v>1163</v>
      </c>
      <c r="I879" s="54" t="s">
        <v>1344</v>
      </c>
      <c r="J879" s="54" t="s">
        <v>1487</v>
      </c>
      <c r="X879" s="55" t="str">
        <f t="shared" si="1"/>
        <v>#NAME?</v>
      </c>
    </row>
    <row r="880">
      <c r="A880" s="4" t="s">
        <v>2480</v>
      </c>
      <c r="B880" s="4" t="s">
        <v>2481</v>
      </c>
      <c r="C880" s="4">
        <v>1.0</v>
      </c>
      <c r="D880" s="54" t="s">
        <v>1554</v>
      </c>
      <c r="E880" s="4" t="s">
        <v>1098</v>
      </c>
      <c r="F880" s="54" t="s">
        <v>357</v>
      </c>
      <c r="G880" s="54" t="s">
        <v>1156</v>
      </c>
      <c r="H880" s="54" t="s">
        <v>1130</v>
      </c>
      <c r="I880" s="54" t="s">
        <v>1494</v>
      </c>
      <c r="J880" s="54" t="s">
        <v>1132</v>
      </c>
      <c r="X880" s="55" t="str">
        <f t="shared" si="1"/>
        <v>#NAME?</v>
      </c>
    </row>
    <row r="881">
      <c r="A881" s="4" t="s">
        <v>2482</v>
      </c>
      <c r="B881" s="4" t="s">
        <v>2483</v>
      </c>
      <c r="C881" s="4">
        <v>1.0</v>
      </c>
      <c r="D881" s="54" t="s">
        <v>1506</v>
      </c>
      <c r="E881" s="4" t="s">
        <v>1296</v>
      </c>
      <c r="F881" s="54" t="s">
        <v>357</v>
      </c>
      <c r="G881" s="54" t="s">
        <v>1507</v>
      </c>
      <c r="H881" s="54" t="s">
        <v>1508</v>
      </c>
      <c r="I881" s="54" t="s">
        <v>1509</v>
      </c>
      <c r="J881" s="54" t="s">
        <v>1510</v>
      </c>
      <c r="X881" s="55" t="str">
        <f t="shared" si="1"/>
        <v>#NAME?</v>
      </c>
    </row>
    <row r="882">
      <c r="A882" s="4" t="s">
        <v>2484</v>
      </c>
      <c r="B882" s="4" t="s">
        <v>2485</v>
      </c>
      <c r="C882" s="4">
        <v>1.0</v>
      </c>
      <c r="D882" s="54" t="s">
        <v>1506</v>
      </c>
      <c r="E882" s="4" t="s">
        <v>1296</v>
      </c>
      <c r="F882" s="54" t="s">
        <v>357</v>
      </c>
      <c r="G882" s="54" t="s">
        <v>1365</v>
      </c>
      <c r="H882" s="54" t="s">
        <v>1512</v>
      </c>
      <c r="I882" s="54" t="s">
        <v>1513</v>
      </c>
      <c r="J882" s="54" t="s">
        <v>1514</v>
      </c>
      <c r="X882" s="55" t="str">
        <f t="shared" si="1"/>
        <v>#NAME?</v>
      </c>
    </row>
    <row r="883">
      <c r="A883" s="4" t="s">
        <v>2486</v>
      </c>
      <c r="B883" s="4" t="s">
        <v>2487</v>
      </c>
      <c r="C883" s="4">
        <v>1.0</v>
      </c>
      <c r="D883" s="54" t="s">
        <v>1506</v>
      </c>
      <c r="E883" s="4" t="s">
        <v>1296</v>
      </c>
      <c r="F883" s="54" t="s">
        <v>357</v>
      </c>
      <c r="G883" s="54" t="s">
        <v>1252</v>
      </c>
      <c r="H883" s="54" t="s">
        <v>1160</v>
      </c>
      <c r="I883" s="54" t="s">
        <v>1516</v>
      </c>
      <c r="J883" s="54" t="s">
        <v>1359</v>
      </c>
      <c r="X883" s="55" t="str">
        <f t="shared" si="1"/>
        <v>#NAME?</v>
      </c>
    </row>
    <row r="884">
      <c r="A884" s="4" t="s">
        <v>2488</v>
      </c>
      <c r="B884" s="4" t="s">
        <v>2489</v>
      </c>
      <c r="C884" s="4">
        <v>1.0</v>
      </c>
      <c r="D884" s="54" t="s">
        <v>1506</v>
      </c>
      <c r="E884" s="4" t="s">
        <v>1296</v>
      </c>
      <c r="F884" s="54" t="s">
        <v>357</v>
      </c>
      <c r="G884" s="54" t="s">
        <v>1257</v>
      </c>
      <c r="H884" s="54" t="s">
        <v>1518</v>
      </c>
      <c r="I884" s="54" t="s">
        <v>1518</v>
      </c>
      <c r="J884" s="54" t="s">
        <v>1366</v>
      </c>
      <c r="X884" s="55" t="str">
        <f t="shared" si="1"/>
        <v>#NAME?</v>
      </c>
    </row>
    <row r="885">
      <c r="A885" s="4" t="s">
        <v>2490</v>
      </c>
      <c r="B885" s="4" t="s">
        <v>2491</v>
      </c>
      <c r="C885" s="4">
        <v>1.0</v>
      </c>
      <c r="D885" s="54" t="s">
        <v>1520</v>
      </c>
      <c r="E885" s="4" t="s">
        <v>1088</v>
      </c>
      <c r="F885" s="54" t="s">
        <v>357</v>
      </c>
      <c r="G885" s="54" t="s">
        <v>1334</v>
      </c>
      <c r="H885" s="54" t="s">
        <v>1521</v>
      </c>
      <c r="I885" s="54" t="s">
        <v>1256</v>
      </c>
      <c r="J885" s="54" t="s">
        <v>1205</v>
      </c>
      <c r="X885" s="55" t="str">
        <f t="shared" si="1"/>
        <v>#NAME?</v>
      </c>
    </row>
    <row r="886">
      <c r="A886" s="4" t="s">
        <v>2492</v>
      </c>
      <c r="B886" s="4" t="s">
        <v>2493</v>
      </c>
      <c r="C886" s="4">
        <v>1.0</v>
      </c>
      <c r="D886" s="54" t="s">
        <v>1523</v>
      </c>
      <c r="E886" s="4" t="s">
        <v>1088</v>
      </c>
      <c r="F886" s="54" t="s">
        <v>357</v>
      </c>
      <c r="G886" s="54" t="s">
        <v>1168</v>
      </c>
      <c r="H886" s="54" t="s">
        <v>1524</v>
      </c>
      <c r="I886" s="54" t="s">
        <v>1504</v>
      </c>
      <c r="J886" s="54" t="s">
        <v>1500</v>
      </c>
      <c r="X886" s="55" t="str">
        <f t="shared" si="1"/>
        <v>#NAME?</v>
      </c>
    </row>
    <row r="887">
      <c r="A887" s="4" t="s">
        <v>2494</v>
      </c>
      <c r="B887" s="4" t="s">
        <v>2495</v>
      </c>
      <c r="C887" s="4">
        <v>1.0</v>
      </c>
      <c r="D887" s="54" t="s">
        <v>1526</v>
      </c>
      <c r="E887" s="4" t="s">
        <v>1088</v>
      </c>
      <c r="F887" s="54" t="s">
        <v>357</v>
      </c>
      <c r="G887" s="54" t="s">
        <v>1497</v>
      </c>
      <c r="H887" s="54" t="s">
        <v>1524</v>
      </c>
      <c r="I887" s="54" t="s">
        <v>1499</v>
      </c>
      <c r="J887" s="54" t="s">
        <v>1500</v>
      </c>
      <c r="X887" s="55" t="str">
        <f t="shared" si="1"/>
        <v>#NAME?</v>
      </c>
    </row>
    <row r="888">
      <c r="A888" s="4" t="s">
        <v>2496</v>
      </c>
      <c r="B888" s="4" t="s">
        <v>2497</v>
      </c>
      <c r="C888" s="4">
        <v>1.0</v>
      </c>
      <c r="D888" s="54" t="s">
        <v>1528</v>
      </c>
      <c r="E888" s="4" t="s">
        <v>1296</v>
      </c>
      <c r="F888" s="54" t="s">
        <v>357</v>
      </c>
      <c r="G888" s="54" t="s">
        <v>1108</v>
      </c>
      <c r="H888" s="54" t="s">
        <v>1417</v>
      </c>
      <c r="I888" s="54" t="s">
        <v>1529</v>
      </c>
      <c r="J888" s="54" t="s">
        <v>1158</v>
      </c>
      <c r="X888" s="55" t="str">
        <f t="shared" si="1"/>
        <v>#NAME?</v>
      </c>
    </row>
    <row r="889">
      <c r="A889" s="4" t="s">
        <v>2498</v>
      </c>
      <c r="B889" s="4" t="s">
        <v>2499</v>
      </c>
      <c r="C889" s="4">
        <v>1.0</v>
      </c>
      <c r="D889" s="54" t="s">
        <v>1496</v>
      </c>
      <c r="E889" s="4" t="s">
        <v>1088</v>
      </c>
      <c r="F889" s="54" t="s">
        <v>357</v>
      </c>
      <c r="G889" s="54" t="s">
        <v>1497</v>
      </c>
      <c r="H889" s="54" t="s">
        <v>1498</v>
      </c>
      <c r="I889" s="54" t="s">
        <v>1499</v>
      </c>
      <c r="J889" s="54" t="s">
        <v>1500</v>
      </c>
      <c r="X889" s="55" t="str">
        <f t="shared" si="1"/>
        <v>#NAME?</v>
      </c>
    </row>
    <row r="890">
      <c r="A890" s="4" t="s">
        <v>2500</v>
      </c>
      <c r="B890" s="4" t="s">
        <v>2501</v>
      </c>
      <c r="C890" s="4">
        <v>1.0</v>
      </c>
      <c r="D890" s="54" t="s">
        <v>1492</v>
      </c>
      <c r="E890" s="4" t="s">
        <v>1251</v>
      </c>
      <c r="F890" s="54" t="s">
        <v>357</v>
      </c>
      <c r="G890" s="54" t="s">
        <v>1493</v>
      </c>
      <c r="H890" s="54" t="s">
        <v>1215</v>
      </c>
      <c r="I890" s="54" t="s">
        <v>1494</v>
      </c>
      <c r="J890" s="54" t="s">
        <v>1226</v>
      </c>
      <c r="X890" s="55" t="str">
        <f t="shared" si="1"/>
        <v>#NAME?</v>
      </c>
    </row>
    <row r="891">
      <c r="A891" s="4" t="s">
        <v>2502</v>
      </c>
      <c r="B891" s="4" t="s">
        <v>2503</v>
      </c>
      <c r="C891" s="4">
        <v>1.0</v>
      </c>
      <c r="D891" s="54" t="s">
        <v>1528</v>
      </c>
      <c r="E891" s="4" t="s">
        <v>1296</v>
      </c>
      <c r="F891" s="54" t="s">
        <v>357</v>
      </c>
      <c r="G891" s="54" t="s">
        <v>1531</v>
      </c>
      <c r="H891" s="54" t="s">
        <v>1106</v>
      </c>
      <c r="I891" s="54" t="s">
        <v>1532</v>
      </c>
      <c r="J891" s="54" t="s">
        <v>1533</v>
      </c>
      <c r="X891" s="55" t="str">
        <f t="shared" si="1"/>
        <v>#NAME?</v>
      </c>
    </row>
    <row r="892">
      <c r="A892" s="4" t="s">
        <v>2504</v>
      </c>
      <c r="B892" s="4" t="s">
        <v>2505</v>
      </c>
      <c r="C892" s="4">
        <v>1.0</v>
      </c>
      <c r="D892" s="54" t="s">
        <v>1538</v>
      </c>
      <c r="E892" s="4" t="s">
        <v>1088</v>
      </c>
      <c r="F892" s="54" t="s">
        <v>357</v>
      </c>
      <c r="G892" s="54" t="s">
        <v>1497</v>
      </c>
      <c r="H892" s="54" t="s">
        <v>1503</v>
      </c>
      <c r="I892" s="54" t="s">
        <v>1503</v>
      </c>
      <c r="J892" s="54" t="s">
        <v>1504</v>
      </c>
      <c r="X892" s="55" t="str">
        <f t="shared" si="1"/>
        <v>#NAME?</v>
      </c>
    </row>
    <row r="893">
      <c r="A893" s="4" t="s">
        <v>2506</v>
      </c>
      <c r="B893" s="4" t="s">
        <v>2507</v>
      </c>
      <c r="C893" s="4">
        <v>1.0</v>
      </c>
      <c r="D893" s="54" t="s">
        <v>1540</v>
      </c>
      <c r="E893" s="4" t="s">
        <v>1088</v>
      </c>
      <c r="F893" s="54" t="s">
        <v>357</v>
      </c>
      <c r="G893" s="54" t="s">
        <v>1503</v>
      </c>
      <c r="H893" s="54" t="s">
        <v>1499</v>
      </c>
      <c r="I893" s="54" t="s">
        <v>1503</v>
      </c>
      <c r="J893" s="54" t="s">
        <v>1504</v>
      </c>
      <c r="X893" s="55" t="str">
        <f t="shared" si="1"/>
        <v>#NAME?</v>
      </c>
    </row>
    <row r="894">
      <c r="A894" s="4" t="s">
        <v>2508</v>
      </c>
      <c r="B894" s="4" t="s">
        <v>2509</v>
      </c>
      <c r="C894" s="4">
        <v>1.0</v>
      </c>
      <c r="D894" s="54" t="s">
        <v>1542</v>
      </c>
      <c r="E894" s="4" t="s">
        <v>1098</v>
      </c>
      <c r="F894" s="54" t="s">
        <v>357</v>
      </c>
      <c r="G894" s="54" t="s">
        <v>1543</v>
      </c>
      <c r="H894" s="54" t="s">
        <v>1185</v>
      </c>
      <c r="I894" s="54" t="s">
        <v>1544</v>
      </c>
      <c r="J894" s="54" t="s">
        <v>1105</v>
      </c>
      <c r="X894" s="55" t="str">
        <f t="shared" si="1"/>
        <v>#NAME?</v>
      </c>
    </row>
    <row r="895">
      <c r="A895" s="4" t="s">
        <v>2510</v>
      </c>
      <c r="B895" s="4" t="s">
        <v>2511</v>
      </c>
      <c r="C895" s="4">
        <v>1.0</v>
      </c>
      <c r="D895" s="54" t="s">
        <v>1542</v>
      </c>
      <c r="E895" s="4" t="s">
        <v>1098</v>
      </c>
      <c r="F895" s="54" t="s">
        <v>357</v>
      </c>
      <c r="G895" s="54" t="s">
        <v>1185</v>
      </c>
      <c r="H895" s="54" t="s">
        <v>1212</v>
      </c>
      <c r="I895" s="54" t="s">
        <v>1231</v>
      </c>
      <c r="J895" s="54" t="s">
        <v>1175</v>
      </c>
      <c r="X895" s="55" t="str">
        <f t="shared" si="1"/>
        <v>#NAME?</v>
      </c>
    </row>
    <row r="896">
      <c r="A896" s="4" t="s">
        <v>2512</v>
      </c>
      <c r="B896" s="4" t="s">
        <v>2513</v>
      </c>
      <c r="C896" s="4">
        <v>1.0</v>
      </c>
      <c r="D896" s="54" t="s">
        <v>1542</v>
      </c>
      <c r="E896" s="4" t="s">
        <v>1098</v>
      </c>
      <c r="F896" s="54" t="s">
        <v>357</v>
      </c>
      <c r="G896" s="54" t="s">
        <v>1188</v>
      </c>
      <c r="H896" s="54" t="s">
        <v>1547</v>
      </c>
      <c r="I896" s="54" t="s">
        <v>1158</v>
      </c>
      <c r="J896" s="54" t="s">
        <v>1110</v>
      </c>
      <c r="X896" s="55" t="str">
        <f t="shared" si="1"/>
        <v>#NAME?</v>
      </c>
    </row>
    <row r="897">
      <c r="A897" s="4" t="s">
        <v>2514</v>
      </c>
      <c r="B897" s="4" t="s">
        <v>2515</v>
      </c>
      <c r="C897" s="4">
        <v>1.0</v>
      </c>
      <c r="D897" s="54" t="s">
        <v>1549</v>
      </c>
      <c r="E897" s="4" t="s">
        <v>1088</v>
      </c>
      <c r="F897" s="54" t="s">
        <v>357</v>
      </c>
      <c r="G897" s="54" t="s">
        <v>1212</v>
      </c>
      <c r="H897" s="54" t="s">
        <v>1186</v>
      </c>
      <c r="I897" s="54" t="s">
        <v>1240</v>
      </c>
      <c r="J897" s="54" t="s">
        <v>1210</v>
      </c>
      <c r="X897" s="55" t="str">
        <f t="shared" si="1"/>
        <v>#NAME?</v>
      </c>
    </row>
    <row r="898">
      <c r="A898" s="4" t="s">
        <v>2516</v>
      </c>
      <c r="B898" s="4" t="s">
        <v>2517</v>
      </c>
      <c r="C898" s="4">
        <v>1.0</v>
      </c>
      <c r="D898" s="54" t="s">
        <v>1551</v>
      </c>
      <c r="E898" s="4" t="s">
        <v>1088</v>
      </c>
      <c r="F898" s="54" t="s">
        <v>357</v>
      </c>
      <c r="G898" s="54" t="s">
        <v>1179</v>
      </c>
      <c r="H898" s="54" t="s">
        <v>1240</v>
      </c>
      <c r="I898" s="54" t="s">
        <v>1552</v>
      </c>
      <c r="J898" s="54" t="s">
        <v>1210</v>
      </c>
      <c r="X898" s="55" t="str">
        <f t="shared" si="1"/>
        <v>#NAME?</v>
      </c>
    </row>
    <row r="899">
      <c r="A899" s="4" t="s">
        <v>2518</v>
      </c>
      <c r="B899" s="4" t="s">
        <v>2519</v>
      </c>
      <c r="C899" s="4">
        <v>1.0</v>
      </c>
      <c r="D899" s="54" t="s">
        <v>1554</v>
      </c>
      <c r="E899" s="4" t="s">
        <v>1098</v>
      </c>
      <c r="F899" s="54" t="s">
        <v>357</v>
      </c>
      <c r="G899" s="54" t="s">
        <v>1176</v>
      </c>
      <c r="H899" s="54" t="s">
        <v>1555</v>
      </c>
      <c r="I899" s="54" t="s">
        <v>1171</v>
      </c>
      <c r="J899" s="54" t="s">
        <v>1556</v>
      </c>
      <c r="X899" s="55" t="str">
        <f t="shared" si="1"/>
        <v>#NAME?</v>
      </c>
    </row>
    <row r="900">
      <c r="A900" s="4" t="s">
        <v>2520</v>
      </c>
      <c r="B900" s="4" t="s">
        <v>2521</v>
      </c>
      <c r="C900" s="4">
        <v>1.0</v>
      </c>
      <c r="D900" s="54" t="s">
        <v>1528</v>
      </c>
      <c r="E900" s="4" t="s">
        <v>1296</v>
      </c>
      <c r="F900" s="54" t="s">
        <v>357</v>
      </c>
      <c r="G900" s="54" t="s">
        <v>1244</v>
      </c>
      <c r="H900" s="54" t="s">
        <v>1170</v>
      </c>
      <c r="I900" s="54" t="s">
        <v>1177</v>
      </c>
      <c r="J900" s="54" t="s">
        <v>1535</v>
      </c>
      <c r="X900" s="55" t="str">
        <f t="shared" si="1"/>
        <v>#NAME?</v>
      </c>
    </row>
    <row r="901">
      <c r="A901" s="4" t="s">
        <v>2522</v>
      </c>
      <c r="B901" s="4" t="s">
        <v>2523</v>
      </c>
      <c r="C901" s="4">
        <v>1.0</v>
      </c>
      <c r="D901" s="54" t="s">
        <v>1528</v>
      </c>
      <c r="E901" s="4" t="s">
        <v>1296</v>
      </c>
      <c r="F901" s="54" t="s">
        <v>357</v>
      </c>
      <c r="G901" s="54" t="s">
        <v>1108</v>
      </c>
      <c r="H901" s="54" t="s">
        <v>1233</v>
      </c>
      <c r="I901" s="54" t="s">
        <v>1529</v>
      </c>
      <c r="J901" s="54" t="s">
        <v>1170</v>
      </c>
      <c r="X901" s="55" t="str">
        <f t="shared" si="1"/>
        <v>#NAME?</v>
      </c>
    </row>
    <row r="902">
      <c r="A902" s="4" t="s">
        <v>2524</v>
      </c>
      <c r="B902" s="4" t="s">
        <v>2525</v>
      </c>
      <c r="C902" s="4">
        <v>1.0</v>
      </c>
      <c r="D902" s="4" t="s">
        <v>1306</v>
      </c>
      <c r="E902" s="4" t="s">
        <v>1296</v>
      </c>
      <c r="F902" s="54" t="s">
        <v>357</v>
      </c>
      <c r="G902" s="54" t="s">
        <v>1283</v>
      </c>
      <c r="H902" s="54" t="s">
        <v>1307</v>
      </c>
      <c r="I902" s="54" t="s">
        <v>1308</v>
      </c>
      <c r="J902" s="54" t="s">
        <v>1309</v>
      </c>
      <c r="X902" s="55" t="str">
        <f t="shared" si="1"/>
        <v>#NAME?</v>
      </c>
    </row>
    <row r="903">
      <c r="A903" s="4" t="s">
        <v>2526</v>
      </c>
      <c r="B903" s="4" t="s">
        <v>2527</v>
      </c>
      <c r="C903" s="4">
        <v>1.0</v>
      </c>
      <c r="D903" s="54" t="s">
        <v>1554</v>
      </c>
      <c r="E903" s="4" t="s">
        <v>1098</v>
      </c>
      <c r="F903" s="54" t="s">
        <v>357</v>
      </c>
      <c r="G903" s="54" t="s">
        <v>1171</v>
      </c>
      <c r="H903" s="54" t="s">
        <v>1225</v>
      </c>
      <c r="I903" s="54" t="s">
        <v>1559</v>
      </c>
      <c r="J903" s="54" t="s">
        <v>1560</v>
      </c>
      <c r="X903" s="55" t="str">
        <f t="shared" si="1"/>
        <v>#NAME?</v>
      </c>
    </row>
    <row r="904">
      <c r="A904" s="4" t="s">
        <v>2528</v>
      </c>
      <c r="B904" s="4" t="s">
        <v>2529</v>
      </c>
      <c r="C904" s="4">
        <v>1.0</v>
      </c>
      <c r="D904" s="54" t="s">
        <v>1624</v>
      </c>
      <c r="E904" s="4" t="s">
        <v>1098</v>
      </c>
      <c r="F904" s="54" t="s">
        <v>357</v>
      </c>
      <c r="G904" s="54" t="s">
        <v>1628</v>
      </c>
      <c r="H904" s="54" t="s">
        <v>1573</v>
      </c>
      <c r="I904" s="54" t="s">
        <v>1180</v>
      </c>
      <c r="J904" s="54" t="s">
        <v>1607</v>
      </c>
      <c r="X904" s="55" t="str">
        <f t="shared" si="1"/>
        <v>#NAME?</v>
      </c>
    </row>
    <row r="905">
      <c r="A905" s="4" t="s">
        <v>2530</v>
      </c>
      <c r="B905" s="4" t="s">
        <v>2531</v>
      </c>
      <c r="C905" s="4">
        <v>1.0</v>
      </c>
      <c r="D905" s="54" t="s">
        <v>1566</v>
      </c>
      <c r="E905" s="4" t="s">
        <v>1296</v>
      </c>
      <c r="F905" s="54" t="s">
        <v>357</v>
      </c>
      <c r="G905" s="54" t="s">
        <v>1572</v>
      </c>
      <c r="H905" s="54" t="s">
        <v>1248</v>
      </c>
      <c r="I905" s="54" t="s">
        <v>1573</v>
      </c>
      <c r="J905" s="54" t="s">
        <v>1245</v>
      </c>
      <c r="X905" s="55" t="str">
        <f t="shared" si="1"/>
        <v>#NAME?</v>
      </c>
    </row>
    <row r="906">
      <c r="A906" s="4" t="s">
        <v>2532</v>
      </c>
      <c r="B906" s="4" t="s">
        <v>2533</v>
      </c>
      <c r="C906" s="4">
        <v>1.0</v>
      </c>
      <c r="D906" s="54" t="s">
        <v>1566</v>
      </c>
      <c r="E906" s="4" t="s">
        <v>1296</v>
      </c>
      <c r="F906" s="54" t="s">
        <v>357</v>
      </c>
      <c r="G906" s="54" t="s">
        <v>1359</v>
      </c>
      <c r="H906" s="54" t="s">
        <v>1200</v>
      </c>
      <c r="I906" s="54" t="s">
        <v>1575</v>
      </c>
      <c r="J906" s="54" t="s">
        <v>1567</v>
      </c>
      <c r="X906" s="55" t="str">
        <f t="shared" si="1"/>
        <v>#NAME?</v>
      </c>
    </row>
    <row r="907">
      <c r="A907" s="4" t="s">
        <v>2534</v>
      </c>
      <c r="B907" s="4" t="s">
        <v>2535</v>
      </c>
      <c r="C907" s="4">
        <v>1.0</v>
      </c>
      <c r="D907" s="54" t="s">
        <v>1577</v>
      </c>
      <c r="E907" s="4" t="s">
        <v>1088</v>
      </c>
      <c r="F907" s="54" t="s">
        <v>357</v>
      </c>
      <c r="G907" s="54" t="s">
        <v>1531</v>
      </c>
      <c r="H907" s="54" t="s">
        <v>1183</v>
      </c>
      <c r="I907" s="54" t="s">
        <v>1171</v>
      </c>
      <c r="J907" s="54" t="s">
        <v>1212</v>
      </c>
      <c r="X907" s="55" t="str">
        <f t="shared" si="1"/>
        <v>#NAME?</v>
      </c>
    </row>
    <row r="908">
      <c r="A908" s="4" t="s">
        <v>2536</v>
      </c>
      <c r="B908" s="4" t="s">
        <v>2537</v>
      </c>
      <c r="C908" s="4">
        <v>1.0</v>
      </c>
      <c r="D908" s="54" t="s">
        <v>1579</v>
      </c>
      <c r="E908" s="4" t="s">
        <v>1088</v>
      </c>
      <c r="F908" s="54" t="s">
        <v>357</v>
      </c>
      <c r="G908" s="54" t="s">
        <v>1244</v>
      </c>
      <c r="H908" s="54" t="s">
        <v>1186</v>
      </c>
      <c r="I908" s="54" t="s">
        <v>1156</v>
      </c>
      <c r="J908" s="54" t="s">
        <v>1244</v>
      </c>
      <c r="X908" s="55" t="str">
        <f t="shared" si="1"/>
        <v>#NAME?</v>
      </c>
    </row>
    <row r="909">
      <c r="A909" s="4" t="s">
        <v>2538</v>
      </c>
      <c r="B909" s="4" t="s">
        <v>2539</v>
      </c>
      <c r="C909" s="4">
        <v>1.0</v>
      </c>
      <c r="D909" s="54" t="s">
        <v>1581</v>
      </c>
      <c r="E909" s="4" t="s">
        <v>1098</v>
      </c>
      <c r="F909" s="54" t="s">
        <v>357</v>
      </c>
      <c r="G909" s="54" t="s">
        <v>1564</v>
      </c>
      <c r="H909" s="54" t="s">
        <v>1582</v>
      </c>
      <c r="I909" s="54" t="s">
        <v>1583</v>
      </c>
      <c r="J909" s="54" t="s">
        <v>1584</v>
      </c>
      <c r="X909" s="55" t="str">
        <f t="shared" si="1"/>
        <v>#NAME?</v>
      </c>
    </row>
    <row r="910">
      <c r="A910" s="4" t="s">
        <v>2540</v>
      </c>
      <c r="B910" s="4" t="s">
        <v>2541</v>
      </c>
      <c r="C910" s="4">
        <v>1.0</v>
      </c>
      <c r="D910" s="54" t="s">
        <v>1581</v>
      </c>
      <c r="E910" s="4" t="s">
        <v>1098</v>
      </c>
      <c r="F910" s="54" t="s">
        <v>357</v>
      </c>
      <c r="G910" s="54" t="s">
        <v>1235</v>
      </c>
      <c r="H910" s="54" t="s">
        <v>1556</v>
      </c>
      <c r="I910" s="54" t="s">
        <v>1586</v>
      </c>
      <c r="J910" s="54" t="s">
        <v>1132</v>
      </c>
      <c r="X910" s="55" t="str">
        <f t="shared" si="1"/>
        <v>#NAME?</v>
      </c>
    </row>
    <row r="911">
      <c r="A911" s="4" t="s">
        <v>2542</v>
      </c>
      <c r="B911" s="4" t="s">
        <v>2543</v>
      </c>
      <c r="C911" s="4">
        <v>1.0</v>
      </c>
      <c r="D911" s="54" t="s">
        <v>1581</v>
      </c>
      <c r="E911" s="4" t="s">
        <v>1098</v>
      </c>
      <c r="F911" s="54" t="s">
        <v>357</v>
      </c>
      <c r="G911" s="54" t="s">
        <v>1172</v>
      </c>
      <c r="H911" s="54" t="s">
        <v>1493</v>
      </c>
      <c r="I911" s="54" t="s">
        <v>1218</v>
      </c>
      <c r="J911" s="54" t="s">
        <v>1560</v>
      </c>
      <c r="X911" s="55" t="str">
        <f t="shared" si="1"/>
        <v>#NAME?</v>
      </c>
    </row>
    <row r="912">
      <c r="A912" s="4" t="s">
        <v>2544</v>
      </c>
      <c r="B912" s="4" t="s">
        <v>2545</v>
      </c>
      <c r="C912" s="4">
        <v>1.0</v>
      </c>
      <c r="D912" s="54" t="s">
        <v>1589</v>
      </c>
      <c r="E912" s="4" t="s">
        <v>1397</v>
      </c>
      <c r="F912" s="54" t="s">
        <v>357</v>
      </c>
      <c r="G912" s="54" t="s">
        <v>1582</v>
      </c>
      <c r="H912" s="54" t="s">
        <v>1590</v>
      </c>
      <c r="I912" s="54" t="s">
        <v>1171</v>
      </c>
      <c r="J912" s="54" t="s">
        <v>1179</v>
      </c>
      <c r="X912" s="55" t="str">
        <f t="shared" si="1"/>
        <v>#NAME?</v>
      </c>
    </row>
    <row r="913">
      <c r="A913" s="4" t="s">
        <v>2546</v>
      </c>
      <c r="B913" s="4" t="s">
        <v>2547</v>
      </c>
      <c r="C913" s="4">
        <v>1.0</v>
      </c>
      <c r="D913" s="54" t="s">
        <v>1621</v>
      </c>
      <c r="E913" s="4" t="s">
        <v>1251</v>
      </c>
      <c r="F913" s="54" t="s">
        <v>357</v>
      </c>
      <c r="G913" s="54" t="s">
        <v>1350</v>
      </c>
      <c r="H913" s="54" t="s">
        <v>1436</v>
      </c>
      <c r="I913" s="54" t="s">
        <v>1196</v>
      </c>
      <c r="J913" s="54" t="s">
        <v>1622</v>
      </c>
      <c r="X913" s="55" t="str">
        <f t="shared" si="1"/>
        <v>#NAME?</v>
      </c>
    </row>
    <row r="914">
      <c r="A914" s="4" t="s">
        <v>2548</v>
      </c>
      <c r="B914" s="4" t="s">
        <v>2549</v>
      </c>
      <c r="C914" s="4">
        <v>1.0</v>
      </c>
      <c r="D914" s="54" t="s">
        <v>1566</v>
      </c>
      <c r="E914" s="4" t="s">
        <v>1296</v>
      </c>
      <c r="F914" s="54" t="s">
        <v>357</v>
      </c>
      <c r="G914" s="54" t="s">
        <v>1567</v>
      </c>
      <c r="H914" s="54" t="s">
        <v>1570</v>
      </c>
      <c r="I914" s="54" t="s">
        <v>1233</v>
      </c>
      <c r="J914" s="54" t="s">
        <v>1109</v>
      </c>
      <c r="X914" s="55" t="str">
        <f t="shared" si="1"/>
        <v>#NAME?</v>
      </c>
    </row>
    <row r="915">
      <c r="A915" s="4" t="s">
        <v>2550</v>
      </c>
      <c r="B915" s="4" t="s">
        <v>2551</v>
      </c>
      <c r="C915" s="4">
        <v>1.0</v>
      </c>
      <c r="D915" s="54" t="s">
        <v>1589</v>
      </c>
      <c r="E915" s="4" t="s">
        <v>1397</v>
      </c>
      <c r="F915" s="54" t="s">
        <v>357</v>
      </c>
      <c r="G915" s="54" t="s">
        <v>1560</v>
      </c>
      <c r="H915" s="54" t="s">
        <v>1583</v>
      </c>
      <c r="I915" s="54" t="s">
        <v>1241</v>
      </c>
      <c r="J915" s="54" t="s">
        <v>1559</v>
      </c>
      <c r="X915" s="55" t="str">
        <f t="shared" si="1"/>
        <v>#NAME?</v>
      </c>
    </row>
    <row r="916">
      <c r="A916" s="54" t="s">
        <v>2552</v>
      </c>
      <c r="B916" s="4" t="s">
        <v>2553</v>
      </c>
      <c r="C916" s="4">
        <v>1.0</v>
      </c>
      <c r="D916" s="54" t="s">
        <v>1597</v>
      </c>
      <c r="E916" s="4" t="s">
        <v>1088</v>
      </c>
      <c r="F916" s="54" t="s">
        <v>357</v>
      </c>
      <c r="G916" s="54" t="s">
        <v>1552</v>
      </c>
      <c r="H916" s="54" t="s">
        <v>1188</v>
      </c>
      <c r="I916" s="54" t="s">
        <v>1177</v>
      </c>
      <c r="J916" s="54" t="s">
        <v>1235</v>
      </c>
      <c r="X916" s="55" t="str">
        <f t="shared" si="1"/>
        <v>#NAME?</v>
      </c>
    </row>
    <row r="917">
      <c r="A917" s="4" t="s">
        <v>2554</v>
      </c>
      <c r="B917" s="4" t="s">
        <v>2555</v>
      </c>
      <c r="C917" s="4">
        <v>1.0</v>
      </c>
      <c r="D917" s="54" t="s">
        <v>1599</v>
      </c>
      <c r="E917" s="4" t="s">
        <v>1088</v>
      </c>
      <c r="F917" s="54" t="s">
        <v>357</v>
      </c>
      <c r="G917" s="54" t="s">
        <v>1235</v>
      </c>
      <c r="H917" s="54" t="s">
        <v>1559</v>
      </c>
      <c r="I917" s="54" t="s">
        <v>1235</v>
      </c>
      <c r="J917" s="54" t="s">
        <v>1172</v>
      </c>
      <c r="X917" s="55" t="str">
        <f t="shared" si="1"/>
        <v>#NAME?</v>
      </c>
    </row>
    <row r="918">
      <c r="A918" s="4" t="s">
        <v>2556</v>
      </c>
      <c r="B918" s="4" t="s">
        <v>2557</v>
      </c>
      <c r="C918" s="4">
        <v>1.0</v>
      </c>
      <c r="D918" s="54" t="s">
        <v>1601</v>
      </c>
      <c r="E918" s="4" t="s">
        <v>1088</v>
      </c>
      <c r="F918" s="54" t="s">
        <v>357</v>
      </c>
      <c r="G918" s="54" t="s">
        <v>1490</v>
      </c>
      <c r="H918" s="54" t="s">
        <v>1156</v>
      </c>
      <c r="I918" s="54" t="s">
        <v>1215</v>
      </c>
      <c r="J918" s="54" t="s">
        <v>1490</v>
      </c>
      <c r="X918" s="55" t="str">
        <f t="shared" si="1"/>
        <v>#NAME?</v>
      </c>
    </row>
    <row r="919">
      <c r="A919" s="4" t="s">
        <v>2558</v>
      </c>
      <c r="B919" s="4" t="s">
        <v>2559</v>
      </c>
      <c r="C919" s="4">
        <v>1.0</v>
      </c>
      <c r="D919" s="54" t="s">
        <v>1603</v>
      </c>
      <c r="E919" s="4" t="s">
        <v>1098</v>
      </c>
      <c r="F919" s="54" t="s">
        <v>357</v>
      </c>
      <c r="G919" s="54" t="s">
        <v>1132</v>
      </c>
      <c r="H919" s="54" t="s">
        <v>1494</v>
      </c>
      <c r="I919" s="54" t="s">
        <v>1604</v>
      </c>
      <c r="J919" s="54" t="s">
        <v>1605</v>
      </c>
      <c r="X919" s="55" t="str">
        <f t="shared" si="1"/>
        <v>#NAME?</v>
      </c>
    </row>
    <row r="920">
      <c r="A920" s="4" t="s">
        <v>2560</v>
      </c>
      <c r="B920" s="4" t="s">
        <v>2561</v>
      </c>
      <c r="C920" s="4">
        <v>1.0</v>
      </c>
      <c r="D920" s="54" t="s">
        <v>1603</v>
      </c>
      <c r="E920" s="4" t="s">
        <v>1098</v>
      </c>
      <c r="F920" s="54" t="s">
        <v>357</v>
      </c>
      <c r="G920" s="54" t="s">
        <v>1129</v>
      </c>
      <c r="H920" s="54" t="s">
        <v>1573</v>
      </c>
      <c r="I920" s="54" t="s">
        <v>1607</v>
      </c>
      <c r="J920" s="54" t="s">
        <v>1586</v>
      </c>
      <c r="X920" s="55" t="str">
        <f t="shared" si="1"/>
        <v>#NAME?</v>
      </c>
    </row>
    <row r="921">
      <c r="A921" s="4" t="s">
        <v>2562</v>
      </c>
      <c r="B921" s="4" t="s">
        <v>2563</v>
      </c>
      <c r="C921" s="4">
        <v>1.0</v>
      </c>
      <c r="D921" s="54" t="s">
        <v>1603</v>
      </c>
      <c r="E921" s="4" t="s">
        <v>1098</v>
      </c>
      <c r="F921" s="54" t="s">
        <v>357</v>
      </c>
      <c r="G921" s="54" t="s">
        <v>1584</v>
      </c>
      <c r="H921" s="54" t="s">
        <v>1573</v>
      </c>
      <c r="I921" s="54" t="s">
        <v>1221</v>
      </c>
      <c r="J921" s="54" t="s">
        <v>1609</v>
      </c>
      <c r="X921" s="55" t="str">
        <f t="shared" si="1"/>
        <v>#NAME?</v>
      </c>
    </row>
    <row r="922">
      <c r="A922" s="4" t="s">
        <v>2564</v>
      </c>
      <c r="B922" s="4" t="s">
        <v>2565</v>
      </c>
      <c r="C922" s="4">
        <v>1.0</v>
      </c>
      <c r="D922" s="54" t="s">
        <v>1611</v>
      </c>
      <c r="E922" s="4" t="s">
        <v>1088</v>
      </c>
      <c r="F922" s="54" t="s">
        <v>357</v>
      </c>
      <c r="G922" s="54" t="s">
        <v>1177</v>
      </c>
      <c r="H922" s="54" t="s">
        <v>1612</v>
      </c>
      <c r="I922" s="54" t="s">
        <v>1613</v>
      </c>
      <c r="J922" s="54" t="s">
        <v>1241</v>
      </c>
      <c r="X922" s="55" t="str">
        <f t="shared" si="1"/>
        <v>#NAME?</v>
      </c>
    </row>
    <row r="923">
      <c r="A923" s="4" t="s">
        <v>2566</v>
      </c>
      <c r="B923" s="4" t="s">
        <v>2567</v>
      </c>
      <c r="C923" s="4">
        <v>1.0</v>
      </c>
      <c r="D923" s="54" t="s">
        <v>1615</v>
      </c>
      <c r="E923" s="4" t="s">
        <v>1088</v>
      </c>
      <c r="F923" s="54" t="s">
        <v>357</v>
      </c>
      <c r="G923" s="54" t="s">
        <v>1177</v>
      </c>
      <c r="H923" s="54" t="s">
        <v>1609</v>
      </c>
      <c r="I923" s="54" t="s">
        <v>1612</v>
      </c>
      <c r="J923" s="54" t="s">
        <v>1490</v>
      </c>
      <c r="X923" s="55" t="str">
        <f t="shared" si="1"/>
        <v>#NAME?</v>
      </c>
    </row>
    <row r="924">
      <c r="A924" s="4" t="s">
        <v>2568</v>
      </c>
      <c r="B924" s="4" t="s">
        <v>2569</v>
      </c>
      <c r="C924" s="4">
        <v>1.0</v>
      </c>
      <c r="D924" s="54" t="s">
        <v>1589</v>
      </c>
      <c r="E924" s="4" t="s">
        <v>1397</v>
      </c>
      <c r="F924" s="54" t="s">
        <v>357</v>
      </c>
      <c r="G924" s="54" t="s">
        <v>1593</v>
      </c>
      <c r="H924" s="54" t="s">
        <v>1218</v>
      </c>
      <c r="I924" s="54" t="s">
        <v>1593</v>
      </c>
      <c r="J924" s="54" t="s">
        <v>1245</v>
      </c>
      <c r="X924" s="55" t="str">
        <f t="shared" si="1"/>
        <v>#NAME?</v>
      </c>
    </row>
    <row r="925">
      <c r="A925" s="4" t="s">
        <v>2570</v>
      </c>
      <c r="B925" s="4" t="s">
        <v>2571</v>
      </c>
      <c r="C925" s="4">
        <v>1.0</v>
      </c>
      <c r="D925" s="54" t="s">
        <v>1595</v>
      </c>
      <c r="E925" s="4" t="s">
        <v>1088</v>
      </c>
      <c r="F925" s="54" t="s">
        <v>357</v>
      </c>
      <c r="G925" s="54" t="s">
        <v>1212</v>
      </c>
      <c r="H925" s="54" t="s">
        <v>1185</v>
      </c>
      <c r="I925" s="54" t="s">
        <v>1172</v>
      </c>
      <c r="J925" s="54" t="s">
        <v>1215</v>
      </c>
      <c r="X925" s="55" t="str">
        <f t="shared" si="1"/>
        <v>#NAME?</v>
      </c>
    </row>
    <row r="926">
      <c r="A926" s="4" t="s">
        <v>2572</v>
      </c>
      <c r="B926" s="4" t="s">
        <v>2573</v>
      </c>
      <c r="C926" s="4">
        <v>1.0</v>
      </c>
      <c r="D926" s="54" t="s">
        <v>1566</v>
      </c>
      <c r="E926" s="4" t="s">
        <v>1296</v>
      </c>
      <c r="F926" s="54" t="s">
        <v>357</v>
      </c>
      <c r="G926" s="54" t="s">
        <v>1567</v>
      </c>
      <c r="H926" s="54" t="s">
        <v>1359</v>
      </c>
      <c r="I926" s="54" t="s">
        <v>1568</v>
      </c>
      <c r="J926" s="54" t="s">
        <v>1093</v>
      </c>
      <c r="X926" s="55" t="str">
        <f t="shared" si="1"/>
        <v>#NAME?</v>
      </c>
    </row>
    <row r="927">
      <c r="A927" s="4" t="s">
        <v>2574</v>
      </c>
      <c r="B927" s="4" t="s">
        <v>2575</v>
      </c>
      <c r="C927" s="4">
        <v>1.0</v>
      </c>
      <c r="D927" s="54" t="s">
        <v>1617</v>
      </c>
      <c r="E927" s="4" t="s">
        <v>1251</v>
      </c>
      <c r="F927" s="54" t="s">
        <v>449</v>
      </c>
      <c r="G927" s="54" t="s">
        <v>1203</v>
      </c>
      <c r="H927" s="54" t="s">
        <v>1618</v>
      </c>
      <c r="I927" s="54" t="s">
        <v>1619</v>
      </c>
      <c r="J927" s="54" t="s">
        <v>1259</v>
      </c>
      <c r="X927" s="55" t="str">
        <f t="shared" si="1"/>
        <v>#NAME?</v>
      </c>
    </row>
    <row r="928">
      <c r="A928" s="4" t="s">
        <v>2576</v>
      </c>
      <c r="B928" s="4" t="s">
        <v>2577</v>
      </c>
      <c r="C928" s="4">
        <v>1.0</v>
      </c>
      <c r="D928" s="54" t="s">
        <v>1562</v>
      </c>
      <c r="E928" s="4" t="s">
        <v>1088</v>
      </c>
      <c r="F928" s="54" t="s">
        <v>357</v>
      </c>
      <c r="G928" s="54" t="s">
        <v>1563</v>
      </c>
      <c r="H928" s="54" t="s">
        <v>1564</v>
      </c>
      <c r="I928" s="54" t="s">
        <v>1235</v>
      </c>
      <c r="J928" s="54" t="s">
        <v>1183</v>
      </c>
      <c r="X928" s="55" t="str">
        <f t="shared" si="1"/>
        <v>#NAME?</v>
      </c>
    </row>
    <row r="929">
      <c r="A929" s="4" t="s">
        <v>2578</v>
      </c>
      <c r="B929" s="4" t="s">
        <v>2579</v>
      </c>
      <c r="C929" s="4">
        <v>1.0</v>
      </c>
      <c r="D929" s="54" t="s">
        <v>1630</v>
      </c>
      <c r="E929" s="4" t="s">
        <v>1088</v>
      </c>
      <c r="F929" s="54" t="s">
        <v>357</v>
      </c>
      <c r="G929" s="54" t="s">
        <v>1593</v>
      </c>
      <c r="H929" s="54" t="s">
        <v>1609</v>
      </c>
      <c r="I929" s="54" t="s">
        <v>1177</v>
      </c>
      <c r="J929" s="54" t="s">
        <v>1176</v>
      </c>
      <c r="X929" s="55" t="str">
        <f t="shared" si="1"/>
        <v>#NAME?</v>
      </c>
    </row>
    <row r="930">
      <c r="A930" s="4" t="s">
        <v>2580</v>
      </c>
      <c r="B930" s="4" t="s">
        <v>2581</v>
      </c>
      <c r="C930" s="4">
        <v>1.0</v>
      </c>
      <c r="D930" s="54" t="s">
        <v>1632</v>
      </c>
      <c r="E930" s="4" t="s">
        <v>1088</v>
      </c>
      <c r="F930" s="54" t="s">
        <v>357</v>
      </c>
      <c r="G930" s="54" t="s">
        <v>1242</v>
      </c>
      <c r="H930" s="54" t="s">
        <v>1180</v>
      </c>
      <c r="I930" s="54" t="s">
        <v>1563</v>
      </c>
      <c r="J930" s="54" t="s">
        <v>1218</v>
      </c>
      <c r="X930" s="55" t="str">
        <f t="shared" si="1"/>
        <v>#NAME?</v>
      </c>
    </row>
    <row r="931">
      <c r="A931" s="4" t="s">
        <v>2582</v>
      </c>
      <c r="B931" s="4" t="s">
        <v>2583</v>
      </c>
      <c r="C931" s="4">
        <v>1.0</v>
      </c>
      <c r="D931" s="54" t="s">
        <v>1634</v>
      </c>
      <c r="E931" s="4" t="s">
        <v>1296</v>
      </c>
      <c r="F931" s="54" t="s">
        <v>357</v>
      </c>
      <c r="G931" s="54" t="s">
        <v>1253</v>
      </c>
      <c r="H931" s="54" t="s">
        <v>1105</v>
      </c>
      <c r="I931" s="54" t="s">
        <v>1104</v>
      </c>
      <c r="J931" s="54" t="s">
        <v>1568</v>
      </c>
      <c r="X931" s="55" t="str">
        <f t="shared" si="1"/>
        <v>#NAME?</v>
      </c>
    </row>
    <row r="932">
      <c r="A932" s="4" t="s">
        <v>2584</v>
      </c>
      <c r="B932" s="4" t="s">
        <v>2585</v>
      </c>
      <c r="C932" s="4">
        <v>1.0</v>
      </c>
      <c r="D932" s="54" t="s">
        <v>1634</v>
      </c>
      <c r="E932" s="4" t="s">
        <v>1296</v>
      </c>
      <c r="F932" s="54" t="s">
        <v>357</v>
      </c>
      <c r="G932" s="54" t="s">
        <v>1514</v>
      </c>
      <c r="H932" s="54" t="s">
        <v>1359</v>
      </c>
      <c r="I932" s="54" t="s">
        <v>1104</v>
      </c>
      <c r="J932" s="54" t="s">
        <v>1636</v>
      </c>
      <c r="X932" s="55" t="str">
        <f t="shared" si="1"/>
        <v>#NAME?</v>
      </c>
    </row>
    <row r="933">
      <c r="A933" s="4" t="s">
        <v>2586</v>
      </c>
      <c r="B933" s="4" t="s">
        <v>2587</v>
      </c>
      <c r="C933" s="4">
        <v>1.0</v>
      </c>
      <c r="D933" s="54" t="s">
        <v>1634</v>
      </c>
      <c r="E933" s="4" t="s">
        <v>1296</v>
      </c>
      <c r="F933" s="54" t="s">
        <v>357</v>
      </c>
      <c r="G933" s="54" t="s">
        <v>1563</v>
      </c>
      <c r="H933" s="54" t="s">
        <v>1236</v>
      </c>
      <c r="I933" s="54" t="s">
        <v>1563</v>
      </c>
      <c r="J933" s="54" t="s">
        <v>1159</v>
      </c>
      <c r="X933" s="55" t="str">
        <f t="shared" si="1"/>
        <v>#NAME?</v>
      </c>
    </row>
    <row r="934">
      <c r="A934" s="4" t="s">
        <v>2588</v>
      </c>
      <c r="B934" s="4" t="s">
        <v>2589</v>
      </c>
      <c r="C934" s="4">
        <v>1.0</v>
      </c>
      <c r="D934" s="54" t="s">
        <v>1634</v>
      </c>
      <c r="E934" s="4" t="s">
        <v>1296</v>
      </c>
      <c r="F934" s="54" t="s">
        <v>357</v>
      </c>
      <c r="G934" s="54" t="s">
        <v>1104</v>
      </c>
      <c r="H934" s="54" t="s">
        <v>1639</v>
      </c>
      <c r="I934" s="54" t="s">
        <v>1516</v>
      </c>
      <c r="J934" s="54" t="s">
        <v>1639</v>
      </c>
      <c r="X934" s="55" t="str">
        <f t="shared" si="1"/>
        <v>#NAME?</v>
      </c>
    </row>
    <row r="935">
      <c r="A935" s="4" t="s">
        <v>2590</v>
      </c>
      <c r="B935" s="4" t="s">
        <v>2591</v>
      </c>
      <c r="C935" s="4">
        <v>1.0</v>
      </c>
      <c r="D935" s="54" t="s">
        <v>1641</v>
      </c>
      <c r="E935" s="4" t="s">
        <v>1088</v>
      </c>
      <c r="F935" s="54" t="s">
        <v>357</v>
      </c>
      <c r="G935" s="54" t="s">
        <v>1564</v>
      </c>
      <c r="H935" s="54" t="s">
        <v>1604</v>
      </c>
      <c r="I935" s="54" t="s">
        <v>1212</v>
      </c>
      <c r="J935" s="54" t="s">
        <v>1563</v>
      </c>
      <c r="X935" s="55" t="str">
        <f t="shared" si="1"/>
        <v>#NAME?</v>
      </c>
    </row>
    <row r="936">
      <c r="A936" s="4" t="s">
        <v>2592</v>
      </c>
      <c r="B936" s="4" t="s">
        <v>2593</v>
      </c>
      <c r="C936" s="4">
        <v>1.0</v>
      </c>
      <c r="D936" s="54" t="s">
        <v>1643</v>
      </c>
      <c r="E936" s="4" t="s">
        <v>1088</v>
      </c>
      <c r="F936" s="54" t="s">
        <v>357</v>
      </c>
      <c r="G936" s="54" t="s">
        <v>1583</v>
      </c>
      <c r="H936" s="54" t="s">
        <v>1586</v>
      </c>
      <c r="I936" s="54" t="s">
        <v>1212</v>
      </c>
      <c r="J936" s="54" t="s">
        <v>1644</v>
      </c>
      <c r="X936" s="55" t="str">
        <f t="shared" si="1"/>
        <v>#NAME?</v>
      </c>
    </row>
    <row r="937">
      <c r="A937" s="4" t="s">
        <v>2594</v>
      </c>
      <c r="B937" s="4" t="s">
        <v>2595</v>
      </c>
      <c r="C937" s="4">
        <v>1.0</v>
      </c>
      <c r="D937" s="54" t="s">
        <v>1624</v>
      </c>
      <c r="E937" s="4" t="s">
        <v>1098</v>
      </c>
      <c r="F937" s="54" t="s">
        <v>357</v>
      </c>
      <c r="G937" s="54" t="s">
        <v>1590</v>
      </c>
      <c r="H937" s="54" t="s">
        <v>1493</v>
      </c>
      <c r="I937" s="54" t="s">
        <v>1583</v>
      </c>
      <c r="J937" s="54" t="s">
        <v>1494</v>
      </c>
      <c r="X937" s="55" t="str">
        <f t="shared" si="1"/>
        <v>#NAME?</v>
      </c>
    </row>
    <row r="938">
      <c r="A938" s="4" t="s">
        <v>2596</v>
      </c>
      <c r="B938" s="4" t="s">
        <v>2597</v>
      </c>
      <c r="C938" s="4">
        <v>1.0</v>
      </c>
      <c r="D938" s="54" t="s">
        <v>1624</v>
      </c>
      <c r="E938" s="4" t="s">
        <v>1098</v>
      </c>
      <c r="F938" s="54" t="s">
        <v>357</v>
      </c>
      <c r="G938" s="54" t="s">
        <v>1590</v>
      </c>
      <c r="H938" s="54" t="s">
        <v>1625</v>
      </c>
      <c r="I938" s="54" t="s">
        <v>1242</v>
      </c>
      <c r="J938" s="54" t="s">
        <v>1556</v>
      </c>
      <c r="X938" s="55" t="str">
        <f t="shared" si="1"/>
        <v>#NAME?</v>
      </c>
    </row>
    <row r="939">
      <c r="A939" s="4" t="s">
        <v>2598</v>
      </c>
      <c r="B939" s="4" t="s">
        <v>2599</v>
      </c>
      <c r="C939" s="4">
        <v>1.0</v>
      </c>
      <c r="D939" s="54" t="s">
        <v>1646</v>
      </c>
      <c r="E939" s="4" t="s">
        <v>1098</v>
      </c>
      <c r="F939" s="54" t="s">
        <v>357</v>
      </c>
      <c r="G939" s="54" t="s">
        <v>1572</v>
      </c>
      <c r="H939" s="54" t="s">
        <v>1494</v>
      </c>
      <c r="I939" s="54" t="s">
        <v>1555</v>
      </c>
      <c r="J939" s="54" t="s">
        <v>1628</v>
      </c>
      <c r="X939" s="55" t="str">
        <f t="shared" si="1"/>
        <v>#NAME?</v>
      </c>
    </row>
    <row r="940">
      <c r="A940" s="4" t="s">
        <v>2600</v>
      </c>
      <c r="B940" s="4" t="s">
        <v>2601</v>
      </c>
      <c r="C940" s="4">
        <v>1.0</v>
      </c>
      <c r="D940" s="54" t="s">
        <v>1651</v>
      </c>
      <c r="E940" s="4" t="s">
        <v>1251</v>
      </c>
      <c r="F940" s="54" t="s">
        <v>357</v>
      </c>
      <c r="G940" s="54" t="s">
        <v>1373</v>
      </c>
      <c r="H940" s="54" t="s">
        <v>1120</v>
      </c>
      <c r="I940" s="54" t="s">
        <v>1313</v>
      </c>
      <c r="J940" s="54" t="s">
        <v>1618</v>
      </c>
      <c r="X940" s="55" t="str">
        <f t="shared" si="1"/>
        <v>#NAME?</v>
      </c>
    </row>
    <row r="941">
      <c r="A941" s="4" t="s">
        <v>2602</v>
      </c>
      <c r="B941" s="4" t="s">
        <v>2603</v>
      </c>
      <c r="C941" s="4">
        <v>1.0</v>
      </c>
      <c r="D941" s="54" t="s">
        <v>1653</v>
      </c>
      <c r="E941" s="4" t="s">
        <v>1251</v>
      </c>
      <c r="F941" s="54" t="s">
        <v>449</v>
      </c>
      <c r="G941" s="54" t="s">
        <v>1264</v>
      </c>
      <c r="H941" s="54" t="s">
        <v>1264</v>
      </c>
      <c r="I941" s="54" t="s">
        <v>1521</v>
      </c>
      <c r="J941" s="54" t="s">
        <v>1654</v>
      </c>
      <c r="X941" s="55" t="str">
        <f t="shared" si="1"/>
        <v>#NAME?</v>
      </c>
    </row>
    <row r="942">
      <c r="A942" s="4" t="s">
        <v>2604</v>
      </c>
      <c r="B942" s="4" t="s">
        <v>2605</v>
      </c>
      <c r="C942" s="4">
        <v>1.0</v>
      </c>
      <c r="D942" s="54" t="s">
        <v>1656</v>
      </c>
      <c r="E942" s="4" t="s">
        <v>1088</v>
      </c>
      <c r="F942" s="54" t="s">
        <v>449</v>
      </c>
      <c r="G942" s="54" t="s">
        <v>1555</v>
      </c>
      <c r="H942" s="54" t="s">
        <v>1227</v>
      </c>
      <c r="I942" s="54" t="s">
        <v>1657</v>
      </c>
      <c r="J942" s="54" t="s">
        <v>1658</v>
      </c>
      <c r="X942" s="55" t="str">
        <f t="shared" si="1"/>
        <v>#NAME?</v>
      </c>
    </row>
    <row r="943">
      <c r="A943" s="4" t="s">
        <v>2606</v>
      </c>
      <c r="B943" s="4" t="s">
        <v>2607</v>
      </c>
      <c r="C943" s="4">
        <v>1.0</v>
      </c>
      <c r="D943" s="54" t="s">
        <v>1660</v>
      </c>
      <c r="E943" s="4" t="s">
        <v>1088</v>
      </c>
      <c r="F943" s="54" t="s">
        <v>449</v>
      </c>
      <c r="G943" s="54" t="s">
        <v>1560</v>
      </c>
      <c r="H943" s="54" t="s">
        <v>1584</v>
      </c>
      <c r="I943" s="54" t="s">
        <v>1584</v>
      </c>
      <c r="J943" s="54" t="s">
        <v>1226</v>
      </c>
      <c r="X943" s="55" t="str">
        <f t="shared" si="1"/>
        <v>#NAME?</v>
      </c>
    </row>
    <row r="944">
      <c r="A944" s="4" t="s">
        <v>2608</v>
      </c>
      <c r="B944" s="4" t="s">
        <v>2609</v>
      </c>
      <c r="C944" s="4">
        <v>1.0</v>
      </c>
      <c r="D944" s="54" t="s">
        <v>1662</v>
      </c>
      <c r="E944" s="4" t="s">
        <v>1251</v>
      </c>
      <c r="F944" s="54" t="s">
        <v>449</v>
      </c>
      <c r="G944" s="54" t="s">
        <v>1170</v>
      </c>
      <c r="H944" s="54" t="s">
        <v>1170</v>
      </c>
      <c r="I944" s="54" t="s">
        <v>1543</v>
      </c>
      <c r="J944" s="54" t="s">
        <v>1181</v>
      </c>
      <c r="X944" s="55" t="str">
        <f t="shared" si="1"/>
        <v>#NAME?</v>
      </c>
    </row>
    <row r="945">
      <c r="A945" s="4" t="s">
        <v>2610</v>
      </c>
      <c r="B945" s="4" t="s">
        <v>2611</v>
      </c>
      <c r="C945" s="4">
        <v>1.0</v>
      </c>
      <c r="D945" s="54" t="s">
        <v>1664</v>
      </c>
      <c r="E945" s="4" t="s">
        <v>1251</v>
      </c>
      <c r="F945" s="54" t="s">
        <v>357</v>
      </c>
      <c r="G945" s="54" t="s">
        <v>1236</v>
      </c>
      <c r="H945" s="54" t="s">
        <v>1160</v>
      </c>
      <c r="I945" s="54" t="s">
        <v>1231</v>
      </c>
      <c r="J945" s="54" t="s">
        <v>1158</v>
      </c>
      <c r="X945" s="55" t="str">
        <f t="shared" si="1"/>
        <v>#NAME?</v>
      </c>
    </row>
    <row r="946">
      <c r="A946" s="4" t="s">
        <v>2612</v>
      </c>
      <c r="B946" s="4" t="s">
        <v>2613</v>
      </c>
      <c r="C946" s="4">
        <v>1.0</v>
      </c>
      <c r="D946" s="54" t="s">
        <v>797</v>
      </c>
      <c r="E946" s="4" t="s">
        <v>1251</v>
      </c>
      <c r="F946" s="54" t="s">
        <v>357</v>
      </c>
      <c r="G946" s="54" t="s">
        <v>1181</v>
      </c>
      <c r="H946" s="54" t="s">
        <v>1231</v>
      </c>
      <c r="I946" s="54" t="s">
        <v>1231</v>
      </c>
      <c r="J946" s="54" t="s">
        <v>1188</v>
      </c>
      <c r="X946" s="55" t="str">
        <f t="shared" si="1"/>
        <v>#NAME?</v>
      </c>
    </row>
    <row r="947">
      <c r="A947" s="4" t="s">
        <v>2614</v>
      </c>
      <c r="B947" s="4" t="s">
        <v>2615</v>
      </c>
      <c r="C947" s="4">
        <v>1.0</v>
      </c>
      <c r="D947" s="54" t="s">
        <v>1667</v>
      </c>
      <c r="E947" s="4" t="s">
        <v>1251</v>
      </c>
      <c r="F947" s="54" t="s">
        <v>449</v>
      </c>
      <c r="G947" s="54" t="s">
        <v>1110</v>
      </c>
      <c r="H947" s="54" t="s">
        <v>1175</v>
      </c>
      <c r="I947" s="54" t="s">
        <v>1668</v>
      </c>
      <c r="J947" s="54" t="s">
        <v>1669</v>
      </c>
      <c r="X947" s="55" t="str">
        <f t="shared" si="1"/>
        <v>#NAME?</v>
      </c>
    </row>
    <row r="948">
      <c r="A948" s="4" t="s">
        <v>2616</v>
      </c>
      <c r="B948" s="4" t="s">
        <v>2617</v>
      </c>
      <c r="C948" s="4">
        <v>1.0</v>
      </c>
      <c r="D948" s="54" t="s">
        <v>1646</v>
      </c>
      <c r="E948" s="4" t="s">
        <v>1098</v>
      </c>
      <c r="F948" s="54" t="s">
        <v>357</v>
      </c>
      <c r="G948" s="54" t="s">
        <v>1494</v>
      </c>
      <c r="H948" s="54" t="s">
        <v>1607</v>
      </c>
      <c r="I948" s="54" t="s">
        <v>1131</v>
      </c>
      <c r="J948" s="54" t="s">
        <v>1225</v>
      </c>
      <c r="X948" s="55" t="str">
        <f t="shared" si="1"/>
        <v>#NAME?</v>
      </c>
    </row>
    <row r="949">
      <c r="A949" s="4" t="s">
        <v>2618</v>
      </c>
      <c r="B949" s="4" t="s">
        <v>2619</v>
      </c>
      <c r="C949" s="4">
        <v>1.0</v>
      </c>
      <c r="D949" s="54" t="s">
        <v>1646</v>
      </c>
      <c r="E949" s="4" t="s">
        <v>1098</v>
      </c>
      <c r="F949" s="54" t="s">
        <v>357</v>
      </c>
      <c r="G949" s="54" t="s">
        <v>1649</v>
      </c>
      <c r="H949" s="54" t="s">
        <v>1628</v>
      </c>
      <c r="I949" s="54" t="s">
        <v>1555</v>
      </c>
      <c r="J949" s="54" t="s">
        <v>1555</v>
      </c>
      <c r="X949" s="55" t="str">
        <f t="shared" si="1"/>
        <v>#NAME?</v>
      </c>
    </row>
    <row r="950">
      <c r="A950" s="4" t="s">
        <v>2620</v>
      </c>
      <c r="B950" s="4" t="s">
        <v>2621</v>
      </c>
      <c r="C950" s="4">
        <v>1.0</v>
      </c>
      <c r="D950" s="54" t="s">
        <v>1502</v>
      </c>
      <c r="E950" s="4" t="s">
        <v>1088</v>
      </c>
      <c r="F950" s="54" t="s">
        <v>357</v>
      </c>
      <c r="G950" s="54" t="s">
        <v>1503</v>
      </c>
      <c r="H950" s="54" t="s">
        <v>1504</v>
      </c>
      <c r="I950" s="54" t="s">
        <v>1168</v>
      </c>
      <c r="J950" s="54" t="s">
        <v>1503</v>
      </c>
      <c r="X950" s="55" t="str">
        <f t="shared" si="1"/>
        <v>#NAME?</v>
      </c>
    </row>
    <row r="951">
      <c r="A951" s="4" t="s">
        <v>2622</v>
      </c>
      <c r="B951" s="4" t="s">
        <v>2623</v>
      </c>
      <c r="C951" s="4">
        <v>1.0</v>
      </c>
      <c r="D951" s="54" t="s">
        <v>1673</v>
      </c>
      <c r="E951" s="4" t="s">
        <v>1088</v>
      </c>
      <c r="F951" s="54" t="s">
        <v>357</v>
      </c>
      <c r="G951" s="54" t="s">
        <v>1572</v>
      </c>
      <c r="H951" s="54" t="s">
        <v>1226</v>
      </c>
      <c r="I951" s="54" t="s">
        <v>1560</v>
      </c>
      <c r="J951" s="54" t="s">
        <v>1227</v>
      </c>
      <c r="X951" s="55" t="str">
        <f t="shared" si="1"/>
        <v>#NAME?</v>
      </c>
    </row>
    <row r="952">
      <c r="A952" s="4" t="s">
        <v>2624</v>
      </c>
      <c r="B952" s="4" t="s">
        <v>2625</v>
      </c>
      <c r="C952" s="4">
        <v>1.0</v>
      </c>
      <c r="D952" s="54" t="s">
        <v>1502</v>
      </c>
      <c r="E952" s="4" t="s">
        <v>1088</v>
      </c>
      <c r="F952" s="54" t="s">
        <v>357</v>
      </c>
      <c r="G952" s="54" t="s">
        <v>1503</v>
      </c>
      <c r="H952" s="54" t="s">
        <v>1504</v>
      </c>
      <c r="I952" s="54" t="s">
        <v>1168</v>
      </c>
      <c r="J952" s="54" t="s">
        <v>1503</v>
      </c>
      <c r="X952" s="55" t="str">
        <f t="shared" si="1"/>
        <v>#NAME?</v>
      </c>
    </row>
    <row r="953">
      <c r="A953" s="4" t="s">
        <v>2626</v>
      </c>
      <c r="B953" s="4" t="s">
        <v>2627</v>
      </c>
      <c r="C953" s="4">
        <v>1.0</v>
      </c>
      <c r="D953" s="54" t="s">
        <v>1092</v>
      </c>
      <c r="E953" s="4" t="s">
        <v>1088</v>
      </c>
      <c r="F953" s="54" t="s">
        <v>449</v>
      </c>
      <c r="G953" s="54" t="s">
        <v>1102</v>
      </c>
      <c r="H953" s="54" t="s">
        <v>1111</v>
      </c>
      <c r="I953" s="54" t="s">
        <v>1529</v>
      </c>
      <c r="J953" s="54" t="s">
        <v>1093</v>
      </c>
      <c r="X953" s="55" t="str">
        <f t="shared" si="1"/>
        <v>#NAME?</v>
      </c>
    </row>
    <row r="954">
      <c r="A954" s="4" t="s">
        <v>2628</v>
      </c>
      <c r="B954" s="4" t="s">
        <v>2629</v>
      </c>
      <c r="C954" s="4">
        <v>1.0</v>
      </c>
      <c r="D954" s="54" t="s">
        <v>1095</v>
      </c>
      <c r="E954" s="4" t="s">
        <v>1088</v>
      </c>
      <c r="F954" s="54" t="s">
        <v>534</v>
      </c>
      <c r="G954" s="54" t="s">
        <v>1104</v>
      </c>
      <c r="H954" s="54" t="s">
        <v>1104</v>
      </c>
      <c r="I954" s="54" t="s">
        <v>1104</v>
      </c>
      <c r="J954" s="54" t="s">
        <v>1104</v>
      </c>
      <c r="X954" s="55" t="str">
        <f t="shared" si="1"/>
        <v>#NAME?</v>
      </c>
    </row>
    <row r="955">
      <c r="A955" s="4" t="s">
        <v>2630</v>
      </c>
      <c r="B955" s="4" t="s">
        <v>2631</v>
      </c>
      <c r="C955" s="4">
        <v>1.0</v>
      </c>
      <c r="D955" s="54" t="s">
        <v>1097</v>
      </c>
      <c r="E955" s="4" t="s">
        <v>1098</v>
      </c>
      <c r="F955" s="54" t="s">
        <v>449</v>
      </c>
      <c r="G955" s="54" t="s">
        <v>1099</v>
      </c>
      <c r="H955" s="54" t="s">
        <v>1100</v>
      </c>
      <c r="I955" s="54" t="s">
        <v>1101</v>
      </c>
      <c r="J955" s="54" t="s">
        <v>1102</v>
      </c>
      <c r="X955" s="55" t="str">
        <f t="shared" si="1"/>
        <v>#NAME?</v>
      </c>
    </row>
    <row r="956">
      <c r="A956" s="4" t="s">
        <v>2632</v>
      </c>
      <c r="B956" s="4" t="s">
        <v>2633</v>
      </c>
      <c r="C956" s="4">
        <v>1.0</v>
      </c>
      <c r="D956" s="54" t="s">
        <v>1097</v>
      </c>
      <c r="E956" s="4" t="s">
        <v>1098</v>
      </c>
      <c r="F956" s="54" t="s">
        <v>449</v>
      </c>
      <c r="G956" s="54" t="s">
        <v>1104</v>
      </c>
      <c r="H956" s="54" t="s">
        <v>1105</v>
      </c>
      <c r="I956" s="54" t="s">
        <v>1099</v>
      </c>
      <c r="J956" s="54" t="s">
        <v>1106</v>
      </c>
      <c r="X956" s="55" t="str">
        <f t="shared" si="1"/>
        <v>#NAME?</v>
      </c>
    </row>
    <row r="957">
      <c r="A957" s="4" t="s">
        <v>2634</v>
      </c>
      <c r="B957" s="4" t="s">
        <v>2635</v>
      </c>
      <c r="C957" s="4">
        <v>1.0</v>
      </c>
      <c r="D957" s="54" t="s">
        <v>1097</v>
      </c>
      <c r="E957" s="4" t="s">
        <v>1098</v>
      </c>
      <c r="F957" s="54" t="s">
        <v>449</v>
      </c>
      <c r="G957" s="54" t="s">
        <v>1108</v>
      </c>
      <c r="H957" s="54" t="s">
        <v>1109</v>
      </c>
      <c r="I957" s="54" t="s">
        <v>1110</v>
      </c>
      <c r="J957" s="54" t="s">
        <v>1111</v>
      </c>
      <c r="X957" s="55" t="str">
        <f t="shared" si="1"/>
        <v>#NAME?</v>
      </c>
    </row>
    <row r="958">
      <c r="A958" s="4" t="s">
        <v>2636</v>
      </c>
      <c r="B958" s="4" t="s">
        <v>2637</v>
      </c>
      <c r="C958" s="4">
        <v>1.0</v>
      </c>
      <c r="D958" s="54" t="s">
        <v>1113</v>
      </c>
      <c r="E958" s="4" t="s">
        <v>1088</v>
      </c>
      <c r="F958" s="54" t="s">
        <v>449</v>
      </c>
      <c r="G958" s="54" t="s">
        <v>1109</v>
      </c>
      <c r="H958" s="54" t="s">
        <v>1111</v>
      </c>
      <c r="I958" s="54" t="s">
        <v>1093</v>
      </c>
      <c r="J958" s="54" t="s">
        <v>1111</v>
      </c>
      <c r="X958" s="55" t="str">
        <f t="shared" si="1"/>
        <v>#NAME?</v>
      </c>
    </row>
    <row r="959">
      <c r="A959" s="4" t="s">
        <v>2638</v>
      </c>
      <c r="B959" s="4" t="s">
        <v>2639</v>
      </c>
      <c r="C959" s="4">
        <v>1.0</v>
      </c>
      <c r="D959" s="54" t="s">
        <v>399</v>
      </c>
      <c r="E959" s="4" t="s">
        <v>1088</v>
      </c>
      <c r="F959" s="54" t="s">
        <v>534</v>
      </c>
      <c r="G959" s="54" t="s">
        <v>1115</v>
      </c>
      <c r="H959" s="54" t="s">
        <v>1116</v>
      </c>
      <c r="I959" s="54" t="s">
        <v>1117</v>
      </c>
      <c r="J959" s="54" t="s">
        <v>1118</v>
      </c>
      <c r="X959" s="55" t="str">
        <f t="shared" si="1"/>
        <v>#NAME?</v>
      </c>
    </row>
    <row r="960">
      <c r="A960" s="4" t="s">
        <v>2640</v>
      </c>
      <c r="B960" s="4" t="s">
        <v>2641</v>
      </c>
      <c r="C960" s="4">
        <v>1.0</v>
      </c>
      <c r="D960" s="54" t="s">
        <v>399</v>
      </c>
      <c r="E960" s="4" t="s">
        <v>1088</v>
      </c>
      <c r="F960" s="54" t="s">
        <v>534</v>
      </c>
      <c r="G960" s="54" t="s">
        <v>1120</v>
      </c>
      <c r="H960" s="54" t="s">
        <v>1121</v>
      </c>
      <c r="I960" s="54" t="s">
        <v>1122</v>
      </c>
      <c r="J960" s="54" t="s">
        <v>1123</v>
      </c>
      <c r="X960" s="55" t="str">
        <f t="shared" si="1"/>
        <v>#NAME?</v>
      </c>
    </row>
    <row r="961">
      <c r="A961" s="4" t="s">
        <v>2642</v>
      </c>
      <c r="B961" s="4" t="s">
        <v>2643</v>
      </c>
      <c r="C961" s="4">
        <v>1.0</v>
      </c>
      <c r="D961" s="54" t="s">
        <v>626</v>
      </c>
      <c r="E961" s="4" t="s">
        <v>1098</v>
      </c>
      <c r="F961" s="54" t="s">
        <v>534</v>
      </c>
      <c r="G961" s="54" t="s">
        <v>1170</v>
      </c>
      <c r="H961" s="54" t="s">
        <v>1171</v>
      </c>
      <c r="I961" s="54" t="s">
        <v>1172</v>
      </c>
      <c r="J961" s="54" t="s">
        <v>1173</v>
      </c>
      <c r="X961" s="55" t="str">
        <f t="shared" si="1"/>
        <v>#NAME?</v>
      </c>
    </row>
    <row r="962">
      <c r="A962" s="4" t="s">
        <v>2644</v>
      </c>
      <c r="B962" s="4" t="s">
        <v>2645</v>
      </c>
      <c r="C962" s="4">
        <v>1.0</v>
      </c>
      <c r="D962" s="54" t="s">
        <v>405</v>
      </c>
      <c r="E962" s="4" t="s">
        <v>1088</v>
      </c>
      <c r="F962" s="54" t="s">
        <v>534</v>
      </c>
      <c r="G962" s="54" t="s">
        <v>1125</v>
      </c>
      <c r="H962" s="54" t="s">
        <v>1126</v>
      </c>
      <c r="I962" s="54" t="s">
        <v>1127</v>
      </c>
      <c r="J962" s="54" t="s">
        <v>1125</v>
      </c>
      <c r="X962" s="55" t="str">
        <f t="shared" si="1"/>
        <v>#NAME?</v>
      </c>
    </row>
    <row r="963">
      <c r="A963" s="4" t="s">
        <v>2646</v>
      </c>
      <c r="B963" s="4" t="s">
        <v>2647</v>
      </c>
      <c r="C963" s="4">
        <v>1.0</v>
      </c>
      <c r="D963" s="54" t="s">
        <v>443</v>
      </c>
      <c r="E963" s="4" t="s">
        <v>1088</v>
      </c>
      <c r="F963" s="54" t="s">
        <v>534</v>
      </c>
      <c r="G963" s="54" t="s">
        <v>1134</v>
      </c>
      <c r="H963" s="54" t="s">
        <v>1135</v>
      </c>
      <c r="I963" s="54" t="s">
        <v>1118</v>
      </c>
      <c r="J963" s="54" t="s">
        <v>1123</v>
      </c>
      <c r="X963" s="55" t="str">
        <f t="shared" si="1"/>
        <v>#NAME?</v>
      </c>
    </row>
    <row r="964">
      <c r="A964" s="4" t="s">
        <v>2648</v>
      </c>
      <c r="B964" s="4" t="s">
        <v>2649</v>
      </c>
      <c r="C964" s="4">
        <v>1.0</v>
      </c>
      <c r="D964" s="54" t="s">
        <v>357</v>
      </c>
      <c r="E964" s="4" t="s">
        <v>1088</v>
      </c>
      <c r="F964" s="54" t="s">
        <v>534</v>
      </c>
      <c r="G964" s="54" t="s">
        <v>1137</v>
      </c>
      <c r="H964" s="54" t="s">
        <v>1138</v>
      </c>
      <c r="I964" s="54" t="s">
        <v>1139</v>
      </c>
      <c r="J964" s="54" t="s">
        <v>1140</v>
      </c>
      <c r="X964" s="55" t="str">
        <f t="shared" si="1"/>
        <v>#NAME?</v>
      </c>
    </row>
    <row r="965">
      <c r="A965" s="4" t="s">
        <v>2650</v>
      </c>
      <c r="B965" s="4" t="s">
        <v>2651</v>
      </c>
      <c r="C965" s="4">
        <v>1.0</v>
      </c>
      <c r="D965" s="54" t="s">
        <v>529</v>
      </c>
      <c r="E965" s="4" t="s">
        <v>1088</v>
      </c>
      <c r="F965" s="54" t="s">
        <v>534</v>
      </c>
      <c r="G965" s="54" t="s">
        <v>1142</v>
      </c>
      <c r="H965" s="54" t="s">
        <v>1143</v>
      </c>
      <c r="I965" s="54" t="s">
        <v>1140</v>
      </c>
      <c r="J965" s="54" t="s">
        <v>1144</v>
      </c>
      <c r="X965" s="55" t="str">
        <f t="shared" si="1"/>
        <v>#NAME?</v>
      </c>
    </row>
    <row r="966">
      <c r="A966" s="4" t="s">
        <v>2652</v>
      </c>
      <c r="B966" s="4" t="s">
        <v>2653</v>
      </c>
      <c r="C966" s="4">
        <v>1.0</v>
      </c>
      <c r="D966" s="54" t="s">
        <v>534</v>
      </c>
      <c r="E966" s="4" t="s">
        <v>1088</v>
      </c>
      <c r="F966" s="54" t="s">
        <v>534</v>
      </c>
      <c r="G966" s="54" t="s">
        <v>1117</v>
      </c>
      <c r="H966" s="54" t="s">
        <v>1139</v>
      </c>
      <c r="I966" s="54" t="s">
        <v>1135</v>
      </c>
      <c r="J966" s="54" t="s">
        <v>1139</v>
      </c>
      <c r="X966" s="55" t="str">
        <f t="shared" si="1"/>
        <v>#NAME?</v>
      </c>
    </row>
    <row r="967">
      <c r="A967" s="4" t="s">
        <v>2654</v>
      </c>
      <c r="B967" s="4" t="s">
        <v>2655</v>
      </c>
      <c r="C967" s="4">
        <v>1.0</v>
      </c>
      <c r="D967" s="54" t="s">
        <v>540</v>
      </c>
      <c r="E967" s="4" t="s">
        <v>1088</v>
      </c>
      <c r="F967" s="54" t="s">
        <v>534</v>
      </c>
      <c r="G967" s="54" t="s">
        <v>1135</v>
      </c>
      <c r="H967" s="54" t="s">
        <v>1147</v>
      </c>
      <c r="I967" s="54" t="s">
        <v>1135</v>
      </c>
      <c r="J967" s="54" t="s">
        <v>1148</v>
      </c>
      <c r="X967" s="55" t="str">
        <f t="shared" si="1"/>
        <v>#NAME?</v>
      </c>
    </row>
    <row r="968">
      <c r="A968" s="4" t="s">
        <v>2656</v>
      </c>
      <c r="B968" s="4" t="s">
        <v>2657</v>
      </c>
      <c r="C968" s="4">
        <v>1.0</v>
      </c>
      <c r="D968" s="54" t="s">
        <v>546</v>
      </c>
      <c r="E968" s="4" t="s">
        <v>1088</v>
      </c>
      <c r="F968" s="54" t="s">
        <v>534</v>
      </c>
      <c r="G968" s="54" t="s">
        <v>1150</v>
      </c>
      <c r="H968" s="54" t="s">
        <v>1151</v>
      </c>
      <c r="I968" s="54" t="s">
        <v>1152</v>
      </c>
      <c r="J968" s="54" t="s">
        <v>1123</v>
      </c>
      <c r="X968" s="55" t="str">
        <f t="shared" si="1"/>
        <v>#NAME?</v>
      </c>
    </row>
    <row r="969">
      <c r="A969" s="4" t="s">
        <v>2658</v>
      </c>
      <c r="B969" s="4" t="s">
        <v>2659</v>
      </c>
      <c r="C969" s="4">
        <v>1.0</v>
      </c>
      <c r="D969" s="54" t="s">
        <v>546</v>
      </c>
      <c r="E969" s="4" t="s">
        <v>1088</v>
      </c>
      <c r="F969" s="54" t="s">
        <v>534</v>
      </c>
      <c r="G969" s="54" t="s">
        <v>1154</v>
      </c>
      <c r="H969" s="54" t="s">
        <v>1155</v>
      </c>
      <c r="I969" s="54" t="s">
        <v>1156</v>
      </c>
      <c r="J969" s="54" t="s">
        <v>1110</v>
      </c>
      <c r="X969" s="55" t="str">
        <f t="shared" si="1"/>
        <v>#NAME?</v>
      </c>
    </row>
    <row r="970">
      <c r="A970" s="4" t="s">
        <v>2660</v>
      </c>
      <c r="B970" s="4" t="s">
        <v>2661</v>
      </c>
      <c r="C970" s="4">
        <v>1.0</v>
      </c>
      <c r="D970" s="54" t="s">
        <v>573</v>
      </c>
      <c r="E970" s="4" t="s">
        <v>1088</v>
      </c>
      <c r="F970" s="54" t="s">
        <v>534</v>
      </c>
      <c r="G970" s="54" t="s">
        <v>1158</v>
      </c>
      <c r="H970" s="54" t="s">
        <v>1159</v>
      </c>
      <c r="I970" s="54" t="s">
        <v>1160</v>
      </c>
      <c r="J970" s="54" t="s">
        <v>1161</v>
      </c>
      <c r="X970" s="55" t="str">
        <f t="shared" si="1"/>
        <v>#NAME?</v>
      </c>
    </row>
    <row r="971">
      <c r="A971" s="4" t="s">
        <v>2662</v>
      </c>
      <c r="B971" s="4" t="s">
        <v>2663</v>
      </c>
      <c r="C971" s="4">
        <v>1.0</v>
      </c>
      <c r="D971" s="54" t="s">
        <v>573</v>
      </c>
      <c r="E971" s="4" t="s">
        <v>1088</v>
      </c>
      <c r="F971" s="54" t="s">
        <v>534</v>
      </c>
      <c r="G971" s="54" t="s">
        <v>1090</v>
      </c>
      <c r="H971" s="54" t="s">
        <v>1163</v>
      </c>
      <c r="I971" s="54" t="s">
        <v>1150</v>
      </c>
      <c r="J971" s="54" t="s">
        <v>1118</v>
      </c>
      <c r="X971" s="55" t="str">
        <f t="shared" si="1"/>
        <v>#NAME?</v>
      </c>
    </row>
    <row r="972">
      <c r="A972" s="4" t="s">
        <v>2664</v>
      </c>
      <c r="B972" s="4" t="s">
        <v>2665</v>
      </c>
      <c r="C972" s="4">
        <v>1.0</v>
      </c>
      <c r="D972" s="54" t="s">
        <v>292</v>
      </c>
      <c r="E972" s="4" t="s">
        <v>1088</v>
      </c>
      <c r="F972" s="54" t="s">
        <v>534</v>
      </c>
      <c r="G972" s="54" t="s">
        <v>1276</v>
      </c>
      <c r="H972" s="54" t="s">
        <v>1138</v>
      </c>
      <c r="I972" s="54" t="s">
        <v>1089</v>
      </c>
      <c r="J972" s="54" t="s">
        <v>1090</v>
      </c>
      <c r="X972" s="55" t="str">
        <f t="shared" si="1"/>
        <v>#NAME?</v>
      </c>
    </row>
    <row r="973">
      <c r="A973" s="4" t="s">
        <v>2666</v>
      </c>
      <c r="B973" s="4" t="s">
        <v>2667</v>
      </c>
      <c r="C973" s="4">
        <v>1.0</v>
      </c>
      <c r="D973" s="54" t="s">
        <v>611</v>
      </c>
      <c r="E973" s="4" t="s">
        <v>1088</v>
      </c>
      <c r="F973" s="54" t="s">
        <v>534</v>
      </c>
      <c r="G973" s="54" t="s">
        <v>1165</v>
      </c>
      <c r="H973" s="54" t="s">
        <v>1166</v>
      </c>
      <c r="I973" s="54" t="s">
        <v>1167</v>
      </c>
      <c r="J973" s="54" t="s">
        <v>1168</v>
      </c>
      <c r="X973" s="55" t="str">
        <f t="shared" si="1"/>
        <v>#NAME?</v>
      </c>
    </row>
    <row r="974">
      <c r="A974" s="4" t="s">
        <v>2668</v>
      </c>
      <c r="B974" s="4" t="s">
        <v>2669</v>
      </c>
      <c r="C974" s="4">
        <v>1.0</v>
      </c>
      <c r="D974" s="54" t="s">
        <v>626</v>
      </c>
      <c r="E974" s="4" t="s">
        <v>1098</v>
      </c>
      <c r="F974" s="54" t="s">
        <v>534</v>
      </c>
      <c r="G974" s="54" t="s">
        <v>1175</v>
      </c>
      <c r="H974" s="54" t="s">
        <v>1176</v>
      </c>
      <c r="I974" s="54" t="s">
        <v>1177</v>
      </c>
      <c r="J974" s="54" t="s">
        <v>1109</v>
      </c>
      <c r="X974" s="55" t="str">
        <f t="shared" si="1"/>
        <v>#NAME?</v>
      </c>
    </row>
    <row r="975">
      <c r="A975" s="4" t="s">
        <v>2670</v>
      </c>
      <c r="B975" s="4" t="s">
        <v>2671</v>
      </c>
      <c r="C975" s="4">
        <v>1.0</v>
      </c>
      <c r="D975" s="54" t="s">
        <v>971</v>
      </c>
      <c r="E975" s="4" t="s">
        <v>1088</v>
      </c>
      <c r="F975" s="54" t="s">
        <v>534</v>
      </c>
      <c r="G975" s="54" t="s">
        <v>1219</v>
      </c>
      <c r="H975" s="54" t="s">
        <v>1216</v>
      </c>
      <c r="I975" s="54" t="s">
        <v>1109</v>
      </c>
      <c r="J975" s="54" t="s">
        <v>1159</v>
      </c>
      <c r="X975" s="55" t="str">
        <f t="shared" si="1"/>
        <v>#NAME?</v>
      </c>
    </row>
    <row r="976">
      <c r="A976" s="4" t="s">
        <v>2672</v>
      </c>
      <c r="B976" s="4" t="s">
        <v>2673</v>
      </c>
      <c r="C976" s="4">
        <v>1.0</v>
      </c>
      <c r="D976" s="54" t="s">
        <v>637</v>
      </c>
      <c r="E976" s="4" t="s">
        <v>1088</v>
      </c>
      <c r="F976" s="54" t="s">
        <v>534</v>
      </c>
      <c r="G976" s="54" t="s">
        <v>1188</v>
      </c>
      <c r="H976" s="54" t="s">
        <v>1189</v>
      </c>
      <c r="I976" s="54" t="s">
        <v>1176</v>
      </c>
      <c r="J976" s="54" t="s">
        <v>1155</v>
      </c>
      <c r="X976" s="55" t="str">
        <f t="shared" si="1"/>
        <v>#NAME?</v>
      </c>
    </row>
    <row r="977">
      <c r="A977" s="4" t="s">
        <v>2674</v>
      </c>
      <c r="B977" s="4" t="s">
        <v>2675</v>
      </c>
      <c r="C977" s="4">
        <v>1.0</v>
      </c>
      <c r="D977" s="54" t="s">
        <v>274</v>
      </c>
      <c r="E977" s="4" t="s">
        <v>1191</v>
      </c>
      <c r="F977" s="54" t="s">
        <v>534</v>
      </c>
      <c r="G977" s="54" t="s">
        <v>1192</v>
      </c>
      <c r="H977" s="54" t="s">
        <v>1193</v>
      </c>
      <c r="I977" s="54" t="s">
        <v>1122</v>
      </c>
      <c r="J977" s="54" t="s">
        <v>1194</v>
      </c>
      <c r="X977" s="55" t="str">
        <f t="shared" si="1"/>
        <v>#NAME?</v>
      </c>
    </row>
    <row r="978">
      <c r="A978" s="4" t="s">
        <v>2676</v>
      </c>
      <c r="B978" s="4" t="s">
        <v>2677</v>
      </c>
      <c r="C978" s="4">
        <v>1.0</v>
      </c>
      <c r="D978" s="54" t="s">
        <v>274</v>
      </c>
      <c r="E978" s="4" t="s">
        <v>1191</v>
      </c>
      <c r="F978" s="54" t="s">
        <v>534</v>
      </c>
      <c r="G978" s="54" t="s">
        <v>1196</v>
      </c>
      <c r="H978" s="54" t="s">
        <v>1197</v>
      </c>
      <c r="I978" s="54" t="s">
        <v>1138</v>
      </c>
      <c r="J978" s="54" t="s">
        <v>1198</v>
      </c>
      <c r="X978" s="55" t="str">
        <f t="shared" si="1"/>
        <v>#NAME?</v>
      </c>
    </row>
    <row r="979">
      <c r="A979" s="4" t="s">
        <v>2678</v>
      </c>
      <c r="B979" s="4" t="s">
        <v>2679</v>
      </c>
      <c r="C979" s="4">
        <v>1.0</v>
      </c>
      <c r="D979" s="54" t="s">
        <v>274</v>
      </c>
      <c r="E979" s="4" t="s">
        <v>1191</v>
      </c>
      <c r="F979" s="54" t="s">
        <v>534</v>
      </c>
      <c r="G979" s="54" t="s">
        <v>1200</v>
      </c>
      <c r="H979" s="54" t="s">
        <v>1160</v>
      </c>
      <c r="I979" s="54" t="s">
        <v>1201</v>
      </c>
      <c r="J979" s="54" t="s">
        <v>1200</v>
      </c>
      <c r="X979" s="55" t="str">
        <f t="shared" si="1"/>
        <v>#NAME?</v>
      </c>
    </row>
    <row r="980">
      <c r="A980" s="4" t="s">
        <v>2680</v>
      </c>
      <c r="B980" s="4" t="s">
        <v>2681</v>
      </c>
      <c r="C980" s="4">
        <v>1.0</v>
      </c>
      <c r="D980" s="54" t="s">
        <v>274</v>
      </c>
      <c r="E980" s="4" t="s">
        <v>1191</v>
      </c>
      <c r="F980" s="54" t="s">
        <v>534</v>
      </c>
      <c r="G980" s="54" t="s">
        <v>1203</v>
      </c>
      <c r="H980" s="54" t="s">
        <v>1204</v>
      </c>
      <c r="I980" s="54" t="s">
        <v>1205</v>
      </c>
      <c r="J980" s="54" t="s">
        <v>1198</v>
      </c>
      <c r="X980" s="55" t="str">
        <f t="shared" si="1"/>
        <v>#NAME?</v>
      </c>
    </row>
    <row r="981">
      <c r="A981" s="4" t="s">
        <v>2682</v>
      </c>
      <c r="B981" s="4" t="s">
        <v>2683</v>
      </c>
      <c r="C981" s="4">
        <v>1.0</v>
      </c>
      <c r="D981" s="54" t="s">
        <v>673</v>
      </c>
      <c r="E981" s="4" t="s">
        <v>1088</v>
      </c>
      <c r="F981" s="54" t="s">
        <v>534</v>
      </c>
      <c r="G981" s="54" t="s">
        <v>1161</v>
      </c>
      <c r="H981" s="54" t="s">
        <v>1207</v>
      </c>
      <c r="I981" s="54" t="s">
        <v>1185</v>
      </c>
      <c r="J981" s="54" t="s">
        <v>1208</v>
      </c>
      <c r="X981" s="55" t="str">
        <f t="shared" si="1"/>
        <v>#NAME?</v>
      </c>
    </row>
    <row r="982">
      <c r="A982" s="4" t="s">
        <v>2684</v>
      </c>
      <c r="B982" s="4" t="s">
        <v>2685</v>
      </c>
      <c r="C982" s="4">
        <v>1.0</v>
      </c>
      <c r="D982" s="54" t="s">
        <v>683</v>
      </c>
      <c r="E982" s="4" t="s">
        <v>1088</v>
      </c>
      <c r="F982" s="54" t="s">
        <v>534</v>
      </c>
      <c r="G982" s="54" t="s">
        <v>1207</v>
      </c>
      <c r="H982" s="54" t="s">
        <v>1154</v>
      </c>
      <c r="I982" s="54" t="s">
        <v>1110</v>
      </c>
      <c r="J982" s="54" t="s">
        <v>1210</v>
      </c>
      <c r="X982" s="55" t="str">
        <f t="shared" si="1"/>
        <v>#NAME?</v>
      </c>
    </row>
    <row r="983">
      <c r="A983" s="4" t="s">
        <v>2686</v>
      </c>
      <c r="B983" s="4" t="s">
        <v>2687</v>
      </c>
      <c r="C983" s="4">
        <v>1.0</v>
      </c>
      <c r="D983" s="54" t="s">
        <v>694</v>
      </c>
      <c r="E983" s="4" t="s">
        <v>1098</v>
      </c>
      <c r="F983" s="54" t="s">
        <v>534</v>
      </c>
      <c r="G983" s="54" t="s">
        <v>1175</v>
      </c>
      <c r="H983" s="54" t="s">
        <v>1130</v>
      </c>
      <c r="I983" s="54" t="s">
        <v>1212</v>
      </c>
      <c r="J983" s="54" t="s">
        <v>1213</v>
      </c>
      <c r="X983" s="55" t="str">
        <f t="shared" si="1"/>
        <v>#NAME?</v>
      </c>
    </row>
    <row r="984">
      <c r="A984" s="4" t="s">
        <v>2688</v>
      </c>
      <c r="B984" s="4" t="s">
        <v>2689</v>
      </c>
      <c r="C984" s="4">
        <v>1.0</v>
      </c>
      <c r="D984" s="54" t="s">
        <v>626</v>
      </c>
      <c r="E984" s="4" t="s">
        <v>1098</v>
      </c>
      <c r="F984" s="54" t="s">
        <v>534</v>
      </c>
      <c r="G984" s="54" t="s">
        <v>1179</v>
      </c>
      <c r="H984" s="54" t="s">
        <v>1180</v>
      </c>
      <c r="I984" s="54" t="s">
        <v>1158</v>
      </c>
      <c r="J984" s="54" t="s">
        <v>1181</v>
      </c>
      <c r="X984" s="55" t="str">
        <f t="shared" si="1"/>
        <v>#NAME?</v>
      </c>
    </row>
    <row r="985">
      <c r="A985" s="4" t="s">
        <v>2690</v>
      </c>
      <c r="B985" s="4" t="s">
        <v>2691</v>
      </c>
      <c r="C985" s="4">
        <v>1.0</v>
      </c>
      <c r="D985" s="54" t="s">
        <v>449</v>
      </c>
      <c r="E985" s="4" t="s">
        <v>1088</v>
      </c>
      <c r="F985" s="54" t="s">
        <v>534</v>
      </c>
      <c r="G985" s="54" t="s">
        <v>1129</v>
      </c>
      <c r="H985" s="54" t="s">
        <v>1130</v>
      </c>
      <c r="I985" s="54" t="s">
        <v>1131</v>
      </c>
      <c r="J985" s="54" t="s">
        <v>1132</v>
      </c>
      <c r="X985" s="55" t="str">
        <f t="shared" si="1"/>
        <v>#NAME?</v>
      </c>
    </row>
    <row r="986">
      <c r="A986" s="4" t="s">
        <v>2692</v>
      </c>
      <c r="B986" s="4" t="s">
        <v>2693</v>
      </c>
      <c r="C986" s="4">
        <v>1.0</v>
      </c>
      <c r="D986" s="54" t="s">
        <v>694</v>
      </c>
      <c r="E986" s="4" t="s">
        <v>1098</v>
      </c>
      <c r="F986" s="54" t="s">
        <v>534</v>
      </c>
      <c r="G986" s="54" t="s">
        <v>1111</v>
      </c>
      <c r="H986" s="54" t="s">
        <v>1215</v>
      </c>
      <c r="I986" s="54" t="s">
        <v>1185</v>
      </c>
      <c r="J986" s="54" t="s">
        <v>1216</v>
      </c>
      <c r="X986" s="55" t="str">
        <f t="shared" si="1"/>
        <v>#NAME?</v>
      </c>
    </row>
    <row r="987">
      <c r="A987" s="4" t="s">
        <v>2694</v>
      </c>
      <c r="B987" s="4" t="s">
        <v>2695</v>
      </c>
      <c r="C987" s="4">
        <v>1.0</v>
      </c>
      <c r="D987" s="54" t="s">
        <v>421</v>
      </c>
      <c r="E987" s="4" t="s">
        <v>1088</v>
      </c>
      <c r="F987" s="54" t="s">
        <v>534</v>
      </c>
      <c r="G987" s="54" t="s">
        <v>1225</v>
      </c>
      <c r="H987" s="54" t="s">
        <v>1226</v>
      </c>
      <c r="I987" s="54" t="s">
        <v>1227</v>
      </c>
      <c r="J987" s="54" t="s">
        <v>1228</v>
      </c>
      <c r="X987" s="55" t="str">
        <f t="shared" si="1"/>
        <v>#NAME?</v>
      </c>
    </row>
    <row r="988">
      <c r="A988" s="4" t="s">
        <v>2696</v>
      </c>
      <c r="B988" s="4" t="s">
        <v>2697</v>
      </c>
      <c r="C988" s="4">
        <v>1.0</v>
      </c>
      <c r="D988" s="54" t="s">
        <v>737</v>
      </c>
      <c r="E988" s="4" t="s">
        <v>1191</v>
      </c>
      <c r="F988" s="54" t="s">
        <v>534</v>
      </c>
      <c r="G988" s="54" t="s">
        <v>1111</v>
      </c>
      <c r="H988" s="54" t="s">
        <v>1216</v>
      </c>
      <c r="I988" s="54" t="s">
        <v>1093</v>
      </c>
      <c r="J988" s="54" t="s">
        <v>1102</v>
      </c>
      <c r="X988" s="55" t="str">
        <f t="shared" si="1"/>
        <v>#NAME?</v>
      </c>
    </row>
    <row r="989">
      <c r="A989" s="4" t="s">
        <v>2698</v>
      </c>
      <c r="B989" s="4" t="s">
        <v>2699</v>
      </c>
      <c r="C989" s="4">
        <v>1.0</v>
      </c>
      <c r="D989" s="54" t="s">
        <v>737</v>
      </c>
      <c r="E989" s="4" t="s">
        <v>1191</v>
      </c>
      <c r="F989" s="54" t="s">
        <v>534</v>
      </c>
      <c r="G989" s="54" t="s">
        <v>1111</v>
      </c>
      <c r="H989" s="54" t="s">
        <v>1231</v>
      </c>
      <c r="I989" s="54" t="s">
        <v>1232</v>
      </c>
      <c r="J989" s="54" t="s">
        <v>1233</v>
      </c>
      <c r="X989" s="55" t="str">
        <f t="shared" si="1"/>
        <v>#NAME?</v>
      </c>
    </row>
    <row r="990">
      <c r="A990" s="4" t="s">
        <v>2700</v>
      </c>
      <c r="B990" s="4" t="s">
        <v>2701</v>
      </c>
      <c r="C990" s="4">
        <v>1.0</v>
      </c>
      <c r="D990" s="54" t="s">
        <v>737</v>
      </c>
      <c r="E990" s="4" t="s">
        <v>1191</v>
      </c>
      <c r="F990" s="54" t="s">
        <v>534</v>
      </c>
      <c r="G990" s="54" t="s">
        <v>1235</v>
      </c>
      <c r="H990" s="54" t="s">
        <v>1236</v>
      </c>
      <c r="I990" s="54" t="s">
        <v>1215</v>
      </c>
      <c r="J990" s="54" t="s">
        <v>1179</v>
      </c>
      <c r="X990" s="55" t="str">
        <f t="shared" si="1"/>
        <v>#NAME?</v>
      </c>
    </row>
    <row r="991">
      <c r="A991" s="4" t="s">
        <v>2702</v>
      </c>
      <c r="B991" s="4" t="s">
        <v>2703</v>
      </c>
      <c r="C991" s="4">
        <v>1.0</v>
      </c>
      <c r="D991" s="54" t="s">
        <v>737</v>
      </c>
      <c r="E991" s="4" t="s">
        <v>1191</v>
      </c>
      <c r="F991" s="54" t="s">
        <v>534</v>
      </c>
      <c r="G991" s="54" t="s">
        <v>1238</v>
      </c>
      <c r="H991" s="54" t="s">
        <v>1233</v>
      </c>
      <c r="I991" s="54" t="s">
        <v>1238</v>
      </c>
      <c r="J991" s="54" t="s">
        <v>1233</v>
      </c>
      <c r="X991" s="55" t="str">
        <f t="shared" si="1"/>
        <v>#NAME?</v>
      </c>
    </row>
    <row r="992">
      <c r="A992" s="4" t="s">
        <v>2704</v>
      </c>
      <c r="B992" s="4" t="s">
        <v>2705</v>
      </c>
      <c r="C992" s="4">
        <v>1.0</v>
      </c>
      <c r="D992" s="54" t="s">
        <v>807</v>
      </c>
      <c r="E992" s="4" t="s">
        <v>1088</v>
      </c>
      <c r="F992" s="54" t="s">
        <v>534</v>
      </c>
      <c r="G992" s="54" t="s">
        <v>1240</v>
      </c>
      <c r="H992" s="54" t="s">
        <v>1100</v>
      </c>
      <c r="I992" s="54" t="s">
        <v>1241</v>
      </c>
      <c r="J992" s="54" t="s">
        <v>1242</v>
      </c>
      <c r="X992" s="55" t="str">
        <f t="shared" si="1"/>
        <v>#NAME?</v>
      </c>
    </row>
    <row r="993">
      <c r="A993" s="4" t="s">
        <v>2706</v>
      </c>
      <c r="B993" s="4" t="s">
        <v>2707</v>
      </c>
      <c r="C993" s="4">
        <v>1.0</v>
      </c>
      <c r="D993" s="54" t="s">
        <v>963</v>
      </c>
      <c r="E993" s="4" t="s">
        <v>1088</v>
      </c>
      <c r="F993" s="54" t="s">
        <v>534</v>
      </c>
      <c r="G993" s="54" t="s">
        <v>1244</v>
      </c>
      <c r="H993" s="54" t="s">
        <v>1215</v>
      </c>
      <c r="I993" s="54" t="s">
        <v>1244</v>
      </c>
      <c r="J993" s="54" t="s">
        <v>1245</v>
      </c>
      <c r="X993" s="55" t="str">
        <f t="shared" si="1"/>
        <v>#NAME?</v>
      </c>
    </row>
    <row r="994">
      <c r="A994" s="4" t="s">
        <v>2708</v>
      </c>
      <c r="B994" s="4" t="s">
        <v>2709</v>
      </c>
      <c r="C994" s="4">
        <v>1.0</v>
      </c>
      <c r="D994" s="54" t="s">
        <v>963</v>
      </c>
      <c r="E994" s="4" t="s">
        <v>1088</v>
      </c>
      <c r="F994" s="54" t="s">
        <v>534</v>
      </c>
      <c r="G994" s="54" t="s">
        <v>1247</v>
      </c>
      <c r="H994" s="54" t="s">
        <v>1181</v>
      </c>
      <c r="I994" s="54" t="s">
        <v>1248</v>
      </c>
      <c r="J994" s="54" t="s">
        <v>1238</v>
      </c>
      <c r="X994" s="55" t="str">
        <f t="shared" si="1"/>
        <v>#NAME?</v>
      </c>
    </row>
    <row r="995">
      <c r="A995" s="4" t="s">
        <v>2710</v>
      </c>
      <c r="B995" s="4" t="s">
        <v>2711</v>
      </c>
      <c r="C995" s="4">
        <v>1.0</v>
      </c>
      <c r="D995" s="54" t="s">
        <v>694</v>
      </c>
      <c r="E995" s="4" t="s">
        <v>1098</v>
      </c>
      <c r="F995" s="54" t="s">
        <v>534</v>
      </c>
      <c r="G995" s="54" t="s">
        <v>1218</v>
      </c>
      <c r="H995" s="54" t="s">
        <v>1184</v>
      </c>
      <c r="I995" s="54" t="s">
        <v>1110</v>
      </c>
      <c r="J995" s="54" t="s">
        <v>1219</v>
      </c>
      <c r="X995" s="55" t="str">
        <f t="shared" si="1"/>
        <v>#NAME?</v>
      </c>
    </row>
    <row r="996">
      <c r="A996" s="4" t="s">
        <v>2712</v>
      </c>
      <c r="B996" s="4" t="s">
        <v>2713</v>
      </c>
      <c r="C996" s="4">
        <v>1.0</v>
      </c>
      <c r="D996" s="54" t="s">
        <v>287</v>
      </c>
      <c r="E996" s="4" t="s">
        <v>1088</v>
      </c>
      <c r="F996" s="54" t="s">
        <v>534</v>
      </c>
      <c r="G996" s="54" t="s">
        <v>1221</v>
      </c>
      <c r="H996" s="54" t="s">
        <v>1222</v>
      </c>
      <c r="I996" s="54" t="s">
        <v>1222</v>
      </c>
      <c r="J996" s="54" t="s">
        <v>1223</v>
      </c>
      <c r="X996" s="55" t="str">
        <f t="shared" si="1"/>
        <v>#NAME?</v>
      </c>
    </row>
    <row r="997">
      <c r="A997" s="4" t="s">
        <v>2714</v>
      </c>
      <c r="B997" s="4" t="s">
        <v>2715</v>
      </c>
      <c r="C997" s="4">
        <v>1.0</v>
      </c>
      <c r="D997" s="4" t="s">
        <v>1421</v>
      </c>
      <c r="E997" s="4" t="s">
        <v>1088</v>
      </c>
      <c r="F997" s="54" t="s">
        <v>534</v>
      </c>
      <c r="G997" s="54" t="s">
        <v>1139</v>
      </c>
      <c r="H997" s="54" t="s">
        <v>1134</v>
      </c>
      <c r="I997" s="54" t="s">
        <v>1405</v>
      </c>
      <c r="J997" s="54" t="s">
        <v>1150</v>
      </c>
      <c r="X997" s="55" t="str">
        <f t="shared" si="1"/>
        <v>#NAME?</v>
      </c>
    </row>
    <row r="998">
      <c r="A998" s="4" t="s">
        <v>2716</v>
      </c>
      <c r="B998" s="4" t="s">
        <v>2717</v>
      </c>
      <c r="C998" s="4">
        <v>1.0</v>
      </c>
      <c r="D998" s="54" t="s">
        <v>809</v>
      </c>
      <c r="E998" s="4" t="s">
        <v>1251</v>
      </c>
      <c r="F998" s="54" t="s">
        <v>534</v>
      </c>
      <c r="G998" s="54" t="s">
        <v>1252</v>
      </c>
      <c r="H998" s="54" t="s">
        <v>1253</v>
      </c>
      <c r="I998" s="54" t="s">
        <v>1173</v>
      </c>
      <c r="J998" s="54" t="s">
        <v>1254</v>
      </c>
      <c r="X998" s="55" t="str">
        <f t="shared" si="1"/>
        <v>#NAME?</v>
      </c>
    </row>
    <row r="999">
      <c r="A999" s="4" t="s">
        <v>2718</v>
      </c>
      <c r="B999" s="4" t="s">
        <v>2719</v>
      </c>
      <c r="C999" s="4">
        <v>1.0</v>
      </c>
      <c r="D999" s="4" t="s">
        <v>1261</v>
      </c>
      <c r="E999" s="4" t="s">
        <v>1251</v>
      </c>
      <c r="F999" s="54" t="s">
        <v>534</v>
      </c>
      <c r="G999" s="54" t="s">
        <v>1262</v>
      </c>
      <c r="H999" s="54" t="s">
        <v>1263</v>
      </c>
      <c r="I999" s="54" t="s">
        <v>1264</v>
      </c>
      <c r="J999" s="54" t="s">
        <v>1265</v>
      </c>
      <c r="X999" s="55" t="str">
        <f t="shared" si="1"/>
        <v>#NAME?</v>
      </c>
    </row>
    <row r="1000">
      <c r="A1000" s="4" t="s">
        <v>2720</v>
      </c>
      <c r="B1000" s="4" t="s">
        <v>2721</v>
      </c>
      <c r="C1000" s="4">
        <v>1.0</v>
      </c>
      <c r="D1000" s="4" t="s">
        <v>1267</v>
      </c>
      <c r="E1000" s="4" t="s">
        <v>1251</v>
      </c>
      <c r="F1000" s="54" t="s">
        <v>357</v>
      </c>
      <c r="G1000" s="54" t="s">
        <v>1200</v>
      </c>
      <c r="H1000" s="54" t="s">
        <v>1099</v>
      </c>
      <c r="I1000" s="54" t="s">
        <v>1099</v>
      </c>
      <c r="J1000" s="54" t="s">
        <v>1253</v>
      </c>
      <c r="X1000" s="55" t="str">
        <f t="shared" si="1"/>
        <v>#NAME?</v>
      </c>
    </row>
    <row r="1001">
      <c r="A1001" s="4" t="s">
        <v>2722</v>
      </c>
      <c r="B1001" s="4" t="s">
        <v>2723</v>
      </c>
      <c r="C1001" s="4">
        <v>1.0</v>
      </c>
      <c r="D1001" s="4" t="s">
        <v>1269</v>
      </c>
      <c r="E1001" s="4" t="s">
        <v>1088</v>
      </c>
      <c r="F1001" s="54" t="s">
        <v>357</v>
      </c>
      <c r="G1001" s="54" t="s">
        <v>1215</v>
      </c>
      <c r="H1001" s="54" t="s">
        <v>1100</v>
      </c>
      <c r="I1001" s="54" t="s">
        <v>1176</v>
      </c>
      <c r="J1001" s="54" t="s">
        <v>1235</v>
      </c>
      <c r="X1001" s="55" t="str">
        <f t="shared" si="1"/>
        <v>#NAME?</v>
      </c>
    </row>
    <row r="1002">
      <c r="A1002" s="4" t="s">
        <v>2724</v>
      </c>
      <c r="B1002" s="4" t="s">
        <v>2725</v>
      </c>
      <c r="C1002" s="4">
        <v>1.0</v>
      </c>
      <c r="D1002" s="4" t="s">
        <v>1271</v>
      </c>
      <c r="E1002" s="4" t="s">
        <v>1088</v>
      </c>
      <c r="F1002" s="54" t="s">
        <v>357</v>
      </c>
      <c r="G1002" s="54" t="s">
        <v>1156</v>
      </c>
      <c r="H1002" s="54" t="s">
        <v>1156</v>
      </c>
      <c r="I1002" s="54" t="s">
        <v>1100</v>
      </c>
      <c r="J1002" s="54" t="s">
        <v>1176</v>
      </c>
      <c r="X1002" s="55" t="str">
        <f t="shared" si="1"/>
        <v>#NAME?</v>
      </c>
    </row>
    <row r="1003">
      <c r="A1003" s="4" t="s">
        <v>2726</v>
      </c>
      <c r="B1003" s="4" t="s">
        <v>2727</v>
      </c>
      <c r="C1003" s="4">
        <v>1.0</v>
      </c>
      <c r="D1003" s="4" t="s">
        <v>1273</v>
      </c>
      <c r="E1003" s="4" t="s">
        <v>1098</v>
      </c>
      <c r="F1003" s="54" t="s">
        <v>357</v>
      </c>
      <c r="G1003" s="54" t="s">
        <v>1120</v>
      </c>
      <c r="H1003" s="54" t="s">
        <v>1274</v>
      </c>
      <c r="I1003" s="54" t="s">
        <v>1275</v>
      </c>
      <c r="J1003" s="54" t="s">
        <v>1276</v>
      </c>
      <c r="X1003" s="55" t="str">
        <f t="shared" si="1"/>
        <v>#NAME?</v>
      </c>
    </row>
    <row r="1004">
      <c r="A1004" s="4" t="s">
        <v>2728</v>
      </c>
      <c r="B1004" s="4" t="s">
        <v>2729</v>
      </c>
      <c r="C1004" s="4">
        <v>1.0</v>
      </c>
      <c r="D1004" s="4" t="s">
        <v>1278</v>
      </c>
      <c r="E1004" s="4" t="s">
        <v>1098</v>
      </c>
      <c r="F1004" s="54" t="s">
        <v>357</v>
      </c>
      <c r="G1004" s="54" t="s">
        <v>1279</v>
      </c>
      <c r="H1004" s="54" t="s">
        <v>1280</v>
      </c>
      <c r="I1004" s="54" t="s">
        <v>1121</v>
      </c>
      <c r="J1004" s="54" t="s">
        <v>1276</v>
      </c>
      <c r="X1004" s="55" t="str">
        <f t="shared" si="1"/>
        <v>#NAME?</v>
      </c>
    </row>
    <row r="1005">
      <c r="A1005" s="4" t="s">
        <v>2730</v>
      </c>
      <c r="B1005" s="4" t="s">
        <v>2731</v>
      </c>
      <c r="C1005" s="4">
        <v>1.0</v>
      </c>
      <c r="D1005" s="4" t="s">
        <v>1282</v>
      </c>
      <c r="E1005" s="4" t="s">
        <v>1098</v>
      </c>
      <c r="F1005" s="54" t="s">
        <v>357</v>
      </c>
      <c r="G1005" s="54" t="s">
        <v>1283</v>
      </c>
      <c r="H1005" s="54" t="s">
        <v>1284</v>
      </c>
      <c r="I1005" s="54" t="s">
        <v>1151</v>
      </c>
      <c r="J1005" s="54" t="s">
        <v>1144</v>
      </c>
      <c r="X1005" s="55" t="str">
        <f t="shared" si="1"/>
        <v>#NAME?</v>
      </c>
    </row>
    <row r="1006">
      <c r="A1006" s="4" t="s">
        <v>2732</v>
      </c>
      <c r="B1006" s="4" t="s">
        <v>2733</v>
      </c>
      <c r="C1006" s="4">
        <v>1.0</v>
      </c>
      <c r="D1006" s="4" t="s">
        <v>1286</v>
      </c>
      <c r="E1006" s="4" t="s">
        <v>1088</v>
      </c>
      <c r="F1006" s="54" t="s">
        <v>357</v>
      </c>
      <c r="G1006" s="54" t="s">
        <v>1287</v>
      </c>
      <c r="H1006" s="54" t="s">
        <v>1287</v>
      </c>
      <c r="I1006" s="54" t="s">
        <v>1288</v>
      </c>
      <c r="J1006" s="54" t="s">
        <v>1289</v>
      </c>
      <c r="X1006" s="55" t="str">
        <f t="shared" si="1"/>
        <v>#NAME?</v>
      </c>
    </row>
    <row r="1007">
      <c r="A1007" s="4" t="s">
        <v>2734</v>
      </c>
      <c r="B1007" s="4" t="s">
        <v>2735</v>
      </c>
      <c r="C1007" s="4">
        <v>1.0</v>
      </c>
      <c r="D1007" s="4" t="s">
        <v>1291</v>
      </c>
      <c r="E1007" s="4" t="s">
        <v>1088</v>
      </c>
      <c r="F1007" s="54" t="s">
        <v>357</v>
      </c>
      <c r="G1007" s="54" t="s">
        <v>1292</v>
      </c>
      <c r="H1007" s="54" t="s">
        <v>1205</v>
      </c>
      <c r="I1007" s="54" t="s">
        <v>1292</v>
      </c>
      <c r="J1007" s="54" t="s">
        <v>1293</v>
      </c>
      <c r="X1007" s="55" t="str">
        <f t="shared" si="1"/>
        <v>#NAME?</v>
      </c>
    </row>
    <row r="1008">
      <c r="A1008" s="4" t="s">
        <v>2736</v>
      </c>
      <c r="B1008" s="4" t="s">
        <v>2737</v>
      </c>
      <c r="C1008" s="4">
        <v>1.0</v>
      </c>
      <c r="D1008" s="4" t="s">
        <v>1295</v>
      </c>
      <c r="E1008" s="4" t="s">
        <v>1296</v>
      </c>
      <c r="F1008" s="54" t="s">
        <v>357</v>
      </c>
      <c r="G1008" s="54" t="s">
        <v>1297</v>
      </c>
      <c r="H1008" s="54" t="s">
        <v>1298</v>
      </c>
      <c r="I1008" s="54" t="s">
        <v>1299</v>
      </c>
      <c r="J1008" s="54" t="s">
        <v>1300</v>
      </c>
      <c r="X1008" s="55" t="str">
        <f t="shared" si="1"/>
        <v>#NAME?</v>
      </c>
    </row>
    <row r="1009">
      <c r="A1009" s="4" t="s">
        <v>2738</v>
      </c>
      <c r="B1009" s="4" t="s">
        <v>2739</v>
      </c>
      <c r="C1009" s="4">
        <v>1.0</v>
      </c>
      <c r="D1009" s="4" t="s">
        <v>1348</v>
      </c>
      <c r="E1009" s="4" t="s">
        <v>1098</v>
      </c>
      <c r="F1009" s="54" t="s">
        <v>357</v>
      </c>
      <c r="G1009" s="54" t="s">
        <v>1134</v>
      </c>
      <c r="H1009" s="54" t="s">
        <v>1349</v>
      </c>
      <c r="I1009" s="54" t="s">
        <v>1350</v>
      </c>
      <c r="J1009" s="54" t="s">
        <v>1351</v>
      </c>
      <c r="X1009" s="55" t="str">
        <f t="shared" si="1"/>
        <v>#NAME?</v>
      </c>
    </row>
    <row r="1010">
      <c r="A1010" s="4" t="s">
        <v>2740</v>
      </c>
      <c r="B1010" s="4" t="s">
        <v>2741</v>
      </c>
      <c r="C1010" s="4">
        <v>1.0</v>
      </c>
      <c r="D1010" s="4" t="s">
        <v>1353</v>
      </c>
      <c r="E1010" s="4" t="s">
        <v>1088</v>
      </c>
      <c r="F1010" s="54" t="s">
        <v>357</v>
      </c>
      <c r="G1010" s="54" t="s">
        <v>1186</v>
      </c>
      <c r="H1010" s="54" t="s">
        <v>1179</v>
      </c>
      <c r="I1010" s="54" t="s">
        <v>1183</v>
      </c>
      <c r="J1010" s="54" t="s">
        <v>1183</v>
      </c>
      <c r="X1010" s="55" t="str">
        <f t="shared" si="1"/>
        <v>#NAME?</v>
      </c>
    </row>
    <row r="1011">
      <c r="A1011" s="4" t="s">
        <v>2742</v>
      </c>
      <c r="B1011" s="4" t="s">
        <v>2743</v>
      </c>
      <c r="C1011" s="4">
        <v>1.0</v>
      </c>
      <c r="D1011" s="4" t="s">
        <v>1311</v>
      </c>
      <c r="E1011" s="4" t="s">
        <v>1296</v>
      </c>
      <c r="F1011" s="54" t="s">
        <v>357</v>
      </c>
      <c r="G1011" s="54" t="s">
        <v>1312</v>
      </c>
      <c r="H1011" s="54" t="s">
        <v>1313</v>
      </c>
      <c r="I1011" s="54" t="s">
        <v>1127</v>
      </c>
      <c r="J1011" s="54" t="s">
        <v>1314</v>
      </c>
      <c r="X1011" s="55" t="str">
        <f t="shared" si="1"/>
        <v>#NAME?</v>
      </c>
    </row>
    <row r="1012">
      <c r="A1012" s="4" t="s">
        <v>2744</v>
      </c>
      <c r="B1012" s="4" t="s">
        <v>2745</v>
      </c>
      <c r="C1012" s="4">
        <v>1.0</v>
      </c>
      <c r="D1012" s="4" t="s">
        <v>1316</v>
      </c>
      <c r="E1012" s="4" t="s">
        <v>1296</v>
      </c>
      <c r="F1012" s="54" t="s">
        <v>357</v>
      </c>
      <c r="G1012" s="54" t="s">
        <v>1126</v>
      </c>
      <c r="H1012" s="54" t="s">
        <v>1317</v>
      </c>
      <c r="I1012" s="54" t="s">
        <v>1318</v>
      </c>
      <c r="J1012" s="54" t="s">
        <v>1314</v>
      </c>
      <c r="X1012" s="55" t="str">
        <f t="shared" si="1"/>
        <v>#NAME?</v>
      </c>
    </row>
    <row r="1013">
      <c r="A1013" s="4" t="s">
        <v>2746</v>
      </c>
      <c r="B1013" s="4" t="s">
        <v>2747</v>
      </c>
      <c r="C1013" s="4">
        <v>1.0</v>
      </c>
      <c r="D1013" s="4" t="s">
        <v>1320</v>
      </c>
      <c r="E1013" s="4" t="s">
        <v>1296</v>
      </c>
      <c r="F1013" s="54" t="s">
        <v>357</v>
      </c>
      <c r="G1013" s="54" t="s">
        <v>1196</v>
      </c>
      <c r="H1013" s="54" t="s">
        <v>1321</v>
      </c>
      <c r="I1013" s="54" t="s">
        <v>1192</v>
      </c>
      <c r="J1013" s="54" t="s">
        <v>1322</v>
      </c>
      <c r="X1013" s="55" t="str">
        <f t="shared" si="1"/>
        <v>#NAME?</v>
      </c>
    </row>
    <row r="1014">
      <c r="A1014" s="4" t="s">
        <v>2748</v>
      </c>
      <c r="B1014" s="4" t="s">
        <v>2749</v>
      </c>
      <c r="C1014" s="4">
        <v>1.0</v>
      </c>
      <c r="D1014" s="4" t="s">
        <v>1324</v>
      </c>
      <c r="E1014" s="4" t="s">
        <v>1296</v>
      </c>
      <c r="F1014" s="54" t="s">
        <v>357</v>
      </c>
      <c r="G1014" s="54" t="s">
        <v>1325</v>
      </c>
      <c r="H1014" s="54" t="s">
        <v>1303</v>
      </c>
      <c r="I1014" s="54" t="s">
        <v>1326</v>
      </c>
      <c r="J1014" s="54" t="s">
        <v>1117</v>
      </c>
      <c r="X1014" s="55" t="str">
        <f t="shared" si="1"/>
        <v>#NAME?</v>
      </c>
    </row>
    <row r="1015">
      <c r="A1015" s="4" t="s">
        <v>2750</v>
      </c>
      <c r="B1015" s="4" t="s">
        <v>2751</v>
      </c>
      <c r="C1015" s="4">
        <v>1.0</v>
      </c>
      <c r="D1015" s="4" t="s">
        <v>1328</v>
      </c>
      <c r="E1015" s="4" t="s">
        <v>1296</v>
      </c>
      <c r="F1015" s="54" t="s">
        <v>357</v>
      </c>
      <c r="G1015" s="54" t="s">
        <v>1329</v>
      </c>
      <c r="H1015" s="54" t="s">
        <v>1330</v>
      </c>
      <c r="I1015" s="54" t="s">
        <v>1331</v>
      </c>
      <c r="J1015" s="54" t="s">
        <v>1125</v>
      </c>
      <c r="X1015" s="55" t="str">
        <f t="shared" si="1"/>
        <v>#NAME?</v>
      </c>
    </row>
    <row r="1016">
      <c r="A1016" s="4" t="s">
        <v>2752</v>
      </c>
      <c r="B1016" s="4" t="s">
        <v>2753</v>
      </c>
      <c r="C1016" s="4">
        <v>1.0</v>
      </c>
      <c r="D1016" s="4" t="s">
        <v>1333</v>
      </c>
      <c r="E1016" s="4" t="s">
        <v>1088</v>
      </c>
      <c r="F1016" s="54" t="s">
        <v>357</v>
      </c>
      <c r="G1016" s="54" t="s">
        <v>1287</v>
      </c>
      <c r="H1016" s="54" t="s">
        <v>1293</v>
      </c>
      <c r="I1016" s="54" t="s">
        <v>1334</v>
      </c>
      <c r="J1016" s="54" t="s">
        <v>1203</v>
      </c>
      <c r="X1016" s="55" t="str">
        <f t="shared" si="1"/>
        <v>#NAME?</v>
      </c>
    </row>
    <row r="1017">
      <c r="A1017" s="4" t="s">
        <v>2754</v>
      </c>
      <c r="B1017" s="4" t="s">
        <v>2755</v>
      </c>
      <c r="C1017" s="4">
        <v>1.0</v>
      </c>
      <c r="D1017" s="4" t="s">
        <v>1336</v>
      </c>
      <c r="E1017" s="4" t="s">
        <v>1088</v>
      </c>
      <c r="F1017" s="54" t="s">
        <v>357</v>
      </c>
      <c r="G1017" s="54" t="s">
        <v>1292</v>
      </c>
      <c r="H1017" s="54" t="s">
        <v>1334</v>
      </c>
      <c r="I1017" s="54" t="s">
        <v>1337</v>
      </c>
      <c r="J1017" s="54" t="s">
        <v>1292</v>
      </c>
      <c r="X1017" s="55" t="str">
        <f t="shared" si="1"/>
        <v>#NAME?</v>
      </c>
    </row>
    <row r="1018">
      <c r="A1018" s="4" t="s">
        <v>2756</v>
      </c>
      <c r="B1018" s="4" t="s">
        <v>2757</v>
      </c>
      <c r="C1018" s="4">
        <v>1.0</v>
      </c>
      <c r="D1018" s="4" t="s">
        <v>1339</v>
      </c>
      <c r="E1018" s="4" t="s">
        <v>1098</v>
      </c>
      <c r="F1018" s="54" t="s">
        <v>357</v>
      </c>
      <c r="G1018" s="54" t="s">
        <v>1340</v>
      </c>
      <c r="H1018" s="54" t="s">
        <v>1140</v>
      </c>
      <c r="I1018" s="54" t="s">
        <v>1326</v>
      </c>
      <c r="J1018" s="54" t="s">
        <v>1303</v>
      </c>
      <c r="X1018" s="55" t="str">
        <f t="shared" si="1"/>
        <v>#NAME?</v>
      </c>
    </row>
    <row r="1019">
      <c r="A1019" s="4" t="s">
        <v>2758</v>
      </c>
      <c r="B1019" s="4" t="s">
        <v>2759</v>
      </c>
      <c r="C1019" s="4">
        <v>1.0</v>
      </c>
      <c r="D1019" s="4" t="s">
        <v>1342</v>
      </c>
      <c r="E1019" s="4" t="s">
        <v>1098</v>
      </c>
      <c r="F1019" s="54" t="s">
        <v>357</v>
      </c>
      <c r="G1019" s="54" t="s">
        <v>1343</v>
      </c>
      <c r="H1019" s="54" t="s">
        <v>1344</v>
      </c>
      <c r="I1019" s="54" t="s">
        <v>1345</v>
      </c>
      <c r="J1019" s="54" t="s">
        <v>1346</v>
      </c>
      <c r="X1019" s="55" t="str">
        <f t="shared" si="1"/>
        <v>#NAME?</v>
      </c>
    </row>
    <row r="1020">
      <c r="A1020" s="4" t="s">
        <v>2760</v>
      </c>
      <c r="B1020" s="4" t="s">
        <v>2761</v>
      </c>
      <c r="C1020" s="4">
        <v>1.0</v>
      </c>
      <c r="D1020" s="4" t="s">
        <v>1302</v>
      </c>
      <c r="E1020" s="4" t="s">
        <v>1296</v>
      </c>
      <c r="F1020" s="54" t="s">
        <v>357</v>
      </c>
      <c r="G1020" s="54" t="s">
        <v>1198</v>
      </c>
      <c r="H1020" s="54" t="s">
        <v>1144</v>
      </c>
      <c r="I1020" s="54" t="s">
        <v>1303</v>
      </c>
      <c r="J1020" s="54" t="s">
        <v>1304</v>
      </c>
      <c r="X1020" s="55" t="str">
        <f t="shared" si="1"/>
        <v>#NAME?</v>
      </c>
    </row>
    <row r="1021">
      <c r="A1021" s="4" t="s">
        <v>2762</v>
      </c>
      <c r="B1021" s="4" t="s">
        <v>2763</v>
      </c>
      <c r="C1021" s="4">
        <v>1.0</v>
      </c>
      <c r="D1021" s="54" t="s">
        <v>632</v>
      </c>
      <c r="E1021" s="4" t="s">
        <v>1088</v>
      </c>
      <c r="F1021" s="54" t="s">
        <v>534</v>
      </c>
      <c r="G1021" s="54" t="s">
        <v>1183</v>
      </c>
      <c r="H1021" s="54" t="s">
        <v>1184</v>
      </c>
      <c r="I1021" s="54" t="s">
        <v>1185</v>
      </c>
      <c r="J1021" s="54" t="s">
        <v>1186</v>
      </c>
      <c r="X1021" s="55" t="str">
        <f t="shared" si="1"/>
        <v>#NAME?</v>
      </c>
    </row>
    <row r="1022">
      <c r="A1022" s="4" t="s">
        <v>2764</v>
      </c>
      <c r="B1022" s="4" t="s">
        <v>2765</v>
      </c>
      <c r="C1022" s="4">
        <v>1.0</v>
      </c>
      <c r="D1022" s="4" t="s">
        <v>1355</v>
      </c>
      <c r="E1022" s="4" t="s">
        <v>1088</v>
      </c>
      <c r="F1022" s="54" t="s">
        <v>357</v>
      </c>
      <c r="G1022" s="54" t="s">
        <v>1356</v>
      </c>
      <c r="H1022" s="54" t="s">
        <v>1244</v>
      </c>
      <c r="I1022" s="54" t="s">
        <v>1244</v>
      </c>
      <c r="J1022" s="54" t="s">
        <v>1244</v>
      </c>
      <c r="X1022" s="55" t="str">
        <f t="shared" si="1"/>
        <v>#NAME?</v>
      </c>
    </row>
    <row r="1023">
      <c r="A1023" s="4" t="s">
        <v>2766</v>
      </c>
      <c r="B1023" s="4" t="s">
        <v>2767</v>
      </c>
      <c r="C1023" s="4">
        <v>1.0</v>
      </c>
      <c r="D1023" s="4" t="s">
        <v>1396</v>
      </c>
      <c r="E1023" s="4" t="s">
        <v>1397</v>
      </c>
      <c r="F1023" s="54" t="s">
        <v>534</v>
      </c>
      <c r="G1023" s="54" t="s">
        <v>1148</v>
      </c>
      <c r="H1023" s="54" t="s">
        <v>1398</v>
      </c>
      <c r="I1023" s="54" t="s">
        <v>1151</v>
      </c>
      <c r="J1023" s="54" t="s">
        <v>1115</v>
      </c>
      <c r="X1023" s="55" t="str">
        <f t="shared" si="1"/>
        <v>#NAME?</v>
      </c>
    </row>
    <row r="1024">
      <c r="A1024" s="4" t="s">
        <v>2768</v>
      </c>
      <c r="B1024" s="4" t="s">
        <v>2769</v>
      </c>
      <c r="C1024" s="4">
        <v>1.0</v>
      </c>
      <c r="D1024" s="4" t="s">
        <v>1363</v>
      </c>
      <c r="E1024" s="4" t="s">
        <v>1251</v>
      </c>
      <c r="F1024" s="54" t="s">
        <v>534</v>
      </c>
      <c r="G1024" s="54" t="s">
        <v>1364</v>
      </c>
      <c r="H1024" s="54" t="s">
        <v>1264</v>
      </c>
      <c r="I1024" s="54" t="s">
        <v>1365</v>
      </c>
      <c r="J1024" s="54" t="s">
        <v>1366</v>
      </c>
      <c r="X1024" s="55" t="str">
        <f t="shared" si="1"/>
        <v>#NAME?</v>
      </c>
    </row>
    <row r="1025">
      <c r="A1025" s="4" t="s">
        <v>2770</v>
      </c>
      <c r="B1025" s="4" t="s">
        <v>2771</v>
      </c>
      <c r="C1025" s="4">
        <v>1.0</v>
      </c>
      <c r="D1025" s="4" t="s">
        <v>1368</v>
      </c>
      <c r="E1025" s="4" t="s">
        <v>1088</v>
      </c>
      <c r="F1025" s="54" t="s">
        <v>357</v>
      </c>
      <c r="G1025" s="54" t="s">
        <v>1292</v>
      </c>
      <c r="H1025" s="54" t="s">
        <v>1337</v>
      </c>
      <c r="I1025" s="54" t="s">
        <v>1288</v>
      </c>
      <c r="J1025" s="54" t="s">
        <v>1292</v>
      </c>
      <c r="X1025" s="55" t="str">
        <f t="shared" si="1"/>
        <v>#NAME?</v>
      </c>
    </row>
    <row r="1026">
      <c r="A1026" s="4" t="s">
        <v>2772</v>
      </c>
      <c r="B1026" s="4" t="s">
        <v>2773</v>
      </c>
      <c r="C1026" s="4">
        <v>1.0</v>
      </c>
      <c r="D1026" s="4" t="s">
        <v>1370</v>
      </c>
      <c r="E1026" s="4" t="s">
        <v>1088</v>
      </c>
      <c r="F1026" s="54" t="s">
        <v>357</v>
      </c>
      <c r="G1026" s="54" t="s">
        <v>1287</v>
      </c>
      <c r="H1026" s="54" t="s">
        <v>1293</v>
      </c>
      <c r="I1026" s="54" t="s">
        <v>1292</v>
      </c>
      <c r="J1026" s="54" t="s">
        <v>1288</v>
      </c>
      <c r="X1026" s="55" t="str">
        <f t="shared" si="1"/>
        <v>#NAME?</v>
      </c>
    </row>
    <row r="1027">
      <c r="A1027" s="4" t="s">
        <v>2774</v>
      </c>
      <c r="B1027" s="4" t="s">
        <v>2775</v>
      </c>
      <c r="C1027" s="4">
        <v>1.0</v>
      </c>
      <c r="D1027" s="4" t="s">
        <v>1372</v>
      </c>
      <c r="E1027" s="4" t="s">
        <v>1251</v>
      </c>
      <c r="F1027" s="54" t="s">
        <v>357</v>
      </c>
      <c r="G1027" s="54" t="s">
        <v>1194</v>
      </c>
      <c r="H1027" s="54" t="s">
        <v>1192</v>
      </c>
      <c r="I1027" s="54" t="s">
        <v>1349</v>
      </c>
      <c r="J1027" s="54" t="s">
        <v>1373</v>
      </c>
      <c r="X1027" s="55" t="str">
        <f t="shared" si="1"/>
        <v>#NAME?</v>
      </c>
    </row>
    <row r="1028">
      <c r="A1028" s="4" t="s">
        <v>2776</v>
      </c>
      <c r="B1028" s="4" t="s">
        <v>2777</v>
      </c>
      <c r="C1028" s="4">
        <v>1.0</v>
      </c>
      <c r="D1028" s="4" t="s">
        <v>1375</v>
      </c>
      <c r="E1028" s="4" t="s">
        <v>1251</v>
      </c>
      <c r="F1028" s="54" t="s">
        <v>534</v>
      </c>
      <c r="G1028" s="54" t="s">
        <v>1376</v>
      </c>
      <c r="H1028" s="54" t="s">
        <v>1377</v>
      </c>
      <c r="I1028" s="54" t="s">
        <v>1378</v>
      </c>
      <c r="J1028" s="54" t="s">
        <v>1379</v>
      </c>
      <c r="X1028" s="55" t="str">
        <f t="shared" si="1"/>
        <v>#NAME?</v>
      </c>
    </row>
    <row r="1029">
      <c r="A1029" s="4" t="s">
        <v>2778</v>
      </c>
      <c r="B1029" s="4" t="s">
        <v>2779</v>
      </c>
      <c r="C1029" s="4">
        <v>1.0</v>
      </c>
      <c r="D1029" s="4" t="s">
        <v>1381</v>
      </c>
      <c r="E1029" s="4" t="s">
        <v>1098</v>
      </c>
      <c r="F1029" s="54" t="s">
        <v>534</v>
      </c>
      <c r="G1029" s="54" t="s">
        <v>1382</v>
      </c>
      <c r="H1029" s="54" t="s">
        <v>1274</v>
      </c>
      <c r="I1029" s="54" t="s">
        <v>1147</v>
      </c>
      <c r="J1029" s="54" t="s">
        <v>1383</v>
      </c>
      <c r="X1029" s="55" t="str">
        <f t="shared" si="1"/>
        <v>#NAME?</v>
      </c>
    </row>
    <row r="1030">
      <c r="A1030" s="4" t="s">
        <v>2780</v>
      </c>
      <c r="B1030" s="4" t="s">
        <v>2781</v>
      </c>
      <c r="C1030" s="4">
        <v>1.0</v>
      </c>
      <c r="D1030" s="4" t="s">
        <v>1385</v>
      </c>
      <c r="E1030" s="4" t="s">
        <v>1098</v>
      </c>
      <c r="F1030" s="54" t="s">
        <v>534</v>
      </c>
      <c r="G1030" s="54" t="s">
        <v>1121</v>
      </c>
      <c r="H1030" s="54" t="s">
        <v>1274</v>
      </c>
      <c r="I1030" s="54" t="s">
        <v>1122</v>
      </c>
      <c r="J1030" s="54" t="s">
        <v>1360</v>
      </c>
      <c r="X1030" s="55" t="str">
        <f t="shared" si="1"/>
        <v>#NAME?</v>
      </c>
    </row>
    <row r="1031">
      <c r="A1031" s="59">
        <v>82215.0</v>
      </c>
      <c r="B1031" s="4" t="s">
        <v>2782</v>
      </c>
      <c r="C1031" s="4">
        <v>1.0</v>
      </c>
      <c r="D1031" s="4" t="s">
        <v>1387</v>
      </c>
      <c r="E1031" s="4" t="s">
        <v>1098</v>
      </c>
      <c r="F1031" s="54" t="s">
        <v>534</v>
      </c>
      <c r="G1031" s="54" t="s">
        <v>1148</v>
      </c>
      <c r="H1031" s="54" t="s">
        <v>1309</v>
      </c>
      <c r="I1031" s="54" t="s">
        <v>1139</v>
      </c>
      <c r="J1031" s="54" t="s">
        <v>1308</v>
      </c>
      <c r="X1031" s="55" t="str">
        <f t="shared" si="1"/>
        <v>#NAME?</v>
      </c>
    </row>
    <row r="1032">
      <c r="A1032" s="4" t="s">
        <v>2783</v>
      </c>
      <c r="B1032" s="4" t="s">
        <v>2784</v>
      </c>
      <c r="C1032" s="4">
        <v>1.0</v>
      </c>
      <c r="D1032" s="4" t="s">
        <v>1389</v>
      </c>
      <c r="E1032" s="4" t="s">
        <v>1088</v>
      </c>
      <c r="F1032" s="54" t="s">
        <v>534</v>
      </c>
      <c r="G1032" s="54" t="s">
        <v>1122</v>
      </c>
      <c r="H1032" s="54" t="s">
        <v>1390</v>
      </c>
      <c r="I1032" s="54" t="s">
        <v>1391</v>
      </c>
      <c r="J1032" s="54" t="s">
        <v>1340</v>
      </c>
      <c r="X1032" s="55" t="str">
        <f t="shared" si="1"/>
        <v>#NAME?</v>
      </c>
    </row>
    <row r="1033">
      <c r="A1033" s="4" t="s">
        <v>2785</v>
      </c>
      <c r="B1033" s="4" t="s">
        <v>2786</v>
      </c>
      <c r="C1033" s="4">
        <v>1.0</v>
      </c>
      <c r="D1033" s="54" t="s">
        <v>481</v>
      </c>
      <c r="E1033" s="4" t="s">
        <v>1251</v>
      </c>
      <c r="F1033" s="54" t="s">
        <v>357</v>
      </c>
      <c r="G1033" s="54" t="s">
        <v>1256</v>
      </c>
      <c r="H1033" s="54" t="s">
        <v>1257</v>
      </c>
      <c r="I1033" s="54" t="s">
        <v>1258</v>
      </c>
      <c r="J1033" s="54" t="s">
        <v>1259</v>
      </c>
      <c r="X1033" s="55" t="str">
        <f t="shared" si="1"/>
        <v>#NAME?</v>
      </c>
    </row>
    <row r="1034">
      <c r="A1034" s="4" t="s">
        <v>2787</v>
      </c>
      <c r="B1034" s="4" t="s">
        <v>2788</v>
      </c>
      <c r="C1034" s="4">
        <v>1.0</v>
      </c>
      <c r="D1034" s="4" t="s">
        <v>1358</v>
      </c>
      <c r="E1034" s="4" t="s">
        <v>1251</v>
      </c>
      <c r="F1034" s="54" t="s">
        <v>357</v>
      </c>
      <c r="G1034" s="54" t="s">
        <v>1359</v>
      </c>
      <c r="H1034" s="54" t="s">
        <v>1200</v>
      </c>
      <c r="I1034" s="54" t="s">
        <v>1360</v>
      </c>
      <c r="J1034" s="54" t="s">
        <v>1361</v>
      </c>
      <c r="X1034" s="55" t="str">
        <f t="shared" si="1"/>
        <v>#NAME?</v>
      </c>
    </row>
    <row r="1035">
      <c r="A1035" s="4" t="s">
        <v>2789</v>
      </c>
      <c r="B1035" s="4" t="s">
        <v>2790</v>
      </c>
      <c r="C1035" s="4">
        <v>1.0</v>
      </c>
      <c r="D1035" s="4" t="s">
        <v>1400</v>
      </c>
      <c r="E1035" s="4" t="s">
        <v>1397</v>
      </c>
      <c r="F1035" s="54" t="s">
        <v>534</v>
      </c>
      <c r="G1035" s="54" t="s">
        <v>1152</v>
      </c>
      <c r="H1035" s="54" t="s">
        <v>1275</v>
      </c>
      <c r="I1035" s="54" t="s">
        <v>1148</v>
      </c>
      <c r="J1035" s="54" t="s">
        <v>1318</v>
      </c>
      <c r="X1035" s="55" t="str">
        <f t="shared" si="1"/>
        <v>#NAME?</v>
      </c>
    </row>
    <row r="1036">
      <c r="A1036" s="4" t="s">
        <v>2791</v>
      </c>
      <c r="B1036" s="4" t="s">
        <v>2792</v>
      </c>
      <c r="C1036" s="4">
        <v>1.0</v>
      </c>
      <c r="D1036" s="4" t="s">
        <v>1402</v>
      </c>
      <c r="E1036" s="4" t="s">
        <v>1397</v>
      </c>
      <c r="F1036" s="54" t="s">
        <v>534</v>
      </c>
      <c r="G1036" s="54" t="s">
        <v>1275</v>
      </c>
      <c r="H1036" s="54" t="s">
        <v>1275</v>
      </c>
      <c r="I1036" s="54" t="s">
        <v>1116</v>
      </c>
      <c r="J1036" s="54" t="s">
        <v>1121</v>
      </c>
      <c r="X1036" s="55" t="str">
        <f t="shared" si="1"/>
        <v>#NAME?</v>
      </c>
    </row>
    <row r="1037">
      <c r="A1037" s="4" t="s">
        <v>2793</v>
      </c>
      <c r="B1037" s="4" t="s">
        <v>2794</v>
      </c>
      <c r="C1037" s="4">
        <v>1.0</v>
      </c>
      <c r="D1037" s="4" t="s">
        <v>1404</v>
      </c>
      <c r="E1037" s="4" t="s">
        <v>1088</v>
      </c>
      <c r="F1037" s="54" t="s">
        <v>534</v>
      </c>
      <c r="G1037" s="54" t="s">
        <v>1275</v>
      </c>
      <c r="H1037" s="54" t="s">
        <v>1343</v>
      </c>
      <c r="I1037" s="54" t="s">
        <v>1343</v>
      </c>
      <c r="J1037" s="54" t="s">
        <v>1405</v>
      </c>
      <c r="X1037" s="55" t="str">
        <f t="shared" si="1"/>
        <v>#NAME?</v>
      </c>
    </row>
    <row r="1038">
      <c r="A1038" s="4" t="s">
        <v>2795</v>
      </c>
      <c r="B1038" s="4" t="s">
        <v>2796</v>
      </c>
      <c r="C1038" s="4">
        <v>1.0</v>
      </c>
      <c r="D1038" s="4" t="s">
        <v>1407</v>
      </c>
      <c r="E1038" s="4" t="s">
        <v>1088</v>
      </c>
      <c r="F1038" s="54" t="s">
        <v>534</v>
      </c>
      <c r="G1038" s="54" t="s">
        <v>1116</v>
      </c>
      <c r="H1038" s="54" t="s">
        <v>1123</v>
      </c>
      <c r="I1038" s="54" t="s">
        <v>1147</v>
      </c>
      <c r="J1038" s="54" t="s">
        <v>1303</v>
      </c>
      <c r="X1038" s="55" t="str">
        <f t="shared" si="1"/>
        <v>#NAME?</v>
      </c>
    </row>
    <row r="1039">
      <c r="A1039" s="4" t="s">
        <v>2797</v>
      </c>
      <c r="B1039" s="4" t="s">
        <v>2798</v>
      </c>
      <c r="C1039" s="4">
        <v>1.0</v>
      </c>
      <c r="D1039" s="4" t="s">
        <v>1409</v>
      </c>
      <c r="E1039" s="4" t="s">
        <v>1088</v>
      </c>
      <c r="F1039" s="54" t="s">
        <v>534</v>
      </c>
      <c r="G1039" s="54" t="s">
        <v>1115</v>
      </c>
      <c r="H1039" s="54" t="s">
        <v>1115</v>
      </c>
      <c r="I1039" s="54" t="s">
        <v>1405</v>
      </c>
      <c r="J1039" s="54" t="s">
        <v>1340</v>
      </c>
      <c r="X1039" s="55" t="str">
        <f t="shared" si="1"/>
        <v>#NAME?</v>
      </c>
    </row>
    <row r="1040">
      <c r="A1040" s="54" t="s">
        <v>2799</v>
      </c>
      <c r="B1040" s="4" t="s">
        <v>2800</v>
      </c>
      <c r="C1040" s="4">
        <v>1.0</v>
      </c>
      <c r="D1040" s="4" t="s">
        <v>1411</v>
      </c>
      <c r="E1040" s="4" t="s">
        <v>1088</v>
      </c>
      <c r="F1040" s="54" t="s">
        <v>534</v>
      </c>
      <c r="G1040" s="54" t="s">
        <v>1170</v>
      </c>
      <c r="H1040" s="54" t="s">
        <v>1219</v>
      </c>
      <c r="I1040" s="54" t="s">
        <v>1154</v>
      </c>
      <c r="J1040" s="54" t="s">
        <v>1216</v>
      </c>
      <c r="X1040" s="55" t="str">
        <f t="shared" si="1"/>
        <v>#NAME?</v>
      </c>
    </row>
    <row r="1041">
      <c r="A1041" s="4" t="s">
        <v>2801</v>
      </c>
      <c r="B1041" s="4" t="s">
        <v>2802</v>
      </c>
      <c r="C1041" s="4">
        <v>1.0</v>
      </c>
      <c r="D1041" s="4" t="s">
        <v>1411</v>
      </c>
      <c r="E1041" s="4" t="s">
        <v>1088</v>
      </c>
      <c r="F1041" s="54" t="s">
        <v>534</v>
      </c>
      <c r="G1041" s="54" t="s">
        <v>1170</v>
      </c>
      <c r="H1041" s="54" t="s">
        <v>1159</v>
      </c>
      <c r="I1041" s="54" t="s">
        <v>1413</v>
      </c>
      <c r="J1041" s="54" t="s">
        <v>1093</v>
      </c>
      <c r="X1041" s="55" t="str">
        <f t="shared" si="1"/>
        <v>#NAME?</v>
      </c>
    </row>
    <row r="1042">
      <c r="A1042" s="4" t="s">
        <v>2803</v>
      </c>
      <c r="B1042" s="4" t="s">
        <v>2804</v>
      </c>
      <c r="C1042" s="4">
        <v>1.0</v>
      </c>
      <c r="D1042" s="4" t="s">
        <v>1411</v>
      </c>
      <c r="E1042" s="4" t="s">
        <v>1088</v>
      </c>
      <c r="F1042" s="54" t="s">
        <v>534</v>
      </c>
      <c r="G1042" s="54" t="s">
        <v>1093</v>
      </c>
      <c r="H1042" s="54" t="s">
        <v>1093</v>
      </c>
      <c r="I1042" s="54" t="s">
        <v>1111</v>
      </c>
      <c r="J1042" s="54" t="s">
        <v>1160</v>
      </c>
      <c r="X1042" s="55" t="str">
        <f t="shared" si="1"/>
        <v>#NAME?</v>
      </c>
    </row>
    <row r="1043">
      <c r="A1043" s="4" t="s">
        <v>2805</v>
      </c>
      <c r="B1043" s="4" t="s">
        <v>2806</v>
      </c>
      <c r="C1043" s="4">
        <v>1.0</v>
      </c>
      <c r="D1043" s="4" t="s">
        <v>1416</v>
      </c>
      <c r="E1043" s="4" t="s">
        <v>1088</v>
      </c>
      <c r="F1043" s="54" t="s">
        <v>534</v>
      </c>
      <c r="G1043" s="54" t="s">
        <v>1093</v>
      </c>
      <c r="H1043" s="54" t="s">
        <v>1154</v>
      </c>
      <c r="I1043" s="54" t="s">
        <v>1236</v>
      </c>
      <c r="J1043" s="54" t="s">
        <v>1417</v>
      </c>
      <c r="X1043" s="55" t="str">
        <f t="shared" si="1"/>
        <v>#NAME?</v>
      </c>
    </row>
    <row r="1044">
      <c r="A1044" s="4" t="s">
        <v>2807</v>
      </c>
      <c r="B1044" s="4" t="s">
        <v>2808</v>
      </c>
      <c r="C1044" s="4">
        <v>1.0</v>
      </c>
      <c r="D1044" s="4" t="s">
        <v>1393</v>
      </c>
      <c r="E1044" s="4" t="s">
        <v>1088</v>
      </c>
      <c r="F1044" s="54" t="s">
        <v>534</v>
      </c>
      <c r="G1044" s="54" t="s">
        <v>1147</v>
      </c>
      <c r="H1044" s="54" t="s">
        <v>1340</v>
      </c>
      <c r="I1044" s="54" t="s">
        <v>1394</v>
      </c>
      <c r="J1044" s="54" t="s">
        <v>1275</v>
      </c>
      <c r="X1044" s="55" t="str">
        <f t="shared" si="1"/>
        <v>#NAME?</v>
      </c>
    </row>
    <row r="1045">
      <c r="A1045" s="4" t="s">
        <v>2809</v>
      </c>
      <c r="B1045" s="4" t="s">
        <v>2810</v>
      </c>
      <c r="C1045" s="4">
        <v>1.0</v>
      </c>
      <c r="D1045" s="4" t="s">
        <v>1419</v>
      </c>
      <c r="E1045" s="4" t="s">
        <v>1088</v>
      </c>
      <c r="F1045" s="54" t="s">
        <v>534</v>
      </c>
      <c r="G1045" s="54" t="s">
        <v>1093</v>
      </c>
      <c r="H1045" s="54" t="s">
        <v>1093</v>
      </c>
      <c r="I1045" s="54" t="s">
        <v>1109</v>
      </c>
      <c r="J1045" s="54" t="s">
        <v>1109</v>
      </c>
      <c r="X1045" s="55" t="str">
        <f t="shared" si="1"/>
        <v>#NAME?</v>
      </c>
    </row>
    <row r="1046">
      <c r="A1046" s="4" t="s">
        <v>2811</v>
      </c>
      <c r="B1046" s="4" t="s">
        <v>2812</v>
      </c>
      <c r="C1046" s="4">
        <v>1.0</v>
      </c>
      <c r="D1046" s="4" t="s">
        <v>1423</v>
      </c>
      <c r="E1046" s="4" t="s">
        <v>1088</v>
      </c>
      <c r="F1046" s="54" t="s">
        <v>534</v>
      </c>
      <c r="G1046" s="54" t="s">
        <v>1280</v>
      </c>
      <c r="H1046" s="54" t="s">
        <v>1135</v>
      </c>
      <c r="I1046" s="54" t="s">
        <v>1123</v>
      </c>
      <c r="J1046" s="54" t="s">
        <v>1140</v>
      </c>
      <c r="X1046" s="55" t="str">
        <f t="shared" si="1"/>
        <v>#NAME?</v>
      </c>
    </row>
    <row r="1047">
      <c r="A1047" s="4" t="s">
        <v>2813</v>
      </c>
      <c r="B1047" s="4" t="s">
        <v>2814</v>
      </c>
      <c r="C1047" s="4">
        <v>1.0</v>
      </c>
      <c r="D1047" s="54" t="s">
        <v>1671</v>
      </c>
      <c r="E1047" s="4" t="s">
        <v>1088</v>
      </c>
      <c r="F1047" s="54" t="s">
        <v>357</v>
      </c>
      <c r="G1047" s="54" t="s">
        <v>1544</v>
      </c>
      <c r="H1047" s="54" t="s">
        <v>1175</v>
      </c>
      <c r="I1047" s="54" t="s">
        <v>1216</v>
      </c>
      <c r="J1047" s="54" t="s">
        <v>1181</v>
      </c>
      <c r="X1047" s="55" t="str">
        <f t="shared" si="1"/>
        <v>#NAME?</v>
      </c>
    </row>
    <row r="1048">
      <c r="A1048" s="4" t="s">
        <v>2815</v>
      </c>
      <c r="B1048" s="4" t="s">
        <v>2816</v>
      </c>
      <c r="C1048" s="4">
        <v>1.0</v>
      </c>
      <c r="D1048" s="4" t="s">
        <v>1431</v>
      </c>
      <c r="E1048" s="4" t="s">
        <v>1296</v>
      </c>
      <c r="F1048" s="54" t="s">
        <v>534</v>
      </c>
      <c r="G1048" s="54" t="s">
        <v>1299</v>
      </c>
      <c r="H1048" s="54" t="s">
        <v>1432</v>
      </c>
      <c r="I1048" s="54" t="s">
        <v>1152</v>
      </c>
      <c r="J1048" s="54" t="s">
        <v>1433</v>
      </c>
      <c r="X1048" s="55" t="str">
        <f t="shared" si="1"/>
        <v>#NAME?</v>
      </c>
    </row>
    <row r="1049">
      <c r="A1049" s="4" t="s">
        <v>2817</v>
      </c>
      <c r="B1049" s="4" t="s">
        <v>2818</v>
      </c>
      <c r="C1049" s="4">
        <v>1.0</v>
      </c>
      <c r="D1049" s="4" t="s">
        <v>1435</v>
      </c>
      <c r="E1049" s="4" t="s">
        <v>1296</v>
      </c>
      <c r="F1049" s="54" t="s">
        <v>534</v>
      </c>
      <c r="G1049" s="54" t="s">
        <v>1405</v>
      </c>
      <c r="H1049" s="54" t="s">
        <v>1436</v>
      </c>
      <c r="I1049" s="54" t="s">
        <v>1275</v>
      </c>
      <c r="J1049" s="54" t="s">
        <v>1437</v>
      </c>
      <c r="X1049" s="55" t="str">
        <f t="shared" si="1"/>
        <v>#NAME?</v>
      </c>
    </row>
    <row r="1050">
      <c r="A1050" s="4" t="s">
        <v>2819</v>
      </c>
      <c r="B1050" s="4" t="s">
        <v>2820</v>
      </c>
      <c r="C1050" s="4">
        <v>1.0</v>
      </c>
      <c r="D1050" s="4" t="s">
        <v>1439</v>
      </c>
      <c r="E1050" s="4" t="s">
        <v>1088</v>
      </c>
      <c r="F1050" s="54" t="s">
        <v>534</v>
      </c>
      <c r="G1050" s="54" t="s">
        <v>1440</v>
      </c>
      <c r="H1050" s="54" t="s">
        <v>1280</v>
      </c>
      <c r="I1050" s="54" t="s">
        <v>1139</v>
      </c>
      <c r="J1050" s="54" t="s">
        <v>1139</v>
      </c>
      <c r="X1050" s="55" t="str">
        <f t="shared" si="1"/>
        <v>#NAME?</v>
      </c>
    </row>
    <row r="1051">
      <c r="A1051" s="4" t="s">
        <v>2821</v>
      </c>
      <c r="B1051" s="4" t="s">
        <v>2822</v>
      </c>
      <c r="C1051" s="4">
        <v>1.0</v>
      </c>
      <c r="D1051" s="4" t="s">
        <v>1442</v>
      </c>
      <c r="E1051" s="4" t="s">
        <v>1088</v>
      </c>
      <c r="F1051" s="54" t="s">
        <v>534</v>
      </c>
      <c r="G1051" s="54" t="s">
        <v>1163</v>
      </c>
      <c r="H1051" s="54" t="s">
        <v>1440</v>
      </c>
      <c r="I1051" s="54" t="s">
        <v>1280</v>
      </c>
      <c r="J1051" s="54" t="s">
        <v>1123</v>
      </c>
      <c r="X1051" s="55" t="str">
        <f t="shared" si="1"/>
        <v>#NAME?</v>
      </c>
    </row>
    <row r="1052">
      <c r="A1052" s="4" t="s">
        <v>2823</v>
      </c>
      <c r="B1052" s="4" t="s">
        <v>2824</v>
      </c>
      <c r="C1052" s="4">
        <v>1.0</v>
      </c>
      <c r="D1052" s="4" t="s">
        <v>1444</v>
      </c>
      <c r="E1052" s="4" t="s">
        <v>1088</v>
      </c>
      <c r="F1052" s="54" t="s">
        <v>534</v>
      </c>
      <c r="G1052" s="54" t="s">
        <v>1118</v>
      </c>
      <c r="H1052" s="54" t="s">
        <v>1122</v>
      </c>
      <c r="I1052" s="54" t="s">
        <v>1139</v>
      </c>
      <c r="J1052" s="54" t="s">
        <v>1163</v>
      </c>
      <c r="X1052" s="55" t="str">
        <f t="shared" si="1"/>
        <v>#NAME?</v>
      </c>
    </row>
    <row r="1053">
      <c r="A1053" s="4" t="s">
        <v>2825</v>
      </c>
      <c r="B1053" s="4" t="s">
        <v>2826</v>
      </c>
      <c r="C1053" s="4">
        <v>1.0</v>
      </c>
      <c r="D1053" s="4" t="s">
        <v>1446</v>
      </c>
      <c r="E1053" s="4" t="s">
        <v>1088</v>
      </c>
      <c r="F1053" s="54" t="s">
        <v>534</v>
      </c>
      <c r="G1053" s="54" t="s">
        <v>1122</v>
      </c>
      <c r="H1053" s="54" t="s">
        <v>1134</v>
      </c>
      <c r="I1053" s="54" t="s">
        <v>1150</v>
      </c>
      <c r="J1053" s="54" t="s">
        <v>1150</v>
      </c>
      <c r="X1053" s="55" t="str">
        <f t="shared" si="1"/>
        <v>#NAME?</v>
      </c>
    </row>
    <row r="1054">
      <c r="A1054" s="4" t="s">
        <v>2827</v>
      </c>
      <c r="B1054" s="4" t="s">
        <v>2828</v>
      </c>
      <c r="C1054" s="4">
        <v>1.0</v>
      </c>
      <c r="D1054" s="4" t="s">
        <v>1448</v>
      </c>
      <c r="E1054" s="4" t="s">
        <v>1088</v>
      </c>
      <c r="F1054" s="54" t="s">
        <v>534</v>
      </c>
      <c r="G1054" s="54" t="s">
        <v>1382</v>
      </c>
      <c r="H1054" s="54" t="s">
        <v>1118</v>
      </c>
      <c r="I1054" s="54" t="s">
        <v>1440</v>
      </c>
      <c r="J1054" s="54" t="s">
        <v>1140</v>
      </c>
      <c r="X1054" s="55" t="str">
        <f t="shared" si="1"/>
        <v>#NAME?</v>
      </c>
    </row>
    <row r="1055">
      <c r="A1055" s="4" t="s">
        <v>2829</v>
      </c>
      <c r="B1055" s="4" t="s">
        <v>2830</v>
      </c>
      <c r="C1055" s="4">
        <v>1.0</v>
      </c>
      <c r="D1055" s="4" t="s">
        <v>1450</v>
      </c>
      <c r="E1055" s="4" t="s">
        <v>1191</v>
      </c>
      <c r="F1055" s="54" t="s">
        <v>534</v>
      </c>
      <c r="G1055" s="54" t="s">
        <v>1139</v>
      </c>
      <c r="H1055" s="54" t="s">
        <v>1451</v>
      </c>
      <c r="I1055" s="54" t="s">
        <v>1127</v>
      </c>
      <c r="J1055" s="54" t="s">
        <v>1337</v>
      </c>
      <c r="X1055" s="55" t="str">
        <f t="shared" si="1"/>
        <v>#NAME?</v>
      </c>
    </row>
    <row r="1056">
      <c r="A1056" s="4" t="s">
        <v>2831</v>
      </c>
      <c r="B1056" s="4" t="s">
        <v>2832</v>
      </c>
      <c r="C1056" s="4">
        <v>1.0</v>
      </c>
      <c r="D1056" s="54" t="s">
        <v>1489</v>
      </c>
      <c r="E1056" s="4" t="s">
        <v>1251</v>
      </c>
      <c r="F1056" s="54" t="s">
        <v>449</v>
      </c>
      <c r="G1056" s="54" t="s">
        <v>1212</v>
      </c>
      <c r="H1056" s="54" t="s">
        <v>1356</v>
      </c>
      <c r="I1056" s="54" t="s">
        <v>1216</v>
      </c>
      <c r="J1056" s="54" t="s">
        <v>1490</v>
      </c>
      <c r="X1056" s="55" t="str">
        <f t="shared" si="1"/>
        <v>#NAME?</v>
      </c>
    </row>
    <row r="1057">
      <c r="A1057" s="4" t="s">
        <v>2833</v>
      </c>
      <c r="B1057" s="4" t="s">
        <v>2834</v>
      </c>
      <c r="C1057" s="4">
        <v>1.0</v>
      </c>
      <c r="D1057" s="4" t="s">
        <v>1429</v>
      </c>
      <c r="E1057" s="4" t="s">
        <v>1296</v>
      </c>
      <c r="F1057" s="54" t="s">
        <v>534</v>
      </c>
      <c r="G1057" s="54" t="s">
        <v>1275</v>
      </c>
      <c r="H1057" s="54" t="s">
        <v>1275</v>
      </c>
      <c r="I1057" s="54" t="s">
        <v>1340</v>
      </c>
      <c r="J1057" s="54" t="s">
        <v>1405</v>
      </c>
      <c r="X1057" s="55" t="str">
        <f t="shared" si="1"/>
        <v>#NAME?</v>
      </c>
    </row>
    <row r="1058">
      <c r="A1058" s="4" t="s">
        <v>2835</v>
      </c>
      <c r="B1058" s="4" t="s">
        <v>2836</v>
      </c>
      <c r="C1058" s="4">
        <v>1.0</v>
      </c>
      <c r="D1058" s="4" t="s">
        <v>1453</v>
      </c>
      <c r="E1058" s="4" t="s">
        <v>1191</v>
      </c>
      <c r="F1058" s="54" t="s">
        <v>534</v>
      </c>
      <c r="G1058" s="54" t="s">
        <v>1398</v>
      </c>
      <c r="H1058" s="54" t="s">
        <v>1454</v>
      </c>
      <c r="I1058" s="54" t="s">
        <v>1197</v>
      </c>
      <c r="J1058" s="54" t="s">
        <v>1455</v>
      </c>
      <c r="X1058" s="55" t="str">
        <f t="shared" si="1"/>
        <v>#NAME?</v>
      </c>
    </row>
    <row r="1059">
      <c r="A1059" s="4" t="s">
        <v>2837</v>
      </c>
      <c r="B1059" s="4" t="s">
        <v>2838</v>
      </c>
      <c r="C1059" s="4">
        <v>1.0</v>
      </c>
      <c r="D1059" s="4" t="s">
        <v>1465</v>
      </c>
      <c r="E1059" s="4" t="s">
        <v>1088</v>
      </c>
      <c r="F1059" s="54" t="s">
        <v>534</v>
      </c>
      <c r="G1059" s="54" t="s">
        <v>1122</v>
      </c>
      <c r="H1059" s="54" t="s">
        <v>1122</v>
      </c>
      <c r="I1059" s="54" t="s">
        <v>1152</v>
      </c>
      <c r="J1059" s="54" t="s">
        <v>1123</v>
      </c>
      <c r="X1059" s="55" t="str">
        <f t="shared" si="1"/>
        <v>#NAME?</v>
      </c>
    </row>
    <row r="1060">
      <c r="A1060" s="4" t="s">
        <v>2839</v>
      </c>
      <c r="B1060" s="4" t="s">
        <v>2840</v>
      </c>
      <c r="C1060" s="4">
        <v>1.0</v>
      </c>
      <c r="D1060" s="4" t="s">
        <v>1467</v>
      </c>
      <c r="E1060" s="4" t="s">
        <v>1088</v>
      </c>
      <c r="F1060" s="54" t="s">
        <v>534</v>
      </c>
      <c r="G1060" s="54" t="s">
        <v>1123</v>
      </c>
      <c r="H1060" s="54" t="s">
        <v>1122</v>
      </c>
      <c r="I1060" s="54" t="s">
        <v>1150</v>
      </c>
      <c r="J1060" s="54" t="s">
        <v>1123</v>
      </c>
      <c r="X1060" s="55" t="str">
        <f t="shared" si="1"/>
        <v>#NAME?</v>
      </c>
    </row>
    <row r="1061">
      <c r="A1061" s="4" t="s">
        <v>2841</v>
      </c>
      <c r="B1061" s="4" t="s">
        <v>2842</v>
      </c>
      <c r="C1061" s="4">
        <v>1.0</v>
      </c>
      <c r="D1061" s="4" t="s">
        <v>1469</v>
      </c>
      <c r="E1061" s="4" t="s">
        <v>1088</v>
      </c>
      <c r="F1061" s="54" t="s">
        <v>534</v>
      </c>
      <c r="G1061" s="54" t="s">
        <v>1139</v>
      </c>
      <c r="H1061" s="54" t="s">
        <v>1122</v>
      </c>
      <c r="I1061" s="54" t="s">
        <v>1440</v>
      </c>
      <c r="J1061" s="54" t="s">
        <v>1139</v>
      </c>
      <c r="X1061" s="55" t="str">
        <f t="shared" si="1"/>
        <v>#NAME?</v>
      </c>
    </row>
    <row r="1062">
      <c r="A1062" s="4" t="s">
        <v>2843</v>
      </c>
      <c r="B1062" s="4" t="s">
        <v>2844</v>
      </c>
      <c r="C1062" s="4">
        <v>1.0</v>
      </c>
      <c r="D1062" s="4" t="s">
        <v>1471</v>
      </c>
      <c r="E1062" s="4" t="s">
        <v>1191</v>
      </c>
      <c r="F1062" s="54" t="s">
        <v>534</v>
      </c>
      <c r="G1062" s="54" t="s">
        <v>1143</v>
      </c>
      <c r="H1062" s="54" t="s">
        <v>1118</v>
      </c>
      <c r="I1062" s="54" t="s">
        <v>1126</v>
      </c>
      <c r="J1062" s="54" t="s">
        <v>1138</v>
      </c>
      <c r="X1062" s="55" t="str">
        <f t="shared" si="1"/>
        <v>#NAME?</v>
      </c>
    </row>
    <row r="1063">
      <c r="A1063" s="4" t="s">
        <v>2845</v>
      </c>
      <c r="B1063" s="4" t="s">
        <v>2846</v>
      </c>
      <c r="C1063" s="4">
        <v>1.0</v>
      </c>
      <c r="D1063" s="4" t="s">
        <v>1473</v>
      </c>
      <c r="E1063" s="4" t="s">
        <v>1191</v>
      </c>
      <c r="F1063" s="54" t="s">
        <v>534</v>
      </c>
      <c r="G1063" s="54" t="s">
        <v>1337</v>
      </c>
      <c r="H1063" s="54" t="s">
        <v>1474</v>
      </c>
      <c r="I1063" s="54" t="s">
        <v>1256</v>
      </c>
      <c r="J1063" s="54" t="s">
        <v>1475</v>
      </c>
      <c r="X1063" s="55" t="str">
        <f t="shared" si="1"/>
        <v>#NAME?</v>
      </c>
    </row>
    <row r="1064">
      <c r="A1064" s="4" t="s">
        <v>2847</v>
      </c>
      <c r="B1064" s="4" t="s">
        <v>2848</v>
      </c>
      <c r="C1064" s="4">
        <v>1.0</v>
      </c>
      <c r="D1064" s="4" t="s">
        <v>1477</v>
      </c>
      <c r="E1064" s="4" t="s">
        <v>1191</v>
      </c>
      <c r="F1064" s="54" t="s">
        <v>534</v>
      </c>
      <c r="G1064" s="54" t="s">
        <v>1478</v>
      </c>
      <c r="H1064" s="54" t="s">
        <v>1194</v>
      </c>
      <c r="I1064" s="54" t="s">
        <v>1321</v>
      </c>
      <c r="J1064" s="54" t="s">
        <v>1479</v>
      </c>
      <c r="X1064" s="55" t="str">
        <f t="shared" si="1"/>
        <v>#NAME?</v>
      </c>
    </row>
    <row r="1065">
      <c r="A1065" s="4" t="s">
        <v>2849</v>
      </c>
      <c r="B1065" s="4" t="s">
        <v>2850</v>
      </c>
      <c r="C1065" s="4">
        <v>1.0</v>
      </c>
      <c r="D1065" s="4" t="s">
        <v>1481</v>
      </c>
      <c r="E1065" s="4" t="s">
        <v>1191</v>
      </c>
      <c r="F1065" s="54" t="s">
        <v>534</v>
      </c>
      <c r="G1065" s="54" t="s">
        <v>1482</v>
      </c>
      <c r="H1065" s="54" t="s">
        <v>1192</v>
      </c>
      <c r="I1065" s="54" t="s">
        <v>1137</v>
      </c>
      <c r="J1065" s="54" t="s">
        <v>1276</v>
      </c>
      <c r="X1065" s="55" t="str">
        <f t="shared" si="1"/>
        <v>#NAME?</v>
      </c>
    </row>
    <row r="1066">
      <c r="A1066" s="4" t="s">
        <v>2851</v>
      </c>
      <c r="B1066" s="4" t="s">
        <v>2852</v>
      </c>
      <c r="C1066" s="4">
        <v>1.0</v>
      </c>
      <c r="D1066" s="4" t="s">
        <v>1484</v>
      </c>
      <c r="E1066" s="4" t="s">
        <v>1088</v>
      </c>
      <c r="F1066" s="54" t="s">
        <v>534</v>
      </c>
      <c r="G1066" s="54" t="s">
        <v>1117</v>
      </c>
      <c r="H1066" s="54" t="s">
        <v>1382</v>
      </c>
      <c r="I1066" s="54" t="s">
        <v>1138</v>
      </c>
      <c r="J1066" s="54" t="s">
        <v>1344</v>
      </c>
      <c r="X1066" s="55" t="str">
        <f t="shared" si="1"/>
        <v>#NAME?</v>
      </c>
    </row>
    <row r="1067">
      <c r="A1067" s="4" t="s">
        <v>2853</v>
      </c>
      <c r="B1067" s="4" t="s">
        <v>2854</v>
      </c>
      <c r="C1067" s="4">
        <v>1.0</v>
      </c>
      <c r="D1067" s="4" t="s">
        <v>1457</v>
      </c>
      <c r="E1067" s="4" t="s">
        <v>1191</v>
      </c>
      <c r="F1067" s="54" t="s">
        <v>534</v>
      </c>
      <c r="G1067" s="54" t="s">
        <v>1194</v>
      </c>
      <c r="H1067" s="54" t="s">
        <v>1458</v>
      </c>
      <c r="I1067" s="54" t="s">
        <v>1436</v>
      </c>
      <c r="J1067" s="54" t="s">
        <v>1365</v>
      </c>
      <c r="X1067" s="55" t="str">
        <f t="shared" si="1"/>
        <v>#NAME?</v>
      </c>
    </row>
    <row r="1068">
      <c r="A1068" s="4" t="s">
        <v>2855</v>
      </c>
      <c r="B1068" s="4" t="s">
        <v>2856</v>
      </c>
      <c r="C1068" s="4">
        <v>1.0</v>
      </c>
      <c r="D1068" s="4" t="s">
        <v>1460</v>
      </c>
      <c r="E1068" s="4" t="s">
        <v>1191</v>
      </c>
      <c r="F1068" s="54" t="s">
        <v>534</v>
      </c>
      <c r="G1068" s="54" t="s">
        <v>1391</v>
      </c>
      <c r="H1068" s="54" t="s">
        <v>1461</v>
      </c>
      <c r="I1068" s="54" t="s">
        <v>1462</v>
      </c>
      <c r="J1068" s="54" t="s">
        <v>1463</v>
      </c>
      <c r="X1068" s="55" t="str">
        <f t="shared" si="1"/>
        <v>#NAME?</v>
      </c>
    </row>
    <row r="1069">
      <c r="A1069" s="4" t="s">
        <v>2857</v>
      </c>
      <c r="B1069" s="4" t="s">
        <v>2858</v>
      </c>
      <c r="C1069" s="4">
        <v>1.0</v>
      </c>
      <c r="D1069" s="4" t="s">
        <v>1425</v>
      </c>
      <c r="E1069" s="4" t="s">
        <v>1296</v>
      </c>
      <c r="F1069" s="54" t="s">
        <v>534</v>
      </c>
      <c r="G1069" s="54" t="s">
        <v>1426</v>
      </c>
      <c r="H1069" s="54" t="s">
        <v>1142</v>
      </c>
      <c r="I1069" s="54" t="s">
        <v>1284</v>
      </c>
      <c r="J1069" s="54" t="s">
        <v>1427</v>
      </c>
      <c r="X1069" s="55" t="str">
        <f t="shared" si="1"/>
        <v>#NAME?</v>
      </c>
    </row>
    <row r="1070">
      <c r="A1070" s="4" t="s">
        <v>2859</v>
      </c>
      <c r="B1070" s="4" t="s">
        <v>2860</v>
      </c>
      <c r="C1070" s="4">
        <v>1.0</v>
      </c>
      <c r="D1070" s="4" t="s">
        <v>1486</v>
      </c>
      <c r="E1070" s="4" t="s">
        <v>1088</v>
      </c>
      <c r="F1070" s="54" t="s">
        <v>534</v>
      </c>
      <c r="G1070" s="54" t="s">
        <v>1137</v>
      </c>
      <c r="H1070" s="54" t="s">
        <v>1163</v>
      </c>
      <c r="I1070" s="54" t="s">
        <v>1344</v>
      </c>
      <c r="J1070" s="54" t="s">
        <v>1487</v>
      </c>
      <c r="X1070" s="55" t="str">
        <f t="shared" si="1"/>
        <v>#NAME?</v>
      </c>
    </row>
    <row r="1071">
      <c r="A1071" s="4" t="s">
        <v>2861</v>
      </c>
      <c r="B1071" s="4" t="s">
        <v>2862</v>
      </c>
      <c r="C1071" s="4">
        <v>1.0</v>
      </c>
      <c r="D1071" s="54" t="s">
        <v>1554</v>
      </c>
      <c r="E1071" s="4" t="s">
        <v>1098</v>
      </c>
      <c r="F1071" s="54" t="s">
        <v>357</v>
      </c>
      <c r="G1071" s="54" t="s">
        <v>1156</v>
      </c>
      <c r="H1071" s="54" t="s">
        <v>1130</v>
      </c>
      <c r="I1071" s="54" t="s">
        <v>1494</v>
      </c>
      <c r="J1071" s="54" t="s">
        <v>1132</v>
      </c>
      <c r="X1071" s="55" t="str">
        <f t="shared" si="1"/>
        <v>#NAME?</v>
      </c>
    </row>
    <row r="1072">
      <c r="A1072" s="4" t="s">
        <v>2863</v>
      </c>
      <c r="B1072" s="4" t="s">
        <v>2864</v>
      </c>
      <c r="C1072" s="4">
        <v>1.0</v>
      </c>
      <c r="D1072" s="54" t="s">
        <v>1506</v>
      </c>
      <c r="E1072" s="4" t="s">
        <v>1296</v>
      </c>
      <c r="F1072" s="54" t="s">
        <v>357</v>
      </c>
      <c r="G1072" s="54" t="s">
        <v>1507</v>
      </c>
      <c r="H1072" s="54" t="s">
        <v>1508</v>
      </c>
      <c r="I1072" s="54" t="s">
        <v>1509</v>
      </c>
      <c r="J1072" s="54" t="s">
        <v>1510</v>
      </c>
      <c r="X1072" s="55" t="str">
        <f t="shared" si="1"/>
        <v>#NAME?</v>
      </c>
    </row>
    <row r="1073">
      <c r="A1073" s="4" t="s">
        <v>2865</v>
      </c>
      <c r="B1073" s="4" t="s">
        <v>2866</v>
      </c>
      <c r="C1073" s="4">
        <v>1.0</v>
      </c>
      <c r="D1073" s="54" t="s">
        <v>1506</v>
      </c>
      <c r="E1073" s="4" t="s">
        <v>1296</v>
      </c>
      <c r="F1073" s="54" t="s">
        <v>357</v>
      </c>
      <c r="G1073" s="54" t="s">
        <v>1365</v>
      </c>
      <c r="H1073" s="54" t="s">
        <v>1512</v>
      </c>
      <c r="I1073" s="54" t="s">
        <v>1513</v>
      </c>
      <c r="J1073" s="54" t="s">
        <v>1514</v>
      </c>
      <c r="X1073" s="55" t="str">
        <f t="shared" si="1"/>
        <v>#NAME?</v>
      </c>
    </row>
    <row r="1074">
      <c r="A1074" s="4" t="s">
        <v>2867</v>
      </c>
      <c r="B1074" s="4" t="s">
        <v>2868</v>
      </c>
      <c r="C1074" s="4">
        <v>1.0</v>
      </c>
      <c r="D1074" s="54" t="s">
        <v>1506</v>
      </c>
      <c r="E1074" s="4" t="s">
        <v>1296</v>
      </c>
      <c r="F1074" s="54" t="s">
        <v>357</v>
      </c>
      <c r="G1074" s="54" t="s">
        <v>1252</v>
      </c>
      <c r="H1074" s="54" t="s">
        <v>1160</v>
      </c>
      <c r="I1074" s="54" t="s">
        <v>1516</v>
      </c>
      <c r="J1074" s="54" t="s">
        <v>1359</v>
      </c>
      <c r="X1074" s="55" t="str">
        <f t="shared" si="1"/>
        <v>#NAME?</v>
      </c>
    </row>
    <row r="1075">
      <c r="A1075" s="4" t="s">
        <v>2869</v>
      </c>
      <c r="B1075" s="4" t="s">
        <v>2870</v>
      </c>
      <c r="C1075" s="4">
        <v>1.0</v>
      </c>
      <c r="D1075" s="54" t="s">
        <v>1506</v>
      </c>
      <c r="E1075" s="4" t="s">
        <v>1296</v>
      </c>
      <c r="F1075" s="54" t="s">
        <v>357</v>
      </c>
      <c r="G1075" s="54" t="s">
        <v>1257</v>
      </c>
      <c r="H1075" s="54" t="s">
        <v>1518</v>
      </c>
      <c r="I1075" s="54" t="s">
        <v>1518</v>
      </c>
      <c r="J1075" s="54" t="s">
        <v>1366</v>
      </c>
      <c r="X1075" s="55" t="str">
        <f t="shared" si="1"/>
        <v>#NAME?</v>
      </c>
    </row>
    <row r="1076">
      <c r="A1076" s="4" t="s">
        <v>2871</v>
      </c>
      <c r="B1076" s="4" t="s">
        <v>2872</v>
      </c>
      <c r="C1076" s="4">
        <v>1.0</v>
      </c>
      <c r="D1076" s="54" t="s">
        <v>1520</v>
      </c>
      <c r="E1076" s="4" t="s">
        <v>1088</v>
      </c>
      <c r="F1076" s="54" t="s">
        <v>357</v>
      </c>
      <c r="G1076" s="54" t="s">
        <v>1334</v>
      </c>
      <c r="H1076" s="54" t="s">
        <v>1521</v>
      </c>
      <c r="I1076" s="54" t="s">
        <v>1256</v>
      </c>
      <c r="J1076" s="54" t="s">
        <v>1205</v>
      </c>
      <c r="X1076" s="55" t="str">
        <f t="shared" si="1"/>
        <v>#NAME?</v>
      </c>
    </row>
    <row r="1077">
      <c r="A1077" s="4" t="s">
        <v>2873</v>
      </c>
      <c r="B1077" s="4" t="s">
        <v>2874</v>
      </c>
      <c r="C1077" s="4">
        <v>1.0</v>
      </c>
      <c r="D1077" s="54" t="s">
        <v>1523</v>
      </c>
      <c r="E1077" s="4" t="s">
        <v>1088</v>
      </c>
      <c r="F1077" s="54" t="s">
        <v>357</v>
      </c>
      <c r="G1077" s="54" t="s">
        <v>1168</v>
      </c>
      <c r="H1077" s="54" t="s">
        <v>1524</v>
      </c>
      <c r="I1077" s="54" t="s">
        <v>1504</v>
      </c>
      <c r="J1077" s="54" t="s">
        <v>1500</v>
      </c>
      <c r="X1077" s="55" t="str">
        <f t="shared" si="1"/>
        <v>#NAME?</v>
      </c>
    </row>
    <row r="1078">
      <c r="A1078" s="4" t="s">
        <v>2875</v>
      </c>
      <c r="B1078" s="4" t="s">
        <v>2876</v>
      </c>
      <c r="C1078" s="4">
        <v>1.0</v>
      </c>
      <c r="D1078" s="54" t="s">
        <v>1526</v>
      </c>
      <c r="E1078" s="4" t="s">
        <v>1088</v>
      </c>
      <c r="F1078" s="54" t="s">
        <v>357</v>
      </c>
      <c r="G1078" s="54" t="s">
        <v>1497</v>
      </c>
      <c r="H1078" s="54" t="s">
        <v>1524</v>
      </c>
      <c r="I1078" s="54" t="s">
        <v>1499</v>
      </c>
      <c r="J1078" s="54" t="s">
        <v>1500</v>
      </c>
      <c r="X1078" s="55" t="str">
        <f t="shared" si="1"/>
        <v>#NAME?</v>
      </c>
    </row>
    <row r="1079">
      <c r="A1079" s="4" t="s">
        <v>2877</v>
      </c>
      <c r="B1079" s="4" t="s">
        <v>2878</v>
      </c>
      <c r="C1079" s="4">
        <v>1.0</v>
      </c>
      <c r="D1079" s="54" t="s">
        <v>1528</v>
      </c>
      <c r="E1079" s="4" t="s">
        <v>1296</v>
      </c>
      <c r="F1079" s="54" t="s">
        <v>357</v>
      </c>
      <c r="G1079" s="54" t="s">
        <v>1108</v>
      </c>
      <c r="H1079" s="54" t="s">
        <v>1417</v>
      </c>
      <c r="I1079" s="54" t="s">
        <v>1529</v>
      </c>
      <c r="J1079" s="54" t="s">
        <v>1158</v>
      </c>
      <c r="X1079" s="55" t="str">
        <f t="shared" si="1"/>
        <v>#NAME?</v>
      </c>
    </row>
    <row r="1080">
      <c r="A1080" s="4" t="s">
        <v>2879</v>
      </c>
      <c r="B1080" s="4" t="s">
        <v>2880</v>
      </c>
      <c r="C1080" s="4">
        <v>1.0</v>
      </c>
      <c r="D1080" s="54" t="s">
        <v>1496</v>
      </c>
      <c r="E1080" s="4" t="s">
        <v>1088</v>
      </c>
      <c r="F1080" s="54" t="s">
        <v>357</v>
      </c>
      <c r="G1080" s="54" t="s">
        <v>1497</v>
      </c>
      <c r="H1080" s="54" t="s">
        <v>1498</v>
      </c>
      <c r="I1080" s="54" t="s">
        <v>1499</v>
      </c>
      <c r="J1080" s="54" t="s">
        <v>1500</v>
      </c>
      <c r="X1080" s="55" t="str">
        <f t="shared" si="1"/>
        <v>#NAME?</v>
      </c>
    </row>
    <row r="1081">
      <c r="A1081" s="4" t="s">
        <v>2881</v>
      </c>
      <c r="B1081" s="4" t="s">
        <v>2882</v>
      </c>
      <c r="C1081" s="4">
        <v>1.0</v>
      </c>
      <c r="D1081" s="54" t="s">
        <v>1492</v>
      </c>
      <c r="E1081" s="4" t="s">
        <v>1251</v>
      </c>
      <c r="F1081" s="54" t="s">
        <v>357</v>
      </c>
      <c r="G1081" s="54" t="s">
        <v>1493</v>
      </c>
      <c r="H1081" s="54" t="s">
        <v>1215</v>
      </c>
      <c r="I1081" s="54" t="s">
        <v>1494</v>
      </c>
      <c r="J1081" s="54" t="s">
        <v>1226</v>
      </c>
      <c r="X1081" s="55" t="str">
        <f t="shared" si="1"/>
        <v>#NAME?</v>
      </c>
    </row>
    <row r="1082">
      <c r="A1082" s="4" t="s">
        <v>2883</v>
      </c>
      <c r="B1082" s="4" t="s">
        <v>2884</v>
      </c>
      <c r="C1082" s="4">
        <v>1.0</v>
      </c>
      <c r="D1082" s="54" t="s">
        <v>1528</v>
      </c>
      <c r="E1082" s="4" t="s">
        <v>1296</v>
      </c>
      <c r="F1082" s="54" t="s">
        <v>357</v>
      </c>
      <c r="G1082" s="54" t="s">
        <v>1531</v>
      </c>
      <c r="H1082" s="54" t="s">
        <v>1106</v>
      </c>
      <c r="I1082" s="54" t="s">
        <v>1532</v>
      </c>
      <c r="J1082" s="54" t="s">
        <v>1533</v>
      </c>
      <c r="X1082" s="55" t="str">
        <f t="shared" si="1"/>
        <v>#NAME?</v>
      </c>
    </row>
    <row r="1083">
      <c r="A1083" s="4" t="s">
        <v>2885</v>
      </c>
      <c r="B1083" s="4" t="s">
        <v>2886</v>
      </c>
      <c r="C1083" s="4">
        <v>1.0</v>
      </c>
      <c r="D1083" s="54" t="s">
        <v>1538</v>
      </c>
      <c r="E1083" s="4" t="s">
        <v>1088</v>
      </c>
      <c r="F1083" s="54" t="s">
        <v>357</v>
      </c>
      <c r="G1083" s="54" t="s">
        <v>1497</v>
      </c>
      <c r="H1083" s="54" t="s">
        <v>1503</v>
      </c>
      <c r="I1083" s="54" t="s">
        <v>1503</v>
      </c>
      <c r="J1083" s="54" t="s">
        <v>1504</v>
      </c>
      <c r="X1083" s="55" t="str">
        <f t="shared" si="1"/>
        <v>#NAME?</v>
      </c>
    </row>
    <row r="1084">
      <c r="A1084" s="4" t="s">
        <v>2887</v>
      </c>
      <c r="B1084" s="4" t="s">
        <v>2888</v>
      </c>
      <c r="C1084" s="4">
        <v>1.0</v>
      </c>
      <c r="D1084" s="54" t="s">
        <v>1540</v>
      </c>
      <c r="E1084" s="4" t="s">
        <v>1088</v>
      </c>
      <c r="F1084" s="54" t="s">
        <v>357</v>
      </c>
      <c r="G1084" s="54" t="s">
        <v>1503</v>
      </c>
      <c r="H1084" s="54" t="s">
        <v>1499</v>
      </c>
      <c r="I1084" s="54" t="s">
        <v>1503</v>
      </c>
      <c r="J1084" s="54" t="s">
        <v>1504</v>
      </c>
      <c r="X1084" s="55" t="str">
        <f t="shared" si="1"/>
        <v>#NAME?</v>
      </c>
    </row>
    <row r="1085">
      <c r="A1085" s="4" t="s">
        <v>2889</v>
      </c>
      <c r="B1085" s="4" t="s">
        <v>2890</v>
      </c>
      <c r="C1085" s="4">
        <v>1.0</v>
      </c>
      <c r="D1085" s="54" t="s">
        <v>1542</v>
      </c>
      <c r="E1085" s="4" t="s">
        <v>1098</v>
      </c>
      <c r="F1085" s="54" t="s">
        <v>357</v>
      </c>
      <c r="G1085" s="54" t="s">
        <v>1543</v>
      </c>
      <c r="H1085" s="54" t="s">
        <v>1185</v>
      </c>
      <c r="I1085" s="54" t="s">
        <v>1544</v>
      </c>
      <c r="J1085" s="54" t="s">
        <v>1105</v>
      </c>
      <c r="X1085" s="55" t="str">
        <f t="shared" si="1"/>
        <v>#NAME?</v>
      </c>
    </row>
    <row r="1086">
      <c r="A1086" s="4" t="s">
        <v>2891</v>
      </c>
      <c r="B1086" s="4" t="s">
        <v>2892</v>
      </c>
      <c r="C1086" s="4">
        <v>1.0</v>
      </c>
      <c r="D1086" s="54" t="s">
        <v>1542</v>
      </c>
      <c r="E1086" s="4" t="s">
        <v>1098</v>
      </c>
      <c r="F1086" s="54" t="s">
        <v>357</v>
      </c>
      <c r="G1086" s="54" t="s">
        <v>1185</v>
      </c>
      <c r="H1086" s="54" t="s">
        <v>1212</v>
      </c>
      <c r="I1086" s="54" t="s">
        <v>1231</v>
      </c>
      <c r="J1086" s="54" t="s">
        <v>1175</v>
      </c>
      <c r="X1086" s="55" t="str">
        <f t="shared" si="1"/>
        <v>#NAME?</v>
      </c>
    </row>
    <row r="1087">
      <c r="A1087" s="4" t="s">
        <v>2893</v>
      </c>
      <c r="B1087" s="4" t="s">
        <v>2894</v>
      </c>
      <c r="C1087" s="4">
        <v>1.0</v>
      </c>
      <c r="D1087" s="54" t="s">
        <v>1542</v>
      </c>
      <c r="E1087" s="4" t="s">
        <v>1098</v>
      </c>
      <c r="F1087" s="54" t="s">
        <v>357</v>
      </c>
      <c r="G1087" s="54" t="s">
        <v>1188</v>
      </c>
      <c r="H1087" s="54" t="s">
        <v>1547</v>
      </c>
      <c r="I1087" s="54" t="s">
        <v>1158</v>
      </c>
      <c r="J1087" s="54" t="s">
        <v>1110</v>
      </c>
      <c r="X1087" s="55" t="str">
        <f t="shared" si="1"/>
        <v>#NAME?</v>
      </c>
    </row>
    <row r="1088">
      <c r="A1088" s="4" t="s">
        <v>2895</v>
      </c>
      <c r="B1088" s="4" t="s">
        <v>2896</v>
      </c>
      <c r="C1088" s="4">
        <v>1.0</v>
      </c>
      <c r="D1088" s="54" t="s">
        <v>1549</v>
      </c>
      <c r="E1088" s="4" t="s">
        <v>1088</v>
      </c>
      <c r="F1088" s="54" t="s">
        <v>357</v>
      </c>
      <c r="G1088" s="54" t="s">
        <v>1212</v>
      </c>
      <c r="H1088" s="54" t="s">
        <v>1186</v>
      </c>
      <c r="I1088" s="54" t="s">
        <v>1240</v>
      </c>
      <c r="J1088" s="54" t="s">
        <v>1210</v>
      </c>
      <c r="X1088" s="55" t="str">
        <f t="shared" si="1"/>
        <v>#NAME?</v>
      </c>
    </row>
    <row r="1089">
      <c r="A1089" s="4" t="s">
        <v>2897</v>
      </c>
      <c r="B1089" s="4" t="s">
        <v>2898</v>
      </c>
      <c r="C1089" s="4">
        <v>1.0</v>
      </c>
      <c r="D1089" s="54" t="s">
        <v>1551</v>
      </c>
      <c r="E1089" s="4" t="s">
        <v>1088</v>
      </c>
      <c r="F1089" s="54" t="s">
        <v>357</v>
      </c>
      <c r="G1089" s="54" t="s">
        <v>1179</v>
      </c>
      <c r="H1089" s="54" t="s">
        <v>1240</v>
      </c>
      <c r="I1089" s="54" t="s">
        <v>1552</v>
      </c>
      <c r="J1089" s="54" t="s">
        <v>1210</v>
      </c>
      <c r="X1089" s="55" t="str">
        <f t="shared" si="1"/>
        <v>#NAME?</v>
      </c>
    </row>
    <row r="1090">
      <c r="A1090" s="4" t="s">
        <v>2899</v>
      </c>
      <c r="B1090" s="4" t="s">
        <v>2900</v>
      </c>
      <c r="C1090" s="4">
        <v>1.0</v>
      </c>
      <c r="D1090" s="54" t="s">
        <v>1554</v>
      </c>
      <c r="E1090" s="4" t="s">
        <v>1098</v>
      </c>
      <c r="F1090" s="54" t="s">
        <v>357</v>
      </c>
      <c r="G1090" s="54" t="s">
        <v>1176</v>
      </c>
      <c r="H1090" s="54" t="s">
        <v>1555</v>
      </c>
      <c r="I1090" s="54" t="s">
        <v>1171</v>
      </c>
      <c r="J1090" s="54" t="s">
        <v>1556</v>
      </c>
      <c r="X1090" s="55" t="str">
        <f t="shared" si="1"/>
        <v>#NAME?</v>
      </c>
    </row>
    <row r="1091">
      <c r="A1091" s="4" t="s">
        <v>2901</v>
      </c>
      <c r="B1091" s="4" t="s">
        <v>2902</v>
      </c>
      <c r="C1091" s="4">
        <v>1.0</v>
      </c>
      <c r="D1091" s="54" t="s">
        <v>1528</v>
      </c>
      <c r="E1091" s="4" t="s">
        <v>1296</v>
      </c>
      <c r="F1091" s="54" t="s">
        <v>357</v>
      </c>
      <c r="G1091" s="54" t="s">
        <v>1244</v>
      </c>
      <c r="H1091" s="54" t="s">
        <v>1170</v>
      </c>
      <c r="I1091" s="54" t="s">
        <v>1177</v>
      </c>
      <c r="J1091" s="54" t="s">
        <v>1535</v>
      </c>
      <c r="X1091" s="55" t="str">
        <f t="shared" si="1"/>
        <v>#NAME?</v>
      </c>
    </row>
    <row r="1092">
      <c r="A1092" s="4" t="s">
        <v>2903</v>
      </c>
      <c r="B1092" s="4" t="s">
        <v>2904</v>
      </c>
      <c r="C1092" s="4">
        <v>1.0</v>
      </c>
      <c r="D1092" s="54" t="s">
        <v>1528</v>
      </c>
      <c r="E1092" s="4" t="s">
        <v>1296</v>
      </c>
      <c r="F1092" s="54" t="s">
        <v>357</v>
      </c>
      <c r="G1092" s="54" t="s">
        <v>1108</v>
      </c>
      <c r="H1092" s="54" t="s">
        <v>1233</v>
      </c>
      <c r="I1092" s="54" t="s">
        <v>1529</v>
      </c>
      <c r="J1092" s="54" t="s">
        <v>1170</v>
      </c>
      <c r="X1092" s="55" t="str">
        <f t="shared" si="1"/>
        <v>#NAME?</v>
      </c>
    </row>
    <row r="1093">
      <c r="A1093" s="4" t="s">
        <v>2905</v>
      </c>
      <c r="B1093" s="4" t="s">
        <v>2906</v>
      </c>
      <c r="C1093" s="4">
        <v>1.0</v>
      </c>
      <c r="D1093" s="54" t="s">
        <v>1554</v>
      </c>
      <c r="E1093" s="4" t="s">
        <v>1098</v>
      </c>
      <c r="F1093" s="54" t="s">
        <v>357</v>
      </c>
      <c r="G1093" s="54" t="s">
        <v>1171</v>
      </c>
      <c r="H1093" s="54" t="s">
        <v>1225</v>
      </c>
      <c r="I1093" s="54" t="s">
        <v>1559</v>
      </c>
      <c r="J1093" s="54" t="s">
        <v>1560</v>
      </c>
      <c r="X1093" s="55" t="str">
        <f t="shared" si="1"/>
        <v>#NAME?</v>
      </c>
    </row>
    <row r="1094">
      <c r="A1094" s="4" t="s">
        <v>2907</v>
      </c>
      <c r="B1094" s="4" t="s">
        <v>2908</v>
      </c>
      <c r="C1094" s="4">
        <v>1.0</v>
      </c>
      <c r="D1094" s="54" t="s">
        <v>1624</v>
      </c>
      <c r="E1094" s="4" t="s">
        <v>1098</v>
      </c>
      <c r="F1094" s="54" t="s">
        <v>357</v>
      </c>
      <c r="G1094" s="54" t="s">
        <v>1628</v>
      </c>
      <c r="H1094" s="54" t="s">
        <v>1573</v>
      </c>
      <c r="I1094" s="54" t="s">
        <v>1180</v>
      </c>
      <c r="J1094" s="54" t="s">
        <v>1607</v>
      </c>
      <c r="X1094" s="55" t="str">
        <f t="shared" si="1"/>
        <v>#NAME?</v>
      </c>
    </row>
    <row r="1095">
      <c r="A1095" s="4" t="s">
        <v>2909</v>
      </c>
      <c r="B1095" s="4" t="s">
        <v>2910</v>
      </c>
      <c r="C1095" s="4">
        <v>1.0</v>
      </c>
      <c r="D1095" s="54" t="s">
        <v>1566</v>
      </c>
      <c r="E1095" s="4" t="s">
        <v>1296</v>
      </c>
      <c r="F1095" s="54" t="s">
        <v>357</v>
      </c>
      <c r="G1095" s="54" t="s">
        <v>1572</v>
      </c>
      <c r="H1095" s="54" t="s">
        <v>1248</v>
      </c>
      <c r="I1095" s="54" t="s">
        <v>1573</v>
      </c>
      <c r="J1095" s="54" t="s">
        <v>1245</v>
      </c>
      <c r="X1095" s="55" t="str">
        <f t="shared" si="1"/>
        <v>#NAME?</v>
      </c>
    </row>
    <row r="1096">
      <c r="A1096" s="4" t="s">
        <v>2911</v>
      </c>
      <c r="B1096" s="4" t="s">
        <v>2912</v>
      </c>
      <c r="C1096" s="4">
        <v>1.0</v>
      </c>
      <c r="D1096" s="54" t="s">
        <v>1566</v>
      </c>
      <c r="E1096" s="4" t="s">
        <v>1296</v>
      </c>
      <c r="F1096" s="54" t="s">
        <v>357</v>
      </c>
      <c r="G1096" s="54" t="s">
        <v>1359</v>
      </c>
      <c r="H1096" s="54" t="s">
        <v>1200</v>
      </c>
      <c r="I1096" s="54" t="s">
        <v>1575</v>
      </c>
      <c r="J1096" s="54" t="s">
        <v>1567</v>
      </c>
      <c r="X1096" s="55" t="str">
        <f t="shared" si="1"/>
        <v>#NAME?</v>
      </c>
    </row>
    <row r="1097">
      <c r="A1097" s="4" t="s">
        <v>2913</v>
      </c>
      <c r="B1097" s="4" t="s">
        <v>2914</v>
      </c>
      <c r="C1097" s="4">
        <v>1.0</v>
      </c>
      <c r="D1097" s="54" t="s">
        <v>1577</v>
      </c>
      <c r="E1097" s="4" t="s">
        <v>1088</v>
      </c>
      <c r="F1097" s="54" t="s">
        <v>357</v>
      </c>
      <c r="G1097" s="54" t="s">
        <v>1531</v>
      </c>
      <c r="H1097" s="54" t="s">
        <v>1183</v>
      </c>
      <c r="I1097" s="54" t="s">
        <v>1171</v>
      </c>
      <c r="J1097" s="54" t="s">
        <v>1212</v>
      </c>
      <c r="X1097" s="55" t="str">
        <f t="shared" si="1"/>
        <v>#NAME?</v>
      </c>
    </row>
    <row r="1098">
      <c r="A1098" s="4" t="s">
        <v>2915</v>
      </c>
      <c r="B1098" s="4" t="s">
        <v>2916</v>
      </c>
      <c r="C1098" s="4">
        <v>1.0</v>
      </c>
      <c r="D1098" s="54" t="s">
        <v>1579</v>
      </c>
      <c r="E1098" s="4" t="s">
        <v>1088</v>
      </c>
      <c r="F1098" s="54" t="s">
        <v>357</v>
      </c>
      <c r="G1098" s="54" t="s">
        <v>1244</v>
      </c>
      <c r="H1098" s="54" t="s">
        <v>1186</v>
      </c>
      <c r="I1098" s="54" t="s">
        <v>1156</v>
      </c>
      <c r="J1098" s="54" t="s">
        <v>1244</v>
      </c>
      <c r="X1098" s="55" t="str">
        <f t="shared" si="1"/>
        <v>#NAME?</v>
      </c>
    </row>
    <row r="1099">
      <c r="A1099" s="54" t="s">
        <v>2917</v>
      </c>
      <c r="B1099" s="4" t="s">
        <v>2918</v>
      </c>
      <c r="C1099" s="4">
        <v>1.0</v>
      </c>
      <c r="D1099" s="54" t="s">
        <v>1581</v>
      </c>
      <c r="E1099" s="4" t="s">
        <v>1098</v>
      </c>
      <c r="F1099" s="54" t="s">
        <v>357</v>
      </c>
      <c r="G1099" s="54" t="s">
        <v>1564</v>
      </c>
      <c r="H1099" s="54" t="s">
        <v>1582</v>
      </c>
      <c r="I1099" s="54" t="s">
        <v>1583</v>
      </c>
      <c r="J1099" s="54" t="s">
        <v>1584</v>
      </c>
      <c r="X1099" s="55" t="str">
        <f t="shared" si="1"/>
        <v>#NAME?</v>
      </c>
    </row>
    <row r="1100">
      <c r="A1100" s="4" t="s">
        <v>2919</v>
      </c>
      <c r="B1100" s="4" t="s">
        <v>2920</v>
      </c>
      <c r="C1100" s="4">
        <v>1.0</v>
      </c>
      <c r="D1100" s="54" t="s">
        <v>1581</v>
      </c>
      <c r="E1100" s="4" t="s">
        <v>1098</v>
      </c>
      <c r="F1100" s="54" t="s">
        <v>357</v>
      </c>
      <c r="G1100" s="54" t="s">
        <v>1235</v>
      </c>
      <c r="H1100" s="54" t="s">
        <v>1556</v>
      </c>
      <c r="I1100" s="54" t="s">
        <v>1586</v>
      </c>
      <c r="J1100" s="54" t="s">
        <v>1132</v>
      </c>
      <c r="X1100" s="55" t="str">
        <f t="shared" si="1"/>
        <v>#NAME?</v>
      </c>
    </row>
    <row r="1101">
      <c r="A1101" s="4" t="s">
        <v>2921</v>
      </c>
      <c r="B1101" s="4" t="s">
        <v>2922</v>
      </c>
      <c r="C1101" s="4">
        <v>1.0</v>
      </c>
      <c r="D1101" s="54" t="s">
        <v>1581</v>
      </c>
      <c r="E1101" s="4" t="s">
        <v>1098</v>
      </c>
      <c r="F1101" s="54" t="s">
        <v>357</v>
      </c>
      <c r="G1101" s="54" t="s">
        <v>1172</v>
      </c>
      <c r="H1101" s="54" t="s">
        <v>1493</v>
      </c>
      <c r="I1101" s="54" t="s">
        <v>1218</v>
      </c>
      <c r="J1101" s="54" t="s">
        <v>1560</v>
      </c>
      <c r="X1101" s="55" t="str">
        <f t="shared" si="1"/>
        <v>#NAME?</v>
      </c>
    </row>
    <row r="1102">
      <c r="A1102" s="4" t="s">
        <v>2923</v>
      </c>
      <c r="B1102" s="4" t="s">
        <v>2924</v>
      </c>
      <c r="C1102" s="4">
        <v>1.0</v>
      </c>
      <c r="D1102" s="54" t="s">
        <v>1589</v>
      </c>
      <c r="E1102" s="4" t="s">
        <v>1397</v>
      </c>
      <c r="F1102" s="54" t="s">
        <v>357</v>
      </c>
      <c r="G1102" s="54" t="s">
        <v>1582</v>
      </c>
      <c r="H1102" s="54" t="s">
        <v>1590</v>
      </c>
      <c r="I1102" s="54" t="s">
        <v>1171</v>
      </c>
      <c r="J1102" s="54" t="s">
        <v>1179</v>
      </c>
      <c r="X1102" s="55" t="str">
        <f t="shared" si="1"/>
        <v>#NAME?</v>
      </c>
    </row>
    <row r="1103">
      <c r="A1103" s="4" t="s">
        <v>2925</v>
      </c>
      <c r="B1103" s="4" t="s">
        <v>2926</v>
      </c>
      <c r="C1103" s="4">
        <v>1.0</v>
      </c>
      <c r="D1103" s="54" t="s">
        <v>1621</v>
      </c>
      <c r="E1103" s="4" t="s">
        <v>1251</v>
      </c>
      <c r="F1103" s="54" t="s">
        <v>357</v>
      </c>
      <c r="G1103" s="54" t="s">
        <v>1350</v>
      </c>
      <c r="H1103" s="54" t="s">
        <v>1436</v>
      </c>
      <c r="I1103" s="54" t="s">
        <v>1196</v>
      </c>
      <c r="J1103" s="54" t="s">
        <v>1622</v>
      </c>
      <c r="X1103" s="55" t="str">
        <f t="shared" si="1"/>
        <v>#NAME?</v>
      </c>
    </row>
    <row r="1104">
      <c r="A1104" s="4" t="s">
        <v>2927</v>
      </c>
      <c r="B1104" s="4" t="s">
        <v>2928</v>
      </c>
      <c r="C1104" s="4">
        <v>1.0</v>
      </c>
      <c r="D1104" s="54" t="s">
        <v>1566</v>
      </c>
      <c r="E1104" s="4" t="s">
        <v>1296</v>
      </c>
      <c r="F1104" s="54" t="s">
        <v>357</v>
      </c>
      <c r="G1104" s="54" t="s">
        <v>1567</v>
      </c>
      <c r="H1104" s="54" t="s">
        <v>1570</v>
      </c>
      <c r="I1104" s="54" t="s">
        <v>1233</v>
      </c>
      <c r="J1104" s="54" t="s">
        <v>1109</v>
      </c>
      <c r="X1104" s="55" t="str">
        <f t="shared" si="1"/>
        <v>#NAME?</v>
      </c>
    </row>
    <row r="1105">
      <c r="A1105" s="4" t="s">
        <v>2929</v>
      </c>
      <c r="B1105" s="4" t="s">
        <v>2930</v>
      </c>
      <c r="C1105" s="4">
        <v>1.0</v>
      </c>
      <c r="D1105" s="54" t="s">
        <v>1589</v>
      </c>
      <c r="E1105" s="4" t="s">
        <v>1397</v>
      </c>
      <c r="F1105" s="54" t="s">
        <v>357</v>
      </c>
      <c r="G1105" s="54" t="s">
        <v>1560</v>
      </c>
      <c r="H1105" s="54" t="s">
        <v>1583</v>
      </c>
      <c r="I1105" s="54" t="s">
        <v>1241</v>
      </c>
      <c r="J1105" s="54" t="s">
        <v>1559</v>
      </c>
      <c r="X1105" s="55" t="str">
        <f t="shared" si="1"/>
        <v>#NAME?</v>
      </c>
    </row>
    <row r="1106">
      <c r="A1106" s="4" t="s">
        <v>2931</v>
      </c>
      <c r="B1106" s="4" t="s">
        <v>2932</v>
      </c>
      <c r="C1106" s="4">
        <v>1.0</v>
      </c>
      <c r="D1106" s="54" t="s">
        <v>1597</v>
      </c>
      <c r="E1106" s="4" t="s">
        <v>1088</v>
      </c>
      <c r="F1106" s="54" t="s">
        <v>357</v>
      </c>
      <c r="G1106" s="54" t="s">
        <v>1552</v>
      </c>
      <c r="H1106" s="54" t="s">
        <v>1188</v>
      </c>
      <c r="I1106" s="54" t="s">
        <v>1177</v>
      </c>
      <c r="J1106" s="54" t="s">
        <v>1235</v>
      </c>
      <c r="X1106" s="55" t="str">
        <f t="shared" si="1"/>
        <v>#NAME?</v>
      </c>
    </row>
    <row r="1107">
      <c r="A1107" s="4" t="s">
        <v>2933</v>
      </c>
      <c r="B1107" s="4" t="s">
        <v>2934</v>
      </c>
      <c r="C1107" s="4">
        <v>1.0</v>
      </c>
      <c r="D1107" s="54" t="s">
        <v>1599</v>
      </c>
      <c r="E1107" s="4" t="s">
        <v>1088</v>
      </c>
      <c r="F1107" s="54" t="s">
        <v>357</v>
      </c>
      <c r="G1107" s="54" t="s">
        <v>1235</v>
      </c>
      <c r="H1107" s="54" t="s">
        <v>1559</v>
      </c>
      <c r="I1107" s="54" t="s">
        <v>1235</v>
      </c>
      <c r="J1107" s="54" t="s">
        <v>1172</v>
      </c>
      <c r="X1107" s="55" t="str">
        <f t="shared" si="1"/>
        <v>#NAME?</v>
      </c>
    </row>
    <row r="1108">
      <c r="A1108" s="4" t="s">
        <v>2935</v>
      </c>
      <c r="B1108" s="4" t="s">
        <v>2936</v>
      </c>
      <c r="C1108" s="4">
        <v>1.0</v>
      </c>
      <c r="D1108" s="54" t="s">
        <v>1601</v>
      </c>
      <c r="E1108" s="4" t="s">
        <v>1088</v>
      </c>
      <c r="F1108" s="54" t="s">
        <v>357</v>
      </c>
      <c r="G1108" s="54" t="s">
        <v>1490</v>
      </c>
      <c r="H1108" s="54" t="s">
        <v>1156</v>
      </c>
      <c r="I1108" s="54" t="s">
        <v>1215</v>
      </c>
      <c r="J1108" s="54" t="s">
        <v>1490</v>
      </c>
      <c r="X1108" s="55" t="str">
        <f t="shared" si="1"/>
        <v>#NAME?</v>
      </c>
    </row>
    <row r="1109">
      <c r="A1109" s="4" t="s">
        <v>2937</v>
      </c>
      <c r="B1109" s="4" t="s">
        <v>2938</v>
      </c>
      <c r="C1109" s="4">
        <v>1.0</v>
      </c>
      <c r="D1109" s="54" t="s">
        <v>1603</v>
      </c>
      <c r="E1109" s="4" t="s">
        <v>1098</v>
      </c>
      <c r="F1109" s="54" t="s">
        <v>357</v>
      </c>
      <c r="G1109" s="54" t="s">
        <v>1132</v>
      </c>
      <c r="H1109" s="54" t="s">
        <v>1494</v>
      </c>
      <c r="I1109" s="54" t="s">
        <v>1604</v>
      </c>
      <c r="J1109" s="54" t="s">
        <v>1605</v>
      </c>
      <c r="X1109" s="55" t="str">
        <f t="shared" si="1"/>
        <v>#NAME?</v>
      </c>
    </row>
    <row r="1110">
      <c r="A1110" s="4" t="s">
        <v>2939</v>
      </c>
      <c r="B1110" s="4" t="s">
        <v>2940</v>
      </c>
      <c r="C1110" s="4">
        <v>1.0</v>
      </c>
      <c r="D1110" s="54" t="s">
        <v>1603</v>
      </c>
      <c r="E1110" s="4" t="s">
        <v>1098</v>
      </c>
      <c r="F1110" s="54" t="s">
        <v>357</v>
      </c>
      <c r="G1110" s="54" t="s">
        <v>1129</v>
      </c>
      <c r="H1110" s="54" t="s">
        <v>1573</v>
      </c>
      <c r="I1110" s="54" t="s">
        <v>1607</v>
      </c>
      <c r="J1110" s="54" t="s">
        <v>1586</v>
      </c>
      <c r="X1110" s="55" t="str">
        <f t="shared" si="1"/>
        <v>#NAME?</v>
      </c>
    </row>
    <row r="1111">
      <c r="A1111" s="4" t="s">
        <v>2941</v>
      </c>
      <c r="B1111" s="4" t="s">
        <v>2942</v>
      </c>
      <c r="C1111" s="4">
        <v>1.0</v>
      </c>
      <c r="D1111" s="54" t="s">
        <v>1603</v>
      </c>
      <c r="E1111" s="4" t="s">
        <v>1098</v>
      </c>
      <c r="F1111" s="54" t="s">
        <v>357</v>
      </c>
      <c r="G1111" s="54" t="s">
        <v>1584</v>
      </c>
      <c r="H1111" s="54" t="s">
        <v>1573</v>
      </c>
      <c r="I1111" s="54" t="s">
        <v>1221</v>
      </c>
      <c r="J1111" s="54" t="s">
        <v>1609</v>
      </c>
      <c r="X1111" s="55" t="str">
        <f t="shared" si="1"/>
        <v>#NAME?</v>
      </c>
    </row>
    <row r="1112">
      <c r="A1112" s="4" t="s">
        <v>2943</v>
      </c>
      <c r="B1112" s="4" t="s">
        <v>2944</v>
      </c>
      <c r="C1112" s="4">
        <v>1.0</v>
      </c>
      <c r="D1112" s="54" t="s">
        <v>1611</v>
      </c>
      <c r="E1112" s="4" t="s">
        <v>1088</v>
      </c>
      <c r="F1112" s="54" t="s">
        <v>357</v>
      </c>
      <c r="G1112" s="54" t="s">
        <v>1177</v>
      </c>
      <c r="H1112" s="54" t="s">
        <v>1612</v>
      </c>
      <c r="I1112" s="54" t="s">
        <v>1613</v>
      </c>
      <c r="J1112" s="54" t="s">
        <v>1241</v>
      </c>
      <c r="X1112" s="55" t="str">
        <f t="shared" si="1"/>
        <v>#NAME?</v>
      </c>
    </row>
    <row r="1113">
      <c r="A1113" s="4" t="s">
        <v>2945</v>
      </c>
      <c r="B1113" s="4" t="s">
        <v>2946</v>
      </c>
      <c r="C1113" s="4">
        <v>1.0</v>
      </c>
      <c r="D1113" s="54" t="s">
        <v>1615</v>
      </c>
      <c r="E1113" s="4" t="s">
        <v>1088</v>
      </c>
      <c r="F1113" s="54" t="s">
        <v>357</v>
      </c>
      <c r="G1113" s="54" t="s">
        <v>1177</v>
      </c>
      <c r="H1113" s="54" t="s">
        <v>1609</v>
      </c>
      <c r="I1113" s="54" t="s">
        <v>1612</v>
      </c>
      <c r="J1113" s="54" t="s">
        <v>1490</v>
      </c>
      <c r="X1113" s="55" t="str">
        <f t="shared" si="1"/>
        <v>#NAME?</v>
      </c>
    </row>
    <row r="1114">
      <c r="A1114" s="4" t="s">
        <v>2947</v>
      </c>
      <c r="B1114" s="4" t="s">
        <v>2948</v>
      </c>
      <c r="C1114" s="4">
        <v>1.0</v>
      </c>
      <c r="D1114" s="54" t="s">
        <v>1589</v>
      </c>
      <c r="E1114" s="4" t="s">
        <v>1397</v>
      </c>
      <c r="F1114" s="54" t="s">
        <v>357</v>
      </c>
      <c r="G1114" s="54" t="s">
        <v>1593</v>
      </c>
      <c r="H1114" s="54" t="s">
        <v>1218</v>
      </c>
      <c r="I1114" s="54" t="s">
        <v>1593</v>
      </c>
      <c r="J1114" s="54" t="s">
        <v>1245</v>
      </c>
      <c r="X1114" s="55" t="str">
        <f t="shared" si="1"/>
        <v>#NAME?</v>
      </c>
    </row>
    <row r="1115">
      <c r="A1115" s="4" t="s">
        <v>2949</v>
      </c>
      <c r="B1115" s="4" t="s">
        <v>2950</v>
      </c>
      <c r="C1115" s="4">
        <v>1.0</v>
      </c>
      <c r="D1115" s="54" t="s">
        <v>1595</v>
      </c>
      <c r="E1115" s="4" t="s">
        <v>1088</v>
      </c>
      <c r="F1115" s="54" t="s">
        <v>357</v>
      </c>
      <c r="G1115" s="54" t="s">
        <v>1212</v>
      </c>
      <c r="H1115" s="54" t="s">
        <v>1185</v>
      </c>
      <c r="I1115" s="54" t="s">
        <v>1172</v>
      </c>
      <c r="J1115" s="54" t="s">
        <v>1215</v>
      </c>
      <c r="X1115" s="55" t="str">
        <f t="shared" si="1"/>
        <v>#NAME?</v>
      </c>
    </row>
    <row r="1116">
      <c r="A1116" s="4" t="s">
        <v>2951</v>
      </c>
      <c r="B1116" s="4" t="s">
        <v>2952</v>
      </c>
      <c r="C1116" s="4">
        <v>1.0</v>
      </c>
      <c r="D1116" s="54" t="s">
        <v>1566</v>
      </c>
      <c r="E1116" s="4" t="s">
        <v>1296</v>
      </c>
      <c r="F1116" s="54" t="s">
        <v>357</v>
      </c>
      <c r="G1116" s="54" t="s">
        <v>1567</v>
      </c>
      <c r="H1116" s="54" t="s">
        <v>1359</v>
      </c>
      <c r="I1116" s="54" t="s">
        <v>1568</v>
      </c>
      <c r="J1116" s="54" t="s">
        <v>1093</v>
      </c>
      <c r="X1116" s="55" t="str">
        <f t="shared" si="1"/>
        <v>#NAME?</v>
      </c>
    </row>
    <row r="1117">
      <c r="A1117" s="4" t="s">
        <v>2953</v>
      </c>
      <c r="B1117" s="4" t="s">
        <v>2954</v>
      </c>
      <c r="C1117" s="4">
        <v>1.0</v>
      </c>
      <c r="D1117" s="54" t="s">
        <v>1617</v>
      </c>
      <c r="E1117" s="4" t="s">
        <v>1251</v>
      </c>
      <c r="F1117" s="54" t="s">
        <v>449</v>
      </c>
      <c r="G1117" s="54" t="s">
        <v>1203</v>
      </c>
      <c r="H1117" s="54" t="s">
        <v>1618</v>
      </c>
      <c r="I1117" s="54" t="s">
        <v>1619</v>
      </c>
      <c r="J1117" s="54" t="s">
        <v>1259</v>
      </c>
      <c r="X1117" s="55" t="str">
        <f t="shared" si="1"/>
        <v>#NAME?</v>
      </c>
    </row>
    <row r="1118">
      <c r="A1118" s="4" t="s">
        <v>2955</v>
      </c>
      <c r="B1118" s="4" t="s">
        <v>2956</v>
      </c>
      <c r="C1118" s="4">
        <v>1.0</v>
      </c>
      <c r="D1118" s="54" t="s">
        <v>1562</v>
      </c>
      <c r="E1118" s="4" t="s">
        <v>1088</v>
      </c>
      <c r="F1118" s="54" t="s">
        <v>357</v>
      </c>
      <c r="G1118" s="54" t="s">
        <v>1563</v>
      </c>
      <c r="H1118" s="54" t="s">
        <v>1564</v>
      </c>
      <c r="I1118" s="54" t="s">
        <v>1235</v>
      </c>
      <c r="J1118" s="54" t="s">
        <v>1183</v>
      </c>
      <c r="X1118" s="55" t="str">
        <f t="shared" si="1"/>
        <v>#NAME?</v>
      </c>
    </row>
    <row r="1119">
      <c r="A1119" s="4" t="s">
        <v>2957</v>
      </c>
      <c r="B1119" s="4" t="s">
        <v>2958</v>
      </c>
      <c r="C1119" s="4">
        <v>1.0</v>
      </c>
      <c r="D1119" s="54" t="s">
        <v>1630</v>
      </c>
      <c r="E1119" s="4" t="s">
        <v>1088</v>
      </c>
      <c r="F1119" s="54" t="s">
        <v>357</v>
      </c>
      <c r="G1119" s="54" t="s">
        <v>1593</v>
      </c>
      <c r="H1119" s="54" t="s">
        <v>1609</v>
      </c>
      <c r="I1119" s="54" t="s">
        <v>1177</v>
      </c>
      <c r="J1119" s="54" t="s">
        <v>1176</v>
      </c>
      <c r="X1119" s="55" t="str">
        <f t="shared" si="1"/>
        <v>#NAME?</v>
      </c>
    </row>
    <row r="1120">
      <c r="A1120" s="4" t="s">
        <v>2959</v>
      </c>
      <c r="B1120" s="4" t="s">
        <v>2960</v>
      </c>
      <c r="C1120" s="4">
        <v>1.0</v>
      </c>
      <c r="D1120" s="54" t="s">
        <v>1632</v>
      </c>
      <c r="E1120" s="4" t="s">
        <v>1088</v>
      </c>
      <c r="F1120" s="54" t="s">
        <v>357</v>
      </c>
      <c r="G1120" s="54" t="s">
        <v>1242</v>
      </c>
      <c r="H1120" s="54" t="s">
        <v>1180</v>
      </c>
      <c r="I1120" s="54" t="s">
        <v>1563</v>
      </c>
      <c r="J1120" s="54" t="s">
        <v>1218</v>
      </c>
      <c r="X1120" s="55" t="str">
        <f t="shared" si="1"/>
        <v>#NAME?</v>
      </c>
    </row>
    <row r="1121">
      <c r="A1121" s="4" t="s">
        <v>2961</v>
      </c>
      <c r="B1121" s="4" t="s">
        <v>2962</v>
      </c>
      <c r="C1121" s="4">
        <v>1.0</v>
      </c>
      <c r="D1121" s="54" t="s">
        <v>1634</v>
      </c>
      <c r="E1121" s="4" t="s">
        <v>1296</v>
      </c>
      <c r="F1121" s="54" t="s">
        <v>357</v>
      </c>
      <c r="G1121" s="54" t="s">
        <v>1253</v>
      </c>
      <c r="H1121" s="54" t="s">
        <v>1105</v>
      </c>
      <c r="I1121" s="54" t="s">
        <v>1104</v>
      </c>
      <c r="J1121" s="54" t="s">
        <v>1568</v>
      </c>
      <c r="X1121" s="55" t="str">
        <f t="shared" si="1"/>
        <v>#NAME?</v>
      </c>
    </row>
    <row r="1122">
      <c r="A1122" s="4" t="s">
        <v>2963</v>
      </c>
      <c r="B1122" s="4" t="s">
        <v>2964</v>
      </c>
      <c r="C1122" s="4">
        <v>1.0</v>
      </c>
      <c r="D1122" s="54" t="s">
        <v>1634</v>
      </c>
      <c r="E1122" s="4" t="s">
        <v>1296</v>
      </c>
      <c r="F1122" s="54" t="s">
        <v>357</v>
      </c>
      <c r="G1122" s="54" t="s">
        <v>1514</v>
      </c>
      <c r="H1122" s="54" t="s">
        <v>1359</v>
      </c>
      <c r="I1122" s="54" t="s">
        <v>1104</v>
      </c>
      <c r="J1122" s="54" t="s">
        <v>1636</v>
      </c>
      <c r="X1122" s="55" t="str">
        <f t="shared" si="1"/>
        <v>#NAME?</v>
      </c>
    </row>
    <row r="1123">
      <c r="A1123" s="4" t="s">
        <v>2965</v>
      </c>
      <c r="B1123" s="4" t="s">
        <v>2966</v>
      </c>
      <c r="C1123" s="4">
        <v>1.0</v>
      </c>
      <c r="D1123" s="54" t="s">
        <v>1634</v>
      </c>
      <c r="E1123" s="4" t="s">
        <v>1296</v>
      </c>
      <c r="F1123" s="54" t="s">
        <v>357</v>
      </c>
      <c r="G1123" s="54" t="s">
        <v>1563</v>
      </c>
      <c r="H1123" s="54" t="s">
        <v>1236</v>
      </c>
      <c r="I1123" s="54" t="s">
        <v>1563</v>
      </c>
      <c r="J1123" s="54" t="s">
        <v>1159</v>
      </c>
      <c r="X1123" s="55" t="str">
        <f t="shared" si="1"/>
        <v>#NAME?</v>
      </c>
    </row>
    <row r="1124">
      <c r="A1124" s="4" t="s">
        <v>2967</v>
      </c>
      <c r="B1124" s="4" t="s">
        <v>2968</v>
      </c>
      <c r="C1124" s="4">
        <v>1.0</v>
      </c>
      <c r="D1124" s="54" t="s">
        <v>1634</v>
      </c>
      <c r="E1124" s="4" t="s">
        <v>1296</v>
      </c>
      <c r="F1124" s="54" t="s">
        <v>357</v>
      </c>
      <c r="G1124" s="54" t="s">
        <v>1104</v>
      </c>
      <c r="H1124" s="54" t="s">
        <v>1639</v>
      </c>
      <c r="I1124" s="54" t="s">
        <v>1516</v>
      </c>
      <c r="J1124" s="54" t="s">
        <v>1639</v>
      </c>
      <c r="X1124" s="55" t="str">
        <f t="shared" si="1"/>
        <v>#NAME?</v>
      </c>
    </row>
    <row r="1125">
      <c r="A1125" s="4" t="s">
        <v>2969</v>
      </c>
      <c r="B1125" s="4" t="s">
        <v>2970</v>
      </c>
      <c r="C1125" s="4">
        <v>1.0</v>
      </c>
      <c r="D1125" s="54" t="s">
        <v>1641</v>
      </c>
      <c r="E1125" s="4" t="s">
        <v>1088</v>
      </c>
      <c r="F1125" s="54" t="s">
        <v>357</v>
      </c>
      <c r="G1125" s="54" t="s">
        <v>1564</v>
      </c>
      <c r="H1125" s="54" t="s">
        <v>1604</v>
      </c>
      <c r="I1125" s="54" t="s">
        <v>1212</v>
      </c>
      <c r="J1125" s="54" t="s">
        <v>1563</v>
      </c>
      <c r="X1125" s="55" t="str">
        <f t="shared" si="1"/>
        <v>#NAME?</v>
      </c>
    </row>
    <row r="1126">
      <c r="A1126" s="4" t="s">
        <v>2971</v>
      </c>
      <c r="B1126" s="4" t="s">
        <v>2972</v>
      </c>
      <c r="C1126" s="4">
        <v>1.0</v>
      </c>
      <c r="D1126" s="54" t="s">
        <v>1643</v>
      </c>
      <c r="E1126" s="4" t="s">
        <v>1088</v>
      </c>
      <c r="F1126" s="54" t="s">
        <v>357</v>
      </c>
      <c r="G1126" s="54" t="s">
        <v>1583</v>
      </c>
      <c r="H1126" s="54" t="s">
        <v>1586</v>
      </c>
      <c r="I1126" s="54" t="s">
        <v>1212</v>
      </c>
      <c r="J1126" s="54" t="s">
        <v>1644</v>
      </c>
      <c r="X1126" s="55" t="str">
        <f t="shared" si="1"/>
        <v>#NAME?</v>
      </c>
    </row>
    <row r="1127">
      <c r="A1127" s="4" t="s">
        <v>2973</v>
      </c>
      <c r="B1127" s="4" t="s">
        <v>2974</v>
      </c>
      <c r="C1127" s="4">
        <v>1.0</v>
      </c>
      <c r="D1127" s="54" t="s">
        <v>1624</v>
      </c>
      <c r="E1127" s="4" t="s">
        <v>1098</v>
      </c>
      <c r="F1127" s="54" t="s">
        <v>357</v>
      </c>
      <c r="G1127" s="54" t="s">
        <v>1590</v>
      </c>
      <c r="H1127" s="54" t="s">
        <v>1493</v>
      </c>
      <c r="I1127" s="54" t="s">
        <v>1583</v>
      </c>
      <c r="J1127" s="54" t="s">
        <v>1494</v>
      </c>
      <c r="X1127" s="55" t="str">
        <f t="shared" si="1"/>
        <v>#NAME?</v>
      </c>
    </row>
    <row r="1128">
      <c r="A1128" s="4" t="s">
        <v>2975</v>
      </c>
      <c r="B1128" s="4" t="s">
        <v>2976</v>
      </c>
      <c r="C1128" s="4">
        <v>1.0</v>
      </c>
      <c r="D1128" s="54" t="s">
        <v>1624</v>
      </c>
      <c r="E1128" s="4" t="s">
        <v>1098</v>
      </c>
      <c r="F1128" s="54" t="s">
        <v>357</v>
      </c>
      <c r="G1128" s="54" t="s">
        <v>1590</v>
      </c>
      <c r="H1128" s="54" t="s">
        <v>1625</v>
      </c>
      <c r="I1128" s="54" t="s">
        <v>1242</v>
      </c>
      <c r="J1128" s="54" t="s">
        <v>1556</v>
      </c>
      <c r="X1128" s="55" t="str">
        <f t="shared" si="1"/>
        <v>#NAME?</v>
      </c>
    </row>
    <row r="1129">
      <c r="A1129" s="4" t="s">
        <v>2977</v>
      </c>
      <c r="B1129" s="4" t="s">
        <v>2978</v>
      </c>
      <c r="C1129" s="4">
        <v>1.0</v>
      </c>
      <c r="D1129" s="54" t="s">
        <v>1646</v>
      </c>
      <c r="E1129" s="4" t="s">
        <v>1098</v>
      </c>
      <c r="F1129" s="54" t="s">
        <v>357</v>
      </c>
      <c r="G1129" s="54" t="s">
        <v>1572</v>
      </c>
      <c r="H1129" s="54" t="s">
        <v>1494</v>
      </c>
      <c r="I1129" s="54" t="s">
        <v>1555</v>
      </c>
      <c r="J1129" s="54" t="s">
        <v>1628</v>
      </c>
      <c r="X1129" s="55" t="str">
        <f t="shared" si="1"/>
        <v>#NAME?</v>
      </c>
    </row>
    <row r="1130">
      <c r="A1130" s="4" t="s">
        <v>2979</v>
      </c>
      <c r="B1130" s="4" t="s">
        <v>2980</v>
      </c>
      <c r="C1130" s="4">
        <v>1.0</v>
      </c>
      <c r="D1130" s="54" t="s">
        <v>1651</v>
      </c>
      <c r="E1130" s="4" t="s">
        <v>1251</v>
      </c>
      <c r="F1130" s="54" t="s">
        <v>357</v>
      </c>
      <c r="G1130" s="54" t="s">
        <v>1373</v>
      </c>
      <c r="H1130" s="54" t="s">
        <v>1120</v>
      </c>
      <c r="I1130" s="54" t="s">
        <v>1313</v>
      </c>
      <c r="J1130" s="54" t="s">
        <v>1618</v>
      </c>
      <c r="X1130" s="55" t="str">
        <f t="shared" si="1"/>
        <v>#NAME?</v>
      </c>
    </row>
    <row r="1131">
      <c r="A1131" s="54" t="s">
        <v>2981</v>
      </c>
      <c r="B1131" s="4" t="s">
        <v>2982</v>
      </c>
      <c r="C1131" s="4">
        <v>1.0</v>
      </c>
      <c r="D1131" s="54" t="s">
        <v>1653</v>
      </c>
      <c r="E1131" s="4" t="s">
        <v>1251</v>
      </c>
      <c r="F1131" s="54" t="s">
        <v>449</v>
      </c>
      <c r="G1131" s="54" t="s">
        <v>1264</v>
      </c>
      <c r="H1131" s="54" t="s">
        <v>1264</v>
      </c>
      <c r="I1131" s="54" t="s">
        <v>1521</v>
      </c>
      <c r="J1131" s="54" t="s">
        <v>1654</v>
      </c>
      <c r="X1131" s="55" t="str">
        <f t="shared" si="1"/>
        <v>#NAME?</v>
      </c>
    </row>
    <row r="1132">
      <c r="A1132" s="4" t="s">
        <v>2983</v>
      </c>
      <c r="B1132" s="4" t="s">
        <v>2984</v>
      </c>
      <c r="C1132" s="4">
        <v>1.0</v>
      </c>
      <c r="D1132" s="54" t="s">
        <v>1656</v>
      </c>
      <c r="E1132" s="4" t="s">
        <v>1088</v>
      </c>
      <c r="F1132" s="54" t="s">
        <v>449</v>
      </c>
      <c r="G1132" s="54" t="s">
        <v>1555</v>
      </c>
      <c r="H1132" s="54" t="s">
        <v>1227</v>
      </c>
      <c r="I1132" s="54" t="s">
        <v>1657</v>
      </c>
      <c r="J1132" s="54" t="s">
        <v>1658</v>
      </c>
      <c r="X1132" s="55" t="str">
        <f t="shared" si="1"/>
        <v>#NAME?</v>
      </c>
    </row>
    <row r="1133">
      <c r="A1133" s="4" t="s">
        <v>2985</v>
      </c>
      <c r="B1133" s="4" t="s">
        <v>2986</v>
      </c>
      <c r="C1133" s="4">
        <v>1.0</v>
      </c>
      <c r="D1133" s="54" t="s">
        <v>1660</v>
      </c>
      <c r="E1133" s="4" t="s">
        <v>1088</v>
      </c>
      <c r="F1133" s="54" t="s">
        <v>449</v>
      </c>
      <c r="G1133" s="54" t="s">
        <v>1560</v>
      </c>
      <c r="H1133" s="54" t="s">
        <v>1584</v>
      </c>
      <c r="I1133" s="54" t="s">
        <v>1584</v>
      </c>
      <c r="J1133" s="54" t="s">
        <v>1226</v>
      </c>
      <c r="X1133" s="55" t="str">
        <f t="shared" si="1"/>
        <v>#NAME?</v>
      </c>
    </row>
    <row r="1134">
      <c r="A1134" s="4" t="s">
        <v>2987</v>
      </c>
      <c r="B1134" s="4" t="s">
        <v>2988</v>
      </c>
      <c r="C1134" s="4">
        <v>1.0</v>
      </c>
      <c r="D1134" s="54" t="s">
        <v>1662</v>
      </c>
      <c r="E1134" s="4" t="s">
        <v>1251</v>
      </c>
      <c r="F1134" s="54" t="s">
        <v>449</v>
      </c>
      <c r="G1134" s="54" t="s">
        <v>1170</v>
      </c>
      <c r="H1134" s="54" t="s">
        <v>1170</v>
      </c>
      <c r="I1134" s="54" t="s">
        <v>1543</v>
      </c>
      <c r="J1134" s="54" t="s">
        <v>1181</v>
      </c>
      <c r="X1134" s="55" t="str">
        <f t="shared" si="1"/>
        <v>#NAME?</v>
      </c>
    </row>
    <row r="1135">
      <c r="A1135" s="54" t="s">
        <v>2989</v>
      </c>
      <c r="B1135" s="4" t="s">
        <v>2990</v>
      </c>
      <c r="C1135" s="4">
        <v>1.0</v>
      </c>
      <c r="D1135" s="54" t="s">
        <v>1664</v>
      </c>
      <c r="E1135" s="4" t="s">
        <v>1251</v>
      </c>
      <c r="F1135" s="54" t="s">
        <v>357</v>
      </c>
      <c r="G1135" s="54" t="s">
        <v>1236</v>
      </c>
      <c r="H1135" s="54" t="s">
        <v>1160</v>
      </c>
      <c r="I1135" s="54" t="s">
        <v>1231</v>
      </c>
      <c r="J1135" s="54" t="s">
        <v>1158</v>
      </c>
      <c r="X1135" s="55" t="str">
        <f t="shared" si="1"/>
        <v>#NAME?</v>
      </c>
    </row>
    <row r="1136">
      <c r="A1136" s="4" t="s">
        <v>2991</v>
      </c>
      <c r="B1136" s="4" t="s">
        <v>2992</v>
      </c>
      <c r="C1136" s="4">
        <v>1.0</v>
      </c>
      <c r="D1136" s="54" t="s">
        <v>797</v>
      </c>
      <c r="E1136" s="4" t="s">
        <v>1251</v>
      </c>
      <c r="F1136" s="54" t="s">
        <v>357</v>
      </c>
      <c r="G1136" s="54" t="s">
        <v>1181</v>
      </c>
      <c r="H1136" s="54" t="s">
        <v>1231</v>
      </c>
      <c r="I1136" s="54" t="s">
        <v>1231</v>
      </c>
      <c r="J1136" s="54" t="s">
        <v>1188</v>
      </c>
      <c r="X1136" s="55" t="str">
        <f t="shared" si="1"/>
        <v>#NAME?</v>
      </c>
    </row>
    <row r="1137">
      <c r="A1137" s="59">
        <v>615109.0</v>
      </c>
      <c r="B1137" s="4" t="s">
        <v>2993</v>
      </c>
      <c r="C1137" s="4">
        <v>1.0</v>
      </c>
      <c r="D1137" s="54" t="s">
        <v>1667</v>
      </c>
      <c r="E1137" s="4" t="s">
        <v>1251</v>
      </c>
      <c r="F1137" s="54" t="s">
        <v>449</v>
      </c>
      <c r="G1137" s="54" t="s">
        <v>1110</v>
      </c>
      <c r="H1137" s="54" t="s">
        <v>1175</v>
      </c>
      <c r="I1137" s="54" t="s">
        <v>1668</v>
      </c>
      <c r="J1137" s="54" t="s">
        <v>1669</v>
      </c>
      <c r="X1137" s="55" t="str">
        <f t="shared" si="1"/>
        <v>#NAME?</v>
      </c>
    </row>
    <row r="1138">
      <c r="A1138" s="4" t="s">
        <v>2994</v>
      </c>
      <c r="B1138" s="4" t="s">
        <v>2995</v>
      </c>
      <c r="C1138" s="4">
        <v>1.0</v>
      </c>
      <c r="D1138" s="54" t="s">
        <v>1646</v>
      </c>
      <c r="E1138" s="4" t="s">
        <v>1098</v>
      </c>
      <c r="F1138" s="54" t="s">
        <v>357</v>
      </c>
      <c r="G1138" s="54" t="s">
        <v>1494</v>
      </c>
      <c r="H1138" s="54" t="s">
        <v>1607</v>
      </c>
      <c r="I1138" s="54" t="s">
        <v>1131</v>
      </c>
      <c r="J1138" s="54" t="s">
        <v>1225</v>
      </c>
      <c r="X1138" s="55" t="str">
        <f t="shared" si="1"/>
        <v>#NAME?</v>
      </c>
    </row>
    <row r="1139">
      <c r="A1139" s="4" t="s">
        <v>2996</v>
      </c>
      <c r="B1139" s="4" t="s">
        <v>2997</v>
      </c>
      <c r="C1139" s="4">
        <v>1.0</v>
      </c>
      <c r="D1139" s="54" t="s">
        <v>1646</v>
      </c>
      <c r="E1139" s="4" t="s">
        <v>1098</v>
      </c>
      <c r="F1139" s="54" t="s">
        <v>357</v>
      </c>
      <c r="G1139" s="54" t="s">
        <v>1649</v>
      </c>
      <c r="H1139" s="54" t="s">
        <v>1628</v>
      </c>
      <c r="I1139" s="54" t="s">
        <v>1555</v>
      </c>
      <c r="J1139" s="54" t="s">
        <v>1555</v>
      </c>
      <c r="X1139" s="55" t="str">
        <f t="shared" si="1"/>
        <v>#NAME?</v>
      </c>
    </row>
    <row r="1140">
      <c r="A1140" s="4" t="s">
        <v>2998</v>
      </c>
      <c r="B1140" s="4" t="s">
        <v>2999</v>
      </c>
      <c r="C1140" s="4">
        <v>1.0</v>
      </c>
      <c r="D1140" s="54" t="s">
        <v>1673</v>
      </c>
      <c r="E1140" s="4" t="s">
        <v>1088</v>
      </c>
      <c r="F1140" s="54" t="s">
        <v>357</v>
      </c>
      <c r="G1140" s="54" t="s">
        <v>1572</v>
      </c>
      <c r="H1140" s="54" t="s">
        <v>1226</v>
      </c>
      <c r="I1140" s="54" t="s">
        <v>1560</v>
      </c>
      <c r="J1140" s="54" t="s">
        <v>1227</v>
      </c>
      <c r="X1140" s="55" t="str">
        <f t="shared" si="1"/>
        <v>#NAME?</v>
      </c>
    </row>
    <row r="1141">
      <c r="A1141" s="4" t="s">
        <v>3000</v>
      </c>
      <c r="B1141" s="4" t="s">
        <v>3001</v>
      </c>
      <c r="C1141" s="4">
        <v>1.0</v>
      </c>
      <c r="D1141" s="4" t="s">
        <v>1306</v>
      </c>
      <c r="E1141" s="4" t="s">
        <v>1296</v>
      </c>
      <c r="F1141" s="54" t="s">
        <v>357</v>
      </c>
      <c r="G1141" s="54" t="s">
        <v>1283</v>
      </c>
      <c r="H1141" s="54" t="s">
        <v>1307</v>
      </c>
      <c r="I1141" s="54" t="s">
        <v>1308</v>
      </c>
      <c r="J1141" s="54" t="s">
        <v>1309</v>
      </c>
      <c r="X1141" s="55" t="str">
        <f t="shared" si="1"/>
        <v>#NAME?</v>
      </c>
    </row>
    <row r="1142">
      <c r="A1142" s="4" t="s">
        <v>3002</v>
      </c>
      <c r="B1142" s="4" t="s">
        <v>3003</v>
      </c>
      <c r="C1142" s="4">
        <v>1.0</v>
      </c>
      <c r="D1142" s="54" t="s">
        <v>1502</v>
      </c>
      <c r="E1142" s="4" t="s">
        <v>1088</v>
      </c>
      <c r="F1142" s="54" t="s">
        <v>357</v>
      </c>
      <c r="G1142" s="54" t="s">
        <v>1503</v>
      </c>
      <c r="H1142" s="54" t="s">
        <v>1504</v>
      </c>
      <c r="I1142" s="54" t="s">
        <v>1168</v>
      </c>
      <c r="J1142" s="54" t="s">
        <v>1503</v>
      </c>
      <c r="X1142" s="55" t="str">
        <f t="shared" si="1"/>
        <v>#NAME?</v>
      </c>
    </row>
    <row r="1143">
      <c r="A1143" s="4" t="s">
        <v>3004</v>
      </c>
      <c r="B1143" s="4" t="s">
        <v>3005</v>
      </c>
      <c r="C1143" s="4">
        <v>1.0</v>
      </c>
      <c r="D1143" s="54" t="s">
        <v>1506</v>
      </c>
      <c r="E1143" s="4" t="s">
        <v>1296</v>
      </c>
      <c r="F1143" s="54" t="s">
        <v>357</v>
      </c>
      <c r="G1143" s="54" t="s">
        <v>1507</v>
      </c>
      <c r="H1143" s="54" t="s">
        <v>1508</v>
      </c>
      <c r="I1143" s="54" t="s">
        <v>1509</v>
      </c>
      <c r="J1143" s="54" t="s">
        <v>1510</v>
      </c>
      <c r="X1143" s="55" t="str">
        <f t="shared" si="1"/>
        <v>#NAME?</v>
      </c>
    </row>
    <row r="1144">
      <c r="A1144" s="4" t="s">
        <v>3006</v>
      </c>
      <c r="B1144" s="4" t="s">
        <v>3007</v>
      </c>
      <c r="C1144" s="4">
        <v>1.0</v>
      </c>
      <c r="D1144" s="54" t="s">
        <v>1506</v>
      </c>
      <c r="E1144" s="4" t="s">
        <v>1296</v>
      </c>
      <c r="F1144" s="54" t="s">
        <v>357</v>
      </c>
      <c r="G1144" s="54" t="s">
        <v>1365</v>
      </c>
      <c r="H1144" s="54" t="s">
        <v>1512</v>
      </c>
      <c r="I1144" s="54" t="s">
        <v>1513</v>
      </c>
      <c r="J1144" s="54" t="s">
        <v>1514</v>
      </c>
      <c r="X1144" s="55" t="str">
        <f t="shared" si="1"/>
        <v>#NAME?</v>
      </c>
    </row>
    <row r="1145">
      <c r="A1145" s="4" t="s">
        <v>3008</v>
      </c>
      <c r="B1145" s="4" t="s">
        <v>3009</v>
      </c>
      <c r="C1145" s="4">
        <v>1.0</v>
      </c>
      <c r="D1145" s="54" t="s">
        <v>1506</v>
      </c>
      <c r="E1145" s="4" t="s">
        <v>1296</v>
      </c>
      <c r="F1145" s="54" t="s">
        <v>357</v>
      </c>
      <c r="G1145" s="54" t="s">
        <v>1252</v>
      </c>
      <c r="H1145" s="54" t="s">
        <v>1160</v>
      </c>
      <c r="I1145" s="54" t="s">
        <v>1516</v>
      </c>
      <c r="J1145" s="54" t="s">
        <v>1359</v>
      </c>
      <c r="X1145" s="55" t="str">
        <f t="shared" si="1"/>
        <v>#NAME?</v>
      </c>
    </row>
    <row r="1146">
      <c r="A1146" s="4" t="s">
        <v>3010</v>
      </c>
      <c r="B1146" s="4" t="s">
        <v>3011</v>
      </c>
      <c r="C1146" s="4">
        <v>1.0</v>
      </c>
      <c r="D1146" s="54" t="s">
        <v>1506</v>
      </c>
      <c r="E1146" s="4" t="s">
        <v>1296</v>
      </c>
      <c r="F1146" s="54" t="s">
        <v>357</v>
      </c>
      <c r="G1146" s="54" t="s">
        <v>1257</v>
      </c>
      <c r="H1146" s="54" t="s">
        <v>1518</v>
      </c>
      <c r="I1146" s="54" t="s">
        <v>1518</v>
      </c>
      <c r="J1146" s="54" t="s">
        <v>1366</v>
      </c>
      <c r="X1146" s="55" t="str">
        <f t="shared" si="1"/>
        <v>#NAME?</v>
      </c>
    </row>
    <row r="1147">
      <c r="A1147" s="4" t="s">
        <v>3012</v>
      </c>
      <c r="B1147" s="4" t="s">
        <v>3013</v>
      </c>
      <c r="C1147" s="4">
        <v>1.0</v>
      </c>
      <c r="D1147" s="54" t="s">
        <v>1520</v>
      </c>
      <c r="E1147" s="4" t="s">
        <v>1088</v>
      </c>
      <c r="F1147" s="54" t="s">
        <v>357</v>
      </c>
      <c r="G1147" s="54" t="s">
        <v>1334</v>
      </c>
      <c r="H1147" s="54" t="s">
        <v>1521</v>
      </c>
      <c r="I1147" s="54" t="s">
        <v>1256</v>
      </c>
      <c r="J1147" s="54" t="s">
        <v>1205</v>
      </c>
      <c r="X1147" s="55" t="str">
        <f t="shared" si="1"/>
        <v>#NAME?</v>
      </c>
    </row>
    <row r="1148">
      <c r="A1148" s="4" t="s">
        <v>3014</v>
      </c>
      <c r="B1148" s="4" t="s">
        <v>3015</v>
      </c>
      <c r="C1148" s="4">
        <v>1.0</v>
      </c>
      <c r="D1148" s="54" t="s">
        <v>1523</v>
      </c>
      <c r="E1148" s="4" t="s">
        <v>1088</v>
      </c>
      <c r="F1148" s="54" t="s">
        <v>357</v>
      </c>
      <c r="G1148" s="54" t="s">
        <v>1168</v>
      </c>
      <c r="H1148" s="54" t="s">
        <v>1524</v>
      </c>
      <c r="I1148" s="54" t="s">
        <v>1504</v>
      </c>
      <c r="J1148" s="54" t="s">
        <v>1500</v>
      </c>
      <c r="X1148" s="55" t="str">
        <f t="shared" si="1"/>
        <v>#NAME?</v>
      </c>
    </row>
    <row r="1149">
      <c r="A1149" s="4" t="s">
        <v>3016</v>
      </c>
      <c r="B1149" s="4" t="s">
        <v>3017</v>
      </c>
      <c r="C1149" s="4">
        <v>1.0</v>
      </c>
      <c r="D1149" s="54" t="s">
        <v>1526</v>
      </c>
      <c r="E1149" s="4" t="s">
        <v>1088</v>
      </c>
      <c r="F1149" s="54" t="s">
        <v>357</v>
      </c>
      <c r="G1149" s="54" t="s">
        <v>1497</v>
      </c>
      <c r="H1149" s="54" t="s">
        <v>1524</v>
      </c>
      <c r="I1149" s="54" t="s">
        <v>1499</v>
      </c>
      <c r="J1149" s="54" t="s">
        <v>1500</v>
      </c>
      <c r="X1149" s="55" t="str">
        <f t="shared" si="1"/>
        <v>#NAME?</v>
      </c>
    </row>
    <row r="1150">
      <c r="A1150" s="4" t="s">
        <v>3018</v>
      </c>
      <c r="B1150" s="4" t="s">
        <v>3019</v>
      </c>
      <c r="C1150" s="4">
        <v>1.0</v>
      </c>
      <c r="D1150" s="54" t="s">
        <v>1528</v>
      </c>
      <c r="E1150" s="4" t="s">
        <v>1296</v>
      </c>
      <c r="F1150" s="54" t="s">
        <v>357</v>
      </c>
      <c r="G1150" s="54" t="s">
        <v>1108</v>
      </c>
      <c r="H1150" s="54" t="s">
        <v>1417</v>
      </c>
      <c r="I1150" s="54" t="s">
        <v>1529</v>
      </c>
      <c r="J1150" s="54" t="s">
        <v>1158</v>
      </c>
      <c r="X1150" s="55" t="str">
        <f t="shared" si="1"/>
        <v>#NAME?</v>
      </c>
    </row>
    <row r="1151">
      <c r="A1151" s="4" t="s">
        <v>3020</v>
      </c>
      <c r="B1151" s="4" t="s">
        <v>3021</v>
      </c>
      <c r="C1151" s="4">
        <v>1.0</v>
      </c>
      <c r="D1151" s="54" t="s">
        <v>1528</v>
      </c>
      <c r="E1151" s="4" t="s">
        <v>1296</v>
      </c>
      <c r="F1151" s="54" t="s">
        <v>357</v>
      </c>
      <c r="G1151" s="54" t="s">
        <v>1531</v>
      </c>
      <c r="H1151" s="54" t="s">
        <v>1106</v>
      </c>
      <c r="I1151" s="54" t="s">
        <v>1532</v>
      </c>
      <c r="J1151" s="54" t="s">
        <v>1533</v>
      </c>
      <c r="X1151" s="55" t="str">
        <f t="shared" si="1"/>
        <v>#NAME?</v>
      </c>
    </row>
    <row r="1152">
      <c r="A1152" s="4" t="s">
        <v>3022</v>
      </c>
      <c r="B1152" s="4" t="s">
        <v>3023</v>
      </c>
      <c r="C1152" s="4">
        <v>1.0</v>
      </c>
      <c r="D1152" s="54" t="s">
        <v>1528</v>
      </c>
      <c r="E1152" s="4" t="s">
        <v>1296</v>
      </c>
      <c r="F1152" s="54" t="s">
        <v>357</v>
      </c>
      <c r="G1152" s="54" t="s">
        <v>1244</v>
      </c>
      <c r="H1152" s="54" t="s">
        <v>1170</v>
      </c>
      <c r="I1152" s="54" t="s">
        <v>1177</v>
      </c>
      <c r="J1152" s="54" t="s">
        <v>1535</v>
      </c>
      <c r="X1152" s="55" t="str">
        <f t="shared" si="1"/>
        <v>#NAME?</v>
      </c>
    </row>
    <row r="1153">
      <c r="A1153" s="4" t="s">
        <v>3024</v>
      </c>
      <c r="B1153" s="4" t="s">
        <v>3025</v>
      </c>
      <c r="C1153" s="4">
        <v>1.0</v>
      </c>
      <c r="D1153" s="54" t="s">
        <v>1528</v>
      </c>
      <c r="E1153" s="4" t="s">
        <v>1296</v>
      </c>
      <c r="F1153" s="54" t="s">
        <v>357</v>
      </c>
      <c r="G1153" s="54" t="s">
        <v>1108</v>
      </c>
      <c r="H1153" s="54" t="s">
        <v>1233</v>
      </c>
      <c r="I1153" s="54" t="s">
        <v>1529</v>
      </c>
      <c r="J1153" s="54" t="s">
        <v>1170</v>
      </c>
      <c r="X1153" s="55" t="str">
        <f t="shared" si="1"/>
        <v>#NAME?</v>
      </c>
    </row>
    <row r="1154">
      <c r="A1154" s="4" t="s">
        <v>3026</v>
      </c>
      <c r="B1154" s="4" t="s">
        <v>3027</v>
      </c>
      <c r="C1154" s="4">
        <v>1.0</v>
      </c>
      <c r="D1154" s="54" t="s">
        <v>1538</v>
      </c>
      <c r="E1154" s="4" t="s">
        <v>1088</v>
      </c>
      <c r="F1154" s="54" t="s">
        <v>357</v>
      </c>
      <c r="G1154" s="54" t="s">
        <v>1497</v>
      </c>
      <c r="H1154" s="54" t="s">
        <v>1503</v>
      </c>
      <c r="I1154" s="54" t="s">
        <v>1503</v>
      </c>
      <c r="J1154" s="54" t="s">
        <v>1504</v>
      </c>
      <c r="X1154" s="55" t="str">
        <f t="shared" si="1"/>
        <v>#NAME?</v>
      </c>
    </row>
    <row r="1155">
      <c r="A1155" s="4" t="s">
        <v>3028</v>
      </c>
      <c r="B1155" s="4" t="s">
        <v>3029</v>
      </c>
      <c r="C1155" s="4">
        <v>1.0</v>
      </c>
      <c r="D1155" s="54" t="s">
        <v>1540</v>
      </c>
      <c r="E1155" s="4" t="s">
        <v>1088</v>
      </c>
      <c r="F1155" s="54" t="s">
        <v>357</v>
      </c>
      <c r="G1155" s="54" t="s">
        <v>1503</v>
      </c>
      <c r="H1155" s="54" t="s">
        <v>1499</v>
      </c>
      <c r="I1155" s="54" t="s">
        <v>1503</v>
      </c>
      <c r="J1155" s="54" t="s">
        <v>1504</v>
      </c>
      <c r="X1155" s="55" t="str">
        <f t="shared" si="1"/>
        <v>#NAME?</v>
      </c>
    </row>
    <row r="1156">
      <c r="A1156" s="4" t="s">
        <v>3030</v>
      </c>
      <c r="B1156" s="4" t="s">
        <v>3031</v>
      </c>
      <c r="C1156" s="4">
        <v>1.0</v>
      </c>
      <c r="D1156" s="54" t="s">
        <v>1542</v>
      </c>
      <c r="E1156" s="4" t="s">
        <v>1098</v>
      </c>
      <c r="F1156" s="54" t="s">
        <v>357</v>
      </c>
      <c r="G1156" s="54" t="s">
        <v>1543</v>
      </c>
      <c r="H1156" s="54" t="s">
        <v>1185</v>
      </c>
      <c r="I1156" s="54" t="s">
        <v>1544</v>
      </c>
      <c r="J1156" s="54" t="s">
        <v>1105</v>
      </c>
      <c r="X1156" s="55" t="str">
        <f t="shared" si="1"/>
        <v>#NAME?</v>
      </c>
    </row>
    <row r="1157">
      <c r="A1157" s="4" t="s">
        <v>3032</v>
      </c>
      <c r="B1157" s="4" t="s">
        <v>3033</v>
      </c>
      <c r="C1157" s="4">
        <v>1.0</v>
      </c>
      <c r="D1157" s="54" t="s">
        <v>1542</v>
      </c>
      <c r="E1157" s="4" t="s">
        <v>1098</v>
      </c>
      <c r="F1157" s="54" t="s">
        <v>357</v>
      </c>
      <c r="G1157" s="54" t="s">
        <v>1185</v>
      </c>
      <c r="H1157" s="54" t="s">
        <v>1212</v>
      </c>
      <c r="I1157" s="54" t="s">
        <v>1231</v>
      </c>
      <c r="J1157" s="54" t="s">
        <v>1175</v>
      </c>
      <c r="X1157" s="55" t="str">
        <f t="shared" si="1"/>
        <v>#NAME?</v>
      </c>
    </row>
    <row r="1158">
      <c r="A1158" s="4" t="s">
        <v>3034</v>
      </c>
      <c r="B1158" s="4" t="s">
        <v>3035</v>
      </c>
      <c r="C1158" s="4">
        <v>1.0</v>
      </c>
      <c r="D1158" s="54" t="s">
        <v>1542</v>
      </c>
      <c r="E1158" s="4" t="s">
        <v>1098</v>
      </c>
      <c r="F1158" s="54" t="s">
        <v>357</v>
      </c>
      <c r="G1158" s="54" t="s">
        <v>1188</v>
      </c>
      <c r="H1158" s="54" t="s">
        <v>1547</v>
      </c>
      <c r="I1158" s="54" t="s">
        <v>1158</v>
      </c>
      <c r="J1158" s="54" t="s">
        <v>1110</v>
      </c>
      <c r="X1158" s="55" t="str">
        <f t="shared" si="1"/>
        <v>#NAME?</v>
      </c>
    </row>
    <row r="1159">
      <c r="A1159" s="4" t="s">
        <v>3036</v>
      </c>
      <c r="B1159" s="4" t="s">
        <v>3037</v>
      </c>
      <c r="C1159" s="4">
        <v>1.0</v>
      </c>
      <c r="D1159" s="54" t="s">
        <v>1549</v>
      </c>
      <c r="E1159" s="4" t="s">
        <v>1088</v>
      </c>
      <c r="F1159" s="54" t="s">
        <v>357</v>
      </c>
      <c r="G1159" s="54" t="s">
        <v>1212</v>
      </c>
      <c r="H1159" s="54" t="s">
        <v>1186</v>
      </c>
      <c r="I1159" s="54" t="s">
        <v>1240</v>
      </c>
      <c r="J1159" s="54" t="s">
        <v>1210</v>
      </c>
      <c r="X1159" s="55" t="str">
        <f t="shared" si="1"/>
        <v>#NAME?</v>
      </c>
    </row>
    <row r="1160">
      <c r="A1160" s="4" t="s">
        <v>3038</v>
      </c>
      <c r="B1160" s="4" t="s">
        <v>3039</v>
      </c>
      <c r="C1160" s="4">
        <v>1.0</v>
      </c>
      <c r="D1160" s="54" t="s">
        <v>1551</v>
      </c>
      <c r="E1160" s="4" t="s">
        <v>1088</v>
      </c>
      <c r="F1160" s="54" t="s">
        <v>357</v>
      </c>
      <c r="G1160" s="54" t="s">
        <v>1179</v>
      </c>
      <c r="H1160" s="54" t="s">
        <v>1240</v>
      </c>
      <c r="I1160" s="54" t="s">
        <v>1552</v>
      </c>
      <c r="J1160" s="54" t="s">
        <v>1210</v>
      </c>
      <c r="X1160" s="55" t="str">
        <f t="shared" si="1"/>
        <v>#NAME?</v>
      </c>
    </row>
    <row r="1161">
      <c r="A1161" s="4" t="s">
        <v>3040</v>
      </c>
      <c r="B1161" s="4" t="s">
        <v>3041</v>
      </c>
      <c r="C1161" s="4">
        <v>1.0</v>
      </c>
      <c r="D1161" s="54" t="s">
        <v>1496</v>
      </c>
      <c r="E1161" s="4" t="s">
        <v>1088</v>
      </c>
      <c r="F1161" s="54" t="s">
        <v>357</v>
      </c>
      <c r="G1161" s="54" t="s">
        <v>1497</v>
      </c>
      <c r="H1161" s="54" t="s">
        <v>1498</v>
      </c>
      <c r="I1161" s="54" t="s">
        <v>1499</v>
      </c>
      <c r="J1161" s="54" t="s">
        <v>1500</v>
      </c>
      <c r="X1161" s="55" t="str">
        <f t="shared" si="1"/>
        <v>#NAME?</v>
      </c>
    </row>
    <row r="1162">
      <c r="A1162" s="4" t="s">
        <v>3042</v>
      </c>
      <c r="B1162" s="4" t="s">
        <v>3043</v>
      </c>
      <c r="C1162" s="4">
        <v>1.0</v>
      </c>
      <c r="D1162" s="54" t="s">
        <v>1492</v>
      </c>
      <c r="E1162" s="4" t="s">
        <v>1251</v>
      </c>
      <c r="F1162" s="54" t="s">
        <v>357</v>
      </c>
      <c r="G1162" s="54" t="s">
        <v>1493</v>
      </c>
      <c r="H1162" s="54" t="s">
        <v>1215</v>
      </c>
      <c r="I1162" s="54" t="s">
        <v>1494</v>
      </c>
      <c r="J1162" s="54" t="s">
        <v>1226</v>
      </c>
      <c r="X1162" s="55" t="str">
        <f t="shared" si="1"/>
        <v>#NAME?</v>
      </c>
    </row>
    <row r="1163">
      <c r="A1163" s="4" t="s">
        <v>3044</v>
      </c>
      <c r="B1163" s="4" t="s">
        <v>3045</v>
      </c>
      <c r="C1163" s="4">
        <v>1.0</v>
      </c>
      <c r="D1163" s="54" t="s">
        <v>1489</v>
      </c>
      <c r="E1163" s="4" t="s">
        <v>1251</v>
      </c>
      <c r="F1163" s="54" t="s">
        <v>449</v>
      </c>
      <c r="G1163" s="54" t="s">
        <v>1212</v>
      </c>
      <c r="H1163" s="54" t="s">
        <v>1356</v>
      </c>
      <c r="I1163" s="54" t="s">
        <v>1216</v>
      </c>
      <c r="J1163" s="54" t="s">
        <v>1490</v>
      </c>
      <c r="X1163" s="55" t="str">
        <f t="shared" si="1"/>
        <v>#NAME?</v>
      </c>
    </row>
    <row r="1164">
      <c r="A1164" s="4" t="s">
        <v>3046</v>
      </c>
      <c r="B1164" s="4" t="s">
        <v>3047</v>
      </c>
      <c r="C1164" s="4">
        <v>1.0</v>
      </c>
      <c r="D1164" s="4" t="s">
        <v>1486</v>
      </c>
      <c r="E1164" s="4" t="s">
        <v>1088</v>
      </c>
      <c r="F1164" s="54" t="s">
        <v>534</v>
      </c>
      <c r="G1164" s="54" t="s">
        <v>1137</v>
      </c>
      <c r="H1164" s="54" t="s">
        <v>1163</v>
      </c>
      <c r="I1164" s="54" t="s">
        <v>1344</v>
      </c>
      <c r="J1164" s="54" t="s">
        <v>1487</v>
      </c>
      <c r="X1164" s="55" t="str">
        <f t="shared" si="1"/>
        <v>#NAME?</v>
      </c>
    </row>
    <row r="1165">
      <c r="A1165" s="4" t="s">
        <v>3048</v>
      </c>
      <c r="B1165" s="4" t="s">
        <v>3049</v>
      </c>
      <c r="C1165" s="4">
        <v>1.0</v>
      </c>
      <c r="D1165" s="4" t="s">
        <v>1429</v>
      </c>
      <c r="E1165" s="4" t="s">
        <v>1296</v>
      </c>
      <c r="F1165" s="54" t="s">
        <v>534</v>
      </c>
      <c r="G1165" s="54" t="s">
        <v>1275</v>
      </c>
      <c r="H1165" s="54" t="s">
        <v>1275</v>
      </c>
      <c r="I1165" s="54" t="s">
        <v>1340</v>
      </c>
      <c r="J1165" s="54" t="s">
        <v>1405</v>
      </c>
      <c r="X1165" s="55" t="str">
        <f t="shared" si="1"/>
        <v>#NAME?</v>
      </c>
    </row>
    <row r="1166">
      <c r="A1166" s="4" t="s">
        <v>3050</v>
      </c>
      <c r="B1166" s="4" t="s">
        <v>3051</v>
      </c>
      <c r="C1166" s="4">
        <v>1.0</v>
      </c>
      <c r="D1166" s="4" t="s">
        <v>1431</v>
      </c>
      <c r="E1166" s="4" t="s">
        <v>1296</v>
      </c>
      <c r="F1166" s="54" t="s">
        <v>534</v>
      </c>
      <c r="G1166" s="54" t="s">
        <v>1299</v>
      </c>
      <c r="H1166" s="54" t="s">
        <v>1432</v>
      </c>
      <c r="I1166" s="54" t="s">
        <v>1152</v>
      </c>
      <c r="J1166" s="54" t="s">
        <v>1433</v>
      </c>
      <c r="X1166" s="55" t="str">
        <f t="shared" si="1"/>
        <v>#NAME?</v>
      </c>
    </row>
    <row r="1167">
      <c r="A1167" s="4" t="s">
        <v>3052</v>
      </c>
      <c r="B1167" s="4" t="s">
        <v>3053</v>
      </c>
      <c r="C1167" s="4">
        <v>1.0</v>
      </c>
      <c r="D1167" s="4" t="s">
        <v>1435</v>
      </c>
      <c r="E1167" s="4" t="s">
        <v>1296</v>
      </c>
      <c r="F1167" s="54" t="s">
        <v>534</v>
      </c>
      <c r="G1167" s="54" t="s">
        <v>1405</v>
      </c>
      <c r="H1167" s="54" t="s">
        <v>1436</v>
      </c>
      <c r="I1167" s="54" t="s">
        <v>1275</v>
      </c>
      <c r="J1167" s="54" t="s">
        <v>1437</v>
      </c>
      <c r="X1167" s="55" t="str">
        <f t="shared" si="1"/>
        <v>#NAME?</v>
      </c>
    </row>
    <row r="1168">
      <c r="A1168" s="4" t="s">
        <v>3054</v>
      </c>
      <c r="B1168" s="4" t="s">
        <v>3055</v>
      </c>
      <c r="C1168" s="4">
        <v>1.0</v>
      </c>
      <c r="D1168" s="4" t="s">
        <v>1439</v>
      </c>
      <c r="E1168" s="4" t="s">
        <v>1088</v>
      </c>
      <c r="F1168" s="54" t="s">
        <v>534</v>
      </c>
      <c r="G1168" s="54" t="s">
        <v>1440</v>
      </c>
      <c r="H1168" s="54" t="s">
        <v>1280</v>
      </c>
      <c r="I1168" s="54" t="s">
        <v>1139</v>
      </c>
      <c r="J1168" s="54" t="s">
        <v>1139</v>
      </c>
      <c r="X1168" s="55" t="str">
        <f t="shared" si="1"/>
        <v>#NAME?</v>
      </c>
    </row>
    <row r="1169">
      <c r="A1169" s="4" t="s">
        <v>3056</v>
      </c>
      <c r="B1169" s="4" t="s">
        <v>3057</v>
      </c>
      <c r="C1169" s="4">
        <v>1.0</v>
      </c>
      <c r="D1169" s="4" t="s">
        <v>1442</v>
      </c>
      <c r="E1169" s="4" t="s">
        <v>1088</v>
      </c>
      <c r="F1169" s="54" t="s">
        <v>534</v>
      </c>
      <c r="G1169" s="54" t="s">
        <v>1163</v>
      </c>
      <c r="H1169" s="54" t="s">
        <v>1440</v>
      </c>
      <c r="I1169" s="54" t="s">
        <v>1280</v>
      </c>
      <c r="J1169" s="54" t="s">
        <v>1123</v>
      </c>
      <c r="X1169" s="55" t="str">
        <f t="shared" si="1"/>
        <v>#NAME?</v>
      </c>
    </row>
    <row r="1170">
      <c r="A1170" s="4" t="s">
        <v>3058</v>
      </c>
      <c r="B1170" s="4" t="s">
        <v>3059</v>
      </c>
      <c r="C1170" s="4">
        <v>1.0</v>
      </c>
      <c r="D1170" s="4" t="s">
        <v>1444</v>
      </c>
      <c r="E1170" s="4" t="s">
        <v>1088</v>
      </c>
      <c r="F1170" s="54" t="s">
        <v>534</v>
      </c>
      <c r="G1170" s="54" t="s">
        <v>1118</v>
      </c>
      <c r="H1170" s="54" t="s">
        <v>1122</v>
      </c>
      <c r="I1170" s="54" t="s">
        <v>1139</v>
      </c>
      <c r="J1170" s="54" t="s">
        <v>1163</v>
      </c>
      <c r="X1170" s="55" t="str">
        <f t="shared" si="1"/>
        <v>#NAME?</v>
      </c>
    </row>
    <row r="1171">
      <c r="A1171" s="4" t="s">
        <v>3060</v>
      </c>
      <c r="B1171" s="4" t="s">
        <v>3061</v>
      </c>
      <c r="C1171" s="4">
        <v>1.0</v>
      </c>
      <c r="D1171" s="4" t="s">
        <v>1446</v>
      </c>
      <c r="E1171" s="4" t="s">
        <v>1088</v>
      </c>
      <c r="F1171" s="54" t="s">
        <v>534</v>
      </c>
      <c r="G1171" s="54" t="s">
        <v>1122</v>
      </c>
      <c r="H1171" s="54" t="s">
        <v>1134</v>
      </c>
      <c r="I1171" s="54" t="s">
        <v>1150</v>
      </c>
      <c r="J1171" s="54" t="s">
        <v>1150</v>
      </c>
      <c r="X1171" s="55" t="str">
        <f t="shared" si="1"/>
        <v>#NAME?</v>
      </c>
    </row>
    <row r="1172">
      <c r="A1172" s="4" t="s">
        <v>3062</v>
      </c>
      <c r="B1172" s="4" t="s">
        <v>3063</v>
      </c>
      <c r="C1172" s="4">
        <v>1.0</v>
      </c>
      <c r="D1172" s="4" t="s">
        <v>1448</v>
      </c>
      <c r="E1172" s="4" t="s">
        <v>1088</v>
      </c>
      <c r="F1172" s="54" t="s">
        <v>534</v>
      </c>
      <c r="G1172" s="54" t="s">
        <v>1382</v>
      </c>
      <c r="H1172" s="54" t="s">
        <v>1118</v>
      </c>
      <c r="I1172" s="54" t="s">
        <v>1440</v>
      </c>
      <c r="J1172" s="54" t="s">
        <v>1140</v>
      </c>
      <c r="X1172" s="55" t="str">
        <f t="shared" si="1"/>
        <v>#NAME?</v>
      </c>
    </row>
    <row r="1173">
      <c r="A1173" s="4" t="s">
        <v>3064</v>
      </c>
      <c r="B1173" s="4" t="s">
        <v>3065</v>
      </c>
      <c r="C1173" s="4">
        <v>1.0</v>
      </c>
      <c r="D1173" s="4" t="s">
        <v>1450</v>
      </c>
      <c r="E1173" s="4" t="s">
        <v>1191</v>
      </c>
      <c r="F1173" s="54" t="s">
        <v>534</v>
      </c>
      <c r="G1173" s="54" t="s">
        <v>1139</v>
      </c>
      <c r="H1173" s="54" t="s">
        <v>1451</v>
      </c>
      <c r="I1173" s="54" t="s">
        <v>1127</v>
      </c>
      <c r="J1173" s="54" t="s">
        <v>1337</v>
      </c>
      <c r="X1173" s="55" t="str">
        <f t="shared" si="1"/>
        <v>#NAME?</v>
      </c>
    </row>
    <row r="1174">
      <c r="A1174" s="4" t="s">
        <v>3066</v>
      </c>
      <c r="B1174" s="4" t="s">
        <v>3067</v>
      </c>
      <c r="C1174" s="4">
        <v>1.0</v>
      </c>
      <c r="D1174" s="54" t="s">
        <v>1554</v>
      </c>
      <c r="E1174" s="4" t="s">
        <v>1098</v>
      </c>
      <c r="F1174" s="54" t="s">
        <v>357</v>
      </c>
      <c r="G1174" s="54" t="s">
        <v>1176</v>
      </c>
      <c r="H1174" s="54" t="s">
        <v>1555</v>
      </c>
      <c r="I1174" s="54" t="s">
        <v>1171</v>
      </c>
      <c r="J1174" s="54" t="s">
        <v>1556</v>
      </c>
      <c r="X1174" s="55" t="str">
        <f t="shared" si="1"/>
        <v>#NAME?</v>
      </c>
    </row>
    <row r="1175">
      <c r="A1175" s="4" t="s">
        <v>3068</v>
      </c>
      <c r="B1175" s="4" t="s">
        <v>3069</v>
      </c>
      <c r="C1175" s="4">
        <v>1.0</v>
      </c>
      <c r="D1175" s="4" t="s">
        <v>1453</v>
      </c>
      <c r="E1175" s="4" t="s">
        <v>1191</v>
      </c>
      <c r="F1175" s="54" t="s">
        <v>534</v>
      </c>
      <c r="G1175" s="54" t="s">
        <v>1398</v>
      </c>
      <c r="H1175" s="54" t="s">
        <v>1454</v>
      </c>
      <c r="I1175" s="54" t="s">
        <v>1197</v>
      </c>
      <c r="J1175" s="54" t="s">
        <v>1455</v>
      </c>
      <c r="X1175" s="55" t="str">
        <f t="shared" si="1"/>
        <v>#NAME?</v>
      </c>
    </row>
    <row r="1176">
      <c r="A1176" s="4" t="s">
        <v>3070</v>
      </c>
      <c r="B1176" s="4" t="s">
        <v>3071</v>
      </c>
      <c r="C1176" s="4">
        <v>1.0</v>
      </c>
      <c r="D1176" s="4" t="s">
        <v>1460</v>
      </c>
      <c r="E1176" s="4" t="s">
        <v>1191</v>
      </c>
      <c r="F1176" s="54" t="s">
        <v>534</v>
      </c>
      <c r="G1176" s="54" t="s">
        <v>1391</v>
      </c>
      <c r="H1176" s="54" t="s">
        <v>1461</v>
      </c>
      <c r="I1176" s="54" t="s">
        <v>1462</v>
      </c>
      <c r="J1176" s="54" t="s">
        <v>1463</v>
      </c>
      <c r="X1176" s="55" t="str">
        <f t="shared" si="1"/>
        <v>#NAME?</v>
      </c>
    </row>
    <row r="1177">
      <c r="A1177" s="4" t="s">
        <v>3072</v>
      </c>
      <c r="B1177" s="4" t="s">
        <v>3073</v>
      </c>
      <c r="C1177" s="4">
        <v>1.0</v>
      </c>
      <c r="D1177" s="4" t="s">
        <v>1465</v>
      </c>
      <c r="E1177" s="4" t="s">
        <v>1088</v>
      </c>
      <c r="F1177" s="54" t="s">
        <v>534</v>
      </c>
      <c r="G1177" s="54" t="s">
        <v>1122</v>
      </c>
      <c r="H1177" s="54" t="s">
        <v>1122</v>
      </c>
      <c r="I1177" s="54" t="s">
        <v>1152</v>
      </c>
      <c r="J1177" s="54" t="s">
        <v>1123</v>
      </c>
      <c r="X1177" s="55" t="str">
        <f t="shared" si="1"/>
        <v>#NAME?</v>
      </c>
    </row>
    <row r="1178">
      <c r="A1178" s="4" t="s">
        <v>3074</v>
      </c>
      <c r="B1178" s="4" t="s">
        <v>3075</v>
      </c>
      <c r="C1178" s="4">
        <v>1.0</v>
      </c>
      <c r="D1178" s="4" t="s">
        <v>1467</v>
      </c>
      <c r="E1178" s="4" t="s">
        <v>1088</v>
      </c>
      <c r="F1178" s="54" t="s">
        <v>534</v>
      </c>
      <c r="G1178" s="54" t="s">
        <v>1123</v>
      </c>
      <c r="H1178" s="54" t="s">
        <v>1122</v>
      </c>
      <c r="I1178" s="54" t="s">
        <v>1150</v>
      </c>
      <c r="J1178" s="54" t="s">
        <v>1123</v>
      </c>
      <c r="X1178" s="55" t="str">
        <f t="shared" si="1"/>
        <v>#NAME?</v>
      </c>
    </row>
    <row r="1179">
      <c r="A1179" s="4" t="s">
        <v>3076</v>
      </c>
      <c r="B1179" s="4" t="s">
        <v>3077</v>
      </c>
      <c r="C1179" s="4">
        <v>1.0</v>
      </c>
      <c r="D1179" s="4" t="s">
        <v>1469</v>
      </c>
      <c r="E1179" s="4" t="s">
        <v>1088</v>
      </c>
      <c r="F1179" s="54" t="s">
        <v>534</v>
      </c>
      <c r="G1179" s="54" t="s">
        <v>1139</v>
      </c>
      <c r="H1179" s="54" t="s">
        <v>1122</v>
      </c>
      <c r="I1179" s="54" t="s">
        <v>1440</v>
      </c>
      <c r="J1179" s="54" t="s">
        <v>1139</v>
      </c>
      <c r="X1179" s="55" t="str">
        <f t="shared" si="1"/>
        <v>#NAME?</v>
      </c>
    </row>
    <row r="1180">
      <c r="A1180" s="4" t="s">
        <v>3078</v>
      </c>
      <c r="B1180" s="4" t="s">
        <v>3079</v>
      </c>
      <c r="C1180" s="4">
        <v>1.0</v>
      </c>
      <c r="D1180" s="4" t="s">
        <v>1471</v>
      </c>
      <c r="E1180" s="4" t="s">
        <v>1191</v>
      </c>
      <c r="F1180" s="54" t="s">
        <v>534</v>
      </c>
      <c r="G1180" s="54" t="s">
        <v>1143</v>
      </c>
      <c r="H1180" s="54" t="s">
        <v>1118</v>
      </c>
      <c r="I1180" s="54" t="s">
        <v>1126</v>
      </c>
      <c r="J1180" s="54" t="s">
        <v>1138</v>
      </c>
      <c r="X1180" s="55" t="str">
        <f t="shared" si="1"/>
        <v>#NAME?</v>
      </c>
    </row>
    <row r="1181">
      <c r="A1181" s="4" t="s">
        <v>3080</v>
      </c>
      <c r="B1181" s="4" t="s">
        <v>3081</v>
      </c>
      <c r="C1181" s="4">
        <v>1.0</v>
      </c>
      <c r="D1181" s="4" t="s">
        <v>1473</v>
      </c>
      <c r="E1181" s="4" t="s">
        <v>1191</v>
      </c>
      <c r="F1181" s="54" t="s">
        <v>534</v>
      </c>
      <c r="G1181" s="54" t="s">
        <v>1337</v>
      </c>
      <c r="H1181" s="54" t="s">
        <v>1474</v>
      </c>
      <c r="I1181" s="54" t="s">
        <v>1256</v>
      </c>
      <c r="J1181" s="54" t="s">
        <v>1475</v>
      </c>
      <c r="X1181" s="55" t="str">
        <f t="shared" si="1"/>
        <v>#NAME?</v>
      </c>
    </row>
    <row r="1182">
      <c r="A1182" s="4" t="s">
        <v>3082</v>
      </c>
      <c r="B1182" s="4" t="s">
        <v>3083</v>
      </c>
      <c r="C1182" s="4">
        <v>1.0</v>
      </c>
      <c r="D1182" s="4" t="s">
        <v>1477</v>
      </c>
      <c r="E1182" s="4" t="s">
        <v>1191</v>
      </c>
      <c r="F1182" s="54" t="s">
        <v>534</v>
      </c>
      <c r="G1182" s="54" t="s">
        <v>1478</v>
      </c>
      <c r="H1182" s="54" t="s">
        <v>1194</v>
      </c>
      <c r="I1182" s="54" t="s">
        <v>1321</v>
      </c>
      <c r="J1182" s="54" t="s">
        <v>1479</v>
      </c>
      <c r="X1182" s="55" t="str">
        <f t="shared" si="1"/>
        <v>#NAME?</v>
      </c>
    </row>
    <row r="1183">
      <c r="A1183" s="4" t="s">
        <v>3084</v>
      </c>
      <c r="B1183" s="4" t="s">
        <v>3085</v>
      </c>
      <c r="C1183" s="4">
        <v>1.0</v>
      </c>
      <c r="D1183" s="4" t="s">
        <v>1481</v>
      </c>
      <c r="E1183" s="4" t="s">
        <v>1191</v>
      </c>
      <c r="F1183" s="54" t="s">
        <v>534</v>
      </c>
      <c r="G1183" s="54" t="s">
        <v>1482</v>
      </c>
      <c r="H1183" s="54" t="s">
        <v>1192</v>
      </c>
      <c r="I1183" s="54" t="s">
        <v>1137</v>
      </c>
      <c r="J1183" s="54" t="s">
        <v>1276</v>
      </c>
      <c r="X1183" s="55" t="str">
        <f t="shared" si="1"/>
        <v>#NAME?</v>
      </c>
    </row>
    <row r="1184">
      <c r="A1184" s="4" t="s">
        <v>3086</v>
      </c>
      <c r="B1184" s="4" t="s">
        <v>3087</v>
      </c>
      <c r="C1184" s="4">
        <v>1.0</v>
      </c>
      <c r="D1184" s="4" t="s">
        <v>1484</v>
      </c>
      <c r="E1184" s="4" t="s">
        <v>1088</v>
      </c>
      <c r="F1184" s="54" t="s">
        <v>534</v>
      </c>
      <c r="G1184" s="54" t="s">
        <v>1117</v>
      </c>
      <c r="H1184" s="54" t="s">
        <v>1382</v>
      </c>
      <c r="I1184" s="54" t="s">
        <v>1138</v>
      </c>
      <c r="J1184" s="54" t="s">
        <v>1344</v>
      </c>
      <c r="X1184" s="55" t="str">
        <f t="shared" si="1"/>
        <v>#NAME?</v>
      </c>
    </row>
    <row r="1185">
      <c r="A1185" s="4" t="s">
        <v>3088</v>
      </c>
      <c r="B1185" s="4" t="s">
        <v>3089</v>
      </c>
      <c r="C1185" s="4">
        <v>1.0</v>
      </c>
      <c r="D1185" s="4" t="s">
        <v>1457</v>
      </c>
      <c r="E1185" s="4" t="s">
        <v>1191</v>
      </c>
      <c r="F1185" s="54" t="s">
        <v>534</v>
      </c>
      <c r="G1185" s="54" t="s">
        <v>1194</v>
      </c>
      <c r="H1185" s="54" t="s">
        <v>1458</v>
      </c>
      <c r="I1185" s="54" t="s">
        <v>1436</v>
      </c>
      <c r="J1185" s="54" t="s">
        <v>1365</v>
      </c>
      <c r="X1185" s="55" t="str">
        <f t="shared" si="1"/>
        <v>#NAME?</v>
      </c>
    </row>
    <row r="1186">
      <c r="A1186" s="4" t="s">
        <v>3090</v>
      </c>
      <c r="B1186" s="4" t="s">
        <v>3091</v>
      </c>
      <c r="C1186" s="4">
        <v>1.0</v>
      </c>
      <c r="D1186" s="54" t="s">
        <v>1554</v>
      </c>
      <c r="E1186" s="4" t="s">
        <v>1098</v>
      </c>
      <c r="F1186" s="54" t="s">
        <v>357</v>
      </c>
      <c r="G1186" s="54" t="s">
        <v>1156</v>
      </c>
      <c r="H1186" s="54" t="s">
        <v>1130</v>
      </c>
      <c r="I1186" s="54" t="s">
        <v>1494</v>
      </c>
      <c r="J1186" s="54" t="s">
        <v>1132</v>
      </c>
      <c r="X1186" s="55" t="str">
        <f t="shared" si="1"/>
        <v>#NAME?</v>
      </c>
    </row>
    <row r="1187">
      <c r="A1187" s="4" t="s">
        <v>3092</v>
      </c>
      <c r="B1187" s="4" t="s">
        <v>3093</v>
      </c>
      <c r="C1187" s="4">
        <v>1.0</v>
      </c>
      <c r="D1187" s="54" t="s">
        <v>1554</v>
      </c>
      <c r="E1187" s="4" t="s">
        <v>1098</v>
      </c>
      <c r="F1187" s="54" t="s">
        <v>357</v>
      </c>
      <c r="G1187" s="54" t="s">
        <v>1171</v>
      </c>
      <c r="H1187" s="54" t="s">
        <v>1225</v>
      </c>
      <c r="I1187" s="54" t="s">
        <v>1559</v>
      </c>
      <c r="J1187" s="54" t="s">
        <v>1560</v>
      </c>
      <c r="X1187" s="55" t="str">
        <f t="shared" si="1"/>
        <v>#NAME?</v>
      </c>
    </row>
    <row r="1188">
      <c r="A1188" s="4" t="s">
        <v>3094</v>
      </c>
      <c r="B1188" s="4" t="s">
        <v>3095</v>
      </c>
      <c r="C1188" s="4">
        <v>1.0</v>
      </c>
      <c r="D1188" s="54" t="s">
        <v>1562</v>
      </c>
      <c r="E1188" s="4" t="s">
        <v>1088</v>
      </c>
      <c r="F1188" s="54" t="s">
        <v>357</v>
      </c>
      <c r="G1188" s="54" t="s">
        <v>1563</v>
      </c>
      <c r="H1188" s="54" t="s">
        <v>1564</v>
      </c>
      <c r="I1188" s="54" t="s">
        <v>1235</v>
      </c>
      <c r="J1188" s="54" t="s">
        <v>1183</v>
      </c>
      <c r="X1188" s="55" t="str">
        <f t="shared" si="1"/>
        <v>#NAME?</v>
      </c>
    </row>
    <row r="1189">
      <c r="A1189" s="4" t="s">
        <v>3096</v>
      </c>
      <c r="B1189" s="4" t="s">
        <v>3097</v>
      </c>
      <c r="C1189" s="4">
        <v>1.0</v>
      </c>
      <c r="D1189" s="54" t="s">
        <v>1624</v>
      </c>
      <c r="E1189" s="4" t="s">
        <v>1098</v>
      </c>
      <c r="F1189" s="54" t="s">
        <v>357</v>
      </c>
      <c r="G1189" s="54" t="s">
        <v>1590</v>
      </c>
      <c r="H1189" s="54" t="s">
        <v>1493</v>
      </c>
      <c r="I1189" s="54" t="s">
        <v>1583</v>
      </c>
      <c r="J1189" s="54" t="s">
        <v>1494</v>
      </c>
      <c r="X1189" s="55" t="str">
        <f t="shared" si="1"/>
        <v>#NAME?</v>
      </c>
    </row>
    <row r="1190">
      <c r="A1190" s="4" t="s">
        <v>3098</v>
      </c>
      <c r="B1190" s="4" t="s">
        <v>3099</v>
      </c>
      <c r="C1190" s="4">
        <v>1.0</v>
      </c>
      <c r="D1190" s="54" t="s">
        <v>1624</v>
      </c>
      <c r="E1190" s="4" t="s">
        <v>1098</v>
      </c>
      <c r="F1190" s="54" t="s">
        <v>357</v>
      </c>
      <c r="G1190" s="54" t="s">
        <v>1628</v>
      </c>
      <c r="H1190" s="54" t="s">
        <v>1573</v>
      </c>
      <c r="I1190" s="54" t="s">
        <v>1180</v>
      </c>
      <c r="J1190" s="54" t="s">
        <v>1607</v>
      </c>
      <c r="X1190" s="55" t="str">
        <f t="shared" si="1"/>
        <v>#NAME?</v>
      </c>
    </row>
    <row r="1191">
      <c r="A1191" s="4" t="s">
        <v>3100</v>
      </c>
      <c r="B1191" s="4" t="s">
        <v>3101</v>
      </c>
      <c r="C1191" s="4">
        <v>1.0</v>
      </c>
      <c r="D1191" s="54" t="s">
        <v>1630</v>
      </c>
      <c r="E1191" s="4" t="s">
        <v>1088</v>
      </c>
      <c r="F1191" s="54" t="s">
        <v>357</v>
      </c>
      <c r="G1191" s="54" t="s">
        <v>1593</v>
      </c>
      <c r="H1191" s="54" t="s">
        <v>1609</v>
      </c>
      <c r="I1191" s="54" t="s">
        <v>1177</v>
      </c>
      <c r="J1191" s="54" t="s">
        <v>1176</v>
      </c>
      <c r="X1191" s="55" t="str">
        <f t="shared" si="1"/>
        <v>#NAME?</v>
      </c>
    </row>
    <row r="1192">
      <c r="A1192" s="4" t="s">
        <v>3102</v>
      </c>
      <c r="B1192" s="4" t="s">
        <v>3103</v>
      </c>
      <c r="C1192" s="4">
        <v>1.0</v>
      </c>
      <c r="D1192" s="54" t="s">
        <v>1632</v>
      </c>
      <c r="E1192" s="4" t="s">
        <v>1088</v>
      </c>
      <c r="F1192" s="54" t="s">
        <v>357</v>
      </c>
      <c r="G1192" s="54" t="s">
        <v>1242</v>
      </c>
      <c r="H1192" s="54" t="s">
        <v>1180</v>
      </c>
      <c r="I1192" s="54" t="s">
        <v>1563</v>
      </c>
      <c r="J1192" s="54" t="s">
        <v>1218</v>
      </c>
      <c r="X1192" s="55" t="str">
        <f t="shared" si="1"/>
        <v>#NAME?</v>
      </c>
    </row>
    <row r="1193">
      <c r="A1193" s="4" t="s">
        <v>3104</v>
      </c>
      <c r="B1193" s="4" t="s">
        <v>3105</v>
      </c>
      <c r="C1193" s="4">
        <v>1.0</v>
      </c>
      <c r="D1193" s="54" t="s">
        <v>1634</v>
      </c>
      <c r="E1193" s="4" t="s">
        <v>1296</v>
      </c>
      <c r="F1193" s="54" t="s">
        <v>357</v>
      </c>
      <c r="G1193" s="54" t="s">
        <v>1253</v>
      </c>
      <c r="H1193" s="54" t="s">
        <v>1105</v>
      </c>
      <c r="I1193" s="54" t="s">
        <v>1104</v>
      </c>
      <c r="J1193" s="54" t="s">
        <v>1568</v>
      </c>
      <c r="X1193" s="55" t="str">
        <f t="shared" si="1"/>
        <v>#NAME?</v>
      </c>
    </row>
    <row r="1194">
      <c r="A1194" s="4" t="s">
        <v>3106</v>
      </c>
      <c r="B1194" s="4" t="s">
        <v>3107</v>
      </c>
      <c r="C1194" s="4">
        <v>1.0</v>
      </c>
      <c r="D1194" s="54" t="s">
        <v>1634</v>
      </c>
      <c r="E1194" s="4" t="s">
        <v>1296</v>
      </c>
      <c r="F1194" s="54" t="s">
        <v>357</v>
      </c>
      <c r="G1194" s="54" t="s">
        <v>1514</v>
      </c>
      <c r="H1194" s="54" t="s">
        <v>1359</v>
      </c>
      <c r="I1194" s="54" t="s">
        <v>1104</v>
      </c>
      <c r="J1194" s="54" t="s">
        <v>1636</v>
      </c>
      <c r="X1194" s="55" t="str">
        <f t="shared" si="1"/>
        <v>#NAME?</v>
      </c>
    </row>
    <row r="1195">
      <c r="A1195" s="4" t="s">
        <v>3108</v>
      </c>
      <c r="B1195" s="4" t="s">
        <v>3109</v>
      </c>
      <c r="C1195" s="4">
        <v>1.0</v>
      </c>
      <c r="D1195" s="54" t="s">
        <v>1634</v>
      </c>
      <c r="E1195" s="4" t="s">
        <v>1296</v>
      </c>
      <c r="F1195" s="54" t="s">
        <v>357</v>
      </c>
      <c r="G1195" s="54" t="s">
        <v>1563</v>
      </c>
      <c r="H1195" s="54" t="s">
        <v>1236</v>
      </c>
      <c r="I1195" s="54" t="s">
        <v>1563</v>
      </c>
      <c r="J1195" s="54" t="s">
        <v>1159</v>
      </c>
      <c r="X1195" s="55" t="str">
        <f t="shared" si="1"/>
        <v>#NAME?</v>
      </c>
    </row>
    <row r="1196">
      <c r="A1196" s="4" t="s">
        <v>3110</v>
      </c>
      <c r="B1196" s="4" t="s">
        <v>3111</v>
      </c>
      <c r="C1196" s="4">
        <v>1.0</v>
      </c>
      <c r="D1196" s="54" t="s">
        <v>1634</v>
      </c>
      <c r="E1196" s="4" t="s">
        <v>1296</v>
      </c>
      <c r="F1196" s="54" t="s">
        <v>357</v>
      </c>
      <c r="G1196" s="54" t="s">
        <v>1104</v>
      </c>
      <c r="H1196" s="54" t="s">
        <v>1639</v>
      </c>
      <c r="I1196" s="54" t="s">
        <v>1516</v>
      </c>
      <c r="J1196" s="54" t="s">
        <v>1639</v>
      </c>
      <c r="X1196" s="55" t="str">
        <f t="shared" si="1"/>
        <v>#NAME?</v>
      </c>
    </row>
    <row r="1197">
      <c r="A1197" s="4" t="s">
        <v>3112</v>
      </c>
      <c r="B1197" s="4" t="s">
        <v>3113</v>
      </c>
      <c r="C1197" s="4">
        <v>1.0</v>
      </c>
      <c r="D1197" s="54" t="s">
        <v>1641</v>
      </c>
      <c r="E1197" s="4" t="s">
        <v>1088</v>
      </c>
      <c r="F1197" s="54" t="s">
        <v>357</v>
      </c>
      <c r="G1197" s="54" t="s">
        <v>1564</v>
      </c>
      <c r="H1197" s="54" t="s">
        <v>1604</v>
      </c>
      <c r="I1197" s="54" t="s">
        <v>1212</v>
      </c>
      <c r="J1197" s="54" t="s">
        <v>1563</v>
      </c>
      <c r="X1197" s="55" t="str">
        <f t="shared" si="1"/>
        <v>#NAME?</v>
      </c>
    </row>
    <row r="1198">
      <c r="A1198" s="4" t="s">
        <v>3114</v>
      </c>
      <c r="B1198" s="4" t="s">
        <v>3115</v>
      </c>
      <c r="C1198" s="4">
        <v>1.0</v>
      </c>
      <c r="D1198" s="54" t="s">
        <v>1624</v>
      </c>
      <c r="E1198" s="4" t="s">
        <v>1098</v>
      </c>
      <c r="F1198" s="54" t="s">
        <v>357</v>
      </c>
      <c r="G1198" s="54" t="s">
        <v>1590</v>
      </c>
      <c r="H1198" s="54" t="s">
        <v>1625</v>
      </c>
      <c r="I1198" s="54" t="s">
        <v>1242</v>
      </c>
      <c r="J1198" s="54" t="s">
        <v>1556</v>
      </c>
      <c r="X1198" s="55" t="str">
        <f t="shared" si="1"/>
        <v>#NAME?</v>
      </c>
    </row>
    <row r="1199">
      <c r="A1199" s="4" t="s">
        <v>3116</v>
      </c>
      <c r="B1199" s="4" t="s">
        <v>3117</v>
      </c>
      <c r="C1199" s="4">
        <v>1.0</v>
      </c>
      <c r="D1199" s="54" t="s">
        <v>1643</v>
      </c>
      <c r="E1199" s="4" t="s">
        <v>1088</v>
      </c>
      <c r="F1199" s="54" t="s">
        <v>357</v>
      </c>
      <c r="G1199" s="54" t="s">
        <v>1583</v>
      </c>
      <c r="H1199" s="54" t="s">
        <v>1586</v>
      </c>
      <c r="I1199" s="54" t="s">
        <v>1212</v>
      </c>
      <c r="J1199" s="54" t="s">
        <v>1644</v>
      </c>
      <c r="X1199" s="55" t="str">
        <f t="shared" si="1"/>
        <v>#NAME?</v>
      </c>
    </row>
    <row r="1200">
      <c r="A1200" s="4" t="s">
        <v>3118</v>
      </c>
      <c r="B1200" s="4" t="s">
        <v>3119</v>
      </c>
      <c r="C1200" s="4">
        <v>1.0</v>
      </c>
      <c r="D1200" s="54" t="s">
        <v>1646</v>
      </c>
      <c r="E1200" s="4" t="s">
        <v>1098</v>
      </c>
      <c r="F1200" s="54" t="s">
        <v>357</v>
      </c>
      <c r="G1200" s="54" t="s">
        <v>1494</v>
      </c>
      <c r="H1200" s="54" t="s">
        <v>1607</v>
      </c>
      <c r="I1200" s="54" t="s">
        <v>1131</v>
      </c>
      <c r="J1200" s="54" t="s">
        <v>1225</v>
      </c>
      <c r="X1200" s="55" t="str">
        <f t="shared" si="1"/>
        <v>#NAME?</v>
      </c>
    </row>
    <row r="1201">
      <c r="A1201" s="4" t="s">
        <v>3120</v>
      </c>
      <c r="B1201" s="4" t="s">
        <v>3121</v>
      </c>
      <c r="C1201" s="4">
        <v>1.0</v>
      </c>
      <c r="D1201" s="54" t="s">
        <v>1646</v>
      </c>
      <c r="E1201" s="4" t="s">
        <v>1098</v>
      </c>
      <c r="F1201" s="54" t="s">
        <v>357</v>
      </c>
      <c r="G1201" s="54" t="s">
        <v>1649</v>
      </c>
      <c r="H1201" s="54" t="s">
        <v>1628</v>
      </c>
      <c r="I1201" s="54" t="s">
        <v>1555</v>
      </c>
      <c r="J1201" s="54" t="s">
        <v>1555</v>
      </c>
      <c r="X1201" s="55" t="str">
        <f t="shared" si="1"/>
        <v>#NAME?</v>
      </c>
    </row>
    <row r="1202">
      <c r="A1202" s="4" t="s">
        <v>3122</v>
      </c>
      <c r="B1202" s="4" t="s">
        <v>3123</v>
      </c>
      <c r="C1202" s="4">
        <v>1.0</v>
      </c>
      <c r="D1202" s="54" t="s">
        <v>1651</v>
      </c>
      <c r="E1202" s="4" t="s">
        <v>1251</v>
      </c>
      <c r="F1202" s="54" t="s">
        <v>357</v>
      </c>
      <c r="G1202" s="54" t="s">
        <v>1373</v>
      </c>
      <c r="H1202" s="54" t="s">
        <v>1120</v>
      </c>
      <c r="I1202" s="54" t="s">
        <v>1313</v>
      </c>
      <c r="J1202" s="54" t="s">
        <v>1618</v>
      </c>
      <c r="X1202" s="55" t="str">
        <f t="shared" si="1"/>
        <v>#NAME?</v>
      </c>
    </row>
    <row r="1203">
      <c r="A1203" s="4" t="s">
        <v>3124</v>
      </c>
      <c r="B1203" s="4" t="s">
        <v>3125</v>
      </c>
      <c r="C1203" s="4">
        <v>1.0</v>
      </c>
      <c r="D1203" s="54" t="s">
        <v>1653</v>
      </c>
      <c r="E1203" s="4" t="s">
        <v>1251</v>
      </c>
      <c r="F1203" s="54" t="s">
        <v>449</v>
      </c>
      <c r="G1203" s="54" t="s">
        <v>1264</v>
      </c>
      <c r="H1203" s="54" t="s">
        <v>1264</v>
      </c>
      <c r="I1203" s="54" t="s">
        <v>1521</v>
      </c>
      <c r="J1203" s="54" t="s">
        <v>1654</v>
      </c>
      <c r="X1203" s="55" t="str">
        <f t="shared" si="1"/>
        <v>#NAME?</v>
      </c>
    </row>
    <row r="1204">
      <c r="A1204" s="4" t="s">
        <v>3126</v>
      </c>
      <c r="B1204" s="4" t="s">
        <v>3127</v>
      </c>
      <c r="C1204" s="4">
        <v>1.0</v>
      </c>
      <c r="D1204" s="54" t="s">
        <v>1656</v>
      </c>
      <c r="E1204" s="4" t="s">
        <v>1088</v>
      </c>
      <c r="F1204" s="54" t="s">
        <v>449</v>
      </c>
      <c r="G1204" s="54" t="s">
        <v>1555</v>
      </c>
      <c r="H1204" s="54" t="s">
        <v>1227</v>
      </c>
      <c r="I1204" s="54" t="s">
        <v>1657</v>
      </c>
      <c r="J1204" s="54" t="s">
        <v>1658</v>
      </c>
      <c r="X1204" s="55" t="str">
        <f t="shared" si="1"/>
        <v>#NAME?</v>
      </c>
    </row>
    <row r="1205">
      <c r="A1205" s="4" t="s">
        <v>3128</v>
      </c>
      <c r="B1205" s="4" t="s">
        <v>3129</v>
      </c>
      <c r="C1205" s="4">
        <v>1.0</v>
      </c>
      <c r="D1205" s="54" t="s">
        <v>1660</v>
      </c>
      <c r="E1205" s="4" t="s">
        <v>1088</v>
      </c>
      <c r="F1205" s="54" t="s">
        <v>449</v>
      </c>
      <c r="G1205" s="54" t="s">
        <v>1560</v>
      </c>
      <c r="H1205" s="54" t="s">
        <v>1584</v>
      </c>
      <c r="I1205" s="54" t="s">
        <v>1584</v>
      </c>
      <c r="J1205" s="54" t="s">
        <v>1226</v>
      </c>
      <c r="X1205" s="55" t="str">
        <f t="shared" si="1"/>
        <v>#NAME?</v>
      </c>
    </row>
    <row r="1206">
      <c r="A1206" s="4" t="s">
        <v>3130</v>
      </c>
      <c r="B1206" s="4" t="s">
        <v>3131</v>
      </c>
      <c r="C1206" s="4">
        <v>1.0</v>
      </c>
      <c r="D1206" s="54" t="s">
        <v>1662</v>
      </c>
      <c r="E1206" s="4" t="s">
        <v>1251</v>
      </c>
      <c r="F1206" s="54" t="s">
        <v>449</v>
      </c>
      <c r="G1206" s="54" t="s">
        <v>1170</v>
      </c>
      <c r="H1206" s="54" t="s">
        <v>1170</v>
      </c>
      <c r="I1206" s="54" t="s">
        <v>1543</v>
      </c>
      <c r="J1206" s="54" t="s">
        <v>1181</v>
      </c>
      <c r="X1206" s="55" t="str">
        <f t="shared" si="1"/>
        <v>#NAME?</v>
      </c>
    </row>
    <row r="1207">
      <c r="A1207" s="4" t="s">
        <v>3132</v>
      </c>
      <c r="B1207" s="4" t="s">
        <v>3133</v>
      </c>
      <c r="C1207" s="4">
        <v>1.0</v>
      </c>
      <c r="D1207" s="54" t="s">
        <v>1664</v>
      </c>
      <c r="E1207" s="4" t="s">
        <v>1251</v>
      </c>
      <c r="F1207" s="54" t="s">
        <v>357</v>
      </c>
      <c r="G1207" s="54" t="s">
        <v>1236</v>
      </c>
      <c r="H1207" s="54" t="s">
        <v>1160</v>
      </c>
      <c r="I1207" s="54" t="s">
        <v>1231</v>
      </c>
      <c r="J1207" s="54" t="s">
        <v>1158</v>
      </c>
      <c r="X1207" s="55" t="str">
        <f t="shared" si="1"/>
        <v>#NAME?</v>
      </c>
    </row>
    <row r="1208">
      <c r="A1208" s="4" t="s">
        <v>3134</v>
      </c>
      <c r="B1208" s="4" t="s">
        <v>3135</v>
      </c>
      <c r="C1208" s="4">
        <v>1.0</v>
      </c>
      <c r="D1208" s="54" t="s">
        <v>797</v>
      </c>
      <c r="E1208" s="4" t="s">
        <v>1251</v>
      </c>
      <c r="F1208" s="54" t="s">
        <v>357</v>
      </c>
      <c r="G1208" s="54" t="s">
        <v>1181</v>
      </c>
      <c r="H1208" s="54" t="s">
        <v>1231</v>
      </c>
      <c r="I1208" s="54" t="s">
        <v>1231</v>
      </c>
      <c r="J1208" s="54" t="s">
        <v>1188</v>
      </c>
      <c r="X1208" s="55" t="str">
        <f t="shared" si="1"/>
        <v>#NAME?</v>
      </c>
    </row>
    <row r="1209">
      <c r="A1209" s="4" t="s">
        <v>3136</v>
      </c>
      <c r="B1209" s="4" t="s">
        <v>3137</v>
      </c>
      <c r="C1209" s="4">
        <v>1.0</v>
      </c>
      <c r="D1209" s="54" t="s">
        <v>1646</v>
      </c>
      <c r="E1209" s="4" t="s">
        <v>1098</v>
      </c>
      <c r="F1209" s="54" t="s">
        <v>357</v>
      </c>
      <c r="G1209" s="54" t="s">
        <v>1572</v>
      </c>
      <c r="H1209" s="54" t="s">
        <v>1494</v>
      </c>
      <c r="I1209" s="54" t="s">
        <v>1555</v>
      </c>
      <c r="J1209" s="54" t="s">
        <v>1628</v>
      </c>
      <c r="X1209" s="55" t="str">
        <f t="shared" si="1"/>
        <v>#NAME?</v>
      </c>
    </row>
    <row r="1210">
      <c r="A1210" s="4" t="s">
        <v>3138</v>
      </c>
      <c r="B1210" s="4" t="s">
        <v>3139</v>
      </c>
      <c r="C1210" s="4">
        <v>1.0</v>
      </c>
      <c r="D1210" s="4" t="s">
        <v>1425</v>
      </c>
      <c r="E1210" s="4" t="s">
        <v>1296</v>
      </c>
      <c r="F1210" s="54" t="s">
        <v>534</v>
      </c>
      <c r="G1210" s="54" t="s">
        <v>1426</v>
      </c>
      <c r="H1210" s="54" t="s">
        <v>1142</v>
      </c>
      <c r="I1210" s="54" t="s">
        <v>1284</v>
      </c>
      <c r="J1210" s="54" t="s">
        <v>1427</v>
      </c>
      <c r="X1210" s="55" t="str">
        <f t="shared" si="1"/>
        <v>#NAME?</v>
      </c>
    </row>
    <row r="1211">
      <c r="A1211" s="4" t="s">
        <v>3140</v>
      </c>
      <c r="B1211" s="4" t="s">
        <v>3141</v>
      </c>
      <c r="C1211" s="4">
        <v>1.0</v>
      </c>
      <c r="D1211" s="54" t="s">
        <v>1621</v>
      </c>
      <c r="E1211" s="4" t="s">
        <v>1251</v>
      </c>
      <c r="F1211" s="54" t="s">
        <v>357</v>
      </c>
      <c r="G1211" s="54" t="s">
        <v>1350</v>
      </c>
      <c r="H1211" s="54" t="s">
        <v>1436</v>
      </c>
      <c r="I1211" s="54" t="s">
        <v>1196</v>
      </c>
      <c r="J1211" s="54" t="s">
        <v>1622</v>
      </c>
      <c r="X1211" s="55" t="str">
        <f t="shared" si="1"/>
        <v>#NAME?</v>
      </c>
    </row>
    <row r="1212">
      <c r="A1212" s="4" t="s">
        <v>3142</v>
      </c>
      <c r="B1212" s="4" t="s">
        <v>3143</v>
      </c>
      <c r="C1212" s="4">
        <v>1.0</v>
      </c>
      <c r="D1212" s="54" t="s">
        <v>1615</v>
      </c>
      <c r="E1212" s="4" t="s">
        <v>1088</v>
      </c>
      <c r="F1212" s="54" t="s">
        <v>357</v>
      </c>
      <c r="G1212" s="54" t="s">
        <v>1177</v>
      </c>
      <c r="H1212" s="54" t="s">
        <v>1609</v>
      </c>
      <c r="I1212" s="54" t="s">
        <v>1612</v>
      </c>
      <c r="J1212" s="54" t="s">
        <v>1490</v>
      </c>
      <c r="X1212" s="55" t="str">
        <f t="shared" si="1"/>
        <v>#NAME?</v>
      </c>
    </row>
    <row r="1213">
      <c r="A1213" s="4" t="s">
        <v>3144</v>
      </c>
      <c r="B1213" s="4" t="s">
        <v>3145</v>
      </c>
      <c r="C1213" s="4">
        <v>1.0</v>
      </c>
      <c r="D1213" s="54" t="s">
        <v>1566</v>
      </c>
      <c r="E1213" s="4" t="s">
        <v>1296</v>
      </c>
      <c r="F1213" s="54" t="s">
        <v>357</v>
      </c>
      <c r="G1213" s="54" t="s">
        <v>1567</v>
      </c>
      <c r="H1213" s="54" t="s">
        <v>1359</v>
      </c>
      <c r="I1213" s="54" t="s">
        <v>1568</v>
      </c>
      <c r="J1213" s="54" t="s">
        <v>1093</v>
      </c>
      <c r="X1213" s="55" t="str">
        <f t="shared" si="1"/>
        <v>#NAME?</v>
      </c>
    </row>
    <row r="1214">
      <c r="A1214" s="4" t="s">
        <v>3146</v>
      </c>
      <c r="B1214" s="4" t="s">
        <v>3147</v>
      </c>
      <c r="C1214" s="4">
        <v>1.0</v>
      </c>
      <c r="D1214" s="54" t="s">
        <v>1566</v>
      </c>
      <c r="E1214" s="4" t="s">
        <v>1296</v>
      </c>
      <c r="F1214" s="54" t="s">
        <v>357</v>
      </c>
      <c r="G1214" s="54" t="s">
        <v>1567</v>
      </c>
      <c r="H1214" s="54" t="s">
        <v>1570</v>
      </c>
      <c r="I1214" s="54" t="s">
        <v>1233</v>
      </c>
      <c r="J1214" s="54" t="s">
        <v>1109</v>
      </c>
      <c r="X1214" s="55" t="str">
        <f t="shared" si="1"/>
        <v>#NAME?</v>
      </c>
    </row>
    <row r="1215">
      <c r="A1215" s="4" t="s">
        <v>3148</v>
      </c>
      <c r="B1215" s="4" t="s">
        <v>3149</v>
      </c>
      <c r="C1215" s="4">
        <v>1.0</v>
      </c>
      <c r="D1215" s="54" t="s">
        <v>1566</v>
      </c>
      <c r="E1215" s="4" t="s">
        <v>1296</v>
      </c>
      <c r="F1215" s="54" t="s">
        <v>357</v>
      </c>
      <c r="G1215" s="54" t="s">
        <v>1572</v>
      </c>
      <c r="H1215" s="54" t="s">
        <v>1248</v>
      </c>
      <c r="I1215" s="54" t="s">
        <v>1573</v>
      </c>
      <c r="J1215" s="54" t="s">
        <v>1245</v>
      </c>
      <c r="X1215" s="55" t="str">
        <f t="shared" si="1"/>
        <v>#NAME?</v>
      </c>
    </row>
    <row r="1216">
      <c r="A1216" s="4" t="s">
        <v>3150</v>
      </c>
      <c r="B1216" s="4" t="s">
        <v>3151</v>
      </c>
      <c r="C1216" s="4">
        <v>1.0</v>
      </c>
      <c r="D1216" s="54" t="s">
        <v>1566</v>
      </c>
      <c r="E1216" s="4" t="s">
        <v>1296</v>
      </c>
      <c r="F1216" s="54" t="s">
        <v>357</v>
      </c>
      <c r="G1216" s="54" t="s">
        <v>1359</v>
      </c>
      <c r="H1216" s="54" t="s">
        <v>1200</v>
      </c>
      <c r="I1216" s="54" t="s">
        <v>1575</v>
      </c>
      <c r="J1216" s="54" t="s">
        <v>1567</v>
      </c>
      <c r="X1216" s="55" t="str">
        <f t="shared" si="1"/>
        <v>#NAME?</v>
      </c>
    </row>
    <row r="1217">
      <c r="A1217" s="4" t="s">
        <v>3152</v>
      </c>
      <c r="B1217" s="4" t="s">
        <v>3153</v>
      </c>
      <c r="C1217" s="4">
        <v>1.0</v>
      </c>
      <c r="D1217" s="54" t="s">
        <v>1577</v>
      </c>
      <c r="E1217" s="4" t="s">
        <v>1088</v>
      </c>
      <c r="F1217" s="54" t="s">
        <v>357</v>
      </c>
      <c r="G1217" s="54" t="s">
        <v>1531</v>
      </c>
      <c r="H1217" s="54" t="s">
        <v>1183</v>
      </c>
      <c r="I1217" s="54" t="s">
        <v>1171</v>
      </c>
      <c r="J1217" s="54" t="s">
        <v>1212</v>
      </c>
      <c r="X1217" s="55" t="str">
        <f t="shared" si="1"/>
        <v>#NAME?</v>
      </c>
    </row>
    <row r="1218">
      <c r="A1218" s="4" t="s">
        <v>3154</v>
      </c>
      <c r="B1218" s="4" t="s">
        <v>3155</v>
      </c>
      <c r="C1218" s="4">
        <v>1.0</v>
      </c>
      <c r="D1218" s="54" t="s">
        <v>1579</v>
      </c>
      <c r="E1218" s="4" t="s">
        <v>1088</v>
      </c>
      <c r="F1218" s="54" t="s">
        <v>357</v>
      </c>
      <c r="G1218" s="54" t="s">
        <v>1244</v>
      </c>
      <c r="H1218" s="54" t="s">
        <v>1186</v>
      </c>
      <c r="I1218" s="54" t="s">
        <v>1156</v>
      </c>
      <c r="J1218" s="54" t="s">
        <v>1244</v>
      </c>
      <c r="X1218" s="55" t="str">
        <f t="shared" si="1"/>
        <v>#NAME?</v>
      </c>
    </row>
    <row r="1219">
      <c r="A1219" s="4" t="s">
        <v>3156</v>
      </c>
      <c r="B1219" s="4" t="s">
        <v>3157</v>
      </c>
      <c r="C1219" s="4">
        <v>1.0</v>
      </c>
      <c r="D1219" s="54" t="s">
        <v>1581</v>
      </c>
      <c r="E1219" s="4" t="s">
        <v>1098</v>
      </c>
      <c r="F1219" s="54" t="s">
        <v>357</v>
      </c>
      <c r="G1219" s="54" t="s">
        <v>1564</v>
      </c>
      <c r="H1219" s="54" t="s">
        <v>1582</v>
      </c>
      <c r="I1219" s="54" t="s">
        <v>1583</v>
      </c>
      <c r="J1219" s="54" t="s">
        <v>1584</v>
      </c>
      <c r="X1219" s="55" t="str">
        <f t="shared" si="1"/>
        <v>#NAME?</v>
      </c>
    </row>
    <row r="1220">
      <c r="A1220" s="4" t="s">
        <v>3158</v>
      </c>
      <c r="B1220" s="4" t="s">
        <v>3159</v>
      </c>
      <c r="C1220" s="4">
        <v>1.0</v>
      </c>
      <c r="D1220" s="54" t="s">
        <v>1581</v>
      </c>
      <c r="E1220" s="4" t="s">
        <v>1098</v>
      </c>
      <c r="F1220" s="54" t="s">
        <v>357</v>
      </c>
      <c r="G1220" s="54" t="s">
        <v>1235</v>
      </c>
      <c r="H1220" s="54" t="s">
        <v>1556</v>
      </c>
      <c r="I1220" s="54" t="s">
        <v>1586</v>
      </c>
      <c r="J1220" s="54" t="s">
        <v>1132</v>
      </c>
      <c r="X1220" s="55" t="str">
        <f t="shared" si="1"/>
        <v>#NAME?</v>
      </c>
    </row>
    <row r="1221">
      <c r="A1221" s="4" t="s">
        <v>3160</v>
      </c>
      <c r="B1221" s="4" t="s">
        <v>3161</v>
      </c>
      <c r="C1221" s="4">
        <v>1.0</v>
      </c>
      <c r="D1221" s="54" t="s">
        <v>1581</v>
      </c>
      <c r="E1221" s="4" t="s">
        <v>1098</v>
      </c>
      <c r="F1221" s="54" t="s">
        <v>357</v>
      </c>
      <c r="G1221" s="54" t="s">
        <v>1172</v>
      </c>
      <c r="H1221" s="54" t="s">
        <v>1493</v>
      </c>
      <c r="I1221" s="54" t="s">
        <v>1218</v>
      </c>
      <c r="J1221" s="54" t="s">
        <v>1560</v>
      </c>
      <c r="X1221" s="55" t="str">
        <f t="shared" si="1"/>
        <v>#NAME?</v>
      </c>
    </row>
    <row r="1222">
      <c r="A1222" s="4" t="s">
        <v>3162</v>
      </c>
      <c r="B1222" s="4" t="s">
        <v>3163</v>
      </c>
      <c r="C1222" s="4">
        <v>1.0</v>
      </c>
      <c r="D1222" s="54" t="s">
        <v>1617</v>
      </c>
      <c r="E1222" s="4" t="s">
        <v>1251</v>
      </c>
      <c r="F1222" s="54" t="s">
        <v>449</v>
      </c>
      <c r="G1222" s="54" t="s">
        <v>1203</v>
      </c>
      <c r="H1222" s="54" t="s">
        <v>1618</v>
      </c>
      <c r="I1222" s="54" t="s">
        <v>1619</v>
      </c>
      <c r="J1222" s="54" t="s">
        <v>1259</v>
      </c>
      <c r="X1222" s="55" t="str">
        <f t="shared" si="1"/>
        <v>#NAME?</v>
      </c>
    </row>
    <row r="1223">
      <c r="A1223" s="4" t="s">
        <v>3164</v>
      </c>
      <c r="B1223" s="4" t="s">
        <v>3165</v>
      </c>
      <c r="C1223" s="4">
        <v>1.0</v>
      </c>
      <c r="D1223" s="54" t="s">
        <v>1589</v>
      </c>
      <c r="E1223" s="4" t="s">
        <v>1397</v>
      </c>
      <c r="F1223" s="54" t="s">
        <v>357</v>
      </c>
      <c r="G1223" s="54" t="s">
        <v>1582</v>
      </c>
      <c r="H1223" s="54" t="s">
        <v>1590</v>
      </c>
      <c r="I1223" s="54" t="s">
        <v>1171</v>
      </c>
      <c r="J1223" s="54" t="s">
        <v>1179</v>
      </c>
      <c r="X1223" s="55" t="str">
        <f t="shared" si="1"/>
        <v>#NAME?</v>
      </c>
    </row>
    <row r="1224">
      <c r="A1224" s="4" t="s">
        <v>3166</v>
      </c>
      <c r="B1224" s="4" t="s">
        <v>3167</v>
      </c>
      <c r="C1224" s="4">
        <v>1.0</v>
      </c>
      <c r="D1224" s="54" t="s">
        <v>1589</v>
      </c>
      <c r="E1224" s="4" t="s">
        <v>1397</v>
      </c>
      <c r="F1224" s="54" t="s">
        <v>357</v>
      </c>
      <c r="G1224" s="54" t="s">
        <v>1593</v>
      </c>
      <c r="H1224" s="54" t="s">
        <v>1218</v>
      </c>
      <c r="I1224" s="54" t="s">
        <v>1593</v>
      </c>
      <c r="J1224" s="54" t="s">
        <v>1245</v>
      </c>
      <c r="X1224" s="55" t="str">
        <f t="shared" si="1"/>
        <v>#NAME?</v>
      </c>
    </row>
    <row r="1225">
      <c r="A1225" s="4" t="s">
        <v>3168</v>
      </c>
      <c r="B1225" s="4" t="s">
        <v>3169</v>
      </c>
      <c r="C1225" s="4">
        <v>1.0</v>
      </c>
      <c r="D1225" s="54" t="s">
        <v>1595</v>
      </c>
      <c r="E1225" s="4" t="s">
        <v>1088</v>
      </c>
      <c r="F1225" s="54" t="s">
        <v>357</v>
      </c>
      <c r="G1225" s="54" t="s">
        <v>1212</v>
      </c>
      <c r="H1225" s="54" t="s">
        <v>1185</v>
      </c>
      <c r="I1225" s="54" t="s">
        <v>1172</v>
      </c>
      <c r="J1225" s="54" t="s">
        <v>1215</v>
      </c>
      <c r="X1225" s="55" t="str">
        <f t="shared" si="1"/>
        <v>#NAME?</v>
      </c>
    </row>
    <row r="1226">
      <c r="A1226" s="4" t="s">
        <v>3170</v>
      </c>
      <c r="B1226" s="4" t="s">
        <v>3171</v>
      </c>
      <c r="C1226" s="4">
        <v>1.0</v>
      </c>
      <c r="D1226" s="54" t="s">
        <v>1597</v>
      </c>
      <c r="E1226" s="4" t="s">
        <v>1088</v>
      </c>
      <c r="F1226" s="54" t="s">
        <v>357</v>
      </c>
      <c r="G1226" s="54" t="s">
        <v>1552</v>
      </c>
      <c r="H1226" s="54" t="s">
        <v>1188</v>
      </c>
      <c r="I1226" s="54" t="s">
        <v>1177</v>
      </c>
      <c r="J1226" s="54" t="s">
        <v>1235</v>
      </c>
      <c r="X1226" s="55" t="str">
        <f t="shared" si="1"/>
        <v>#NAME?</v>
      </c>
    </row>
    <row r="1227">
      <c r="A1227" s="4" t="s">
        <v>3172</v>
      </c>
      <c r="B1227" s="4" t="s">
        <v>3173</v>
      </c>
      <c r="C1227" s="4">
        <v>1.0</v>
      </c>
      <c r="D1227" s="54" t="s">
        <v>1599</v>
      </c>
      <c r="E1227" s="4" t="s">
        <v>1088</v>
      </c>
      <c r="F1227" s="54" t="s">
        <v>357</v>
      </c>
      <c r="G1227" s="54" t="s">
        <v>1235</v>
      </c>
      <c r="H1227" s="54" t="s">
        <v>1559</v>
      </c>
      <c r="I1227" s="54" t="s">
        <v>1235</v>
      </c>
      <c r="J1227" s="54" t="s">
        <v>1172</v>
      </c>
      <c r="X1227" s="55" t="str">
        <f t="shared" si="1"/>
        <v>#NAME?</v>
      </c>
    </row>
    <row r="1228">
      <c r="A1228" s="4" t="s">
        <v>3174</v>
      </c>
      <c r="B1228" s="4" t="s">
        <v>3175</v>
      </c>
      <c r="C1228" s="4">
        <v>1.0</v>
      </c>
      <c r="D1228" s="54" t="s">
        <v>1601</v>
      </c>
      <c r="E1228" s="4" t="s">
        <v>1088</v>
      </c>
      <c r="F1228" s="54" t="s">
        <v>357</v>
      </c>
      <c r="G1228" s="54" t="s">
        <v>1490</v>
      </c>
      <c r="H1228" s="54" t="s">
        <v>1156</v>
      </c>
      <c r="I1228" s="54" t="s">
        <v>1215</v>
      </c>
      <c r="J1228" s="54" t="s">
        <v>1490</v>
      </c>
      <c r="X1228" s="55" t="str">
        <f t="shared" si="1"/>
        <v>#NAME?</v>
      </c>
    </row>
    <row r="1229">
      <c r="A1229" s="4" t="s">
        <v>3176</v>
      </c>
      <c r="B1229" s="4" t="s">
        <v>3177</v>
      </c>
      <c r="C1229" s="4">
        <v>1.0</v>
      </c>
      <c r="D1229" s="54" t="s">
        <v>1603</v>
      </c>
      <c r="E1229" s="4" t="s">
        <v>1098</v>
      </c>
      <c r="F1229" s="54" t="s">
        <v>357</v>
      </c>
      <c r="G1229" s="54" t="s">
        <v>1132</v>
      </c>
      <c r="H1229" s="54" t="s">
        <v>1494</v>
      </c>
      <c r="I1229" s="54" t="s">
        <v>1604</v>
      </c>
      <c r="J1229" s="54" t="s">
        <v>1605</v>
      </c>
      <c r="X1229" s="55" t="str">
        <f t="shared" si="1"/>
        <v>#NAME?</v>
      </c>
    </row>
    <row r="1230">
      <c r="A1230" s="4" t="s">
        <v>3178</v>
      </c>
      <c r="B1230" s="4" t="s">
        <v>3179</v>
      </c>
      <c r="C1230" s="4">
        <v>1.0</v>
      </c>
      <c r="D1230" s="54" t="s">
        <v>1603</v>
      </c>
      <c r="E1230" s="4" t="s">
        <v>1098</v>
      </c>
      <c r="F1230" s="54" t="s">
        <v>357</v>
      </c>
      <c r="G1230" s="54" t="s">
        <v>1129</v>
      </c>
      <c r="H1230" s="54" t="s">
        <v>1573</v>
      </c>
      <c r="I1230" s="54" t="s">
        <v>1607</v>
      </c>
      <c r="J1230" s="54" t="s">
        <v>1586</v>
      </c>
      <c r="X1230" s="55" t="str">
        <f t="shared" si="1"/>
        <v>#NAME?</v>
      </c>
    </row>
    <row r="1231">
      <c r="A1231" s="4" t="s">
        <v>3180</v>
      </c>
      <c r="B1231" s="4" t="s">
        <v>3181</v>
      </c>
      <c r="C1231" s="4">
        <v>1.0</v>
      </c>
      <c r="D1231" s="54" t="s">
        <v>1603</v>
      </c>
      <c r="E1231" s="4" t="s">
        <v>1098</v>
      </c>
      <c r="F1231" s="54" t="s">
        <v>357</v>
      </c>
      <c r="G1231" s="54" t="s">
        <v>1584</v>
      </c>
      <c r="H1231" s="54" t="s">
        <v>1573</v>
      </c>
      <c r="I1231" s="54" t="s">
        <v>1221</v>
      </c>
      <c r="J1231" s="54" t="s">
        <v>1609</v>
      </c>
      <c r="X1231" s="55" t="str">
        <f t="shared" si="1"/>
        <v>#NAME?</v>
      </c>
    </row>
    <row r="1232">
      <c r="A1232" s="4" t="s">
        <v>3182</v>
      </c>
      <c r="B1232" s="4" t="s">
        <v>3183</v>
      </c>
      <c r="C1232" s="4">
        <v>1.0</v>
      </c>
      <c r="D1232" s="54" t="s">
        <v>1611</v>
      </c>
      <c r="E1232" s="4" t="s">
        <v>1088</v>
      </c>
      <c r="F1232" s="54" t="s">
        <v>357</v>
      </c>
      <c r="G1232" s="54" t="s">
        <v>1177</v>
      </c>
      <c r="H1232" s="54" t="s">
        <v>1612</v>
      </c>
      <c r="I1232" s="54" t="s">
        <v>1613</v>
      </c>
      <c r="J1232" s="54" t="s">
        <v>1241</v>
      </c>
      <c r="X1232" s="55" t="str">
        <f t="shared" si="1"/>
        <v>#NAME?</v>
      </c>
    </row>
    <row r="1233">
      <c r="A1233" s="54" t="s">
        <v>3184</v>
      </c>
      <c r="B1233" s="4" t="s">
        <v>3185</v>
      </c>
      <c r="C1233" s="4">
        <v>1.0</v>
      </c>
      <c r="D1233" s="54" t="s">
        <v>1589</v>
      </c>
      <c r="E1233" s="4" t="s">
        <v>1397</v>
      </c>
      <c r="F1233" s="54" t="s">
        <v>357</v>
      </c>
      <c r="G1233" s="54" t="s">
        <v>1560</v>
      </c>
      <c r="H1233" s="54" t="s">
        <v>1583</v>
      </c>
      <c r="I1233" s="54" t="s">
        <v>1241</v>
      </c>
      <c r="J1233" s="54" t="s">
        <v>1559</v>
      </c>
      <c r="X1233" s="55" t="str">
        <f t="shared" si="1"/>
        <v>#NAME?</v>
      </c>
    </row>
    <row r="1234">
      <c r="A1234" s="4" t="s">
        <v>3186</v>
      </c>
      <c r="B1234" s="4" t="s">
        <v>3187</v>
      </c>
      <c r="C1234" s="4">
        <v>1.0</v>
      </c>
      <c r="D1234" s="4" t="s">
        <v>1423</v>
      </c>
      <c r="E1234" s="4" t="s">
        <v>1088</v>
      </c>
      <c r="F1234" s="54" t="s">
        <v>534</v>
      </c>
      <c r="G1234" s="54" t="s">
        <v>1280</v>
      </c>
      <c r="H1234" s="54" t="s">
        <v>1135</v>
      </c>
      <c r="I1234" s="54" t="s">
        <v>1123</v>
      </c>
      <c r="J1234" s="54" t="s">
        <v>1140</v>
      </c>
      <c r="X1234" s="55" t="str">
        <f t="shared" si="1"/>
        <v>#NAME?</v>
      </c>
    </row>
    <row r="1235">
      <c r="A1235" s="4" t="s">
        <v>3188</v>
      </c>
      <c r="B1235" s="4" t="s">
        <v>3189</v>
      </c>
      <c r="C1235" s="4">
        <v>1.0</v>
      </c>
      <c r="D1235" s="4" t="s">
        <v>1421</v>
      </c>
      <c r="E1235" s="4" t="s">
        <v>1088</v>
      </c>
      <c r="F1235" s="54" t="s">
        <v>534</v>
      </c>
      <c r="G1235" s="54" t="s">
        <v>1139</v>
      </c>
      <c r="H1235" s="54" t="s">
        <v>1134</v>
      </c>
      <c r="I1235" s="54" t="s">
        <v>1405</v>
      </c>
      <c r="J1235" s="54" t="s">
        <v>1150</v>
      </c>
      <c r="X1235" s="55" t="str">
        <f t="shared" si="1"/>
        <v>#NAME?</v>
      </c>
    </row>
    <row r="1236">
      <c r="A1236" s="4" t="s">
        <v>3190</v>
      </c>
      <c r="B1236" s="4" t="s">
        <v>3191</v>
      </c>
      <c r="C1236" s="4">
        <v>1.0</v>
      </c>
      <c r="D1236" s="4" t="s">
        <v>1419</v>
      </c>
      <c r="E1236" s="4" t="s">
        <v>1088</v>
      </c>
      <c r="F1236" s="54" t="s">
        <v>534</v>
      </c>
      <c r="G1236" s="54" t="s">
        <v>1093</v>
      </c>
      <c r="H1236" s="54" t="s">
        <v>1093</v>
      </c>
      <c r="I1236" s="54" t="s">
        <v>1109</v>
      </c>
      <c r="J1236" s="54" t="s">
        <v>1109</v>
      </c>
      <c r="X1236" s="55" t="str">
        <f t="shared" si="1"/>
        <v>#NAME?</v>
      </c>
    </row>
    <row r="1237">
      <c r="A1237" s="4" t="s">
        <v>3192</v>
      </c>
      <c r="B1237" s="4" t="s">
        <v>3193</v>
      </c>
      <c r="C1237" s="4">
        <v>1.0</v>
      </c>
      <c r="D1237" s="54" t="s">
        <v>632</v>
      </c>
      <c r="E1237" s="4" t="s">
        <v>1088</v>
      </c>
      <c r="F1237" s="54" t="s">
        <v>534</v>
      </c>
      <c r="G1237" s="54" t="s">
        <v>1183</v>
      </c>
      <c r="H1237" s="54" t="s">
        <v>1184</v>
      </c>
      <c r="I1237" s="54" t="s">
        <v>1185</v>
      </c>
      <c r="J1237" s="54" t="s">
        <v>1186</v>
      </c>
      <c r="X1237" s="55" t="str">
        <f t="shared" si="1"/>
        <v>#NAME?</v>
      </c>
    </row>
    <row r="1238">
      <c r="A1238" s="4" t="s">
        <v>3194</v>
      </c>
      <c r="B1238" s="4" t="s">
        <v>3195</v>
      </c>
      <c r="C1238" s="4">
        <v>1.0</v>
      </c>
      <c r="D1238" s="54" t="s">
        <v>637</v>
      </c>
      <c r="E1238" s="4" t="s">
        <v>1088</v>
      </c>
      <c r="F1238" s="54" t="s">
        <v>534</v>
      </c>
      <c r="G1238" s="54" t="s">
        <v>1188</v>
      </c>
      <c r="H1238" s="54" t="s">
        <v>1189</v>
      </c>
      <c r="I1238" s="54" t="s">
        <v>1176</v>
      </c>
      <c r="J1238" s="54" t="s">
        <v>1155</v>
      </c>
      <c r="X1238" s="55" t="str">
        <f t="shared" si="1"/>
        <v>#NAME?</v>
      </c>
    </row>
    <row r="1239">
      <c r="A1239" s="4" t="s">
        <v>3196</v>
      </c>
      <c r="B1239" s="4" t="s">
        <v>3197</v>
      </c>
      <c r="C1239" s="4">
        <v>1.0</v>
      </c>
      <c r="D1239" s="54" t="s">
        <v>274</v>
      </c>
      <c r="E1239" s="4" t="s">
        <v>1191</v>
      </c>
      <c r="F1239" s="54" t="s">
        <v>534</v>
      </c>
      <c r="G1239" s="54" t="s">
        <v>1192</v>
      </c>
      <c r="H1239" s="54" t="s">
        <v>1193</v>
      </c>
      <c r="I1239" s="54" t="s">
        <v>1122</v>
      </c>
      <c r="J1239" s="54" t="s">
        <v>1194</v>
      </c>
      <c r="X1239" s="55" t="str">
        <f t="shared" si="1"/>
        <v>#NAME?</v>
      </c>
    </row>
    <row r="1240">
      <c r="A1240" s="4" t="s">
        <v>3198</v>
      </c>
      <c r="B1240" s="4" t="s">
        <v>3199</v>
      </c>
      <c r="C1240" s="4">
        <v>1.0</v>
      </c>
      <c r="D1240" s="54" t="s">
        <v>274</v>
      </c>
      <c r="E1240" s="4" t="s">
        <v>1191</v>
      </c>
      <c r="F1240" s="54" t="s">
        <v>534</v>
      </c>
      <c r="G1240" s="54" t="s">
        <v>1196</v>
      </c>
      <c r="H1240" s="54" t="s">
        <v>1197</v>
      </c>
      <c r="I1240" s="54" t="s">
        <v>1138</v>
      </c>
      <c r="J1240" s="54" t="s">
        <v>1198</v>
      </c>
      <c r="X1240" s="55" t="str">
        <f t="shared" si="1"/>
        <v>#NAME?</v>
      </c>
    </row>
    <row r="1241">
      <c r="A1241" s="4" t="s">
        <v>3200</v>
      </c>
      <c r="B1241" s="4" t="s">
        <v>3201</v>
      </c>
      <c r="C1241" s="4">
        <v>1.0</v>
      </c>
      <c r="D1241" s="54" t="s">
        <v>274</v>
      </c>
      <c r="E1241" s="4" t="s">
        <v>1191</v>
      </c>
      <c r="F1241" s="54" t="s">
        <v>534</v>
      </c>
      <c r="G1241" s="54" t="s">
        <v>1200</v>
      </c>
      <c r="H1241" s="54" t="s">
        <v>1160</v>
      </c>
      <c r="I1241" s="54" t="s">
        <v>1201</v>
      </c>
      <c r="J1241" s="54" t="s">
        <v>1200</v>
      </c>
      <c r="X1241" s="55" t="str">
        <f t="shared" si="1"/>
        <v>#NAME?</v>
      </c>
    </row>
    <row r="1242">
      <c r="A1242" s="4" t="s">
        <v>3202</v>
      </c>
      <c r="B1242" s="4" t="s">
        <v>3203</v>
      </c>
      <c r="C1242" s="4">
        <v>1.0</v>
      </c>
      <c r="D1242" s="54" t="s">
        <v>274</v>
      </c>
      <c r="E1242" s="4" t="s">
        <v>1191</v>
      </c>
      <c r="F1242" s="54" t="s">
        <v>534</v>
      </c>
      <c r="G1242" s="54" t="s">
        <v>1203</v>
      </c>
      <c r="H1242" s="54" t="s">
        <v>1204</v>
      </c>
      <c r="I1242" s="54" t="s">
        <v>1205</v>
      </c>
      <c r="J1242" s="54" t="s">
        <v>1198</v>
      </c>
      <c r="X1242" s="55" t="str">
        <f t="shared" si="1"/>
        <v>#NAME?</v>
      </c>
    </row>
    <row r="1243">
      <c r="A1243" s="4" t="s">
        <v>3204</v>
      </c>
      <c r="B1243" s="4" t="s">
        <v>3205</v>
      </c>
      <c r="C1243" s="4">
        <v>1.0</v>
      </c>
      <c r="D1243" s="54" t="s">
        <v>673</v>
      </c>
      <c r="E1243" s="4" t="s">
        <v>1088</v>
      </c>
      <c r="F1243" s="54" t="s">
        <v>534</v>
      </c>
      <c r="G1243" s="54" t="s">
        <v>1161</v>
      </c>
      <c r="H1243" s="54" t="s">
        <v>1207</v>
      </c>
      <c r="I1243" s="54" t="s">
        <v>1185</v>
      </c>
      <c r="J1243" s="54" t="s">
        <v>1208</v>
      </c>
      <c r="X1243" s="55" t="str">
        <f t="shared" si="1"/>
        <v>#NAME?</v>
      </c>
    </row>
    <row r="1244">
      <c r="A1244" s="4" t="s">
        <v>3206</v>
      </c>
      <c r="B1244" s="4" t="s">
        <v>3207</v>
      </c>
      <c r="C1244" s="4">
        <v>1.0</v>
      </c>
      <c r="D1244" s="54" t="s">
        <v>683</v>
      </c>
      <c r="E1244" s="4" t="s">
        <v>1088</v>
      </c>
      <c r="F1244" s="54" t="s">
        <v>534</v>
      </c>
      <c r="G1244" s="54" t="s">
        <v>1207</v>
      </c>
      <c r="H1244" s="54" t="s">
        <v>1154</v>
      </c>
      <c r="I1244" s="54" t="s">
        <v>1110</v>
      </c>
      <c r="J1244" s="54" t="s">
        <v>1210</v>
      </c>
      <c r="X1244" s="55" t="str">
        <f t="shared" si="1"/>
        <v>#NAME?</v>
      </c>
    </row>
    <row r="1245">
      <c r="A1245" s="4" t="s">
        <v>3208</v>
      </c>
      <c r="B1245" s="4" t="s">
        <v>3209</v>
      </c>
      <c r="C1245" s="4">
        <v>1.0</v>
      </c>
      <c r="D1245" s="54" t="s">
        <v>694</v>
      </c>
      <c r="E1245" s="4" t="s">
        <v>1098</v>
      </c>
      <c r="F1245" s="54" t="s">
        <v>534</v>
      </c>
      <c r="G1245" s="54" t="s">
        <v>1175</v>
      </c>
      <c r="H1245" s="54" t="s">
        <v>1130</v>
      </c>
      <c r="I1245" s="54" t="s">
        <v>1212</v>
      </c>
      <c r="J1245" s="54" t="s">
        <v>1213</v>
      </c>
      <c r="X1245" s="55" t="str">
        <f t="shared" si="1"/>
        <v>#NAME?</v>
      </c>
    </row>
    <row r="1246">
      <c r="A1246" s="4" t="s">
        <v>3210</v>
      </c>
      <c r="B1246" s="4" t="s">
        <v>3211</v>
      </c>
      <c r="C1246" s="4">
        <v>1.0</v>
      </c>
      <c r="D1246" s="54" t="s">
        <v>626</v>
      </c>
      <c r="E1246" s="4" t="s">
        <v>1098</v>
      </c>
      <c r="F1246" s="54" t="s">
        <v>534</v>
      </c>
      <c r="G1246" s="54" t="s">
        <v>1179</v>
      </c>
      <c r="H1246" s="54" t="s">
        <v>1180</v>
      </c>
      <c r="I1246" s="54" t="s">
        <v>1158</v>
      </c>
      <c r="J1246" s="54" t="s">
        <v>1181</v>
      </c>
      <c r="X1246" s="55" t="str">
        <f t="shared" si="1"/>
        <v>#NAME?</v>
      </c>
    </row>
    <row r="1247">
      <c r="A1247" s="4" t="s">
        <v>3212</v>
      </c>
      <c r="B1247" s="4" t="s">
        <v>3213</v>
      </c>
      <c r="C1247" s="4">
        <v>1.0</v>
      </c>
      <c r="D1247" s="54" t="s">
        <v>694</v>
      </c>
      <c r="E1247" s="4" t="s">
        <v>1098</v>
      </c>
      <c r="F1247" s="54" t="s">
        <v>534</v>
      </c>
      <c r="G1247" s="54" t="s">
        <v>1111</v>
      </c>
      <c r="H1247" s="54" t="s">
        <v>1215</v>
      </c>
      <c r="I1247" s="54" t="s">
        <v>1185</v>
      </c>
      <c r="J1247" s="54" t="s">
        <v>1216</v>
      </c>
      <c r="X1247" s="55" t="str">
        <f t="shared" si="1"/>
        <v>#NAME?</v>
      </c>
    </row>
    <row r="1248">
      <c r="A1248" s="4" t="s">
        <v>3214</v>
      </c>
      <c r="B1248" s="4" t="s">
        <v>3215</v>
      </c>
      <c r="C1248" s="4">
        <v>1.0</v>
      </c>
      <c r="D1248" s="54" t="s">
        <v>287</v>
      </c>
      <c r="E1248" s="4" t="s">
        <v>1088</v>
      </c>
      <c r="F1248" s="54" t="s">
        <v>534</v>
      </c>
      <c r="G1248" s="54" t="s">
        <v>1221</v>
      </c>
      <c r="H1248" s="54" t="s">
        <v>1222</v>
      </c>
      <c r="I1248" s="54" t="s">
        <v>1222</v>
      </c>
      <c r="J1248" s="54" t="s">
        <v>1223</v>
      </c>
      <c r="X1248" s="55" t="str">
        <f t="shared" si="1"/>
        <v>#NAME?</v>
      </c>
    </row>
    <row r="1249">
      <c r="A1249" s="4" t="s">
        <v>3216</v>
      </c>
      <c r="B1249" s="4" t="s">
        <v>3217</v>
      </c>
      <c r="C1249" s="4">
        <v>1.0</v>
      </c>
      <c r="D1249" s="54" t="s">
        <v>421</v>
      </c>
      <c r="E1249" s="4" t="s">
        <v>1088</v>
      </c>
      <c r="F1249" s="54" t="s">
        <v>534</v>
      </c>
      <c r="G1249" s="54" t="s">
        <v>1225</v>
      </c>
      <c r="H1249" s="54" t="s">
        <v>1226</v>
      </c>
      <c r="I1249" s="54" t="s">
        <v>1227</v>
      </c>
      <c r="J1249" s="54" t="s">
        <v>1228</v>
      </c>
      <c r="X1249" s="55" t="str">
        <f t="shared" si="1"/>
        <v>#NAME?</v>
      </c>
    </row>
    <row r="1250">
      <c r="A1250" s="4" t="s">
        <v>3218</v>
      </c>
      <c r="B1250" s="4" t="s">
        <v>3219</v>
      </c>
      <c r="C1250" s="4">
        <v>1.0</v>
      </c>
      <c r="D1250" s="54" t="s">
        <v>737</v>
      </c>
      <c r="E1250" s="4" t="s">
        <v>1191</v>
      </c>
      <c r="F1250" s="54" t="s">
        <v>534</v>
      </c>
      <c r="G1250" s="54" t="s">
        <v>1111</v>
      </c>
      <c r="H1250" s="54" t="s">
        <v>1216</v>
      </c>
      <c r="I1250" s="54" t="s">
        <v>1093</v>
      </c>
      <c r="J1250" s="54" t="s">
        <v>1102</v>
      </c>
      <c r="X1250" s="55" t="str">
        <f t="shared" si="1"/>
        <v>#NAME?</v>
      </c>
    </row>
    <row r="1251">
      <c r="A1251" s="4" t="s">
        <v>3220</v>
      </c>
      <c r="B1251" s="4" t="s">
        <v>3221</v>
      </c>
      <c r="C1251" s="4">
        <v>1.0</v>
      </c>
      <c r="D1251" s="54" t="s">
        <v>737</v>
      </c>
      <c r="E1251" s="4" t="s">
        <v>1191</v>
      </c>
      <c r="F1251" s="54" t="s">
        <v>534</v>
      </c>
      <c r="G1251" s="54" t="s">
        <v>1111</v>
      </c>
      <c r="H1251" s="54" t="s">
        <v>1231</v>
      </c>
      <c r="I1251" s="54" t="s">
        <v>1232</v>
      </c>
      <c r="J1251" s="54" t="s">
        <v>1233</v>
      </c>
      <c r="X1251" s="55" t="str">
        <f t="shared" si="1"/>
        <v>#NAME?</v>
      </c>
    </row>
    <row r="1252">
      <c r="A1252" s="4" t="s">
        <v>3222</v>
      </c>
      <c r="B1252" s="4" t="s">
        <v>3223</v>
      </c>
      <c r="C1252" s="4">
        <v>1.0</v>
      </c>
      <c r="D1252" s="54" t="s">
        <v>737</v>
      </c>
      <c r="E1252" s="4" t="s">
        <v>1191</v>
      </c>
      <c r="F1252" s="54" t="s">
        <v>534</v>
      </c>
      <c r="G1252" s="54" t="s">
        <v>1235</v>
      </c>
      <c r="H1252" s="54" t="s">
        <v>1236</v>
      </c>
      <c r="I1252" s="54" t="s">
        <v>1215</v>
      </c>
      <c r="J1252" s="54" t="s">
        <v>1179</v>
      </c>
      <c r="X1252" s="55" t="str">
        <f t="shared" si="1"/>
        <v>#NAME?</v>
      </c>
    </row>
    <row r="1253">
      <c r="A1253" s="4" t="s">
        <v>3224</v>
      </c>
      <c r="B1253" s="4" t="s">
        <v>3225</v>
      </c>
      <c r="C1253" s="4">
        <v>1.0</v>
      </c>
      <c r="D1253" s="54" t="s">
        <v>737</v>
      </c>
      <c r="E1253" s="4" t="s">
        <v>1191</v>
      </c>
      <c r="F1253" s="54" t="s">
        <v>534</v>
      </c>
      <c r="G1253" s="54" t="s">
        <v>1238</v>
      </c>
      <c r="H1253" s="54" t="s">
        <v>1233</v>
      </c>
      <c r="I1253" s="54" t="s">
        <v>1238</v>
      </c>
      <c r="J1253" s="54" t="s">
        <v>1233</v>
      </c>
      <c r="X1253" s="55" t="str">
        <f t="shared" si="1"/>
        <v>#NAME?</v>
      </c>
    </row>
    <row r="1254">
      <c r="A1254" s="4" t="s">
        <v>3226</v>
      </c>
      <c r="B1254" s="4" t="s">
        <v>3227</v>
      </c>
      <c r="C1254" s="4">
        <v>1.0</v>
      </c>
      <c r="D1254" s="54" t="s">
        <v>807</v>
      </c>
      <c r="E1254" s="4" t="s">
        <v>1088</v>
      </c>
      <c r="F1254" s="54" t="s">
        <v>534</v>
      </c>
      <c r="G1254" s="54" t="s">
        <v>1240</v>
      </c>
      <c r="H1254" s="54" t="s">
        <v>1100</v>
      </c>
      <c r="I1254" s="54" t="s">
        <v>1241</v>
      </c>
      <c r="J1254" s="54" t="s">
        <v>1242</v>
      </c>
      <c r="X1254" s="55" t="str">
        <f t="shared" si="1"/>
        <v>#NAME?</v>
      </c>
    </row>
    <row r="1255">
      <c r="A1255" s="4" t="s">
        <v>3228</v>
      </c>
      <c r="B1255" s="4" t="s">
        <v>3229</v>
      </c>
      <c r="C1255" s="4">
        <v>1.0</v>
      </c>
      <c r="D1255" s="54" t="s">
        <v>963</v>
      </c>
      <c r="E1255" s="4" t="s">
        <v>1088</v>
      </c>
      <c r="F1255" s="54" t="s">
        <v>534</v>
      </c>
      <c r="G1255" s="54" t="s">
        <v>1244</v>
      </c>
      <c r="H1255" s="54" t="s">
        <v>1215</v>
      </c>
      <c r="I1255" s="54" t="s">
        <v>1244</v>
      </c>
      <c r="J1255" s="54" t="s">
        <v>1245</v>
      </c>
      <c r="X1255" s="55" t="str">
        <f t="shared" si="1"/>
        <v>#NAME?</v>
      </c>
    </row>
    <row r="1256">
      <c r="A1256" s="4" t="s">
        <v>3230</v>
      </c>
      <c r="B1256" s="4" t="s">
        <v>3231</v>
      </c>
      <c r="C1256" s="4">
        <v>1.0</v>
      </c>
      <c r="D1256" s="54" t="s">
        <v>963</v>
      </c>
      <c r="E1256" s="4" t="s">
        <v>1088</v>
      </c>
      <c r="F1256" s="54" t="s">
        <v>534</v>
      </c>
      <c r="G1256" s="54" t="s">
        <v>1247</v>
      </c>
      <c r="H1256" s="54" t="s">
        <v>1181</v>
      </c>
      <c r="I1256" s="54" t="s">
        <v>1248</v>
      </c>
      <c r="J1256" s="54" t="s">
        <v>1238</v>
      </c>
      <c r="X1256" s="55" t="str">
        <f t="shared" si="1"/>
        <v>#NAME?</v>
      </c>
    </row>
    <row r="1257">
      <c r="A1257" s="4" t="s">
        <v>3232</v>
      </c>
      <c r="B1257" s="4" t="s">
        <v>3233</v>
      </c>
      <c r="C1257" s="4">
        <v>1.0</v>
      </c>
      <c r="D1257" s="54" t="s">
        <v>694</v>
      </c>
      <c r="E1257" s="4" t="s">
        <v>1098</v>
      </c>
      <c r="F1257" s="54" t="s">
        <v>534</v>
      </c>
      <c r="G1257" s="54" t="s">
        <v>1218</v>
      </c>
      <c r="H1257" s="54" t="s">
        <v>1184</v>
      </c>
      <c r="I1257" s="54" t="s">
        <v>1110</v>
      </c>
      <c r="J1257" s="54" t="s">
        <v>1219</v>
      </c>
      <c r="X1257" s="55" t="str">
        <f t="shared" si="1"/>
        <v>#NAME?</v>
      </c>
    </row>
    <row r="1258">
      <c r="A1258" s="4" t="s">
        <v>3234</v>
      </c>
      <c r="B1258" s="4" t="s">
        <v>3235</v>
      </c>
      <c r="C1258" s="4">
        <v>1.0</v>
      </c>
      <c r="D1258" s="54" t="s">
        <v>971</v>
      </c>
      <c r="E1258" s="4" t="s">
        <v>1088</v>
      </c>
      <c r="F1258" s="54" t="s">
        <v>534</v>
      </c>
      <c r="G1258" s="54" t="s">
        <v>1219</v>
      </c>
      <c r="H1258" s="54" t="s">
        <v>1216</v>
      </c>
      <c r="I1258" s="54" t="s">
        <v>1109</v>
      </c>
      <c r="J1258" s="54" t="s">
        <v>1159</v>
      </c>
      <c r="X1258" s="55" t="str">
        <f t="shared" si="1"/>
        <v>#NAME?</v>
      </c>
    </row>
    <row r="1259">
      <c r="A1259" s="4" t="s">
        <v>3236</v>
      </c>
      <c r="B1259" s="4" t="s">
        <v>3237</v>
      </c>
      <c r="C1259" s="4">
        <v>1.0</v>
      </c>
      <c r="D1259" s="54" t="s">
        <v>626</v>
      </c>
      <c r="E1259" s="4" t="s">
        <v>1098</v>
      </c>
      <c r="F1259" s="54" t="s">
        <v>534</v>
      </c>
      <c r="G1259" s="54" t="s">
        <v>1175</v>
      </c>
      <c r="H1259" s="54" t="s">
        <v>1176</v>
      </c>
      <c r="I1259" s="54" t="s">
        <v>1177</v>
      </c>
      <c r="J1259" s="54" t="s">
        <v>1109</v>
      </c>
      <c r="X1259" s="55" t="str">
        <f t="shared" si="1"/>
        <v>#NAME?</v>
      </c>
    </row>
    <row r="1260">
      <c r="A1260" s="4" t="s">
        <v>3238</v>
      </c>
      <c r="B1260" s="4" t="s">
        <v>3239</v>
      </c>
      <c r="C1260" s="4">
        <v>1.0</v>
      </c>
      <c r="D1260" s="54" t="s">
        <v>611</v>
      </c>
      <c r="E1260" s="4" t="s">
        <v>1088</v>
      </c>
      <c r="F1260" s="54" t="s">
        <v>534</v>
      </c>
      <c r="G1260" s="54" t="s">
        <v>1165</v>
      </c>
      <c r="H1260" s="54" t="s">
        <v>1166</v>
      </c>
      <c r="I1260" s="54" t="s">
        <v>1167</v>
      </c>
      <c r="J1260" s="54" t="s">
        <v>1168</v>
      </c>
      <c r="X1260" s="55" t="str">
        <f t="shared" si="1"/>
        <v>#NAME?</v>
      </c>
    </row>
    <row r="1261">
      <c r="A1261" s="4" t="s">
        <v>3240</v>
      </c>
      <c r="B1261" s="4" t="s">
        <v>3241</v>
      </c>
      <c r="C1261" s="4">
        <v>1.0</v>
      </c>
      <c r="D1261" s="54" t="s">
        <v>292</v>
      </c>
      <c r="E1261" s="4" t="s">
        <v>1088</v>
      </c>
      <c r="F1261" s="54" t="s">
        <v>534</v>
      </c>
      <c r="G1261" s="54" t="s">
        <v>1276</v>
      </c>
      <c r="H1261" s="54" t="s">
        <v>1138</v>
      </c>
      <c r="I1261" s="54" t="s">
        <v>1089</v>
      </c>
      <c r="J1261" s="54" t="s">
        <v>1090</v>
      </c>
      <c r="X1261" s="55" t="str">
        <f t="shared" si="1"/>
        <v>#NAME?</v>
      </c>
    </row>
    <row r="1262">
      <c r="A1262" s="4" t="s">
        <v>3242</v>
      </c>
      <c r="B1262" s="4" t="s">
        <v>3243</v>
      </c>
      <c r="C1262" s="4">
        <v>1.0</v>
      </c>
      <c r="D1262" s="54" t="s">
        <v>1092</v>
      </c>
      <c r="E1262" s="4" t="s">
        <v>1088</v>
      </c>
      <c r="F1262" s="54" t="s">
        <v>449</v>
      </c>
      <c r="G1262" s="54" t="s">
        <v>1102</v>
      </c>
      <c r="H1262" s="54" t="s">
        <v>1111</v>
      </c>
      <c r="I1262" s="54" t="s">
        <v>1529</v>
      </c>
      <c r="J1262" s="54" t="s">
        <v>1093</v>
      </c>
      <c r="X1262" s="55" t="str">
        <f t="shared" si="1"/>
        <v>#NAME?</v>
      </c>
    </row>
    <row r="1263">
      <c r="A1263" s="4" t="s">
        <v>3244</v>
      </c>
      <c r="B1263" s="4" t="s">
        <v>3245</v>
      </c>
      <c r="C1263" s="4">
        <v>1.0</v>
      </c>
      <c r="D1263" s="54" t="s">
        <v>1095</v>
      </c>
      <c r="E1263" s="4" t="s">
        <v>1088</v>
      </c>
      <c r="F1263" s="54" t="s">
        <v>534</v>
      </c>
      <c r="G1263" s="54" t="s">
        <v>1104</v>
      </c>
      <c r="H1263" s="54" t="s">
        <v>1104</v>
      </c>
      <c r="I1263" s="54" t="s">
        <v>1104</v>
      </c>
      <c r="J1263" s="54" t="s">
        <v>1104</v>
      </c>
      <c r="X1263" s="55" t="str">
        <f t="shared" si="1"/>
        <v>#NAME?</v>
      </c>
    </row>
    <row r="1264">
      <c r="A1264" s="4" t="s">
        <v>3246</v>
      </c>
      <c r="B1264" s="4" t="s">
        <v>3247</v>
      </c>
      <c r="C1264" s="4">
        <v>1.0</v>
      </c>
      <c r="D1264" s="54" t="s">
        <v>1097</v>
      </c>
      <c r="E1264" s="4" t="s">
        <v>1098</v>
      </c>
      <c r="F1264" s="54" t="s">
        <v>449</v>
      </c>
      <c r="G1264" s="54" t="s">
        <v>1099</v>
      </c>
      <c r="H1264" s="54" t="s">
        <v>1100</v>
      </c>
      <c r="I1264" s="54" t="s">
        <v>1101</v>
      </c>
      <c r="J1264" s="54" t="s">
        <v>1102</v>
      </c>
      <c r="X1264" s="55" t="str">
        <f t="shared" si="1"/>
        <v>#NAME?</v>
      </c>
    </row>
    <row r="1265">
      <c r="A1265" s="4" t="s">
        <v>3248</v>
      </c>
      <c r="B1265" s="4" t="s">
        <v>3249</v>
      </c>
      <c r="C1265" s="4">
        <v>1.0</v>
      </c>
      <c r="D1265" s="54" t="s">
        <v>1097</v>
      </c>
      <c r="E1265" s="4" t="s">
        <v>1098</v>
      </c>
      <c r="F1265" s="54" t="s">
        <v>449</v>
      </c>
      <c r="G1265" s="54" t="s">
        <v>1104</v>
      </c>
      <c r="H1265" s="54" t="s">
        <v>1105</v>
      </c>
      <c r="I1265" s="54" t="s">
        <v>1099</v>
      </c>
      <c r="J1265" s="54" t="s">
        <v>1106</v>
      </c>
      <c r="X1265" s="55" t="str">
        <f t="shared" si="1"/>
        <v>#NAME?</v>
      </c>
    </row>
    <row r="1266">
      <c r="A1266" s="4" t="s">
        <v>3250</v>
      </c>
      <c r="B1266" s="4" t="s">
        <v>3251</v>
      </c>
      <c r="C1266" s="4">
        <v>1.0</v>
      </c>
      <c r="D1266" s="54" t="s">
        <v>1097</v>
      </c>
      <c r="E1266" s="4" t="s">
        <v>1098</v>
      </c>
      <c r="F1266" s="54" t="s">
        <v>449</v>
      </c>
      <c r="G1266" s="54" t="s">
        <v>1108</v>
      </c>
      <c r="H1266" s="54" t="s">
        <v>1109</v>
      </c>
      <c r="I1266" s="54" t="s">
        <v>1110</v>
      </c>
      <c r="J1266" s="54" t="s">
        <v>1111</v>
      </c>
      <c r="X1266" s="55" t="str">
        <f t="shared" si="1"/>
        <v>#NAME?</v>
      </c>
    </row>
    <row r="1267">
      <c r="A1267" s="4" t="s">
        <v>3252</v>
      </c>
      <c r="B1267" s="4" t="s">
        <v>3253</v>
      </c>
      <c r="C1267" s="4">
        <v>1.0</v>
      </c>
      <c r="D1267" s="54" t="s">
        <v>1113</v>
      </c>
      <c r="E1267" s="4" t="s">
        <v>1088</v>
      </c>
      <c r="F1267" s="54" t="s">
        <v>449</v>
      </c>
      <c r="G1267" s="54" t="s">
        <v>1109</v>
      </c>
      <c r="H1267" s="54" t="s">
        <v>1111</v>
      </c>
      <c r="I1267" s="54" t="s">
        <v>1093</v>
      </c>
      <c r="J1267" s="54" t="s">
        <v>1111</v>
      </c>
      <c r="X1267" s="55" t="str">
        <f t="shared" si="1"/>
        <v>#NAME?</v>
      </c>
    </row>
    <row r="1268">
      <c r="A1268" s="4" t="s">
        <v>3254</v>
      </c>
      <c r="B1268" s="4" t="s">
        <v>3255</v>
      </c>
      <c r="C1268" s="4">
        <v>1.0</v>
      </c>
      <c r="D1268" s="54" t="s">
        <v>399</v>
      </c>
      <c r="E1268" s="4" t="s">
        <v>1088</v>
      </c>
      <c r="F1268" s="54" t="s">
        <v>534</v>
      </c>
      <c r="G1268" s="54" t="s">
        <v>1115</v>
      </c>
      <c r="H1268" s="54" t="s">
        <v>1116</v>
      </c>
      <c r="I1268" s="54" t="s">
        <v>1117</v>
      </c>
      <c r="J1268" s="54" t="s">
        <v>1118</v>
      </c>
      <c r="X1268" s="55" t="str">
        <f t="shared" si="1"/>
        <v>#NAME?</v>
      </c>
    </row>
    <row r="1269">
      <c r="A1269" s="4" t="s">
        <v>3256</v>
      </c>
      <c r="B1269" s="4" t="s">
        <v>3257</v>
      </c>
      <c r="C1269" s="4">
        <v>1.0</v>
      </c>
      <c r="D1269" s="54" t="s">
        <v>399</v>
      </c>
      <c r="E1269" s="4" t="s">
        <v>1088</v>
      </c>
      <c r="F1269" s="54" t="s">
        <v>534</v>
      </c>
      <c r="G1269" s="54" t="s">
        <v>1120</v>
      </c>
      <c r="H1269" s="54" t="s">
        <v>1121</v>
      </c>
      <c r="I1269" s="54" t="s">
        <v>1122</v>
      </c>
      <c r="J1269" s="54" t="s">
        <v>1123</v>
      </c>
      <c r="X1269" s="55" t="str">
        <f t="shared" si="1"/>
        <v>#NAME?</v>
      </c>
    </row>
    <row r="1270">
      <c r="A1270" s="4" t="s">
        <v>3258</v>
      </c>
      <c r="B1270" s="4" t="s">
        <v>3259</v>
      </c>
      <c r="C1270" s="4">
        <v>1.0</v>
      </c>
      <c r="D1270" s="54" t="s">
        <v>626</v>
      </c>
      <c r="E1270" s="4" t="s">
        <v>1098</v>
      </c>
      <c r="F1270" s="54" t="s">
        <v>534</v>
      </c>
      <c r="G1270" s="54" t="s">
        <v>1170</v>
      </c>
      <c r="H1270" s="54" t="s">
        <v>1171</v>
      </c>
      <c r="I1270" s="54" t="s">
        <v>1172</v>
      </c>
      <c r="J1270" s="54" t="s">
        <v>1173</v>
      </c>
      <c r="X1270" s="55" t="str">
        <f t="shared" si="1"/>
        <v>#NAME?</v>
      </c>
    </row>
    <row r="1271">
      <c r="A1271" s="4" t="s">
        <v>3260</v>
      </c>
      <c r="B1271" s="4" t="s">
        <v>3261</v>
      </c>
      <c r="C1271" s="4">
        <v>1.0</v>
      </c>
      <c r="D1271" s="54" t="s">
        <v>405</v>
      </c>
      <c r="E1271" s="4" t="s">
        <v>1088</v>
      </c>
      <c r="F1271" s="54" t="s">
        <v>534</v>
      </c>
      <c r="G1271" s="54" t="s">
        <v>1125</v>
      </c>
      <c r="H1271" s="54" t="s">
        <v>1126</v>
      </c>
      <c r="I1271" s="54" t="s">
        <v>1127</v>
      </c>
      <c r="J1271" s="54" t="s">
        <v>1125</v>
      </c>
      <c r="X1271" s="55" t="str">
        <f t="shared" si="1"/>
        <v>#NAME?</v>
      </c>
    </row>
    <row r="1272">
      <c r="A1272" s="4" t="s">
        <v>3262</v>
      </c>
      <c r="B1272" s="4" t="s">
        <v>3263</v>
      </c>
      <c r="C1272" s="4">
        <v>1.0</v>
      </c>
      <c r="D1272" s="54" t="s">
        <v>443</v>
      </c>
      <c r="E1272" s="4" t="s">
        <v>1088</v>
      </c>
      <c r="F1272" s="54" t="s">
        <v>534</v>
      </c>
      <c r="G1272" s="54" t="s">
        <v>1134</v>
      </c>
      <c r="H1272" s="54" t="s">
        <v>1135</v>
      </c>
      <c r="I1272" s="54" t="s">
        <v>1118</v>
      </c>
      <c r="J1272" s="54" t="s">
        <v>1123</v>
      </c>
      <c r="X1272" s="55" t="str">
        <f t="shared" si="1"/>
        <v>#NAME?</v>
      </c>
    </row>
    <row r="1273">
      <c r="A1273" s="4" t="s">
        <v>3264</v>
      </c>
      <c r="B1273" s="4" t="s">
        <v>3265</v>
      </c>
      <c r="C1273" s="4">
        <v>1.0</v>
      </c>
      <c r="D1273" s="54" t="s">
        <v>357</v>
      </c>
      <c r="E1273" s="4" t="s">
        <v>1088</v>
      </c>
      <c r="F1273" s="54" t="s">
        <v>534</v>
      </c>
      <c r="G1273" s="54" t="s">
        <v>1137</v>
      </c>
      <c r="H1273" s="54" t="s">
        <v>1138</v>
      </c>
      <c r="I1273" s="54" t="s">
        <v>1139</v>
      </c>
      <c r="J1273" s="54" t="s">
        <v>1140</v>
      </c>
      <c r="X1273" s="55" t="str">
        <f t="shared" si="1"/>
        <v>#NAME?</v>
      </c>
    </row>
    <row r="1274">
      <c r="A1274" s="4" t="s">
        <v>3266</v>
      </c>
      <c r="B1274" s="4" t="s">
        <v>3267</v>
      </c>
      <c r="C1274" s="4">
        <v>1.0</v>
      </c>
      <c r="D1274" s="54" t="s">
        <v>529</v>
      </c>
      <c r="E1274" s="4" t="s">
        <v>1088</v>
      </c>
      <c r="F1274" s="54" t="s">
        <v>534</v>
      </c>
      <c r="G1274" s="54" t="s">
        <v>1142</v>
      </c>
      <c r="H1274" s="54" t="s">
        <v>1143</v>
      </c>
      <c r="I1274" s="54" t="s">
        <v>1140</v>
      </c>
      <c r="J1274" s="54" t="s">
        <v>1144</v>
      </c>
      <c r="X1274" s="55" t="str">
        <f t="shared" si="1"/>
        <v>#NAME?</v>
      </c>
    </row>
    <row r="1275">
      <c r="A1275" s="4" t="s">
        <v>3268</v>
      </c>
      <c r="B1275" s="4" t="s">
        <v>3269</v>
      </c>
      <c r="C1275" s="4">
        <v>1.0</v>
      </c>
      <c r="D1275" s="54" t="s">
        <v>534</v>
      </c>
      <c r="E1275" s="4" t="s">
        <v>1088</v>
      </c>
      <c r="F1275" s="54" t="s">
        <v>534</v>
      </c>
      <c r="G1275" s="54" t="s">
        <v>1117</v>
      </c>
      <c r="H1275" s="54" t="s">
        <v>1139</v>
      </c>
      <c r="I1275" s="54" t="s">
        <v>1135</v>
      </c>
      <c r="J1275" s="54" t="s">
        <v>1139</v>
      </c>
      <c r="X1275" s="55" t="str">
        <f t="shared" si="1"/>
        <v>#NAME?</v>
      </c>
    </row>
    <row r="1276">
      <c r="A1276" s="4" t="s">
        <v>3270</v>
      </c>
      <c r="B1276" s="4" t="s">
        <v>3271</v>
      </c>
      <c r="C1276" s="4">
        <v>1.0</v>
      </c>
      <c r="D1276" s="54" t="s">
        <v>540</v>
      </c>
      <c r="E1276" s="4" t="s">
        <v>1088</v>
      </c>
      <c r="F1276" s="54" t="s">
        <v>534</v>
      </c>
      <c r="G1276" s="54" t="s">
        <v>1135</v>
      </c>
      <c r="H1276" s="54" t="s">
        <v>1147</v>
      </c>
      <c r="I1276" s="54" t="s">
        <v>1135</v>
      </c>
      <c r="J1276" s="54" t="s">
        <v>1148</v>
      </c>
      <c r="X1276" s="55" t="str">
        <f t="shared" si="1"/>
        <v>#NAME?</v>
      </c>
    </row>
    <row r="1277">
      <c r="A1277" s="4" t="s">
        <v>3272</v>
      </c>
      <c r="B1277" s="4" t="s">
        <v>3273</v>
      </c>
      <c r="C1277" s="4">
        <v>1.0</v>
      </c>
      <c r="D1277" s="54" t="s">
        <v>546</v>
      </c>
      <c r="E1277" s="4" t="s">
        <v>1088</v>
      </c>
      <c r="F1277" s="54" t="s">
        <v>534</v>
      </c>
      <c r="G1277" s="54" t="s">
        <v>1150</v>
      </c>
      <c r="H1277" s="54" t="s">
        <v>1151</v>
      </c>
      <c r="I1277" s="54" t="s">
        <v>1152</v>
      </c>
      <c r="J1277" s="54" t="s">
        <v>1123</v>
      </c>
      <c r="X1277" s="55" t="str">
        <f t="shared" si="1"/>
        <v>#NAME?</v>
      </c>
    </row>
    <row r="1278">
      <c r="A1278" s="4" t="s">
        <v>3274</v>
      </c>
      <c r="B1278" s="4" t="s">
        <v>3275</v>
      </c>
      <c r="C1278" s="4">
        <v>1.0</v>
      </c>
      <c r="D1278" s="54" t="s">
        <v>546</v>
      </c>
      <c r="E1278" s="4" t="s">
        <v>1088</v>
      </c>
      <c r="F1278" s="54" t="s">
        <v>534</v>
      </c>
      <c r="G1278" s="54" t="s">
        <v>1154</v>
      </c>
      <c r="H1278" s="54" t="s">
        <v>1155</v>
      </c>
      <c r="I1278" s="54" t="s">
        <v>1156</v>
      </c>
      <c r="J1278" s="54" t="s">
        <v>1110</v>
      </c>
      <c r="X1278" s="55" t="str">
        <f t="shared" si="1"/>
        <v>#NAME?</v>
      </c>
    </row>
    <row r="1279">
      <c r="A1279" s="4" t="s">
        <v>3276</v>
      </c>
      <c r="B1279" s="4" t="s">
        <v>3277</v>
      </c>
      <c r="C1279" s="4">
        <v>1.0</v>
      </c>
      <c r="D1279" s="54" t="s">
        <v>573</v>
      </c>
      <c r="E1279" s="4" t="s">
        <v>1088</v>
      </c>
      <c r="F1279" s="54" t="s">
        <v>534</v>
      </c>
      <c r="G1279" s="54" t="s">
        <v>1158</v>
      </c>
      <c r="H1279" s="54" t="s">
        <v>1159</v>
      </c>
      <c r="I1279" s="54" t="s">
        <v>1160</v>
      </c>
      <c r="J1279" s="54" t="s">
        <v>1161</v>
      </c>
      <c r="X1279" s="55" t="str">
        <f t="shared" si="1"/>
        <v>#NAME?</v>
      </c>
    </row>
    <row r="1280">
      <c r="A1280" s="4" t="s">
        <v>3278</v>
      </c>
      <c r="B1280" s="4" t="s">
        <v>3279</v>
      </c>
      <c r="C1280" s="4">
        <v>1.0</v>
      </c>
      <c r="D1280" s="54" t="s">
        <v>573</v>
      </c>
      <c r="E1280" s="4" t="s">
        <v>1088</v>
      </c>
      <c r="F1280" s="54" t="s">
        <v>534</v>
      </c>
      <c r="G1280" s="54" t="s">
        <v>1090</v>
      </c>
      <c r="H1280" s="54" t="s">
        <v>1163</v>
      </c>
      <c r="I1280" s="54" t="s">
        <v>1150</v>
      </c>
      <c r="J1280" s="54" t="s">
        <v>1118</v>
      </c>
      <c r="X1280" s="55" t="str">
        <f t="shared" si="1"/>
        <v>#NAME?</v>
      </c>
    </row>
    <row r="1281">
      <c r="A1281" s="4" t="s">
        <v>3280</v>
      </c>
      <c r="B1281" s="4" t="s">
        <v>3281</v>
      </c>
      <c r="C1281" s="4">
        <v>1.0</v>
      </c>
      <c r="D1281" s="54" t="s">
        <v>449</v>
      </c>
      <c r="E1281" s="4" t="s">
        <v>1088</v>
      </c>
      <c r="F1281" s="54" t="s">
        <v>534</v>
      </c>
      <c r="G1281" s="54" t="s">
        <v>1129</v>
      </c>
      <c r="H1281" s="54" t="s">
        <v>1130</v>
      </c>
      <c r="I1281" s="54" t="s">
        <v>1131</v>
      </c>
      <c r="J1281" s="54" t="s">
        <v>1132</v>
      </c>
      <c r="X1281" s="55" t="str">
        <f t="shared" si="1"/>
        <v>#NAME?</v>
      </c>
    </row>
    <row r="1282">
      <c r="A1282" s="54" t="s">
        <v>3282</v>
      </c>
      <c r="B1282" s="4" t="s">
        <v>3283</v>
      </c>
      <c r="C1282" s="4">
        <v>1.0</v>
      </c>
      <c r="D1282" s="54" t="s">
        <v>1667</v>
      </c>
      <c r="E1282" s="4" t="s">
        <v>1251</v>
      </c>
      <c r="F1282" s="54" t="s">
        <v>449</v>
      </c>
      <c r="G1282" s="54" t="s">
        <v>1110</v>
      </c>
      <c r="H1282" s="54" t="s">
        <v>1175</v>
      </c>
      <c r="I1282" s="54" t="s">
        <v>1668</v>
      </c>
      <c r="J1282" s="54" t="s">
        <v>1669</v>
      </c>
      <c r="X1282" s="55" t="str">
        <f t="shared" si="1"/>
        <v>#NAME?</v>
      </c>
    </row>
    <row r="1283">
      <c r="A1283" s="4" t="s">
        <v>3284</v>
      </c>
      <c r="B1283" s="4" t="s">
        <v>3285</v>
      </c>
      <c r="C1283" s="4">
        <v>1.0</v>
      </c>
      <c r="D1283" s="54" t="s">
        <v>809</v>
      </c>
      <c r="E1283" s="4" t="s">
        <v>1251</v>
      </c>
      <c r="F1283" s="54" t="s">
        <v>534</v>
      </c>
      <c r="G1283" s="54" t="s">
        <v>1252</v>
      </c>
      <c r="H1283" s="54" t="s">
        <v>1253</v>
      </c>
      <c r="I1283" s="54" t="s">
        <v>1173</v>
      </c>
      <c r="J1283" s="54" t="s">
        <v>1254</v>
      </c>
      <c r="X1283" s="55" t="str">
        <f t="shared" si="1"/>
        <v>#NAME?</v>
      </c>
    </row>
    <row r="1284">
      <c r="A1284" s="4" t="s">
        <v>3286</v>
      </c>
      <c r="B1284" s="4" t="s">
        <v>3287</v>
      </c>
      <c r="C1284" s="4">
        <v>1.0</v>
      </c>
      <c r="D1284" s="4" t="s">
        <v>1261</v>
      </c>
      <c r="E1284" s="4" t="s">
        <v>1251</v>
      </c>
      <c r="F1284" s="54" t="s">
        <v>534</v>
      </c>
      <c r="G1284" s="54" t="s">
        <v>1262</v>
      </c>
      <c r="H1284" s="54" t="s">
        <v>1263</v>
      </c>
      <c r="I1284" s="54" t="s">
        <v>1264</v>
      </c>
      <c r="J1284" s="54" t="s">
        <v>1265</v>
      </c>
      <c r="X1284" s="55" t="str">
        <f t="shared" si="1"/>
        <v>#NAME?</v>
      </c>
    </row>
    <row r="1285">
      <c r="A1285" s="4" t="s">
        <v>3288</v>
      </c>
      <c r="B1285" s="4" t="s">
        <v>3289</v>
      </c>
      <c r="C1285" s="4">
        <v>1.0</v>
      </c>
      <c r="D1285" s="4" t="s">
        <v>1363</v>
      </c>
      <c r="E1285" s="4" t="s">
        <v>1251</v>
      </c>
      <c r="F1285" s="54" t="s">
        <v>534</v>
      </c>
      <c r="G1285" s="54" t="s">
        <v>1364</v>
      </c>
      <c r="H1285" s="54" t="s">
        <v>1264</v>
      </c>
      <c r="I1285" s="54" t="s">
        <v>1365</v>
      </c>
      <c r="J1285" s="54" t="s">
        <v>1366</v>
      </c>
      <c r="X1285" s="55" t="str">
        <f t="shared" si="1"/>
        <v>#NAME?</v>
      </c>
    </row>
    <row r="1286">
      <c r="A1286" s="4" t="s">
        <v>3290</v>
      </c>
      <c r="B1286" s="4" t="s">
        <v>3291</v>
      </c>
      <c r="C1286" s="4">
        <v>1.0</v>
      </c>
      <c r="D1286" s="4" t="s">
        <v>1368</v>
      </c>
      <c r="E1286" s="4" t="s">
        <v>1088</v>
      </c>
      <c r="F1286" s="54" t="s">
        <v>357</v>
      </c>
      <c r="G1286" s="54" t="s">
        <v>1292</v>
      </c>
      <c r="H1286" s="54" t="s">
        <v>1337</v>
      </c>
      <c r="I1286" s="54" t="s">
        <v>1288</v>
      </c>
      <c r="J1286" s="54" t="s">
        <v>1292</v>
      </c>
      <c r="X1286" s="55" t="str">
        <f t="shared" si="1"/>
        <v>#NAME?</v>
      </c>
    </row>
    <row r="1287">
      <c r="A1287" s="4" t="s">
        <v>3292</v>
      </c>
      <c r="B1287" s="4" t="s">
        <v>3293</v>
      </c>
      <c r="C1287" s="4">
        <v>1.0</v>
      </c>
      <c r="D1287" s="4" t="s">
        <v>1370</v>
      </c>
      <c r="E1287" s="4" t="s">
        <v>1088</v>
      </c>
      <c r="F1287" s="54" t="s">
        <v>357</v>
      </c>
      <c r="G1287" s="54" t="s">
        <v>1287</v>
      </c>
      <c r="H1287" s="54" t="s">
        <v>1293</v>
      </c>
      <c r="I1287" s="54" t="s">
        <v>1292</v>
      </c>
      <c r="J1287" s="54" t="s">
        <v>1288</v>
      </c>
      <c r="X1287" s="55" t="str">
        <f t="shared" si="1"/>
        <v>#NAME?</v>
      </c>
    </row>
    <row r="1288">
      <c r="A1288" s="4" t="s">
        <v>3294</v>
      </c>
      <c r="B1288" s="4" t="s">
        <v>3295</v>
      </c>
      <c r="C1288" s="4">
        <v>1.0</v>
      </c>
      <c r="D1288" s="4" t="s">
        <v>1372</v>
      </c>
      <c r="E1288" s="4" t="s">
        <v>1251</v>
      </c>
      <c r="F1288" s="54" t="s">
        <v>357</v>
      </c>
      <c r="G1288" s="54" t="s">
        <v>1194</v>
      </c>
      <c r="H1288" s="54" t="s">
        <v>1192</v>
      </c>
      <c r="I1288" s="54" t="s">
        <v>1349</v>
      </c>
      <c r="J1288" s="54" t="s">
        <v>1373</v>
      </c>
      <c r="X1288" s="55" t="str">
        <f t="shared" si="1"/>
        <v>#NAME?</v>
      </c>
    </row>
    <row r="1289">
      <c r="A1289" s="4" t="s">
        <v>3296</v>
      </c>
      <c r="B1289" s="4" t="s">
        <v>3297</v>
      </c>
      <c r="C1289" s="4">
        <v>1.0</v>
      </c>
      <c r="D1289" s="4" t="s">
        <v>1375</v>
      </c>
      <c r="E1289" s="4" t="s">
        <v>1251</v>
      </c>
      <c r="F1289" s="54" t="s">
        <v>534</v>
      </c>
      <c r="G1289" s="54" t="s">
        <v>1376</v>
      </c>
      <c r="H1289" s="54" t="s">
        <v>1377</v>
      </c>
      <c r="I1289" s="54" t="s">
        <v>1378</v>
      </c>
      <c r="J1289" s="54" t="s">
        <v>1379</v>
      </c>
      <c r="X1289" s="55" t="str">
        <f t="shared" si="1"/>
        <v>#NAME?</v>
      </c>
    </row>
    <row r="1290">
      <c r="A1290" s="4" t="s">
        <v>3298</v>
      </c>
      <c r="B1290" s="4" t="s">
        <v>3299</v>
      </c>
      <c r="C1290" s="4">
        <v>1.0</v>
      </c>
      <c r="D1290" s="4" t="s">
        <v>1381</v>
      </c>
      <c r="E1290" s="4" t="s">
        <v>1098</v>
      </c>
      <c r="F1290" s="54" t="s">
        <v>534</v>
      </c>
      <c r="G1290" s="54" t="s">
        <v>1382</v>
      </c>
      <c r="H1290" s="54" t="s">
        <v>1274</v>
      </c>
      <c r="I1290" s="54" t="s">
        <v>1147</v>
      </c>
      <c r="J1290" s="54" t="s">
        <v>1383</v>
      </c>
      <c r="X1290" s="55" t="str">
        <f t="shared" si="1"/>
        <v>#NAME?</v>
      </c>
    </row>
    <row r="1291">
      <c r="A1291" s="4" t="s">
        <v>3300</v>
      </c>
      <c r="B1291" s="4" t="s">
        <v>3301</v>
      </c>
      <c r="C1291" s="4">
        <v>1.0</v>
      </c>
      <c r="D1291" s="4" t="s">
        <v>1385</v>
      </c>
      <c r="E1291" s="4" t="s">
        <v>1098</v>
      </c>
      <c r="F1291" s="54" t="s">
        <v>534</v>
      </c>
      <c r="G1291" s="54" t="s">
        <v>1121</v>
      </c>
      <c r="H1291" s="54" t="s">
        <v>1274</v>
      </c>
      <c r="I1291" s="54" t="s">
        <v>1122</v>
      </c>
      <c r="J1291" s="54" t="s">
        <v>1360</v>
      </c>
      <c r="X1291" s="55" t="str">
        <f t="shared" si="1"/>
        <v>#NAME?</v>
      </c>
    </row>
    <row r="1292">
      <c r="A1292" s="4" t="s">
        <v>3302</v>
      </c>
      <c r="B1292" s="4" t="s">
        <v>3303</v>
      </c>
      <c r="C1292" s="4">
        <v>1.0</v>
      </c>
      <c r="D1292" s="4" t="s">
        <v>1387</v>
      </c>
      <c r="E1292" s="4" t="s">
        <v>1098</v>
      </c>
      <c r="F1292" s="54" t="s">
        <v>534</v>
      </c>
      <c r="G1292" s="54" t="s">
        <v>1148</v>
      </c>
      <c r="H1292" s="54" t="s">
        <v>1309</v>
      </c>
      <c r="I1292" s="54" t="s">
        <v>1139</v>
      </c>
      <c r="J1292" s="54" t="s">
        <v>1308</v>
      </c>
      <c r="X1292" s="55" t="str">
        <f t="shared" si="1"/>
        <v>#NAME?</v>
      </c>
    </row>
    <row r="1293">
      <c r="A1293" s="4" t="s">
        <v>3304</v>
      </c>
      <c r="B1293" s="4" t="s">
        <v>3305</v>
      </c>
      <c r="C1293" s="4">
        <v>1.0</v>
      </c>
      <c r="D1293" s="4" t="s">
        <v>1389</v>
      </c>
      <c r="E1293" s="4" t="s">
        <v>1088</v>
      </c>
      <c r="F1293" s="54" t="s">
        <v>534</v>
      </c>
      <c r="G1293" s="54" t="s">
        <v>1122</v>
      </c>
      <c r="H1293" s="54" t="s">
        <v>1390</v>
      </c>
      <c r="I1293" s="54" t="s">
        <v>1391</v>
      </c>
      <c r="J1293" s="54" t="s">
        <v>1340</v>
      </c>
      <c r="X1293" s="55" t="str">
        <f t="shared" si="1"/>
        <v>#NAME?</v>
      </c>
    </row>
    <row r="1294">
      <c r="A1294" s="4" t="s">
        <v>3306</v>
      </c>
      <c r="B1294" s="4" t="s">
        <v>3307</v>
      </c>
      <c r="C1294" s="4">
        <v>1.0</v>
      </c>
      <c r="D1294" s="4" t="s">
        <v>1358</v>
      </c>
      <c r="E1294" s="4" t="s">
        <v>1251</v>
      </c>
      <c r="F1294" s="54" t="s">
        <v>357</v>
      </c>
      <c r="G1294" s="54" t="s">
        <v>1359</v>
      </c>
      <c r="H1294" s="54" t="s">
        <v>1200</v>
      </c>
      <c r="I1294" s="54" t="s">
        <v>1360</v>
      </c>
      <c r="J1294" s="54" t="s">
        <v>1361</v>
      </c>
      <c r="X1294" s="55" t="str">
        <f t="shared" si="1"/>
        <v>#NAME?</v>
      </c>
    </row>
    <row r="1295">
      <c r="A1295" s="4" t="s">
        <v>3308</v>
      </c>
      <c r="B1295" s="4" t="s">
        <v>3309</v>
      </c>
      <c r="C1295" s="4">
        <v>1.0</v>
      </c>
      <c r="D1295" s="4" t="s">
        <v>1393</v>
      </c>
      <c r="E1295" s="4" t="s">
        <v>1088</v>
      </c>
      <c r="F1295" s="54" t="s">
        <v>534</v>
      </c>
      <c r="G1295" s="54" t="s">
        <v>1147</v>
      </c>
      <c r="H1295" s="54" t="s">
        <v>1340</v>
      </c>
      <c r="I1295" s="54" t="s">
        <v>1394</v>
      </c>
      <c r="J1295" s="54" t="s">
        <v>1275</v>
      </c>
      <c r="X1295" s="55" t="str">
        <f t="shared" si="1"/>
        <v>#NAME?</v>
      </c>
    </row>
    <row r="1296">
      <c r="A1296" s="4" t="s">
        <v>3310</v>
      </c>
      <c r="B1296" s="4" t="s">
        <v>3311</v>
      </c>
      <c r="C1296" s="4">
        <v>1.0</v>
      </c>
      <c r="D1296" s="4" t="s">
        <v>1400</v>
      </c>
      <c r="E1296" s="4" t="s">
        <v>1397</v>
      </c>
      <c r="F1296" s="54" t="s">
        <v>534</v>
      </c>
      <c r="G1296" s="54" t="s">
        <v>1152</v>
      </c>
      <c r="H1296" s="54" t="s">
        <v>1275</v>
      </c>
      <c r="I1296" s="54" t="s">
        <v>1148</v>
      </c>
      <c r="J1296" s="54" t="s">
        <v>1318</v>
      </c>
      <c r="X1296" s="55" t="str">
        <f t="shared" si="1"/>
        <v>#NAME?</v>
      </c>
    </row>
    <row r="1297">
      <c r="A1297" s="4" t="s">
        <v>3312</v>
      </c>
      <c r="B1297" s="4" t="s">
        <v>3313</v>
      </c>
      <c r="C1297" s="4">
        <v>1.0</v>
      </c>
      <c r="D1297" s="4" t="s">
        <v>1402</v>
      </c>
      <c r="E1297" s="4" t="s">
        <v>1397</v>
      </c>
      <c r="F1297" s="54" t="s">
        <v>534</v>
      </c>
      <c r="G1297" s="54" t="s">
        <v>1275</v>
      </c>
      <c r="H1297" s="54" t="s">
        <v>1275</v>
      </c>
      <c r="I1297" s="54" t="s">
        <v>1116</v>
      </c>
      <c r="J1297" s="54" t="s">
        <v>1121</v>
      </c>
      <c r="X1297" s="55" t="str">
        <f t="shared" si="1"/>
        <v>#NAME?</v>
      </c>
    </row>
    <row r="1298">
      <c r="A1298" s="54" t="s">
        <v>3314</v>
      </c>
      <c r="B1298" s="4" t="s">
        <v>3315</v>
      </c>
      <c r="C1298" s="4">
        <v>1.0</v>
      </c>
      <c r="D1298" s="4" t="s">
        <v>1404</v>
      </c>
      <c r="E1298" s="4" t="s">
        <v>1088</v>
      </c>
      <c r="F1298" s="54" t="s">
        <v>534</v>
      </c>
      <c r="G1298" s="54" t="s">
        <v>1275</v>
      </c>
      <c r="H1298" s="54" t="s">
        <v>1343</v>
      </c>
      <c r="I1298" s="54" t="s">
        <v>1343</v>
      </c>
      <c r="J1298" s="54" t="s">
        <v>1405</v>
      </c>
      <c r="X1298" s="55" t="str">
        <f t="shared" si="1"/>
        <v>#NAME?</v>
      </c>
    </row>
    <row r="1299">
      <c r="A1299" s="4" t="s">
        <v>3316</v>
      </c>
      <c r="B1299" s="4" t="s">
        <v>3317</v>
      </c>
      <c r="C1299" s="4">
        <v>1.0</v>
      </c>
      <c r="D1299" s="4" t="s">
        <v>1407</v>
      </c>
      <c r="E1299" s="4" t="s">
        <v>1088</v>
      </c>
      <c r="F1299" s="54" t="s">
        <v>534</v>
      </c>
      <c r="G1299" s="54" t="s">
        <v>1116</v>
      </c>
      <c r="H1299" s="54" t="s">
        <v>1123</v>
      </c>
      <c r="I1299" s="54" t="s">
        <v>1147</v>
      </c>
      <c r="J1299" s="54" t="s">
        <v>1303</v>
      </c>
      <c r="X1299" s="55" t="str">
        <f t="shared" si="1"/>
        <v>#NAME?</v>
      </c>
    </row>
    <row r="1300">
      <c r="A1300" s="4" t="s">
        <v>3318</v>
      </c>
      <c r="B1300" s="4" t="s">
        <v>3319</v>
      </c>
      <c r="C1300" s="4">
        <v>1.0</v>
      </c>
      <c r="D1300" s="4" t="s">
        <v>1409</v>
      </c>
      <c r="E1300" s="4" t="s">
        <v>1088</v>
      </c>
      <c r="F1300" s="54" t="s">
        <v>534</v>
      </c>
      <c r="G1300" s="54" t="s">
        <v>1115</v>
      </c>
      <c r="H1300" s="54" t="s">
        <v>1115</v>
      </c>
      <c r="I1300" s="54" t="s">
        <v>1405</v>
      </c>
      <c r="J1300" s="54" t="s">
        <v>1340</v>
      </c>
      <c r="X1300" s="55" t="str">
        <f t="shared" si="1"/>
        <v>#NAME?</v>
      </c>
    </row>
    <row r="1301">
      <c r="A1301" s="4" t="s">
        <v>3320</v>
      </c>
      <c r="B1301" s="4" t="s">
        <v>3321</v>
      </c>
      <c r="C1301" s="4">
        <v>1.0</v>
      </c>
      <c r="D1301" s="4" t="s">
        <v>1411</v>
      </c>
      <c r="E1301" s="4" t="s">
        <v>1088</v>
      </c>
      <c r="F1301" s="54" t="s">
        <v>534</v>
      </c>
      <c r="G1301" s="54" t="s">
        <v>1170</v>
      </c>
      <c r="H1301" s="54" t="s">
        <v>1219</v>
      </c>
      <c r="I1301" s="54" t="s">
        <v>1154</v>
      </c>
      <c r="J1301" s="54" t="s">
        <v>1216</v>
      </c>
      <c r="X1301" s="55" t="str">
        <f t="shared" si="1"/>
        <v>#NAME?</v>
      </c>
    </row>
    <row r="1302">
      <c r="A1302" s="4" t="s">
        <v>3322</v>
      </c>
      <c r="B1302" s="4" t="s">
        <v>3323</v>
      </c>
      <c r="C1302" s="4">
        <v>1.0</v>
      </c>
      <c r="D1302" s="4" t="s">
        <v>1411</v>
      </c>
      <c r="E1302" s="4" t="s">
        <v>1088</v>
      </c>
      <c r="F1302" s="54" t="s">
        <v>534</v>
      </c>
      <c r="G1302" s="54" t="s">
        <v>1170</v>
      </c>
      <c r="H1302" s="54" t="s">
        <v>1159</v>
      </c>
      <c r="I1302" s="54" t="s">
        <v>1413</v>
      </c>
      <c r="J1302" s="54" t="s">
        <v>1093</v>
      </c>
      <c r="X1302" s="55" t="str">
        <f t="shared" si="1"/>
        <v>#NAME?</v>
      </c>
    </row>
    <row r="1303">
      <c r="A1303" s="4" t="s">
        <v>3324</v>
      </c>
      <c r="B1303" s="4" t="s">
        <v>3325</v>
      </c>
      <c r="C1303" s="4">
        <v>1.0</v>
      </c>
      <c r="D1303" s="4" t="s">
        <v>1411</v>
      </c>
      <c r="E1303" s="4" t="s">
        <v>1088</v>
      </c>
      <c r="F1303" s="54" t="s">
        <v>534</v>
      </c>
      <c r="G1303" s="54" t="s">
        <v>1093</v>
      </c>
      <c r="H1303" s="54" t="s">
        <v>1093</v>
      </c>
      <c r="I1303" s="54" t="s">
        <v>1111</v>
      </c>
      <c r="J1303" s="54" t="s">
        <v>1160</v>
      </c>
      <c r="X1303" s="55" t="str">
        <f t="shared" si="1"/>
        <v>#NAME?</v>
      </c>
    </row>
    <row r="1304">
      <c r="A1304" s="4" t="s">
        <v>3326</v>
      </c>
      <c r="B1304" s="4" t="s">
        <v>3327</v>
      </c>
      <c r="C1304" s="4">
        <v>1.0</v>
      </c>
      <c r="D1304" s="4" t="s">
        <v>1416</v>
      </c>
      <c r="E1304" s="4" t="s">
        <v>1088</v>
      </c>
      <c r="F1304" s="54" t="s">
        <v>534</v>
      </c>
      <c r="G1304" s="54" t="s">
        <v>1093</v>
      </c>
      <c r="H1304" s="54" t="s">
        <v>1154</v>
      </c>
      <c r="I1304" s="54" t="s">
        <v>1236</v>
      </c>
      <c r="J1304" s="54" t="s">
        <v>1417</v>
      </c>
      <c r="X1304" s="55" t="str">
        <f t="shared" si="1"/>
        <v>#NAME?</v>
      </c>
    </row>
    <row r="1305">
      <c r="A1305" s="4" t="s">
        <v>3328</v>
      </c>
      <c r="B1305" s="4" t="s">
        <v>3329</v>
      </c>
      <c r="C1305" s="4">
        <v>1.0</v>
      </c>
      <c r="D1305" s="4" t="s">
        <v>1396</v>
      </c>
      <c r="E1305" s="4" t="s">
        <v>1397</v>
      </c>
      <c r="F1305" s="54" t="s">
        <v>534</v>
      </c>
      <c r="G1305" s="54" t="s">
        <v>1148</v>
      </c>
      <c r="H1305" s="54" t="s">
        <v>1398</v>
      </c>
      <c r="I1305" s="54" t="s">
        <v>1151</v>
      </c>
      <c r="J1305" s="54" t="s">
        <v>1115</v>
      </c>
      <c r="X1305" s="55" t="str">
        <f t="shared" si="1"/>
        <v>#NAME?</v>
      </c>
    </row>
    <row r="1306">
      <c r="A1306" s="4" t="s">
        <v>3330</v>
      </c>
      <c r="B1306" s="4" t="s">
        <v>3331</v>
      </c>
      <c r="C1306" s="4">
        <v>1.0</v>
      </c>
      <c r="D1306" s="54" t="s">
        <v>481</v>
      </c>
      <c r="E1306" s="4" t="s">
        <v>1251</v>
      </c>
      <c r="F1306" s="54" t="s">
        <v>357</v>
      </c>
      <c r="G1306" s="54" t="s">
        <v>1256</v>
      </c>
      <c r="H1306" s="54" t="s">
        <v>1257</v>
      </c>
      <c r="I1306" s="54" t="s">
        <v>1258</v>
      </c>
      <c r="J1306" s="54" t="s">
        <v>1259</v>
      </c>
      <c r="X1306" s="55" t="str">
        <f t="shared" si="1"/>
        <v>#NAME?</v>
      </c>
    </row>
    <row r="1307">
      <c r="A1307" s="4" t="s">
        <v>3332</v>
      </c>
      <c r="B1307" s="4" t="s">
        <v>3333</v>
      </c>
      <c r="C1307" s="4">
        <v>1.0</v>
      </c>
      <c r="D1307" s="4" t="s">
        <v>1355</v>
      </c>
      <c r="E1307" s="4" t="s">
        <v>1088</v>
      </c>
      <c r="F1307" s="54" t="s">
        <v>357</v>
      </c>
      <c r="G1307" s="54" t="s">
        <v>1356</v>
      </c>
      <c r="H1307" s="54" t="s">
        <v>1244</v>
      </c>
      <c r="I1307" s="54" t="s">
        <v>1244</v>
      </c>
      <c r="J1307" s="54" t="s">
        <v>1244</v>
      </c>
      <c r="X1307" s="55" t="str">
        <f t="shared" si="1"/>
        <v>#NAME?</v>
      </c>
    </row>
    <row r="1308">
      <c r="A1308" s="4" t="s">
        <v>3334</v>
      </c>
      <c r="B1308" s="4" t="s">
        <v>3335</v>
      </c>
      <c r="C1308" s="4">
        <v>1.0</v>
      </c>
      <c r="D1308" s="4" t="s">
        <v>1348</v>
      </c>
      <c r="E1308" s="4" t="s">
        <v>1098</v>
      </c>
      <c r="F1308" s="54" t="s">
        <v>357</v>
      </c>
      <c r="G1308" s="54" t="s">
        <v>1134</v>
      </c>
      <c r="H1308" s="54" t="s">
        <v>1349</v>
      </c>
      <c r="I1308" s="54" t="s">
        <v>1350</v>
      </c>
      <c r="J1308" s="54" t="s">
        <v>1351</v>
      </c>
      <c r="X1308" s="55" t="str">
        <f t="shared" si="1"/>
        <v>#NAME?</v>
      </c>
    </row>
    <row r="1309">
      <c r="A1309" s="4" t="s">
        <v>3336</v>
      </c>
      <c r="B1309" s="4" t="s">
        <v>3337</v>
      </c>
      <c r="C1309" s="4">
        <v>1.0</v>
      </c>
      <c r="D1309" s="4" t="s">
        <v>1267</v>
      </c>
      <c r="E1309" s="4" t="s">
        <v>1251</v>
      </c>
      <c r="F1309" s="54" t="s">
        <v>357</v>
      </c>
      <c r="G1309" s="54" t="s">
        <v>1200</v>
      </c>
      <c r="H1309" s="54" t="s">
        <v>1099</v>
      </c>
      <c r="I1309" s="54" t="s">
        <v>1099</v>
      </c>
      <c r="J1309" s="54" t="s">
        <v>1253</v>
      </c>
      <c r="X1309" s="55" t="str">
        <f t="shared" si="1"/>
        <v>#NAME?</v>
      </c>
    </row>
    <row r="1310">
      <c r="A1310" s="4" t="s">
        <v>3338</v>
      </c>
      <c r="B1310" s="4" t="s">
        <v>3339</v>
      </c>
      <c r="C1310" s="4">
        <v>1.0</v>
      </c>
      <c r="D1310" s="4" t="s">
        <v>1269</v>
      </c>
      <c r="E1310" s="4" t="s">
        <v>1088</v>
      </c>
      <c r="F1310" s="54" t="s">
        <v>357</v>
      </c>
      <c r="G1310" s="54" t="s">
        <v>1215</v>
      </c>
      <c r="H1310" s="54" t="s">
        <v>1100</v>
      </c>
      <c r="I1310" s="54" t="s">
        <v>1176</v>
      </c>
      <c r="J1310" s="54" t="s">
        <v>1235</v>
      </c>
      <c r="X1310" s="55" t="str">
        <f t="shared" si="1"/>
        <v>#NAME?</v>
      </c>
    </row>
    <row r="1311">
      <c r="A1311" s="4" t="s">
        <v>3340</v>
      </c>
      <c r="B1311" s="4" t="s">
        <v>3341</v>
      </c>
      <c r="C1311" s="4">
        <v>1.0</v>
      </c>
      <c r="D1311" s="4" t="s">
        <v>1271</v>
      </c>
      <c r="E1311" s="4" t="s">
        <v>1088</v>
      </c>
      <c r="F1311" s="54" t="s">
        <v>357</v>
      </c>
      <c r="G1311" s="54" t="s">
        <v>1156</v>
      </c>
      <c r="H1311" s="54" t="s">
        <v>1156</v>
      </c>
      <c r="I1311" s="54" t="s">
        <v>1100</v>
      </c>
      <c r="J1311" s="54" t="s">
        <v>1176</v>
      </c>
      <c r="X1311" s="55" t="str">
        <f t="shared" si="1"/>
        <v>#NAME?</v>
      </c>
    </row>
    <row r="1312">
      <c r="A1312" s="4" t="s">
        <v>3342</v>
      </c>
      <c r="B1312" s="4" t="s">
        <v>3343</v>
      </c>
      <c r="C1312" s="4">
        <v>1.0</v>
      </c>
      <c r="D1312" s="4" t="s">
        <v>1273</v>
      </c>
      <c r="E1312" s="4" t="s">
        <v>1098</v>
      </c>
      <c r="F1312" s="54" t="s">
        <v>357</v>
      </c>
      <c r="G1312" s="54" t="s">
        <v>1120</v>
      </c>
      <c r="H1312" s="54" t="s">
        <v>1274</v>
      </c>
      <c r="I1312" s="54" t="s">
        <v>1275</v>
      </c>
      <c r="J1312" s="54" t="s">
        <v>1276</v>
      </c>
      <c r="X1312" s="55" t="str">
        <f t="shared" si="1"/>
        <v>#NAME?</v>
      </c>
    </row>
    <row r="1313">
      <c r="A1313" s="4" t="s">
        <v>3344</v>
      </c>
      <c r="B1313" s="4" t="s">
        <v>3345</v>
      </c>
      <c r="C1313" s="4">
        <v>1.0</v>
      </c>
      <c r="D1313" s="4" t="s">
        <v>1278</v>
      </c>
      <c r="E1313" s="4" t="s">
        <v>1098</v>
      </c>
      <c r="F1313" s="54" t="s">
        <v>357</v>
      </c>
      <c r="G1313" s="54" t="s">
        <v>1279</v>
      </c>
      <c r="H1313" s="54" t="s">
        <v>1280</v>
      </c>
      <c r="I1313" s="54" t="s">
        <v>1121</v>
      </c>
      <c r="J1313" s="54" t="s">
        <v>1276</v>
      </c>
      <c r="X1313" s="55" t="str">
        <f t="shared" si="1"/>
        <v>#NAME?</v>
      </c>
    </row>
    <row r="1314">
      <c r="A1314" s="4" t="s">
        <v>3346</v>
      </c>
      <c r="B1314" s="4" t="s">
        <v>3347</v>
      </c>
      <c r="C1314" s="4">
        <v>1.0</v>
      </c>
      <c r="D1314" s="4" t="s">
        <v>1282</v>
      </c>
      <c r="E1314" s="4" t="s">
        <v>1098</v>
      </c>
      <c r="F1314" s="54" t="s">
        <v>357</v>
      </c>
      <c r="G1314" s="54" t="s">
        <v>1283</v>
      </c>
      <c r="H1314" s="54" t="s">
        <v>1284</v>
      </c>
      <c r="I1314" s="54" t="s">
        <v>1151</v>
      </c>
      <c r="J1314" s="54" t="s">
        <v>1144</v>
      </c>
      <c r="X1314" s="55" t="str">
        <f t="shared" si="1"/>
        <v>#NAME?</v>
      </c>
    </row>
    <row r="1315">
      <c r="A1315" s="4" t="s">
        <v>3348</v>
      </c>
      <c r="B1315" s="4" t="s">
        <v>3349</v>
      </c>
      <c r="C1315" s="4">
        <v>1.0</v>
      </c>
      <c r="D1315" s="4" t="s">
        <v>1286</v>
      </c>
      <c r="E1315" s="4" t="s">
        <v>1088</v>
      </c>
      <c r="F1315" s="54" t="s">
        <v>357</v>
      </c>
      <c r="G1315" s="54" t="s">
        <v>1287</v>
      </c>
      <c r="H1315" s="54" t="s">
        <v>1287</v>
      </c>
      <c r="I1315" s="54" t="s">
        <v>1288</v>
      </c>
      <c r="J1315" s="54" t="s">
        <v>1289</v>
      </c>
      <c r="X1315" s="55" t="str">
        <f t="shared" si="1"/>
        <v>#NAME?</v>
      </c>
    </row>
    <row r="1316">
      <c r="A1316" s="4" t="s">
        <v>3350</v>
      </c>
      <c r="B1316" s="4" t="s">
        <v>3351</v>
      </c>
      <c r="C1316" s="4">
        <v>1.0</v>
      </c>
      <c r="D1316" s="4" t="s">
        <v>1291</v>
      </c>
      <c r="E1316" s="4" t="s">
        <v>1088</v>
      </c>
      <c r="F1316" s="54" t="s">
        <v>357</v>
      </c>
      <c r="G1316" s="54" t="s">
        <v>1292</v>
      </c>
      <c r="H1316" s="54" t="s">
        <v>1205</v>
      </c>
      <c r="I1316" s="54" t="s">
        <v>1292</v>
      </c>
      <c r="J1316" s="54" t="s">
        <v>1293</v>
      </c>
      <c r="X1316" s="55" t="str">
        <f t="shared" si="1"/>
        <v>#NAME?</v>
      </c>
    </row>
    <row r="1317">
      <c r="A1317" s="4" t="s">
        <v>3352</v>
      </c>
      <c r="B1317" s="4" t="s">
        <v>3353</v>
      </c>
      <c r="C1317" s="4">
        <v>1.0</v>
      </c>
      <c r="D1317" s="4" t="s">
        <v>1295</v>
      </c>
      <c r="E1317" s="4" t="s">
        <v>1296</v>
      </c>
      <c r="F1317" s="54" t="s">
        <v>357</v>
      </c>
      <c r="G1317" s="54" t="s">
        <v>1297</v>
      </c>
      <c r="H1317" s="54" t="s">
        <v>1298</v>
      </c>
      <c r="I1317" s="54" t="s">
        <v>1299</v>
      </c>
      <c r="J1317" s="54" t="s">
        <v>1300</v>
      </c>
      <c r="X1317" s="55" t="str">
        <f t="shared" si="1"/>
        <v>#NAME?</v>
      </c>
    </row>
    <row r="1318">
      <c r="A1318" s="4" t="s">
        <v>3354</v>
      </c>
      <c r="B1318" s="4" t="s">
        <v>3355</v>
      </c>
      <c r="C1318" s="4">
        <v>1.0</v>
      </c>
      <c r="D1318" s="4" t="s">
        <v>1353</v>
      </c>
      <c r="E1318" s="4" t="s">
        <v>1088</v>
      </c>
      <c r="F1318" s="54" t="s">
        <v>357</v>
      </c>
      <c r="G1318" s="54" t="s">
        <v>1186</v>
      </c>
      <c r="H1318" s="54" t="s">
        <v>1179</v>
      </c>
      <c r="I1318" s="54" t="s">
        <v>1183</v>
      </c>
      <c r="J1318" s="54" t="s">
        <v>1183</v>
      </c>
      <c r="X1318" s="55" t="str">
        <f t="shared" si="1"/>
        <v>#NAME?</v>
      </c>
    </row>
    <row r="1319">
      <c r="A1319" s="4" t="s">
        <v>3356</v>
      </c>
      <c r="B1319" s="4" t="s">
        <v>3357</v>
      </c>
      <c r="C1319" s="4">
        <v>1.0</v>
      </c>
      <c r="D1319" s="4" t="s">
        <v>1302</v>
      </c>
      <c r="E1319" s="4" t="s">
        <v>1296</v>
      </c>
      <c r="F1319" s="54" t="s">
        <v>357</v>
      </c>
      <c r="G1319" s="54" t="s">
        <v>1198</v>
      </c>
      <c r="H1319" s="54" t="s">
        <v>1144</v>
      </c>
      <c r="I1319" s="54" t="s">
        <v>1303</v>
      </c>
      <c r="J1319" s="54" t="s">
        <v>1304</v>
      </c>
      <c r="X1319" s="55" t="str">
        <f t="shared" si="1"/>
        <v>#NAME?</v>
      </c>
    </row>
    <row r="1320">
      <c r="A1320" s="4" t="s">
        <v>3358</v>
      </c>
      <c r="B1320" s="4" t="s">
        <v>3359</v>
      </c>
      <c r="C1320" s="4">
        <v>1.0</v>
      </c>
      <c r="D1320" s="4" t="s">
        <v>1311</v>
      </c>
      <c r="E1320" s="4" t="s">
        <v>1296</v>
      </c>
      <c r="F1320" s="54" t="s">
        <v>357</v>
      </c>
      <c r="G1320" s="54" t="s">
        <v>1312</v>
      </c>
      <c r="H1320" s="54" t="s">
        <v>1313</v>
      </c>
      <c r="I1320" s="54" t="s">
        <v>1127</v>
      </c>
      <c r="J1320" s="54" t="s">
        <v>1314</v>
      </c>
      <c r="X1320" s="55" t="str">
        <f t="shared" si="1"/>
        <v>#NAME?</v>
      </c>
    </row>
    <row r="1321">
      <c r="A1321" s="4" t="s">
        <v>3360</v>
      </c>
      <c r="B1321" s="4" t="s">
        <v>3361</v>
      </c>
      <c r="C1321" s="4">
        <v>1.0</v>
      </c>
      <c r="D1321" s="4" t="s">
        <v>1316</v>
      </c>
      <c r="E1321" s="4" t="s">
        <v>1296</v>
      </c>
      <c r="F1321" s="54" t="s">
        <v>357</v>
      </c>
      <c r="G1321" s="54" t="s">
        <v>1126</v>
      </c>
      <c r="H1321" s="54" t="s">
        <v>1317</v>
      </c>
      <c r="I1321" s="54" t="s">
        <v>1318</v>
      </c>
      <c r="J1321" s="54" t="s">
        <v>1314</v>
      </c>
      <c r="X1321" s="55" t="str">
        <f t="shared" si="1"/>
        <v>#NAME?</v>
      </c>
    </row>
    <row r="1322">
      <c r="A1322" s="4" t="s">
        <v>3362</v>
      </c>
      <c r="B1322" s="4" t="s">
        <v>3363</v>
      </c>
      <c r="C1322" s="4">
        <v>1.0</v>
      </c>
      <c r="D1322" s="4" t="s">
        <v>1320</v>
      </c>
      <c r="E1322" s="4" t="s">
        <v>1296</v>
      </c>
      <c r="F1322" s="54" t="s">
        <v>357</v>
      </c>
      <c r="G1322" s="54" t="s">
        <v>1196</v>
      </c>
      <c r="H1322" s="54" t="s">
        <v>1321</v>
      </c>
      <c r="I1322" s="54" t="s">
        <v>1192</v>
      </c>
      <c r="J1322" s="54" t="s">
        <v>1322</v>
      </c>
      <c r="X1322" s="55" t="str">
        <f t="shared" si="1"/>
        <v>#NAME?</v>
      </c>
    </row>
    <row r="1323">
      <c r="A1323" s="4" t="s">
        <v>3364</v>
      </c>
      <c r="B1323" s="4" t="s">
        <v>3365</v>
      </c>
      <c r="C1323" s="4">
        <v>1.0</v>
      </c>
      <c r="D1323" s="4" t="s">
        <v>1324</v>
      </c>
      <c r="E1323" s="4" t="s">
        <v>1296</v>
      </c>
      <c r="F1323" s="54" t="s">
        <v>357</v>
      </c>
      <c r="G1323" s="54" t="s">
        <v>1325</v>
      </c>
      <c r="H1323" s="54" t="s">
        <v>1303</v>
      </c>
      <c r="I1323" s="54" t="s">
        <v>1326</v>
      </c>
      <c r="J1323" s="54" t="s">
        <v>1117</v>
      </c>
      <c r="X1323" s="55" t="str">
        <f t="shared" si="1"/>
        <v>#NAME?</v>
      </c>
    </row>
    <row r="1324">
      <c r="A1324" s="4" t="s">
        <v>3366</v>
      </c>
      <c r="B1324" s="4" t="s">
        <v>3367</v>
      </c>
      <c r="C1324" s="4">
        <v>1.0</v>
      </c>
      <c r="D1324" s="4" t="s">
        <v>1328</v>
      </c>
      <c r="E1324" s="4" t="s">
        <v>1296</v>
      </c>
      <c r="F1324" s="54" t="s">
        <v>357</v>
      </c>
      <c r="G1324" s="54" t="s">
        <v>1329</v>
      </c>
      <c r="H1324" s="54" t="s">
        <v>1330</v>
      </c>
      <c r="I1324" s="54" t="s">
        <v>1331</v>
      </c>
      <c r="J1324" s="54" t="s">
        <v>1125</v>
      </c>
      <c r="X1324" s="55" t="str">
        <f t="shared" si="1"/>
        <v>#NAME?</v>
      </c>
    </row>
    <row r="1325">
      <c r="A1325" s="4" t="s">
        <v>3368</v>
      </c>
      <c r="B1325" s="4" t="s">
        <v>3369</v>
      </c>
      <c r="C1325" s="4">
        <v>1.0</v>
      </c>
      <c r="D1325" s="4" t="s">
        <v>1333</v>
      </c>
      <c r="E1325" s="4" t="s">
        <v>1088</v>
      </c>
      <c r="F1325" s="54" t="s">
        <v>357</v>
      </c>
      <c r="G1325" s="54" t="s">
        <v>1287</v>
      </c>
      <c r="H1325" s="54" t="s">
        <v>1293</v>
      </c>
      <c r="I1325" s="54" t="s">
        <v>1334</v>
      </c>
      <c r="J1325" s="54" t="s">
        <v>1203</v>
      </c>
      <c r="X1325" s="55" t="str">
        <f t="shared" si="1"/>
        <v>#NAME?</v>
      </c>
    </row>
    <row r="1326">
      <c r="A1326" s="4" t="s">
        <v>3370</v>
      </c>
      <c r="B1326" s="4" t="s">
        <v>3371</v>
      </c>
      <c r="C1326" s="4">
        <v>1.0</v>
      </c>
      <c r="D1326" s="4" t="s">
        <v>1336</v>
      </c>
      <c r="E1326" s="4" t="s">
        <v>1088</v>
      </c>
      <c r="F1326" s="54" t="s">
        <v>357</v>
      </c>
      <c r="G1326" s="54" t="s">
        <v>1292</v>
      </c>
      <c r="H1326" s="54" t="s">
        <v>1334</v>
      </c>
      <c r="I1326" s="54" t="s">
        <v>1337</v>
      </c>
      <c r="J1326" s="54" t="s">
        <v>1292</v>
      </c>
      <c r="X1326" s="55" t="str">
        <f t="shared" si="1"/>
        <v>#NAME?</v>
      </c>
    </row>
    <row r="1327">
      <c r="A1327" s="4" t="s">
        <v>3372</v>
      </c>
      <c r="B1327" s="4" t="s">
        <v>3373</v>
      </c>
      <c r="C1327" s="4">
        <v>1.0</v>
      </c>
      <c r="D1327" s="4" t="s">
        <v>1339</v>
      </c>
      <c r="E1327" s="4" t="s">
        <v>1098</v>
      </c>
      <c r="F1327" s="54" t="s">
        <v>357</v>
      </c>
      <c r="G1327" s="54" t="s">
        <v>1340</v>
      </c>
      <c r="H1327" s="54" t="s">
        <v>1140</v>
      </c>
      <c r="I1327" s="54" t="s">
        <v>1326</v>
      </c>
      <c r="J1327" s="54" t="s">
        <v>1303</v>
      </c>
      <c r="X1327" s="55" t="str">
        <f t="shared" si="1"/>
        <v>#NAME?</v>
      </c>
    </row>
    <row r="1328">
      <c r="A1328" s="4" t="s">
        <v>3374</v>
      </c>
      <c r="B1328" s="4" t="s">
        <v>3375</v>
      </c>
      <c r="C1328" s="4">
        <v>1.0</v>
      </c>
      <c r="D1328" s="4" t="s">
        <v>1342</v>
      </c>
      <c r="E1328" s="4" t="s">
        <v>1098</v>
      </c>
      <c r="F1328" s="54" t="s">
        <v>357</v>
      </c>
      <c r="G1328" s="54" t="s">
        <v>1343</v>
      </c>
      <c r="H1328" s="54" t="s">
        <v>1344</v>
      </c>
      <c r="I1328" s="54" t="s">
        <v>1345</v>
      </c>
      <c r="J1328" s="54" t="s">
        <v>1346</v>
      </c>
      <c r="X1328" s="55" t="str">
        <f t="shared" si="1"/>
        <v>#NAME?</v>
      </c>
    </row>
    <row r="1329">
      <c r="A1329" s="4" t="s">
        <v>3376</v>
      </c>
      <c r="B1329" s="4" t="s">
        <v>3377</v>
      </c>
      <c r="C1329" s="4">
        <v>1.0</v>
      </c>
      <c r="D1329" s="4" t="s">
        <v>1306</v>
      </c>
      <c r="E1329" s="4" t="s">
        <v>1296</v>
      </c>
      <c r="F1329" s="54" t="s">
        <v>357</v>
      </c>
      <c r="G1329" s="54" t="s">
        <v>1283</v>
      </c>
      <c r="H1329" s="54" t="s">
        <v>1307</v>
      </c>
      <c r="I1329" s="54" t="s">
        <v>1308</v>
      </c>
      <c r="J1329" s="54" t="s">
        <v>1309</v>
      </c>
      <c r="X1329" s="55" t="str">
        <f t="shared" si="1"/>
        <v>#NAME?</v>
      </c>
    </row>
    <row r="1330">
      <c r="A1330" s="4" t="s">
        <v>3378</v>
      </c>
      <c r="B1330" s="4" t="s">
        <v>3379</v>
      </c>
      <c r="C1330" s="4">
        <v>1.0</v>
      </c>
      <c r="D1330" s="54" t="s">
        <v>1671</v>
      </c>
      <c r="E1330" s="4" t="s">
        <v>1088</v>
      </c>
      <c r="F1330" s="54" t="s">
        <v>357</v>
      </c>
      <c r="G1330" s="54" t="s">
        <v>1544</v>
      </c>
      <c r="H1330" s="54" t="s">
        <v>1175</v>
      </c>
      <c r="I1330" s="54" t="s">
        <v>1216</v>
      </c>
      <c r="J1330" s="54" t="s">
        <v>1181</v>
      </c>
      <c r="X1330" s="55" t="str">
        <f t="shared" si="1"/>
        <v>#NAME?</v>
      </c>
    </row>
    <row r="1331">
      <c r="A1331" s="4" t="s">
        <v>3380</v>
      </c>
      <c r="B1331" s="4" t="s">
        <v>3381</v>
      </c>
      <c r="C1331" s="4">
        <v>1.0</v>
      </c>
      <c r="D1331" s="54" t="s">
        <v>1673</v>
      </c>
      <c r="E1331" s="4" t="s">
        <v>1088</v>
      </c>
      <c r="F1331" s="54" t="s">
        <v>357</v>
      </c>
      <c r="G1331" s="54" t="s">
        <v>1572</v>
      </c>
      <c r="H1331" s="54" t="s">
        <v>1226</v>
      </c>
      <c r="I1331" s="54" t="s">
        <v>1560</v>
      </c>
      <c r="J1331" s="54" t="s">
        <v>1227</v>
      </c>
      <c r="X1331" s="55" t="str">
        <f t="shared" si="1"/>
        <v>#NAME?</v>
      </c>
    </row>
    <row r="1332">
      <c r="A1332" s="4" t="s">
        <v>3382</v>
      </c>
      <c r="B1332" s="4" t="s">
        <v>3383</v>
      </c>
      <c r="C1332" s="4">
        <v>1.0</v>
      </c>
      <c r="D1332" s="54" t="s">
        <v>292</v>
      </c>
      <c r="E1332" s="4" t="s">
        <v>1088</v>
      </c>
      <c r="F1332" s="54" t="s">
        <v>534</v>
      </c>
      <c r="G1332" s="54" t="s">
        <v>1276</v>
      </c>
      <c r="H1332" s="54" t="s">
        <v>1138</v>
      </c>
      <c r="I1332" s="54" t="s">
        <v>1089</v>
      </c>
      <c r="J1332" s="54" t="s">
        <v>1090</v>
      </c>
      <c r="X1332" s="55" t="str">
        <f t="shared" si="1"/>
        <v>#NAME?</v>
      </c>
    </row>
    <row r="1333">
      <c r="A1333" s="4" t="s">
        <v>3384</v>
      </c>
      <c r="B1333" s="4" t="s">
        <v>3385</v>
      </c>
      <c r="C1333" s="4">
        <v>1.0</v>
      </c>
      <c r="D1333" s="54" t="s">
        <v>1092</v>
      </c>
      <c r="E1333" s="4" t="s">
        <v>1088</v>
      </c>
      <c r="F1333" s="54" t="s">
        <v>449</v>
      </c>
      <c r="G1333" s="54" t="s">
        <v>1102</v>
      </c>
      <c r="H1333" s="54" t="s">
        <v>1111</v>
      </c>
      <c r="I1333" s="54" t="s">
        <v>1529</v>
      </c>
      <c r="J1333" s="54" t="s">
        <v>1093</v>
      </c>
      <c r="X1333" s="55" t="str">
        <f t="shared" si="1"/>
        <v>#NAME?</v>
      </c>
    </row>
    <row r="1334">
      <c r="A1334" s="4" t="s">
        <v>3386</v>
      </c>
      <c r="B1334" s="4" t="s">
        <v>3387</v>
      </c>
      <c r="C1334" s="4">
        <v>1.0</v>
      </c>
      <c r="D1334" s="54" t="s">
        <v>1095</v>
      </c>
      <c r="E1334" s="4" t="s">
        <v>1088</v>
      </c>
      <c r="F1334" s="54" t="s">
        <v>534</v>
      </c>
      <c r="G1334" s="54" t="s">
        <v>1104</v>
      </c>
      <c r="H1334" s="54" t="s">
        <v>1104</v>
      </c>
      <c r="I1334" s="54" t="s">
        <v>1104</v>
      </c>
      <c r="J1334" s="54" t="s">
        <v>1104</v>
      </c>
      <c r="X1334" s="55" t="str">
        <f t="shared" si="1"/>
        <v>#NAME?</v>
      </c>
    </row>
    <row r="1335">
      <c r="A1335" s="4" t="s">
        <v>3388</v>
      </c>
      <c r="B1335" s="4" t="s">
        <v>3389</v>
      </c>
      <c r="C1335" s="4">
        <v>1.0</v>
      </c>
      <c r="D1335" s="54" t="s">
        <v>1097</v>
      </c>
      <c r="E1335" s="4" t="s">
        <v>1098</v>
      </c>
      <c r="F1335" s="54" t="s">
        <v>449</v>
      </c>
      <c r="G1335" s="54" t="s">
        <v>1099</v>
      </c>
      <c r="H1335" s="54" t="s">
        <v>1100</v>
      </c>
      <c r="I1335" s="54" t="s">
        <v>1101</v>
      </c>
      <c r="J1335" s="54" t="s">
        <v>1102</v>
      </c>
      <c r="X1335" s="55" t="str">
        <f t="shared" si="1"/>
        <v>#NAME?</v>
      </c>
    </row>
    <row r="1336">
      <c r="A1336" s="4" t="s">
        <v>3390</v>
      </c>
      <c r="B1336" s="4" t="s">
        <v>3391</v>
      </c>
      <c r="C1336" s="4">
        <v>1.0</v>
      </c>
      <c r="D1336" s="54" t="s">
        <v>1097</v>
      </c>
      <c r="E1336" s="4" t="s">
        <v>1098</v>
      </c>
      <c r="F1336" s="54" t="s">
        <v>449</v>
      </c>
      <c r="G1336" s="54" t="s">
        <v>1104</v>
      </c>
      <c r="H1336" s="54" t="s">
        <v>1105</v>
      </c>
      <c r="I1336" s="54" t="s">
        <v>1099</v>
      </c>
      <c r="J1336" s="54" t="s">
        <v>1106</v>
      </c>
      <c r="X1336" s="55" t="str">
        <f t="shared" si="1"/>
        <v>#NAME?</v>
      </c>
    </row>
    <row r="1337">
      <c r="A1337" s="4" t="s">
        <v>3392</v>
      </c>
      <c r="B1337" s="4" t="s">
        <v>3393</v>
      </c>
      <c r="C1337" s="4">
        <v>1.0</v>
      </c>
      <c r="D1337" s="54" t="s">
        <v>1097</v>
      </c>
      <c r="E1337" s="4" t="s">
        <v>1098</v>
      </c>
      <c r="F1337" s="54" t="s">
        <v>449</v>
      </c>
      <c r="G1337" s="54" t="s">
        <v>1108</v>
      </c>
      <c r="H1337" s="54" t="s">
        <v>1109</v>
      </c>
      <c r="I1337" s="54" t="s">
        <v>1110</v>
      </c>
      <c r="J1337" s="54" t="s">
        <v>1111</v>
      </c>
      <c r="X1337" s="55" t="str">
        <f t="shared" si="1"/>
        <v>#NAME?</v>
      </c>
    </row>
    <row r="1338">
      <c r="A1338" s="4" t="s">
        <v>3394</v>
      </c>
      <c r="B1338" s="4" t="s">
        <v>3395</v>
      </c>
      <c r="C1338" s="4">
        <v>1.0</v>
      </c>
      <c r="D1338" s="54" t="s">
        <v>1113</v>
      </c>
      <c r="E1338" s="4" t="s">
        <v>1088</v>
      </c>
      <c r="F1338" s="54" t="s">
        <v>449</v>
      </c>
      <c r="G1338" s="54" t="s">
        <v>1109</v>
      </c>
      <c r="H1338" s="54" t="s">
        <v>1111</v>
      </c>
      <c r="I1338" s="54" t="s">
        <v>1093</v>
      </c>
      <c r="J1338" s="54" t="s">
        <v>1111</v>
      </c>
      <c r="X1338" s="55" t="str">
        <f t="shared" si="1"/>
        <v>#NAME?</v>
      </c>
    </row>
    <row r="1339">
      <c r="A1339" s="4" t="s">
        <v>3396</v>
      </c>
      <c r="B1339" s="4" t="s">
        <v>3397</v>
      </c>
      <c r="C1339" s="4">
        <v>1.0</v>
      </c>
      <c r="D1339" s="54" t="s">
        <v>399</v>
      </c>
      <c r="E1339" s="4" t="s">
        <v>1088</v>
      </c>
      <c r="F1339" s="54" t="s">
        <v>534</v>
      </c>
      <c r="G1339" s="54" t="s">
        <v>1115</v>
      </c>
      <c r="H1339" s="54" t="s">
        <v>1116</v>
      </c>
      <c r="I1339" s="54" t="s">
        <v>1117</v>
      </c>
      <c r="J1339" s="54" t="s">
        <v>1118</v>
      </c>
      <c r="X1339" s="55" t="str">
        <f t="shared" si="1"/>
        <v>#NAME?</v>
      </c>
    </row>
    <row r="1340">
      <c r="A1340" s="4" t="s">
        <v>3398</v>
      </c>
      <c r="B1340" s="4" t="s">
        <v>3399</v>
      </c>
      <c r="C1340" s="4">
        <v>1.0</v>
      </c>
      <c r="D1340" s="54" t="s">
        <v>399</v>
      </c>
      <c r="E1340" s="4" t="s">
        <v>1088</v>
      </c>
      <c r="F1340" s="54" t="s">
        <v>534</v>
      </c>
      <c r="G1340" s="54" t="s">
        <v>1120</v>
      </c>
      <c r="H1340" s="54" t="s">
        <v>1121</v>
      </c>
      <c r="I1340" s="54" t="s">
        <v>1122</v>
      </c>
      <c r="J1340" s="54" t="s">
        <v>1123</v>
      </c>
      <c r="X1340" s="55" t="str">
        <f t="shared" si="1"/>
        <v>#NAME?</v>
      </c>
    </row>
    <row r="1341">
      <c r="A1341" s="4" t="s">
        <v>3400</v>
      </c>
      <c r="B1341" s="4" t="s">
        <v>3401</v>
      </c>
      <c r="C1341" s="4">
        <v>1.0</v>
      </c>
      <c r="D1341" s="54" t="s">
        <v>611</v>
      </c>
      <c r="E1341" s="4" t="s">
        <v>1088</v>
      </c>
      <c r="F1341" s="54" t="s">
        <v>534</v>
      </c>
      <c r="G1341" s="54" t="s">
        <v>1165</v>
      </c>
      <c r="H1341" s="54" t="s">
        <v>1166</v>
      </c>
      <c r="I1341" s="54" t="s">
        <v>1167</v>
      </c>
      <c r="J1341" s="54" t="s">
        <v>1168</v>
      </c>
      <c r="X1341" s="55" t="str">
        <f t="shared" si="1"/>
        <v>#NAME?</v>
      </c>
    </row>
    <row r="1342">
      <c r="A1342" s="4" t="s">
        <v>3402</v>
      </c>
      <c r="B1342" s="4" t="s">
        <v>3403</v>
      </c>
      <c r="C1342" s="4">
        <v>1.0</v>
      </c>
      <c r="D1342" s="54" t="s">
        <v>626</v>
      </c>
      <c r="E1342" s="4" t="s">
        <v>1098</v>
      </c>
      <c r="F1342" s="54" t="s">
        <v>534</v>
      </c>
      <c r="G1342" s="54" t="s">
        <v>1170</v>
      </c>
      <c r="H1342" s="54" t="s">
        <v>1171</v>
      </c>
      <c r="I1342" s="54" t="s">
        <v>1172</v>
      </c>
      <c r="J1342" s="54" t="s">
        <v>1173</v>
      </c>
      <c r="X1342" s="55" t="str">
        <f t="shared" si="1"/>
        <v>#NAME?</v>
      </c>
    </row>
    <row r="1343">
      <c r="A1343" s="4" t="s">
        <v>3404</v>
      </c>
      <c r="B1343" s="4" t="s">
        <v>3405</v>
      </c>
      <c r="C1343" s="4">
        <v>1.0</v>
      </c>
      <c r="D1343" s="54" t="s">
        <v>443</v>
      </c>
      <c r="E1343" s="4" t="s">
        <v>1088</v>
      </c>
      <c r="F1343" s="54" t="s">
        <v>534</v>
      </c>
      <c r="G1343" s="54" t="s">
        <v>1134</v>
      </c>
      <c r="H1343" s="54" t="s">
        <v>1135</v>
      </c>
      <c r="I1343" s="54" t="s">
        <v>1118</v>
      </c>
      <c r="J1343" s="54" t="s">
        <v>1123</v>
      </c>
      <c r="X1343" s="55" t="str">
        <f t="shared" si="1"/>
        <v>#NAME?</v>
      </c>
    </row>
    <row r="1344">
      <c r="A1344" s="4" t="s">
        <v>3406</v>
      </c>
      <c r="B1344" s="4" t="s">
        <v>3407</v>
      </c>
      <c r="C1344" s="4">
        <v>1.0</v>
      </c>
      <c r="D1344" s="54" t="s">
        <v>357</v>
      </c>
      <c r="E1344" s="4" t="s">
        <v>1088</v>
      </c>
      <c r="F1344" s="54" t="s">
        <v>534</v>
      </c>
      <c r="G1344" s="54" t="s">
        <v>1137</v>
      </c>
      <c r="H1344" s="54" t="s">
        <v>1138</v>
      </c>
      <c r="I1344" s="54" t="s">
        <v>1139</v>
      </c>
      <c r="J1344" s="54" t="s">
        <v>1140</v>
      </c>
      <c r="X1344" s="55" t="str">
        <f t="shared" si="1"/>
        <v>#NAME?</v>
      </c>
    </row>
    <row r="1345">
      <c r="A1345" s="4" t="s">
        <v>3408</v>
      </c>
      <c r="B1345" s="4" t="s">
        <v>3409</v>
      </c>
      <c r="C1345" s="4">
        <v>1.0</v>
      </c>
      <c r="D1345" s="54" t="s">
        <v>529</v>
      </c>
      <c r="E1345" s="4" t="s">
        <v>1088</v>
      </c>
      <c r="F1345" s="54" t="s">
        <v>534</v>
      </c>
      <c r="G1345" s="54" t="s">
        <v>1142</v>
      </c>
      <c r="H1345" s="54" t="s">
        <v>1143</v>
      </c>
      <c r="I1345" s="54" t="s">
        <v>1140</v>
      </c>
      <c r="J1345" s="54" t="s">
        <v>1144</v>
      </c>
      <c r="X1345" s="55" t="str">
        <f t="shared" si="1"/>
        <v>#NAME?</v>
      </c>
    </row>
    <row r="1346">
      <c r="A1346" s="4" t="s">
        <v>3410</v>
      </c>
      <c r="B1346" s="4" t="s">
        <v>3411</v>
      </c>
      <c r="C1346" s="4">
        <v>1.0</v>
      </c>
      <c r="D1346" s="54" t="s">
        <v>534</v>
      </c>
      <c r="E1346" s="4" t="s">
        <v>1088</v>
      </c>
      <c r="F1346" s="54" t="s">
        <v>534</v>
      </c>
      <c r="G1346" s="54" t="s">
        <v>1117</v>
      </c>
      <c r="H1346" s="54" t="s">
        <v>1139</v>
      </c>
      <c r="I1346" s="54" t="s">
        <v>1135</v>
      </c>
      <c r="J1346" s="54" t="s">
        <v>1139</v>
      </c>
      <c r="X1346" s="55" t="str">
        <f t="shared" si="1"/>
        <v>#NAME?</v>
      </c>
    </row>
    <row r="1347">
      <c r="A1347" s="4" t="s">
        <v>3412</v>
      </c>
      <c r="B1347" s="4" t="s">
        <v>3413</v>
      </c>
      <c r="C1347" s="4">
        <v>1.0</v>
      </c>
      <c r="D1347" s="54" t="s">
        <v>540</v>
      </c>
      <c r="E1347" s="4" t="s">
        <v>1088</v>
      </c>
      <c r="F1347" s="54" t="s">
        <v>534</v>
      </c>
      <c r="G1347" s="54" t="s">
        <v>1135</v>
      </c>
      <c r="H1347" s="54" t="s">
        <v>1147</v>
      </c>
      <c r="I1347" s="54" t="s">
        <v>1135</v>
      </c>
      <c r="J1347" s="54" t="s">
        <v>1148</v>
      </c>
      <c r="X1347" s="55" t="str">
        <f t="shared" si="1"/>
        <v>#NAME?</v>
      </c>
    </row>
    <row r="1348">
      <c r="A1348" s="4" t="s">
        <v>3414</v>
      </c>
      <c r="B1348" s="4" t="s">
        <v>3415</v>
      </c>
      <c r="C1348" s="4">
        <v>1.0</v>
      </c>
      <c r="D1348" s="54" t="s">
        <v>546</v>
      </c>
      <c r="E1348" s="4" t="s">
        <v>1088</v>
      </c>
      <c r="F1348" s="54" t="s">
        <v>534</v>
      </c>
      <c r="G1348" s="54" t="s">
        <v>1150</v>
      </c>
      <c r="H1348" s="54" t="s">
        <v>1151</v>
      </c>
      <c r="I1348" s="54" t="s">
        <v>1152</v>
      </c>
      <c r="J1348" s="54" t="s">
        <v>1123</v>
      </c>
      <c r="X1348" s="55" t="str">
        <f t="shared" si="1"/>
        <v>#NAME?</v>
      </c>
    </row>
    <row r="1349">
      <c r="A1349" s="4" t="s">
        <v>3416</v>
      </c>
      <c r="B1349" s="4" t="s">
        <v>3417</v>
      </c>
      <c r="C1349" s="4">
        <v>1.0</v>
      </c>
      <c r="D1349" s="54" t="s">
        <v>546</v>
      </c>
      <c r="E1349" s="4" t="s">
        <v>1088</v>
      </c>
      <c r="F1349" s="54" t="s">
        <v>534</v>
      </c>
      <c r="G1349" s="54" t="s">
        <v>1154</v>
      </c>
      <c r="H1349" s="54" t="s">
        <v>1155</v>
      </c>
      <c r="I1349" s="54" t="s">
        <v>1156</v>
      </c>
      <c r="J1349" s="54" t="s">
        <v>1110</v>
      </c>
      <c r="X1349" s="55" t="str">
        <f t="shared" si="1"/>
        <v>#NAME?</v>
      </c>
    </row>
    <row r="1350">
      <c r="A1350" s="4" t="s">
        <v>3418</v>
      </c>
      <c r="B1350" s="4" t="s">
        <v>3419</v>
      </c>
      <c r="C1350" s="4">
        <v>1.0</v>
      </c>
      <c r="D1350" s="54" t="s">
        <v>573</v>
      </c>
      <c r="E1350" s="4" t="s">
        <v>1088</v>
      </c>
      <c r="F1350" s="54" t="s">
        <v>534</v>
      </c>
      <c r="G1350" s="54" t="s">
        <v>1158</v>
      </c>
      <c r="H1350" s="54" t="s">
        <v>1159</v>
      </c>
      <c r="I1350" s="54" t="s">
        <v>1160</v>
      </c>
      <c r="J1350" s="54" t="s">
        <v>1161</v>
      </c>
      <c r="X1350" s="55" t="str">
        <f t="shared" si="1"/>
        <v>#NAME?</v>
      </c>
    </row>
    <row r="1351">
      <c r="A1351" s="4" t="s">
        <v>3420</v>
      </c>
      <c r="B1351" s="4" t="s">
        <v>3421</v>
      </c>
      <c r="C1351" s="4">
        <v>1.0</v>
      </c>
      <c r="D1351" s="54" t="s">
        <v>573</v>
      </c>
      <c r="E1351" s="4" t="s">
        <v>1088</v>
      </c>
      <c r="F1351" s="54" t="s">
        <v>534</v>
      </c>
      <c r="G1351" s="54" t="s">
        <v>1090</v>
      </c>
      <c r="H1351" s="54" t="s">
        <v>1163</v>
      </c>
      <c r="I1351" s="54" t="s">
        <v>1150</v>
      </c>
      <c r="J1351" s="54" t="s">
        <v>1118</v>
      </c>
      <c r="X1351" s="55" t="str">
        <f t="shared" si="1"/>
        <v>#NAME?</v>
      </c>
    </row>
    <row r="1352">
      <c r="A1352" s="4" t="s">
        <v>3422</v>
      </c>
      <c r="B1352" s="4" t="s">
        <v>3423</v>
      </c>
      <c r="C1352" s="4">
        <v>1.0</v>
      </c>
      <c r="D1352" s="54" t="s">
        <v>405</v>
      </c>
      <c r="E1352" s="4" t="s">
        <v>1088</v>
      </c>
      <c r="F1352" s="54" t="s">
        <v>534</v>
      </c>
      <c r="G1352" s="54" t="s">
        <v>1125</v>
      </c>
      <c r="H1352" s="54" t="s">
        <v>1126</v>
      </c>
      <c r="I1352" s="54" t="s">
        <v>1127</v>
      </c>
      <c r="J1352" s="54" t="s">
        <v>1125</v>
      </c>
      <c r="X1352" s="55" t="str">
        <f t="shared" si="1"/>
        <v>#NAME?</v>
      </c>
    </row>
    <row r="1353">
      <c r="A1353" s="4" t="s">
        <v>3424</v>
      </c>
      <c r="B1353" s="4" t="s">
        <v>3425</v>
      </c>
      <c r="C1353" s="4">
        <v>1.0</v>
      </c>
      <c r="D1353" s="54" t="s">
        <v>449</v>
      </c>
      <c r="E1353" s="4" t="s">
        <v>1088</v>
      </c>
      <c r="F1353" s="54" t="s">
        <v>534</v>
      </c>
      <c r="G1353" s="54" t="s">
        <v>1129</v>
      </c>
      <c r="H1353" s="54" t="s">
        <v>1130</v>
      </c>
      <c r="I1353" s="54" t="s">
        <v>1131</v>
      </c>
      <c r="J1353" s="54" t="s">
        <v>1132</v>
      </c>
      <c r="X1353" s="55" t="str">
        <f t="shared" si="1"/>
        <v>#NAME?</v>
      </c>
    </row>
    <row r="1354">
      <c r="A1354" s="4" t="s">
        <v>3426</v>
      </c>
      <c r="B1354" s="4" t="s">
        <v>3427</v>
      </c>
      <c r="C1354" s="4">
        <v>1.0</v>
      </c>
      <c r="D1354" s="54" t="s">
        <v>626</v>
      </c>
      <c r="E1354" s="4" t="s">
        <v>1098</v>
      </c>
      <c r="F1354" s="54" t="s">
        <v>534</v>
      </c>
      <c r="G1354" s="54" t="s">
        <v>1175</v>
      </c>
      <c r="H1354" s="54" t="s">
        <v>1176</v>
      </c>
      <c r="I1354" s="54" t="s">
        <v>1177</v>
      </c>
      <c r="J1354" s="54" t="s">
        <v>1109</v>
      </c>
      <c r="X1354" s="55" t="str">
        <f t="shared" si="1"/>
        <v>#NAME?</v>
      </c>
    </row>
    <row r="1355">
      <c r="A1355" s="4" t="s">
        <v>3428</v>
      </c>
      <c r="B1355" s="4" t="s">
        <v>3429</v>
      </c>
      <c r="C1355" s="4">
        <v>1.0</v>
      </c>
      <c r="D1355" s="54" t="s">
        <v>694</v>
      </c>
      <c r="E1355" s="4" t="s">
        <v>1098</v>
      </c>
      <c r="F1355" s="54" t="s">
        <v>534</v>
      </c>
      <c r="G1355" s="54" t="s">
        <v>1218</v>
      </c>
      <c r="H1355" s="54" t="s">
        <v>1184</v>
      </c>
      <c r="I1355" s="54" t="s">
        <v>1110</v>
      </c>
      <c r="J1355" s="54" t="s">
        <v>1219</v>
      </c>
      <c r="X1355" s="55" t="str">
        <f t="shared" si="1"/>
        <v>#NAME?</v>
      </c>
    </row>
    <row r="1356">
      <c r="A1356" s="4" t="s">
        <v>3430</v>
      </c>
      <c r="B1356" s="4" t="s">
        <v>3431</v>
      </c>
      <c r="C1356" s="4">
        <v>1.0</v>
      </c>
      <c r="D1356" s="54" t="s">
        <v>632</v>
      </c>
      <c r="E1356" s="4" t="s">
        <v>1088</v>
      </c>
      <c r="F1356" s="54" t="s">
        <v>534</v>
      </c>
      <c r="G1356" s="54" t="s">
        <v>1183</v>
      </c>
      <c r="H1356" s="54" t="s">
        <v>1184</v>
      </c>
      <c r="I1356" s="54" t="s">
        <v>1185</v>
      </c>
      <c r="J1356" s="54" t="s">
        <v>1186</v>
      </c>
      <c r="X1356" s="55" t="str">
        <f t="shared" si="1"/>
        <v>#NAME?</v>
      </c>
    </row>
    <row r="1357">
      <c r="A1357" s="4" t="s">
        <v>3432</v>
      </c>
      <c r="B1357" s="4" t="s">
        <v>3433</v>
      </c>
      <c r="C1357" s="4">
        <v>1.0</v>
      </c>
      <c r="D1357" s="54" t="s">
        <v>637</v>
      </c>
      <c r="E1357" s="4" t="s">
        <v>1088</v>
      </c>
      <c r="F1357" s="54" t="s">
        <v>534</v>
      </c>
      <c r="G1357" s="54" t="s">
        <v>1188</v>
      </c>
      <c r="H1357" s="54" t="s">
        <v>1189</v>
      </c>
      <c r="I1357" s="54" t="s">
        <v>1176</v>
      </c>
      <c r="J1357" s="54" t="s">
        <v>1155</v>
      </c>
      <c r="X1357" s="55" t="str">
        <f t="shared" si="1"/>
        <v>#NAME?</v>
      </c>
    </row>
    <row r="1358">
      <c r="A1358" s="4" t="s">
        <v>3434</v>
      </c>
      <c r="B1358" s="4" t="s">
        <v>3435</v>
      </c>
      <c r="C1358" s="4">
        <v>1.0</v>
      </c>
      <c r="D1358" s="54" t="s">
        <v>274</v>
      </c>
      <c r="E1358" s="4" t="s">
        <v>1191</v>
      </c>
      <c r="F1358" s="54" t="s">
        <v>534</v>
      </c>
      <c r="G1358" s="54" t="s">
        <v>1192</v>
      </c>
      <c r="H1358" s="54" t="s">
        <v>1193</v>
      </c>
      <c r="I1358" s="54" t="s">
        <v>1122</v>
      </c>
      <c r="J1358" s="54" t="s">
        <v>1194</v>
      </c>
      <c r="X1358" s="55" t="str">
        <f t="shared" si="1"/>
        <v>#NAME?</v>
      </c>
    </row>
    <row r="1359">
      <c r="A1359" s="4" t="s">
        <v>3436</v>
      </c>
      <c r="B1359" s="4" t="s">
        <v>3437</v>
      </c>
      <c r="C1359" s="4">
        <v>1.0</v>
      </c>
      <c r="D1359" s="54" t="s">
        <v>274</v>
      </c>
      <c r="E1359" s="4" t="s">
        <v>1191</v>
      </c>
      <c r="F1359" s="54" t="s">
        <v>534</v>
      </c>
      <c r="G1359" s="54" t="s">
        <v>1196</v>
      </c>
      <c r="H1359" s="54" t="s">
        <v>1197</v>
      </c>
      <c r="I1359" s="54" t="s">
        <v>1138</v>
      </c>
      <c r="J1359" s="54" t="s">
        <v>1198</v>
      </c>
      <c r="X1359" s="55" t="str">
        <f t="shared" si="1"/>
        <v>#NAME?</v>
      </c>
    </row>
    <row r="1360">
      <c r="A1360" s="4" t="s">
        <v>3438</v>
      </c>
      <c r="B1360" s="4" t="s">
        <v>3439</v>
      </c>
      <c r="C1360" s="4">
        <v>1.0</v>
      </c>
      <c r="D1360" s="54" t="s">
        <v>274</v>
      </c>
      <c r="E1360" s="4" t="s">
        <v>1191</v>
      </c>
      <c r="F1360" s="54" t="s">
        <v>534</v>
      </c>
      <c r="G1360" s="54" t="s">
        <v>1200</v>
      </c>
      <c r="H1360" s="54" t="s">
        <v>1160</v>
      </c>
      <c r="I1360" s="54" t="s">
        <v>1201</v>
      </c>
      <c r="J1360" s="54" t="s">
        <v>1200</v>
      </c>
      <c r="X1360" s="55" t="str">
        <f t="shared" si="1"/>
        <v>#NAME?</v>
      </c>
    </row>
    <row r="1361">
      <c r="A1361" s="4" t="s">
        <v>3440</v>
      </c>
      <c r="B1361" s="4" t="s">
        <v>3441</v>
      </c>
      <c r="C1361" s="4">
        <v>1.0</v>
      </c>
      <c r="D1361" s="54" t="s">
        <v>274</v>
      </c>
      <c r="E1361" s="4" t="s">
        <v>1191</v>
      </c>
      <c r="F1361" s="54" t="s">
        <v>534</v>
      </c>
      <c r="G1361" s="54" t="s">
        <v>1203</v>
      </c>
      <c r="H1361" s="54" t="s">
        <v>1204</v>
      </c>
      <c r="I1361" s="54" t="s">
        <v>1205</v>
      </c>
      <c r="J1361" s="54" t="s">
        <v>1198</v>
      </c>
      <c r="X1361" s="55" t="str">
        <f t="shared" si="1"/>
        <v>#NAME?</v>
      </c>
    </row>
    <row r="1362">
      <c r="A1362" s="4" t="s">
        <v>3442</v>
      </c>
      <c r="B1362" s="4" t="s">
        <v>3443</v>
      </c>
      <c r="C1362" s="4">
        <v>1.0</v>
      </c>
      <c r="D1362" s="54" t="s">
        <v>673</v>
      </c>
      <c r="E1362" s="4" t="s">
        <v>1088</v>
      </c>
      <c r="F1362" s="54" t="s">
        <v>534</v>
      </c>
      <c r="G1362" s="54" t="s">
        <v>1161</v>
      </c>
      <c r="H1362" s="54" t="s">
        <v>1207</v>
      </c>
      <c r="I1362" s="54" t="s">
        <v>1185</v>
      </c>
      <c r="J1362" s="54" t="s">
        <v>1208</v>
      </c>
      <c r="X1362" s="55" t="str">
        <f t="shared" si="1"/>
        <v>#NAME?</v>
      </c>
    </row>
    <row r="1363">
      <c r="A1363" s="4" t="s">
        <v>3444</v>
      </c>
      <c r="B1363" s="4" t="s">
        <v>3445</v>
      </c>
      <c r="C1363" s="4">
        <v>1.0</v>
      </c>
      <c r="D1363" s="54" t="s">
        <v>683</v>
      </c>
      <c r="E1363" s="4" t="s">
        <v>1088</v>
      </c>
      <c r="F1363" s="54" t="s">
        <v>534</v>
      </c>
      <c r="G1363" s="54" t="s">
        <v>1207</v>
      </c>
      <c r="H1363" s="54" t="s">
        <v>1154</v>
      </c>
      <c r="I1363" s="54" t="s">
        <v>1110</v>
      </c>
      <c r="J1363" s="54" t="s">
        <v>1210</v>
      </c>
      <c r="X1363" s="55" t="str">
        <f t="shared" si="1"/>
        <v>#NAME?</v>
      </c>
    </row>
    <row r="1364">
      <c r="A1364" s="4" t="s">
        <v>3446</v>
      </c>
      <c r="B1364" s="4" t="s">
        <v>3447</v>
      </c>
      <c r="C1364" s="4">
        <v>1.0</v>
      </c>
      <c r="D1364" s="54" t="s">
        <v>694</v>
      </c>
      <c r="E1364" s="4" t="s">
        <v>1098</v>
      </c>
      <c r="F1364" s="54" t="s">
        <v>534</v>
      </c>
      <c r="G1364" s="54" t="s">
        <v>1175</v>
      </c>
      <c r="H1364" s="54" t="s">
        <v>1130</v>
      </c>
      <c r="I1364" s="54" t="s">
        <v>1212</v>
      </c>
      <c r="J1364" s="54" t="s">
        <v>1213</v>
      </c>
      <c r="X1364" s="55" t="str">
        <f t="shared" si="1"/>
        <v>#NAME?</v>
      </c>
    </row>
    <row r="1365">
      <c r="A1365" s="4" t="s">
        <v>3448</v>
      </c>
      <c r="B1365" s="4" t="s">
        <v>3449</v>
      </c>
      <c r="C1365" s="4">
        <v>1.0</v>
      </c>
      <c r="D1365" s="54" t="s">
        <v>971</v>
      </c>
      <c r="E1365" s="4" t="s">
        <v>1088</v>
      </c>
      <c r="F1365" s="54" t="s">
        <v>534</v>
      </c>
      <c r="G1365" s="54" t="s">
        <v>1219</v>
      </c>
      <c r="H1365" s="54" t="s">
        <v>1216</v>
      </c>
      <c r="I1365" s="54" t="s">
        <v>1109</v>
      </c>
      <c r="J1365" s="54" t="s">
        <v>1159</v>
      </c>
      <c r="X1365" s="55" t="str">
        <f t="shared" si="1"/>
        <v>#NAME?</v>
      </c>
    </row>
    <row r="1366">
      <c r="A1366" s="4" t="s">
        <v>3450</v>
      </c>
      <c r="B1366" s="4" t="s">
        <v>3451</v>
      </c>
      <c r="C1366" s="4">
        <v>1.0</v>
      </c>
      <c r="D1366" s="54" t="s">
        <v>626</v>
      </c>
      <c r="E1366" s="4" t="s">
        <v>1098</v>
      </c>
      <c r="F1366" s="54" t="s">
        <v>534</v>
      </c>
      <c r="G1366" s="54" t="s">
        <v>1179</v>
      </c>
      <c r="H1366" s="54" t="s">
        <v>1180</v>
      </c>
      <c r="I1366" s="54" t="s">
        <v>1158</v>
      </c>
      <c r="J1366" s="54" t="s">
        <v>1181</v>
      </c>
      <c r="X1366" s="55" t="str">
        <f t="shared" si="1"/>
        <v>#NAME?</v>
      </c>
    </row>
    <row r="1367">
      <c r="A1367" s="54" t="s">
        <v>3452</v>
      </c>
      <c r="B1367" s="4" t="s">
        <v>3453</v>
      </c>
      <c r="C1367" s="4">
        <v>1.0</v>
      </c>
      <c r="D1367" s="54" t="s">
        <v>287</v>
      </c>
      <c r="E1367" s="4" t="s">
        <v>1088</v>
      </c>
      <c r="F1367" s="54" t="s">
        <v>534</v>
      </c>
      <c r="G1367" s="54" t="s">
        <v>1221</v>
      </c>
      <c r="H1367" s="54" t="s">
        <v>1222</v>
      </c>
      <c r="I1367" s="54" t="s">
        <v>1222</v>
      </c>
      <c r="J1367" s="54" t="s">
        <v>1223</v>
      </c>
      <c r="X1367" s="55" t="str">
        <f t="shared" si="1"/>
        <v>#NAME?</v>
      </c>
    </row>
    <row r="1368">
      <c r="A1368" s="4" t="s">
        <v>3454</v>
      </c>
      <c r="B1368" s="4" t="s">
        <v>3455</v>
      </c>
      <c r="C1368" s="4">
        <v>1.0</v>
      </c>
      <c r="D1368" s="54" t="s">
        <v>421</v>
      </c>
      <c r="E1368" s="4" t="s">
        <v>1088</v>
      </c>
      <c r="F1368" s="54" t="s">
        <v>534</v>
      </c>
      <c r="G1368" s="54" t="s">
        <v>1225</v>
      </c>
      <c r="H1368" s="54" t="s">
        <v>1226</v>
      </c>
      <c r="I1368" s="54" t="s">
        <v>1227</v>
      </c>
      <c r="J1368" s="54" t="s">
        <v>1228</v>
      </c>
      <c r="X1368" s="55" t="str">
        <f t="shared" si="1"/>
        <v>#NAME?</v>
      </c>
    </row>
    <row r="1369">
      <c r="A1369" s="4" t="s">
        <v>3456</v>
      </c>
      <c r="B1369" s="4" t="s">
        <v>3457</v>
      </c>
      <c r="C1369" s="4">
        <v>1.0</v>
      </c>
      <c r="D1369" s="54" t="s">
        <v>737</v>
      </c>
      <c r="E1369" s="4" t="s">
        <v>1191</v>
      </c>
      <c r="F1369" s="54" t="s">
        <v>534</v>
      </c>
      <c r="G1369" s="54" t="s">
        <v>1111</v>
      </c>
      <c r="H1369" s="54" t="s">
        <v>1216</v>
      </c>
      <c r="I1369" s="54" t="s">
        <v>1093</v>
      </c>
      <c r="J1369" s="54" t="s">
        <v>1102</v>
      </c>
      <c r="X1369" s="55" t="str">
        <f t="shared" si="1"/>
        <v>#NAME?</v>
      </c>
    </row>
    <row r="1370">
      <c r="A1370" s="4" t="s">
        <v>3458</v>
      </c>
      <c r="B1370" s="4" t="s">
        <v>3459</v>
      </c>
      <c r="C1370" s="4">
        <v>1.0</v>
      </c>
      <c r="D1370" s="54" t="s">
        <v>737</v>
      </c>
      <c r="E1370" s="4" t="s">
        <v>1191</v>
      </c>
      <c r="F1370" s="54" t="s">
        <v>534</v>
      </c>
      <c r="G1370" s="54" t="s">
        <v>1111</v>
      </c>
      <c r="H1370" s="54" t="s">
        <v>1231</v>
      </c>
      <c r="I1370" s="54" t="s">
        <v>1232</v>
      </c>
      <c r="J1370" s="54" t="s">
        <v>1233</v>
      </c>
      <c r="X1370" s="55" t="str">
        <f t="shared" si="1"/>
        <v>#NAME?</v>
      </c>
    </row>
    <row r="1371">
      <c r="A1371" s="4" t="s">
        <v>3460</v>
      </c>
      <c r="B1371" s="4" t="s">
        <v>3461</v>
      </c>
      <c r="C1371" s="4">
        <v>1.0</v>
      </c>
      <c r="D1371" s="54" t="s">
        <v>737</v>
      </c>
      <c r="E1371" s="4" t="s">
        <v>1191</v>
      </c>
      <c r="F1371" s="54" t="s">
        <v>534</v>
      </c>
      <c r="G1371" s="54" t="s">
        <v>1235</v>
      </c>
      <c r="H1371" s="54" t="s">
        <v>1236</v>
      </c>
      <c r="I1371" s="54" t="s">
        <v>1215</v>
      </c>
      <c r="J1371" s="54" t="s">
        <v>1179</v>
      </c>
      <c r="X1371" s="55" t="str">
        <f t="shared" si="1"/>
        <v>#NAME?</v>
      </c>
    </row>
    <row r="1372">
      <c r="A1372" s="4" t="s">
        <v>3462</v>
      </c>
      <c r="B1372" s="4" t="s">
        <v>3463</v>
      </c>
      <c r="C1372" s="4">
        <v>1.0</v>
      </c>
      <c r="D1372" s="54" t="s">
        <v>737</v>
      </c>
      <c r="E1372" s="4" t="s">
        <v>1191</v>
      </c>
      <c r="F1372" s="54" t="s">
        <v>534</v>
      </c>
      <c r="G1372" s="54" t="s">
        <v>1238</v>
      </c>
      <c r="H1372" s="54" t="s">
        <v>1233</v>
      </c>
      <c r="I1372" s="54" t="s">
        <v>1238</v>
      </c>
      <c r="J1372" s="54" t="s">
        <v>1233</v>
      </c>
      <c r="X1372" s="55" t="str">
        <f t="shared" si="1"/>
        <v>#NAME?</v>
      </c>
    </row>
    <row r="1373">
      <c r="A1373" s="4" t="s">
        <v>3464</v>
      </c>
      <c r="B1373" s="4" t="s">
        <v>3465</v>
      </c>
      <c r="C1373" s="4">
        <v>1.0</v>
      </c>
      <c r="D1373" s="54" t="s">
        <v>807</v>
      </c>
      <c r="E1373" s="4" t="s">
        <v>1088</v>
      </c>
      <c r="F1373" s="54" t="s">
        <v>534</v>
      </c>
      <c r="G1373" s="54" t="s">
        <v>1240</v>
      </c>
      <c r="H1373" s="54" t="s">
        <v>1100</v>
      </c>
      <c r="I1373" s="54" t="s">
        <v>1241</v>
      </c>
      <c r="J1373" s="54" t="s">
        <v>1242</v>
      </c>
      <c r="X1373" s="55" t="str">
        <f t="shared" si="1"/>
        <v>#NAME?</v>
      </c>
    </row>
    <row r="1374">
      <c r="A1374" s="4" t="s">
        <v>3466</v>
      </c>
      <c r="B1374" s="4" t="s">
        <v>3467</v>
      </c>
      <c r="C1374" s="4">
        <v>1.0</v>
      </c>
      <c r="D1374" s="54" t="s">
        <v>963</v>
      </c>
      <c r="E1374" s="4" t="s">
        <v>1088</v>
      </c>
      <c r="F1374" s="54" t="s">
        <v>534</v>
      </c>
      <c r="G1374" s="54" t="s">
        <v>1244</v>
      </c>
      <c r="H1374" s="54" t="s">
        <v>1215</v>
      </c>
      <c r="I1374" s="54" t="s">
        <v>1244</v>
      </c>
      <c r="J1374" s="54" t="s">
        <v>1245</v>
      </c>
      <c r="X1374" s="55" t="str">
        <f t="shared" si="1"/>
        <v>#NAME?</v>
      </c>
    </row>
    <row r="1375">
      <c r="A1375" s="4" t="s">
        <v>3468</v>
      </c>
      <c r="B1375" s="4" t="s">
        <v>3469</v>
      </c>
      <c r="C1375" s="4">
        <v>1.0</v>
      </c>
      <c r="D1375" s="54" t="s">
        <v>963</v>
      </c>
      <c r="E1375" s="4" t="s">
        <v>1088</v>
      </c>
      <c r="F1375" s="54" t="s">
        <v>534</v>
      </c>
      <c r="G1375" s="54" t="s">
        <v>1247</v>
      </c>
      <c r="H1375" s="54" t="s">
        <v>1181</v>
      </c>
      <c r="I1375" s="54" t="s">
        <v>1248</v>
      </c>
      <c r="J1375" s="54" t="s">
        <v>1238</v>
      </c>
      <c r="X1375" s="55" t="str">
        <f t="shared" si="1"/>
        <v>#NAME?</v>
      </c>
    </row>
    <row r="1376">
      <c r="A1376" s="4" t="s">
        <v>3470</v>
      </c>
      <c r="B1376" s="4" t="s">
        <v>3471</v>
      </c>
      <c r="C1376" s="4">
        <v>1.0</v>
      </c>
      <c r="D1376" s="54" t="s">
        <v>694</v>
      </c>
      <c r="E1376" s="4" t="s">
        <v>1098</v>
      </c>
      <c r="F1376" s="54" t="s">
        <v>534</v>
      </c>
      <c r="G1376" s="54" t="s">
        <v>1111</v>
      </c>
      <c r="H1376" s="54" t="s">
        <v>1215</v>
      </c>
      <c r="I1376" s="54" t="s">
        <v>1185</v>
      </c>
      <c r="J1376" s="54" t="s">
        <v>1216</v>
      </c>
      <c r="X1376" s="55" t="str">
        <f t="shared" si="1"/>
        <v>#NAME?</v>
      </c>
    </row>
    <row r="1377">
      <c r="A1377" s="4" t="s">
        <v>3472</v>
      </c>
      <c r="B1377" s="4" t="s">
        <v>3473</v>
      </c>
      <c r="C1377" s="4">
        <v>1.0</v>
      </c>
      <c r="D1377" s="4" t="s">
        <v>1419</v>
      </c>
      <c r="E1377" s="4" t="s">
        <v>1088</v>
      </c>
      <c r="F1377" s="54" t="s">
        <v>534</v>
      </c>
      <c r="G1377" s="54" t="s">
        <v>1093</v>
      </c>
      <c r="H1377" s="54" t="s">
        <v>1093</v>
      </c>
      <c r="I1377" s="54" t="s">
        <v>1109</v>
      </c>
      <c r="J1377" s="54" t="s">
        <v>1109</v>
      </c>
      <c r="X1377" s="55" t="str">
        <f t="shared" si="1"/>
        <v>#NAME?</v>
      </c>
    </row>
    <row r="1378">
      <c r="A1378" s="4" t="s">
        <v>3474</v>
      </c>
      <c r="B1378" s="4" t="s">
        <v>3475</v>
      </c>
      <c r="C1378" s="4">
        <v>1.0</v>
      </c>
      <c r="D1378" s="4" t="s">
        <v>1421</v>
      </c>
      <c r="E1378" s="4" t="s">
        <v>1088</v>
      </c>
      <c r="F1378" s="54" t="s">
        <v>534</v>
      </c>
      <c r="G1378" s="54" t="s">
        <v>1139</v>
      </c>
      <c r="H1378" s="54" t="s">
        <v>1134</v>
      </c>
      <c r="I1378" s="54" t="s">
        <v>1405</v>
      </c>
      <c r="J1378" s="54" t="s">
        <v>1150</v>
      </c>
      <c r="X1378" s="55" t="str">
        <f t="shared" si="1"/>
        <v>#NAME?</v>
      </c>
    </row>
    <row r="1379">
      <c r="A1379" s="4" t="s">
        <v>3476</v>
      </c>
      <c r="B1379" s="4" t="s">
        <v>3477</v>
      </c>
      <c r="C1379" s="4">
        <v>1.0</v>
      </c>
      <c r="D1379" s="4" t="s">
        <v>1261</v>
      </c>
      <c r="E1379" s="4" t="s">
        <v>1251</v>
      </c>
      <c r="F1379" s="54" t="s">
        <v>534</v>
      </c>
      <c r="G1379" s="54" t="s">
        <v>1262</v>
      </c>
      <c r="H1379" s="54" t="s">
        <v>1263</v>
      </c>
      <c r="I1379" s="54" t="s">
        <v>1264</v>
      </c>
      <c r="J1379" s="54" t="s">
        <v>1265</v>
      </c>
      <c r="X1379" s="55" t="str">
        <f t="shared" si="1"/>
        <v>#NAME?</v>
      </c>
    </row>
    <row r="1380">
      <c r="A1380" s="4" t="s">
        <v>3478</v>
      </c>
      <c r="B1380" s="4" t="s">
        <v>3479</v>
      </c>
      <c r="C1380" s="4">
        <v>1.0</v>
      </c>
      <c r="D1380" s="4" t="s">
        <v>1267</v>
      </c>
      <c r="E1380" s="4" t="s">
        <v>1251</v>
      </c>
      <c r="F1380" s="54" t="s">
        <v>357</v>
      </c>
      <c r="G1380" s="54" t="s">
        <v>1200</v>
      </c>
      <c r="H1380" s="54" t="s">
        <v>1099</v>
      </c>
      <c r="I1380" s="54" t="s">
        <v>1099</v>
      </c>
      <c r="J1380" s="54" t="s">
        <v>1253</v>
      </c>
      <c r="X1380" s="55" t="str">
        <f t="shared" si="1"/>
        <v>#NAME?</v>
      </c>
    </row>
    <row r="1381">
      <c r="A1381" s="4" t="s">
        <v>3480</v>
      </c>
      <c r="B1381" s="4" t="s">
        <v>3481</v>
      </c>
      <c r="C1381" s="4">
        <v>1.0</v>
      </c>
      <c r="D1381" s="4" t="s">
        <v>1269</v>
      </c>
      <c r="E1381" s="4" t="s">
        <v>1088</v>
      </c>
      <c r="F1381" s="54" t="s">
        <v>357</v>
      </c>
      <c r="G1381" s="54" t="s">
        <v>1215</v>
      </c>
      <c r="H1381" s="54" t="s">
        <v>1100</v>
      </c>
      <c r="I1381" s="54" t="s">
        <v>1176</v>
      </c>
      <c r="J1381" s="54" t="s">
        <v>1235</v>
      </c>
      <c r="X1381" s="55" t="str">
        <f t="shared" si="1"/>
        <v>#NAME?</v>
      </c>
    </row>
    <row r="1382">
      <c r="A1382" s="4" t="s">
        <v>3482</v>
      </c>
      <c r="B1382" s="4" t="s">
        <v>3483</v>
      </c>
      <c r="C1382" s="4">
        <v>1.0</v>
      </c>
      <c r="D1382" s="4" t="s">
        <v>1271</v>
      </c>
      <c r="E1382" s="4" t="s">
        <v>1088</v>
      </c>
      <c r="F1382" s="54" t="s">
        <v>357</v>
      </c>
      <c r="G1382" s="54" t="s">
        <v>1156</v>
      </c>
      <c r="H1382" s="54" t="s">
        <v>1156</v>
      </c>
      <c r="I1382" s="54" t="s">
        <v>1100</v>
      </c>
      <c r="J1382" s="54" t="s">
        <v>1176</v>
      </c>
      <c r="X1382" s="55" t="str">
        <f t="shared" si="1"/>
        <v>#NAME?</v>
      </c>
    </row>
    <row r="1383">
      <c r="A1383" s="4" t="s">
        <v>3484</v>
      </c>
      <c r="B1383" s="4" t="s">
        <v>3485</v>
      </c>
      <c r="C1383" s="4">
        <v>1.0</v>
      </c>
      <c r="D1383" s="4" t="s">
        <v>1273</v>
      </c>
      <c r="E1383" s="4" t="s">
        <v>1098</v>
      </c>
      <c r="F1383" s="54" t="s">
        <v>357</v>
      </c>
      <c r="G1383" s="54" t="s">
        <v>1120</v>
      </c>
      <c r="H1383" s="54" t="s">
        <v>1274</v>
      </c>
      <c r="I1383" s="54" t="s">
        <v>1275</v>
      </c>
      <c r="J1383" s="54" t="s">
        <v>1276</v>
      </c>
      <c r="X1383" s="55" t="str">
        <f t="shared" si="1"/>
        <v>#NAME?</v>
      </c>
    </row>
    <row r="1384">
      <c r="A1384" s="4" t="s">
        <v>3486</v>
      </c>
      <c r="B1384" s="4" t="s">
        <v>3487</v>
      </c>
      <c r="C1384" s="4">
        <v>1.0</v>
      </c>
      <c r="D1384" s="4" t="s">
        <v>1278</v>
      </c>
      <c r="E1384" s="4" t="s">
        <v>1098</v>
      </c>
      <c r="F1384" s="54" t="s">
        <v>357</v>
      </c>
      <c r="G1384" s="54" t="s">
        <v>1279</v>
      </c>
      <c r="H1384" s="54" t="s">
        <v>1280</v>
      </c>
      <c r="I1384" s="54" t="s">
        <v>1121</v>
      </c>
      <c r="J1384" s="54" t="s">
        <v>1276</v>
      </c>
      <c r="X1384" s="55" t="str">
        <f t="shared" si="1"/>
        <v>#NAME?</v>
      </c>
    </row>
    <row r="1385">
      <c r="A1385" s="4" t="s">
        <v>3488</v>
      </c>
      <c r="B1385" s="4" t="s">
        <v>3489</v>
      </c>
      <c r="C1385" s="4">
        <v>1.0</v>
      </c>
      <c r="D1385" s="4" t="s">
        <v>1282</v>
      </c>
      <c r="E1385" s="4" t="s">
        <v>1098</v>
      </c>
      <c r="F1385" s="54" t="s">
        <v>357</v>
      </c>
      <c r="G1385" s="54" t="s">
        <v>1283</v>
      </c>
      <c r="H1385" s="54" t="s">
        <v>1284</v>
      </c>
      <c r="I1385" s="54" t="s">
        <v>1151</v>
      </c>
      <c r="J1385" s="54" t="s">
        <v>1144</v>
      </c>
      <c r="X1385" s="55" t="str">
        <f t="shared" si="1"/>
        <v>#NAME?</v>
      </c>
    </row>
    <row r="1386">
      <c r="A1386" s="54" t="s">
        <v>3490</v>
      </c>
      <c r="B1386" s="4" t="s">
        <v>3491</v>
      </c>
      <c r="C1386" s="4">
        <v>1.0</v>
      </c>
      <c r="D1386" s="4" t="s">
        <v>1286</v>
      </c>
      <c r="E1386" s="4" t="s">
        <v>1088</v>
      </c>
      <c r="F1386" s="54" t="s">
        <v>357</v>
      </c>
      <c r="G1386" s="54" t="s">
        <v>1287</v>
      </c>
      <c r="H1386" s="54" t="s">
        <v>1287</v>
      </c>
      <c r="I1386" s="54" t="s">
        <v>1288</v>
      </c>
      <c r="J1386" s="54" t="s">
        <v>1289</v>
      </c>
      <c r="X1386" s="55" t="str">
        <f t="shared" si="1"/>
        <v>#NAME?</v>
      </c>
    </row>
    <row r="1387">
      <c r="A1387" s="4" t="s">
        <v>3492</v>
      </c>
      <c r="B1387" s="4" t="s">
        <v>3493</v>
      </c>
      <c r="C1387" s="4">
        <v>1.0</v>
      </c>
      <c r="D1387" s="4" t="s">
        <v>1291</v>
      </c>
      <c r="E1387" s="4" t="s">
        <v>1088</v>
      </c>
      <c r="F1387" s="54" t="s">
        <v>357</v>
      </c>
      <c r="G1387" s="54" t="s">
        <v>1292</v>
      </c>
      <c r="H1387" s="54" t="s">
        <v>1205</v>
      </c>
      <c r="I1387" s="54" t="s">
        <v>1292</v>
      </c>
      <c r="J1387" s="54" t="s">
        <v>1293</v>
      </c>
      <c r="X1387" s="55" t="str">
        <f t="shared" si="1"/>
        <v>#NAME?</v>
      </c>
    </row>
    <row r="1388">
      <c r="A1388" s="4" t="s">
        <v>3494</v>
      </c>
      <c r="B1388" s="4" t="s">
        <v>3495</v>
      </c>
      <c r="C1388" s="4">
        <v>1.0</v>
      </c>
      <c r="D1388" s="4" t="s">
        <v>1295</v>
      </c>
      <c r="E1388" s="4" t="s">
        <v>1296</v>
      </c>
      <c r="F1388" s="54" t="s">
        <v>357</v>
      </c>
      <c r="G1388" s="54" t="s">
        <v>1297</v>
      </c>
      <c r="H1388" s="54" t="s">
        <v>1298</v>
      </c>
      <c r="I1388" s="54" t="s">
        <v>1299</v>
      </c>
      <c r="J1388" s="54" t="s">
        <v>1300</v>
      </c>
      <c r="X1388" s="55" t="str">
        <f t="shared" si="1"/>
        <v>#NAME?</v>
      </c>
    </row>
    <row r="1389">
      <c r="A1389" s="4" t="s">
        <v>3496</v>
      </c>
      <c r="B1389" s="4" t="s">
        <v>3497</v>
      </c>
      <c r="C1389" s="4">
        <v>1.0</v>
      </c>
      <c r="D1389" s="4" t="s">
        <v>1348</v>
      </c>
      <c r="E1389" s="4" t="s">
        <v>1098</v>
      </c>
      <c r="F1389" s="54" t="s">
        <v>357</v>
      </c>
      <c r="G1389" s="54" t="s">
        <v>1134</v>
      </c>
      <c r="H1389" s="54" t="s">
        <v>1349</v>
      </c>
      <c r="I1389" s="54" t="s">
        <v>1350</v>
      </c>
      <c r="J1389" s="54" t="s">
        <v>1351</v>
      </c>
      <c r="X1389" s="55" t="str">
        <f t="shared" si="1"/>
        <v>#NAME?</v>
      </c>
    </row>
    <row r="1390">
      <c r="A1390" s="4" t="s">
        <v>3498</v>
      </c>
      <c r="B1390" s="4" t="s">
        <v>3499</v>
      </c>
      <c r="C1390" s="4">
        <v>1.0</v>
      </c>
      <c r="D1390" s="4" t="s">
        <v>1353</v>
      </c>
      <c r="E1390" s="4" t="s">
        <v>1088</v>
      </c>
      <c r="F1390" s="54" t="s">
        <v>357</v>
      </c>
      <c r="G1390" s="54" t="s">
        <v>1186</v>
      </c>
      <c r="H1390" s="54" t="s">
        <v>1179</v>
      </c>
      <c r="I1390" s="54" t="s">
        <v>1183</v>
      </c>
      <c r="J1390" s="54" t="s">
        <v>1183</v>
      </c>
      <c r="X1390" s="55" t="str">
        <f t="shared" si="1"/>
        <v>#NAME?</v>
      </c>
    </row>
    <row r="1391">
      <c r="A1391" s="4" t="s">
        <v>3500</v>
      </c>
      <c r="B1391" s="4" t="s">
        <v>3501</v>
      </c>
      <c r="C1391" s="4">
        <v>1.0</v>
      </c>
      <c r="D1391" s="4" t="s">
        <v>1311</v>
      </c>
      <c r="E1391" s="4" t="s">
        <v>1296</v>
      </c>
      <c r="F1391" s="54" t="s">
        <v>357</v>
      </c>
      <c r="G1391" s="54" t="s">
        <v>1312</v>
      </c>
      <c r="H1391" s="54" t="s">
        <v>1313</v>
      </c>
      <c r="I1391" s="54" t="s">
        <v>1127</v>
      </c>
      <c r="J1391" s="54" t="s">
        <v>1314</v>
      </c>
      <c r="X1391" s="55" t="str">
        <f t="shared" si="1"/>
        <v>#NAME?</v>
      </c>
    </row>
    <row r="1392">
      <c r="A1392" s="4" t="s">
        <v>3502</v>
      </c>
      <c r="B1392" s="4" t="s">
        <v>3503</v>
      </c>
      <c r="C1392" s="4">
        <v>1.0</v>
      </c>
      <c r="D1392" s="4" t="s">
        <v>1316</v>
      </c>
      <c r="E1392" s="4" t="s">
        <v>1296</v>
      </c>
      <c r="F1392" s="54" t="s">
        <v>357</v>
      </c>
      <c r="G1392" s="54" t="s">
        <v>1126</v>
      </c>
      <c r="H1392" s="54" t="s">
        <v>1317</v>
      </c>
      <c r="I1392" s="54" t="s">
        <v>1318</v>
      </c>
      <c r="J1392" s="54" t="s">
        <v>1314</v>
      </c>
      <c r="X1392" s="55" t="str">
        <f t="shared" si="1"/>
        <v>#NAME?</v>
      </c>
    </row>
    <row r="1393">
      <c r="A1393" s="4" t="s">
        <v>3504</v>
      </c>
      <c r="B1393" s="4" t="s">
        <v>3505</v>
      </c>
      <c r="C1393" s="4">
        <v>1.0</v>
      </c>
      <c r="D1393" s="4" t="s">
        <v>1320</v>
      </c>
      <c r="E1393" s="4" t="s">
        <v>1296</v>
      </c>
      <c r="F1393" s="54" t="s">
        <v>357</v>
      </c>
      <c r="G1393" s="54" t="s">
        <v>1196</v>
      </c>
      <c r="H1393" s="54" t="s">
        <v>1321</v>
      </c>
      <c r="I1393" s="54" t="s">
        <v>1192</v>
      </c>
      <c r="J1393" s="54" t="s">
        <v>1322</v>
      </c>
      <c r="X1393" s="55" t="str">
        <f t="shared" si="1"/>
        <v>#NAME?</v>
      </c>
    </row>
    <row r="1394">
      <c r="A1394" s="4" t="s">
        <v>3506</v>
      </c>
      <c r="B1394" s="4" t="s">
        <v>3507</v>
      </c>
      <c r="C1394" s="4">
        <v>1.0</v>
      </c>
      <c r="D1394" s="4" t="s">
        <v>1324</v>
      </c>
      <c r="E1394" s="4" t="s">
        <v>1296</v>
      </c>
      <c r="F1394" s="54" t="s">
        <v>357</v>
      </c>
      <c r="G1394" s="54" t="s">
        <v>1325</v>
      </c>
      <c r="H1394" s="54" t="s">
        <v>1303</v>
      </c>
      <c r="I1394" s="54" t="s">
        <v>1326</v>
      </c>
      <c r="J1394" s="54" t="s">
        <v>1117</v>
      </c>
      <c r="X1394" s="55" t="str">
        <f t="shared" si="1"/>
        <v>#NAME?</v>
      </c>
    </row>
    <row r="1395">
      <c r="A1395" s="4" t="s">
        <v>3508</v>
      </c>
      <c r="B1395" s="4" t="s">
        <v>3509</v>
      </c>
      <c r="C1395" s="4">
        <v>1.0</v>
      </c>
      <c r="D1395" s="4" t="s">
        <v>1328</v>
      </c>
      <c r="E1395" s="4" t="s">
        <v>1296</v>
      </c>
      <c r="F1395" s="54" t="s">
        <v>357</v>
      </c>
      <c r="G1395" s="54" t="s">
        <v>1329</v>
      </c>
      <c r="H1395" s="54" t="s">
        <v>1330</v>
      </c>
      <c r="I1395" s="54" t="s">
        <v>1331</v>
      </c>
      <c r="J1395" s="54" t="s">
        <v>1125</v>
      </c>
      <c r="X1395" s="55" t="str">
        <f t="shared" si="1"/>
        <v>#NAME?</v>
      </c>
    </row>
    <row r="1396">
      <c r="A1396" s="4" t="s">
        <v>3510</v>
      </c>
      <c r="B1396" s="4" t="s">
        <v>3511</v>
      </c>
      <c r="C1396" s="4">
        <v>1.0</v>
      </c>
      <c r="D1396" s="4" t="s">
        <v>1333</v>
      </c>
      <c r="E1396" s="4" t="s">
        <v>1088</v>
      </c>
      <c r="F1396" s="54" t="s">
        <v>357</v>
      </c>
      <c r="G1396" s="54" t="s">
        <v>1287</v>
      </c>
      <c r="H1396" s="54" t="s">
        <v>1293</v>
      </c>
      <c r="I1396" s="54" t="s">
        <v>1334</v>
      </c>
      <c r="J1396" s="54" t="s">
        <v>1203</v>
      </c>
      <c r="X1396" s="55" t="str">
        <f t="shared" si="1"/>
        <v>#NAME?</v>
      </c>
    </row>
    <row r="1397">
      <c r="A1397" s="4" t="s">
        <v>3512</v>
      </c>
      <c r="B1397" s="4" t="s">
        <v>3513</v>
      </c>
      <c r="C1397" s="4">
        <v>1.0</v>
      </c>
      <c r="D1397" s="4" t="s">
        <v>1336</v>
      </c>
      <c r="E1397" s="4" t="s">
        <v>1088</v>
      </c>
      <c r="F1397" s="54" t="s">
        <v>357</v>
      </c>
      <c r="G1397" s="54" t="s">
        <v>1292</v>
      </c>
      <c r="H1397" s="54" t="s">
        <v>1334</v>
      </c>
      <c r="I1397" s="54" t="s">
        <v>1337</v>
      </c>
      <c r="J1397" s="54" t="s">
        <v>1292</v>
      </c>
      <c r="X1397" s="55" t="str">
        <f t="shared" si="1"/>
        <v>#NAME?</v>
      </c>
    </row>
    <row r="1398">
      <c r="A1398" s="4" t="s">
        <v>3514</v>
      </c>
      <c r="B1398" s="4" t="s">
        <v>3515</v>
      </c>
      <c r="C1398" s="4">
        <v>1.0</v>
      </c>
      <c r="D1398" s="4" t="s">
        <v>1339</v>
      </c>
      <c r="E1398" s="4" t="s">
        <v>1098</v>
      </c>
      <c r="F1398" s="54" t="s">
        <v>357</v>
      </c>
      <c r="G1398" s="54" t="s">
        <v>1340</v>
      </c>
      <c r="H1398" s="54" t="s">
        <v>1140</v>
      </c>
      <c r="I1398" s="54" t="s">
        <v>1326</v>
      </c>
      <c r="J1398" s="54" t="s">
        <v>1303</v>
      </c>
      <c r="X1398" s="55" t="str">
        <f t="shared" si="1"/>
        <v>#NAME?</v>
      </c>
    </row>
    <row r="1399">
      <c r="A1399" s="4" t="s">
        <v>3516</v>
      </c>
      <c r="B1399" s="4" t="s">
        <v>3517</v>
      </c>
      <c r="C1399" s="4">
        <v>1.0</v>
      </c>
      <c r="D1399" s="4" t="s">
        <v>1342</v>
      </c>
      <c r="E1399" s="4" t="s">
        <v>1098</v>
      </c>
      <c r="F1399" s="54" t="s">
        <v>357</v>
      </c>
      <c r="G1399" s="54" t="s">
        <v>1343</v>
      </c>
      <c r="H1399" s="54" t="s">
        <v>1344</v>
      </c>
      <c r="I1399" s="54" t="s">
        <v>1345</v>
      </c>
      <c r="J1399" s="54" t="s">
        <v>1346</v>
      </c>
      <c r="X1399" s="55" t="str">
        <f t="shared" si="1"/>
        <v>#NAME?</v>
      </c>
    </row>
    <row r="1400">
      <c r="A1400" s="4" t="s">
        <v>3518</v>
      </c>
      <c r="B1400" s="4" t="s">
        <v>3519</v>
      </c>
      <c r="C1400" s="4">
        <v>1.0</v>
      </c>
      <c r="D1400" s="4" t="s">
        <v>1302</v>
      </c>
      <c r="E1400" s="4" t="s">
        <v>1296</v>
      </c>
      <c r="F1400" s="54" t="s">
        <v>357</v>
      </c>
      <c r="G1400" s="54" t="s">
        <v>1198</v>
      </c>
      <c r="H1400" s="54" t="s">
        <v>1144</v>
      </c>
      <c r="I1400" s="54" t="s">
        <v>1303</v>
      </c>
      <c r="J1400" s="54" t="s">
        <v>1304</v>
      </c>
      <c r="X1400" s="55" t="str">
        <f t="shared" si="1"/>
        <v>#NAME?</v>
      </c>
    </row>
    <row r="1401">
      <c r="A1401" s="4" t="s">
        <v>3520</v>
      </c>
      <c r="B1401" s="4" t="s">
        <v>3521</v>
      </c>
      <c r="C1401" s="4">
        <v>1.0</v>
      </c>
      <c r="D1401" s="54" t="s">
        <v>809</v>
      </c>
      <c r="E1401" s="4" t="s">
        <v>1251</v>
      </c>
      <c r="F1401" s="54" t="s">
        <v>534</v>
      </c>
      <c r="G1401" s="54" t="s">
        <v>1252</v>
      </c>
      <c r="H1401" s="54" t="s">
        <v>1253</v>
      </c>
      <c r="I1401" s="54" t="s">
        <v>1173</v>
      </c>
      <c r="J1401" s="54" t="s">
        <v>1254</v>
      </c>
      <c r="X1401" s="55" t="str">
        <f t="shared" si="1"/>
        <v>#NAME?</v>
      </c>
    </row>
    <row r="1402">
      <c r="A1402" s="4" t="s">
        <v>3522</v>
      </c>
      <c r="B1402" s="4" t="s">
        <v>3523</v>
      </c>
      <c r="C1402" s="4">
        <v>1.0</v>
      </c>
      <c r="D1402" s="4" t="s">
        <v>1355</v>
      </c>
      <c r="E1402" s="4" t="s">
        <v>1088</v>
      </c>
      <c r="F1402" s="54" t="s">
        <v>357</v>
      </c>
      <c r="G1402" s="54" t="s">
        <v>1356</v>
      </c>
      <c r="H1402" s="54" t="s">
        <v>1244</v>
      </c>
      <c r="I1402" s="54" t="s">
        <v>1244</v>
      </c>
      <c r="J1402" s="54" t="s">
        <v>1244</v>
      </c>
      <c r="X1402" s="55" t="str">
        <f t="shared" si="1"/>
        <v>#NAME?</v>
      </c>
    </row>
    <row r="1403">
      <c r="A1403" s="4" t="s">
        <v>3524</v>
      </c>
      <c r="B1403" s="4" t="s">
        <v>3525</v>
      </c>
      <c r="C1403" s="4">
        <v>1.0</v>
      </c>
      <c r="D1403" s="4" t="s">
        <v>1396</v>
      </c>
      <c r="E1403" s="4" t="s">
        <v>1397</v>
      </c>
      <c r="F1403" s="54" t="s">
        <v>534</v>
      </c>
      <c r="G1403" s="54" t="s">
        <v>1148</v>
      </c>
      <c r="H1403" s="54" t="s">
        <v>1398</v>
      </c>
      <c r="I1403" s="54" t="s">
        <v>1151</v>
      </c>
      <c r="J1403" s="54" t="s">
        <v>1115</v>
      </c>
      <c r="X1403" s="55" t="str">
        <f t="shared" si="1"/>
        <v>#NAME?</v>
      </c>
    </row>
    <row r="1404">
      <c r="A1404" s="4" t="s">
        <v>3526</v>
      </c>
      <c r="B1404" s="4" t="s">
        <v>3527</v>
      </c>
      <c r="C1404" s="4">
        <v>1.0</v>
      </c>
      <c r="D1404" s="4" t="s">
        <v>1363</v>
      </c>
      <c r="E1404" s="4" t="s">
        <v>1251</v>
      </c>
      <c r="F1404" s="54" t="s">
        <v>534</v>
      </c>
      <c r="G1404" s="54" t="s">
        <v>1364</v>
      </c>
      <c r="H1404" s="54" t="s">
        <v>1264</v>
      </c>
      <c r="I1404" s="54" t="s">
        <v>1365</v>
      </c>
      <c r="J1404" s="54" t="s">
        <v>1366</v>
      </c>
      <c r="X1404" s="55" t="str">
        <f t="shared" si="1"/>
        <v>#NAME?</v>
      </c>
    </row>
    <row r="1405">
      <c r="A1405" s="4" t="s">
        <v>3528</v>
      </c>
      <c r="B1405" s="4" t="s">
        <v>3529</v>
      </c>
      <c r="C1405" s="4">
        <v>1.0</v>
      </c>
      <c r="D1405" s="4" t="s">
        <v>1368</v>
      </c>
      <c r="E1405" s="4" t="s">
        <v>1088</v>
      </c>
      <c r="F1405" s="54" t="s">
        <v>357</v>
      </c>
      <c r="G1405" s="54" t="s">
        <v>1292</v>
      </c>
      <c r="H1405" s="54" t="s">
        <v>1337</v>
      </c>
      <c r="I1405" s="54" t="s">
        <v>1288</v>
      </c>
      <c r="J1405" s="54" t="s">
        <v>1292</v>
      </c>
      <c r="X1405" s="55" t="str">
        <f t="shared" si="1"/>
        <v>#NAME?</v>
      </c>
    </row>
    <row r="1406">
      <c r="A1406" s="4" t="s">
        <v>3530</v>
      </c>
      <c r="B1406" s="4" t="s">
        <v>3531</v>
      </c>
      <c r="C1406" s="4">
        <v>1.0</v>
      </c>
      <c r="D1406" s="4" t="s">
        <v>1370</v>
      </c>
      <c r="E1406" s="4" t="s">
        <v>1088</v>
      </c>
      <c r="F1406" s="54" t="s">
        <v>357</v>
      </c>
      <c r="G1406" s="54" t="s">
        <v>1287</v>
      </c>
      <c r="H1406" s="54" t="s">
        <v>1293</v>
      </c>
      <c r="I1406" s="54" t="s">
        <v>1292</v>
      </c>
      <c r="J1406" s="54" t="s">
        <v>1288</v>
      </c>
      <c r="X1406" s="55" t="str">
        <f t="shared" si="1"/>
        <v>#NAME?</v>
      </c>
    </row>
    <row r="1407">
      <c r="A1407" s="4" t="s">
        <v>3532</v>
      </c>
      <c r="B1407" s="4" t="s">
        <v>3533</v>
      </c>
      <c r="C1407" s="4">
        <v>1.0</v>
      </c>
      <c r="D1407" s="4" t="s">
        <v>1372</v>
      </c>
      <c r="E1407" s="4" t="s">
        <v>1251</v>
      </c>
      <c r="F1407" s="54" t="s">
        <v>357</v>
      </c>
      <c r="G1407" s="54" t="s">
        <v>1194</v>
      </c>
      <c r="H1407" s="54" t="s">
        <v>1192</v>
      </c>
      <c r="I1407" s="54" t="s">
        <v>1349</v>
      </c>
      <c r="J1407" s="54" t="s">
        <v>1373</v>
      </c>
      <c r="X1407" s="55" t="str">
        <f t="shared" si="1"/>
        <v>#NAME?</v>
      </c>
    </row>
    <row r="1408">
      <c r="A1408" s="4" t="s">
        <v>3534</v>
      </c>
      <c r="B1408" s="4" t="s">
        <v>3535</v>
      </c>
      <c r="C1408" s="4">
        <v>1.0</v>
      </c>
      <c r="D1408" s="4" t="s">
        <v>1375</v>
      </c>
      <c r="E1408" s="4" t="s">
        <v>1251</v>
      </c>
      <c r="F1408" s="54" t="s">
        <v>534</v>
      </c>
      <c r="G1408" s="54" t="s">
        <v>1376</v>
      </c>
      <c r="H1408" s="54" t="s">
        <v>1377</v>
      </c>
      <c r="I1408" s="54" t="s">
        <v>1378</v>
      </c>
      <c r="J1408" s="54" t="s">
        <v>1379</v>
      </c>
      <c r="X1408" s="55" t="str">
        <f t="shared" si="1"/>
        <v>#NAME?</v>
      </c>
    </row>
    <row r="1409">
      <c r="A1409" s="4" t="s">
        <v>3536</v>
      </c>
      <c r="B1409" s="4" t="s">
        <v>3537</v>
      </c>
      <c r="C1409" s="4">
        <v>1.0</v>
      </c>
      <c r="D1409" s="4" t="s">
        <v>1381</v>
      </c>
      <c r="E1409" s="4" t="s">
        <v>1098</v>
      </c>
      <c r="F1409" s="54" t="s">
        <v>534</v>
      </c>
      <c r="G1409" s="54" t="s">
        <v>1382</v>
      </c>
      <c r="H1409" s="54" t="s">
        <v>1274</v>
      </c>
      <c r="I1409" s="54" t="s">
        <v>1147</v>
      </c>
      <c r="J1409" s="54" t="s">
        <v>1383</v>
      </c>
      <c r="X1409" s="55" t="str">
        <f t="shared" si="1"/>
        <v>#NAME?</v>
      </c>
    </row>
    <row r="1410">
      <c r="A1410" s="4" t="s">
        <v>3538</v>
      </c>
      <c r="B1410" s="4" t="s">
        <v>3539</v>
      </c>
      <c r="C1410" s="4">
        <v>1.0</v>
      </c>
      <c r="D1410" s="4" t="s">
        <v>1385</v>
      </c>
      <c r="E1410" s="4" t="s">
        <v>1098</v>
      </c>
      <c r="F1410" s="54" t="s">
        <v>534</v>
      </c>
      <c r="G1410" s="54" t="s">
        <v>1121</v>
      </c>
      <c r="H1410" s="54" t="s">
        <v>1274</v>
      </c>
      <c r="I1410" s="54" t="s">
        <v>1122</v>
      </c>
      <c r="J1410" s="54" t="s">
        <v>1360</v>
      </c>
      <c r="X1410" s="55" t="str">
        <f t="shared" si="1"/>
        <v>#NAME?</v>
      </c>
    </row>
    <row r="1411">
      <c r="A1411" s="4" t="s">
        <v>3540</v>
      </c>
      <c r="B1411" s="4" t="s">
        <v>3541</v>
      </c>
      <c r="C1411" s="4">
        <v>1.0</v>
      </c>
      <c r="D1411" s="4" t="s">
        <v>1387</v>
      </c>
      <c r="E1411" s="4" t="s">
        <v>1098</v>
      </c>
      <c r="F1411" s="54" t="s">
        <v>534</v>
      </c>
      <c r="G1411" s="54" t="s">
        <v>1148</v>
      </c>
      <c r="H1411" s="54" t="s">
        <v>1309</v>
      </c>
      <c r="I1411" s="54" t="s">
        <v>1139</v>
      </c>
      <c r="J1411" s="54" t="s">
        <v>1308</v>
      </c>
      <c r="X1411" s="55" t="str">
        <f t="shared" si="1"/>
        <v>#NAME?</v>
      </c>
    </row>
    <row r="1412">
      <c r="A1412" s="4" t="s">
        <v>3542</v>
      </c>
      <c r="B1412" s="4" t="s">
        <v>3543</v>
      </c>
      <c r="C1412" s="4">
        <v>1.0</v>
      </c>
      <c r="D1412" s="4" t="s">
        <v>1389</v>
      </c>
      <c r="E1412" s="4" t="s">
        <v>1088</v>
      </c>
      <c r="F1412" s="54" t="s">
        <v>534</v>
      </c>
      <c r="G1412" s="54" t="s">
        <v>1122</v>
      </c>
      <c r="H1412" s="54" t="s">
        <v>1390</v>
      </c>
      <c r="I1412" s="54" t="s">
        <v>1391</v>
      </c>
      <c r="J1412" s="54" t="s">
        <v>1340</v>
      </c>
      <c r="X1412" s="55" t="str">
        <f t="shared" si="1"/>
        <v>#NAME?</v>
      </c>
    </row>
    <row r="1413">
      <c r="A1413" s="4" t="s">
        <v>3544</v>
      </c>
      <c r="B1413" s="4" t="s">
        <v>3545</v>
      </c>
      <c r="C1413" s="4">
        <v>1.0</v>
      </c>
      <c r="D1413" s="54" t="s">
        <v>481</v>
      </c>
      <c r="E1413" s="4" t="s">
        <v>1251</v>
      </c>
      <c r="F1413" s="54" t="s">
        <v>357</v>
      </c>
      <c r="G1413" s="54" t="s">
        <v>1256</v>
      </c>
      <c r="H1413" s="54" t="s">
        <v>1257</v>
      </c>
      <c r="I1413" s="54" t="s">
        <v>1258</v>
      </c>
      <c r="J1413" s="54" t="s">
        <v>1259</v>
      </c>
      <c r="X1413" s="55" t="str">
        <f t="shared" si="1"/>
        <v>#NAME?</v>
      </c>
    </row>
    <row r="1414">
      <c r="A1414" s="4" t="s">
        <v>3546</v>
      </c>
      <c r="B1414" s="4" t="s">
        <v>3547</v>
      </c>
      <c r="C1414" s="4">
        <v>1.0</v>
      </c>
      <c r="D1414" s="4" t="s">
        <v>1358</v>
      </c>
      <c r="E1414" s="4" t="s">
        <v>1251</v>
      </c>
      <c r="F1414" s="54" t="s">
        <v>357</v>
      </c>
      <c r="G1414" s="54" t="s">
        <v>1359</v>
      </c>
      <c r="H1414" s="54" t="s">
        <v>1200</v>
      </c>
      <c r="I1414" s="54" t="s">
        <v>1360</v>
      </c>
      <c r="J1414" s="54" t="s">
        <v>1361</v>
      </c>
      <c r="X1414" s="55" t="str">
        <f t="shared" si="1"/>
        <v>#NAME?</v>
      </c>
    </row>
    <row r="1415">
      <c r="A1415" s="4" t="s">
        <v>3548</v>
      </c>
      <c r="B1415" s="4" t="s">
        <v>3549</v>
      </c>
      <c r="C1415" s="4">
        <v>1.0</v>
      </c>
      <c r="D1415" s="4" t="s">
        <v>1400</v>
      </c>
      <c r="E1415" s="4" t="s">
        <v>1397</v>
      </c>
      <c r="F1415" s="54" t="s">
        <v>534</v>
      </c>
      <c r="G1415" s="54" t="s">
        <v>1152</v>
      </c>
      <c r="H1415" s="54" t="s">
        <v>1275</v>
      </c>
      <c r="I1415" s="54" t="s">
        <v>1148</v>
      </c>
      <c r="J1415" s="54" t="s">
        <v>1318</v>
      </c>
      <c r="X1415" s="55" t="str">
        <f t="shared" si="1"/>
        <v>#NAME?</v>
      </c>
    </row>
    <row r="1416">
      <c r="A1416" s="4" t="s">
        <v>3550</v>
      </c>
      <c r="B1416" s="4" t="s">
        <v>3551</v>
      </c>
      <c r="C1416" s="4">
        <v>1.0</v>
      </c>
      <c r="D1416" s="4" t="s">
        <v>1402</v>
      </c>
      <c r="E1416" s="4" t="s">
        <v>1397</v>
      </c>
      <c r="F1416" s="54" t="s">
        <v>534</v>
      </c>
      <c r="G1416" s="54" t="s">
        <v>1275</v>
      </c>
      <c r="H1416" s="54" t="s">
        <v>1275</v>
      </c>
      <c r="I1416" s="54" t="s">
        <v>1116</v>
      </c>
      <c r="J1416" s="54" t="s">
        <v>1121</v>
      </c>
      <c r="X1416" s="55" t="str">
        <f t="shared" si="1"/>
        <v>#NAME?</v>
      </c>
    </row>
    <row r="1417">
      <c r="A1417" s="54" t="s">
        <v>3552</v>
      </c>
      <c r="B1417" s="4" t="s">
        <v>3553</v>
      </c>
      <c r="C1417" s="4">
        <v>1.0</v>
      </c>
      <c r="D1417" s="4" t="s">
        <v>1404</v>
      </c>
      <c r="E1417" s="4" t="s">
        <v>1088</v>
      </c>
      <c r="F1417" s="54" t="s">
        <v>534</v>
      </c>
      <c r="G1417" s="54" t="s">
        <v>1275</v>
      </c>
      <c r="H1417" s="54" t="s">
        <v>1343</v>
      </c>
      <c r="I1417" s="54" t="s">
        <v>1343</v>
      </c>
      <c r="J1417" s="54" t="s">
        <v>1405</v>
      </c>
      <c r="X1417" s="55" t="str">
        <f t="shared" si="1"/>
        <v>#NAME?</v>
      </c>
    </row>
    <row r="1418">
      <c r="A1418" s="4" t="s">
        <v>3554</v>
      </c>
      <c r="B1418" s="4" t="s">
        <v>3555</v>
      </c>
      <c r="C1418" s="4">
        <v>1.0</v>
      </c>
      <c r="D1418" s="4" t="s">
        <v>1407</v>
      </c>
      <c r="E1418" s="4" t="s">
        <v>1088</v>
      </c>
      <c r="F1418" s="54" t="s">
        <v>534</v>
      </c>
      <c r="G1418" s="54" t="s">
        <v>1116</v>
      </c>
      <c r="H1418" s="54" t="s">
        <v>1123</v>
      </c>
      <c r="I1418" s="54" t="s">
        <v>1147</v>
      </c>
      <c r="J1418" s="54" t="s">
        <v>1303</v>
      </c>
      <c r="X1418" s="55" t="str">
        <f t="shared" si="1"/>
        <v>#NAME?</v>
      </c>
    </row>
    <row r="1419">
      <c r="A1419" s="4" t="s">
        <v>3556</v>
      </c>
      <c r="B1419" s="4" t="s">
        <v>3557</v>
      </c>
      <c r="C1419" s="4">
        <v>1.0</v>
      </c>
      <c r="D1419" s="4" t="s">
        <v>1409</v>
      </c>
      <c r="E1419" s="4" t="s">
        <v>1088</v>
      </c>
      <c r="F1419" s="54" t="s">
        <v>534</v>
      </c>
      <c r="G1419" s="54" t="s">
        <v>1115</v>
      </c>
      <c r="H1419" s="54" t="s">
        <v>1115</v>
      </c>
      <c r="I1419" s="54" t="s">
        <v>1405</v>
      </c>
      <c r="J1419" s="54" t="s">
        <v>1340</v>
      </c>
      <c r="X1419" s="55" t="str">
        <f t="shared" si="1"/>
        <v>#NAME?</v>
      </c>
    </row>
    <row r="1420">
      <c r="A1420" s="4" t="s">
        <v>3558</v>
      </c>
      <c r="B1420" s="4" t="s">
        <v>3559</v>
      </c>
      <c r="C1420" s="4">
        <v>1.0</v>
      </c>
      <c r="D1420" s="4" t="s">
        <v>1411</v>
      </c>
      <c r="E1420" s="4" t="s">
        <v>1088</v>
      </c>
      <c r="F1420" s="54" t="s">
        <v>534</v>
      </c>
      <c r="G1420" s="54" t="s">
        <v>1170</v>
      </c>
      <c r="H1420" s="54" t="s">
        <v>1219</v>
      </c>
      <c r="I1420" s="54" t="s">
        <v>1154</v>
      </c>
      <c r="J1420" s="54" t="s">
        <v>1216</v>
      </c>
      <c r="X1420" s="55" t="str">
        <f t="shared" si="1"/>
        <v>#NAME?</v>
      </c>
    </row>
    <row r="1421">
      <c r="A1421" s="4" t="s">
        <v>3560</v>
      </c>
      <c r="B1421" s="4" t="s">
        <v>3561</v>
      </c>
      <c r="C1421" s="4">
        <v>1.0</v>
      </c>
      <c r="D1421" s="4" t="s">
        <v>1411</v>
      </c>
      <c r="E1421" s="4" t="s">
        <v>1088</v>
      </c>
      <c r="F1421" s="54" t="s">
        <v>534</v>
      </c>
      <c r="G1421" s="54" t="s">
        <v>1170</v>
      </c>
      <c r="H1421" s="54" t="s">
        <v>1159</v>
      </c>
      <c r="I1421" s="54" t="s">
        <v>1413</v>
      </c>
      <c r="J1421" s="54" t="s">
        <v>1093</v>
      </c>
      <c r="X1421" s="55" t="str">
        <f t="shared" si="1"/>
        <v>#NAME?</v>
      </c>
    </row>
    <row r="1422">
      <c r="A1422" s="4" t="s">
        <v>3562</v>
      </c>
      <c r="B1422" s="4" t="s">
        <v>3563</v>
      </c>
      <c r="C1422" s="4">
        <v>1.0</v>
      </c>
      <c r="D1422" s="4" t="s">
        <v>1411</v>
      </c>
      <c r="E1422" s="4" t="s">
        <v>1088</v>
      </c>
      <c r="F1422" s="54" t="s">
        <v>534</v>
      </c>
      <c r="G1422" s="54" t="s">
        <v>1093</v>
      </c>
      <c r="H1422" s="54" t="s">
        <v>1093</v>
      </c>
      <c r="I1422" s="54" t="s">
        <v>1111</v>
      </c>
      <c r="J1422" s="54" t="s">
        <v>1160</v>
      </c>
      <c r="X1422" s="55" t="str">
        <f t="shared" si="1"/>
        <v>#NAME?</v>
      </c>
    </row>
    <row r="1423">
      <c r="A1423" s="4" t="s">
        <v>3564</v>
      </c>
      <c r="B1423" s="4" t="s">
        <v>3565</v>
      </c>
      <c r="C1423" s="4">
        <v>1.0</v>
      </c>
      <c r="D1423" s="4" t="s">
        <v>1416</v>
      </c>
      <c r="E1423" s="4" t="s">
        <v>1088</v>
      </c>
      <c r="F1423" s="54" t="s">
        <v>534</v>
      </c>
      <c r="G1423" s="54" t="s">
        <v>1093</v>
      </c>
      <c r="H1423" s="54" t="s">
        <v>1154</v>
      </c>
      <c r="I1423" s="54" t="s">
        <v>1236</v>
      </c>
      <c r="J1423" s="54" t="s">
        <v>1417</v>
      </c>
      <c r="X1423" s="55" t="str">
        <f t="shared" si="1"/>
        <v>#NAME?</v>
      </c>
    </row>
    <row r="1424">
      <c r="A1424" s="4" t="s">
        <v>3566</v>
      </c>
      <c r="B1424" s="4" t="s">
        <v>3567</v>
      </c>
      <c r="C1424" s="4">
        <v>1.0</v>
      </c>
      <c r="D1424" s="4" t="s">
        <v>1393</v>
      </c>
      <c r="E1424" s="4" t="s">
        <v>1088</v>
      </c>
      <c r="F1424" s="54" t="s">
        <v>534</v>
      </c>
      <c r="G1424" s="54" t="s">
        <v>1147</v>
      </c>
      <c r="H1424" s="54" t="s">
        <v>1340</v>
      </c>
      <c r="I1424" s="54" t="s">
        <v>1394</v>
      </c>
      <c r="J1424" s="54" t="s">
        <v>1275</v>
      </c>
      <c r="X1424" s="55" t="str">
        <f t="shared" si="1"/>
        <v>#NAME?</v>
      </c>
    </row>
    <row r="1425">
      <c r="A1425" s="4" t="s">
        <v>3568</v>
      </c>
      <c r="B1425" s="4" t="s">
        <v>3569</v>
      </c>
      <c r="C1425" s="4">
        <v>1.0</v>
      </c>
      <c r="D1425" s="4" t="s">
        <v>1306</v>
      </c>
      <c r="E1425" s="4" t="s">
        <v>1296</v>
      </c>
      <c r="F1425" s="54" t="s">
        <v>357</v>
      </c>
      <c r="G1425" s="54" t="s">
        <v>1283</v>
      </c>
      <c r="H1425" s="54" t="s">
        <v>1307</v>
      </c>
      <c r="I1425" s="54" t="s">
        <v>1308</v>
      </c>
      <c r="J1425" s="54" t="s">
        <v>1309</v>
      </c>
      <c r="X1425" s="55" t="str">
        <f t="shared" si="1"/>
        <v>#NAME?</v>
      </c>
    </row>
    <row r="1426">
      <c r="A1426" s="4" t="s">
        <v>3570</v>
      </c>
      <c r="B1426" s="4" t="s">
        <v>3571</v>
      </c>
      <c r="C1426" s="4">
        <v>1.0</v>
      </c>
      <c r="D1426" s="4" t="s">
        <v>1423</v>
      </c>
      <c r="E1426" s="4" t="s">
        <v>1088</v>
      </c>
      <c r="F1426" s="54" t="s">
        <v>534</v>
      </c>
      <c r="G1426" s="54" t="s">
        <v>1280</v>
      </c>
      <c r="H1426" s="54" t="s">
        <v>1135</v>
      </c>
      <c r="I1426" s="54" t="s">
        <v>1123</v>
      </c>
      <c r="J1426" s="54" t="s">
        <v>1140</v>
      </c>
      <c r="X1426" s="55" t="str">
        <f t="shared" si="1"/>
        <v>#NAME?</v>
      </c>
    </row>
    <row r="1427">
      <c r="A1427" s="4" t="s">
        <v>3572</v>
      </c>
      <c r="B1427" s="4" t="s">
        <v>3573</v>
      </c>
      <c r="C1427" s="4">
        <v>1.0</v>
      </c>
      <c r="D1427" s="54" t="s">
        <v>1589</v>
      </c>
      <c r="E1427" s="4" t="s">
        <v>1397</v>
      </c>
      <c r="F1427" s="54" t="s">
        <v>357</v>
      </c>
      <c r="G1427" s="54" t="s">
        <v>1593</v>
      </c>
      <c r="H1427" s="54" t="s">
        <v>1218</v>
      </c>
      <c r="I1427" s="54" t="s">
        <v>1593</v>
      </c>
      <c r="J1427" s="54" t="s">
        <v>1245</v>
      </c>
      <c r="X1427" s="55" t="str">
        <f t="shared" si="1"/>
        <v>#NAME?</v>
      </c>
    </row>
    <row r="1428">
      <c r="A1428" s="4" t="s">
        <v>3574</v>
      </c>
      <c r="B1428" s="4" t="s">
        <v>3575</v>
      </c>
      <c r="C1428" s="4">
        <v>1.0</v>
      </c>
      <c r="D1428" s="4" t="s">
        <v>1429</v>
      </c>
      <c r="E1428" s="4" t="s">
        <v>1296</v>
      </c>
      <c r="F1428" s="54" t="s">
        <v>534</v>
      </c>
      <c r="G1428" s="54" t="s">
        <v>1275</v>
      </c>
      <c r="H1428" s="54" t="s">
        <v>1275</v>
      </c>
      <c r="I1428" s="54" t="s">
        <v>1340</v>
      </c>
      <c r="J1428" s="54" t="s">
        <v>1405</v>
      </c>
      <c r="X1428" s="55" t="str">
        <f t="shared" si="1"/>
        <v>#NAME?</v>
      </c>
    </row>
    <row r="1429">
      <c r="A1429" s="4" t="s">
        <v>3576</v>
      </c>
      <c r="B1429" s="4" t="s">
        <v>3577</v>
      </c>
      <c r="C1429" s="4">
        <v>1.0</v>
      </c>
      <c r="D1429" s="4" t="s">
        <v>1431</v>
      </c>
      <c r="E1429" s="4" t="s">
        <v>1296</v>
      </c>
      <c r="F1429" s="54" t="s">
        <v>534</v>
      </c>
      <c r="G1429" s="54" t="s">
        <v>1299</v>
      </c>
      <c r="H1429" s="54" t="s">
        <v>1432</v>
      </c>
      <c r="I1429" s="54" t="s">
        <v>1152</v>
      </c>
      <c r="J1429" s="54" t="s">
        <v>1433</v>
      </c>
      <c r="X1429" s="55" t="str">
        <f t="shared" si="1"/>
        <v>#NAME?</v>
      </c>
    </row>
    <row r="1430">
      <c r="A1430" s="4" t="s">
        <v>3578</v>
      </c>
      <c r="B1430" s="4" t="s">
        <v>3579</v>
      </c>
      <c r="C1430" s="4">
        <v>1.0</v>
      </c>
      <c r="D1430" s="4" t="s">
        <v>1435</v>
      </c>
      <c r="E1430" s="4" t="s">
        <v>1296</v>
      </c>
      <c r="F1430" s="54" t="s">
        <v>534</v>
      </c>
      <c r="G1430" s="54" t="s">
        <v>1405</v>
      </c>
      <c r="H1430" s="54" t="s">
        <v>1436</v>
      </c>
      <c r="I1430" s="54" t="s">
        <v>1275</v>
      </c>
      <c r="J1430" s="54" t="s">
        <v>1437</v>
      </c>
      <c r="X1430" s="55" t="str">
        <f t="shared" si="1"/>
        <v>#NAME?</v>
      </c>
    </row>
    <row r="1431">
      <c r="A1431" s="4" t="s">
        <v>3580</v>
      </c>
      <c r="B1431" s="4" t="s">
        <v>3581</v>
      </c>
      <c r="C1431" s="4">
        <v>1.0</v>
      </c>
      <c r="D1431" s="4" t="s">
        <v>1439</v>
      </c>
      <c r="E1431" s="4" t="s">
        <v>1088</v>
      </c>
      <c r="F1431" s="54" t="s">
        <v>534</v>
      </c>
      <c r="G1431" s="54" t="s">
        <v>1440</v>
      </c>
      <c r="H1431" s="54" t="s">
        <v>1280</v>
      </c>
      <c r="I1431" s="54" t="s">
        <v>1139</v>
      </c>
      <c r="J1431" s="54" t="s">
        <v>1139</v>
      </c>
      <c r="X1431" s="55" t="str">
        <f t="shared" si="1"/>
        <v>#NAME?</v>
      </c>
    </row>
    <row r="1432">
      <c r="A1432" s="4" t="s">
        <v>3582</v>
      </c>
      <c r="B1432" s="4" t="s">
        <v>3583</v>
      </c>
      <c r="C1432" s="4">
        <v>1.0</v>
      </c>
      <c r="D1432" s="4" t="s">
        <v>1442</v>
      </c>
      <c r="E1432" s="4" t="s">
        <v>1088</v>
      </c>
      <c r="F1432" s="54" t="s">
        <v>534</v>
      </c>
      <c r="G1432" s="54" t="s">
        <v>1163</v>
      </c>
      <c r="H1432" s="54" t="s">
        <v>1440</v>
      </c>
      <c r="I1432" s="54" t="s">
        <v>1280</v>
      </c>
      <c r="J1432" s="54" t="s">
        <v>1123</v>
      </c>
      <c r="X1432" s="55" t="str">
        <f t="shared" si="1"/>
        <v>#NAME?</v>
      </c>
    </row>
    <row r="1433">
      <c r="A1433" s="4" t="s">
        <v>3584</v>
      </c>
      <c r="B1433" s="4" t="s">
        <v>3585</v>
      </c>
      <c r="C1433" s="4">
        <v>1.0</v>
      </c>
      <c r="D1433" s="4" t="s">
        <v>1444</v>
      </c>
      <c r="E1433" s="4" t="s">
        <v>1088</v>
      </c>
      <c r="F1433" s="54" t="s">
        <v>534</v>
      </c>
      <c r="G1433" s="54" t="s">
        <v>1118</v>
      </c>
      <c r="H1433" s="54" t="s">
        <v>1122</v>
      </c>
      <c r="I1433" s="54" t="s">
        <v>1139</v>
      </c>
      <c r="J1433" s="54" t="s">
        <v>1163</v>
      </c>
      <c r="X1433" s="55" t="str">
        <f t="shared" si="1"/>
        <v>#NAME?</v>
      </c>
    </row>
    <row r="1434">
      <c r="A1434" s="4" t="s">
        <v>3586</v>
      </c>
      <c r="B1434" s="4" t="s">
        <v>3587</v>
      </c>
      <c r="C1434" s="4">
        <v>1.0</v>
      </c>
      <c r="D1434" s="4" t="s">
        <v>1446</v>
      </c>
      <c r="E1434" s="4" t="s">
        <v>1088</v>
      </c>
      <c r="F1434" s="54" t="s">
        <v>534</v>
      </c>
      <c r="G1434" s="54" t="s">
        <v>1122</v>
      </c>
      <c r="H1434" s="54" t="s">
        <v>1134</v>
      </c>
      <c r="I1434" s="54" t="s">
        <v>1150</v>
      </c>
      <c r="J1434" s="54" t="s">
        <v>1150</v>
      </c>
      <c r="X1434" s="55" t="str">
        <f t="shared" si="1"/>
        <v>#NAME?</v>
      </c>
    </row>
    <row r="1435">
      <c r="A1435" s="4" t="s">
        <v>3588</v>
      </c>
      <c r="B1435" s="4" t="s">
        <v>3589</v>
      </c>
      <c r="C1435" s="4">
        <v>1.0</v>
      </c>
      <c r="D1435" s="4" t="s">
        <v>1448</v>
      </c>
      <c r="E1435" s="4" t="s">
        <v>1088</v>
      </c>
      <c r="F1435" s="54" t="s">
        <v>534</v>
      </c>
      <c r="G1435" s="54" t="s">
        <v>1382</v>
      </c>
      <c r="H1435" s="54" t="s">
        <v>1118</v>
      </c>
      <c r="I1435" s="54" t="s">
        <v>1440</v>
      </c>
      <c r="J1435" s="54" t="s">
        <v>1140</v>
      </c>
      <c r="X1435" s="55" t="str">
        <f t="shared" si="1"/>
        <v>#NAME?</v>
      </c>
    </row>
    <row r="1436">
      <c r="A1436" s="4" t="s">
        <v>3590</v>
      </c>
      <c r="B1436" s="4" t="s">
        <v>3591</v>
      </c>
      <c r="C1436" s="4">
        <v>1.0</v>
      </c>
      <c r="D1436" s="4" t="s">
        <v>1450</v>
      </c>
      <c r="E1436" s="4" t="s">
        <v>1191</v>
      </c>
      <c r="F1436" s="54" t="s">
        <v>534</v>
      </c>
      <c r="G1436" s="54" t="s">
        <v>1139</v>
      </c>
      <c r="H1436" s="54" t="s">
        <v>1451</v>
      </c>
      <c r="I1436" s="54" t="s">
        <v>1127</v>
      </c>
      <c r="J1436" s="54" t="s">
        <v>1337</v>
      </c>
      <c r="X1436" s="55" t="str">
        <f t="shared" si="1"/>
        <v>#NAME?</v>
      </c>
    </row>
    <row r="1437">
      <c r="A1437" s="4" t="s">
        <v>3592</v>
      </c>
      <c r="B1437" s="4" t="s">
        <v>3593</v>
      </c>
      <c r="C1437" s="4">
        <v>1.0</v>
      </c>
      <c r="D1437" s="4" t="s">
        <v>1486</v>
      </c>
      <c r="E1437" s="4" t="s">
        <v>1088</v>
      </c>
      <c r="F1437" s="54" t="s">
        <v>534</v>
      </c>
      <c r="G1437" s="54" t="s">
        <v>1137</v>
      </c>
      <c r="H1437" s="54" t="s">
        <v>1163</v>
      </c>
      <c r="I1437" s="54" t="s">
        <v>1344</v>
      </c>
      <c r="J1437" s="54" t="s">
        <v>1487</v>
      </c>
      <c r="X1437" s="55" t="str">
        <f t="shared" si="1"/>
        <v>#NAME?</v>
      </c>
    </row>
    <row r="1438">
      <c r="A1438" s="4" t="s">
        <v>3594</v>
      </c>
      <c r="B1438" s="4" t="s">
        <v>3595</v>
      </c>
      <c r="C1438" s="4">
        <v>1.0</v>
      </c>
      <c r="D1438" s="54" t="s">
        <v>1489</v>
      </c>
      <c r="E1438" s="4" t="s">
        <v>1251</v>
      </c>
      <c r="F1438" s="54" t="s">
        <v>449</v>
      </c>
      <c r="G1438" s="54" t="s">
        <v>1212</v>
      </c>
      <c r="H1438" s="54" t="s">
        <v>1356</v>
      </c>
      <c r="I1438" s="54" t="s">
        <v>1216</v>
      </c>
      <c r="J1438" s="54" t="s">
        <v>1490</v>
      </c>
      <c r="X1438" s="55" t="str">
        <f t="shared" si="1"/>
        <v>#NAME?</v>
      </c>
    </row>
    <row r="1439">
      <c r="A1439" s="4" t="s">
        <v>3596</v>
      </c>
      <c r="B1439" s="4" t="s">
        <v>3597</v>
      </c>
      <c r="C1439" s="4">
        <v>1.0</v>
      </c>
      <c r="D1439" s="4" t="s">
        <v>1460</v>
      </c>
      <c r="E1439" s="4" t="s">
        <v>1191</v>
      </c>
      <c r="F1439" s="54" t="s">
        <v>534</v>
      </c>
      <c r="G1439" s="54" t="s">
        <v>1391</v>
      </c>
      <c r="H1439" s="54" t="s">
        <v>1461</v>
      </c>
      <c r="I1439" s="54" t="s">
        <v>1462</v>
      </c>
      <c r="J1439" s="54" t="s">
        <v>1463</v>
      </c>
      <c r="X1439" s="55" t="str">
        <f t="shared" si="1"/>
        <v>#NAME?</v>
      </c>
    </row>
    <row r="1440">
      <c r="A1440" s="4" t="s">
        <v>3598</v>
      </c>
      <c r="B1440" s="4" t="s">
        <v>3599</v>
      </c>
      <c r="C1440" s="4">
        <v>1.0</v>
      </c>
      <c r="D1440" s="4" t="s">
        <v>1465</v>
      </c>
      <c r="E1440" s="4" t="s">
        <v>1088</v>
      </c>
      <c r="F1440" s="54" t="s">
        <v>534</v>
      </c>
      <c r="G1440" s="54" t="s">
        <v>1122</v>
      </c>
      <c r="H1440" s="54" t="s">
        <v>1122</v>
      </c>
      <c r="I1440" s="54" t="s">
        <v>1152</v>
      </c>
      <c r="J1440" s="54" t="s">
        <v>1123</v>
      </c>
      <c r="X1440" s="55" t="str">
        <f t="shared" si="1"/>
        <v>#NAME?</v>
      </c>
    </row>
    <row r="1441">
      <c r="A1441" s="4" t="s">
        <v>3600</v>
      </c>
      <c r="B1441" s="4" t="s">
        <v>3601</v>
      </c>
      <c r="C1441" s="4">
        <v>1.0</v>
      </c>
      <c r="D1441" s="4" t="s">
        <v>1467</v>
      </c>
      <c r="E1441" s="4" t="s">
        <v>1088</v>
      </c>
      <c r="F1441" s="54" t="s">
        <v>534</v>
      </c>
      <c r="G1441" s="54" t="s">
        <v>1123</v>
      </c>
      <c r="H1441" s="54" t="s">
        <v>1122</v>
      </c>
      <c r="I1441" s="54" t="s">
        <v>1150</v>
      </c>
      <c r="J1441" s="54" t="s">
        <v>1123</v>
      </c>
      <c r="X1441" s="55" t="str">
        <f t="shared" si="1"/>
        <v>#NAME?</v>
      </c>
    </row>
    <row r="1442">
      <c r="A1442" s="4" t="s">
        <v>3602</v>
      </c>
      <c r="B1442" s="4" t="s">
        <v>3603</v>
      </c>
      <c r="C1442" s="4">
        <v>1.0</v>
      </c>
      <c r="D1442" s="4" t="s">
        <v>1469</v>
      </c>
      <c r="E1442" s="4" t="s">
        <v>1088</v>
      </c>
      <c r="F1442" s="54" t="s">
        <v>534</v>
      </c>
      <c r="G1442" s="54" t="s">
        <v>1139</v>
      </c>
      <c r="H1442" s="54" t="s">
        <v>1122</v>
      </c>
      <c r="I1442" s="54" t="s">
        <v>1440</v>
      </c>
      <c r="J1442" s="54" t="s">
        <v>1139</v>
      </c>
      <c r="X1442" s="55" t="str">
        <f t="shared" si="1"/>
        <v>#NAME?</v>
      </c>
    </row>
    <row r="1443">
      <c r="A1443" s="4" t="s">
        <v>3604</v>
      </c>
      <c r="B1443" s="4" t="s">
        <v>3605</v>
      </c>
      <c r="C1443" s="4">
        <v>1.0</v>
      </c>
      <c r="D1443" s="4" t="s">
        <v>1471</v>
      </c>
      <c r="E1443" s="4" t="s">
        <v>1191</v>
      </c>
      <c r="F1443" s="54" t="s">
        <v>534</v>
      </c>
      <c r="G1443" s="54" t="s">
        <v>1143</v>
      </c>
      <c r="H1443" s="54" t="s">
        <v>1118</v>
      </c>
      <c r="I1443" s="54" t="s">
        <v>1126</v>
      </c>
      <c r="J1443" s="54" t="s">
        <v>1138</v>
      </c>
      <c r="X1443" s="55" t="str">
        <f t="shared" si="1"/>
        <v>#NAME?</v>
      </c>
    </row>
    <row r="1444">
      <c r="A1444" s="4" t="s">
        <v>3606</v>
      </c>
      <c r="B1444" s="4" t="s">
        <v>3607</v>
      </c>
      <c r="C1444" s="4">
        <v>1.0</v>
      </c>
      <c r="D1444" s="4" t="s">
        <v>1473</v>
      </c>
      <c r="E1444" s="4" t="s">
        <v>1191</v>
      </c>
      <c r="F1444" s="54" t="s">
        <v>534</v>
      </c>
      <c r="G1444" s="54" t="s">
        <v>1337</v>
      </c>
      <c r="H1444" s="54" t="s">
        <v>1474</v>
      </c>
      <c r="I1444" s="54" t="s">
        <v>1256</v>
      </c>
      <c r="J1444" s="54" t="s">
        <v>1475</v>
      </c>
      <c r="X1444" s="55" t="str">
        <f t="shared" si="1"/>
        <v>#NAME?</v>
      </c>
    </row>
    <row r="1445">
      <c r="A1445" s="4" t="s">
        <v>3608</v>
      </c>
      <c r="B1445" s="4" t="s">
        <v>3609</v>
      </c>
      <c r="C1445" s="4">
        <v>1.0</v>
      </c>
      <c r="D1445" s="4" t="s">
        <v>1477</v>
      </c>
      <c r="E1445" s="4" t="s">
        <v>1191</v>
      </c>
      <c r="F1445" s="54" t="s">
        <v>534</v>
      </c>
      <c r="G1445" s="54" t="s">
        <v>1478</v>
      </c>
      <c r="H1445" s="54" t="s">
        <v>1194</v>
      </c>
      <c r="I1445" s="54" t="s">
        <v>1321</v>
      </c>
      <c r="J1445" s="54" t="s">
        <v>1479</v>
      </c>
      <c r="X1445" s="55" t="str">
        <f t="shared" si="1"/>
        <v>#NAME?</v>
      </c>
    </row>
    <row r="1446">
      <c r="A1446" s="4" t="s">
        <v>3610</v>
      </c>
      <c r="B1446" s="4" t="s">
        <v>3611</v>
      </c>
      <c r="C1446" s="4">
        <v>1.0</v>
      </c>
      <c r="D1446" s="4" t="s">
        <v>1481</v>
      </c>
      <c r="E1446" s="4" t="s">
        <v>1191</v>
      </c>
      <c r="F1446" s="54" t="s">
        <v>534</v>
      </c>
      <c r="G1446" s="54" t="s">
        <v>1482</v>
      </c>
      <c r="H1446" s="54" t="s">
        <v>1192</v>
      </c>
      <c r="I1446" s="54" t="s">
        <v>1137</v>
      </c>
      <c r="J1446" s="54" t="s">
        <v>1276</v>
      </c>
      <c r="X1446" s="55" t="str">
        <f t="shared" si="1"/>
        <v>#NAME?</v>
      </c>
    </row>
    <row r="1447">
      <c r="A1447" s="4" t="s">
        <v>3612</v>
      </c>
      <c r="B1447" s="4" t="s">
        <v>3613</v>
      </c>
      <c r="C1447" s="4">
        <v>1.0</v>
      </c>
      <c r="D1447" s="4" t="s">
        <v>1484</v>
      </c>
      <c r="E1447" s="4" t="s">
        <v>1088</v>
      </c>
      <c r="F1447" s="54" t="s">
        <v>534</v>
      </c>
      <c r="G1447" s="54" t="s">
        <v>1117</v>
      </c>
      <c r="H1447" s="54" t="s">
        <v>1382</v>
      </c>
      <c r="I1447" s="54" t="s">
        <v>1138</v>
      </c>
      <c r="J1447" s="54" t="s">
        <v>1344</v>
      </c>
      <c r="X1447" s="55" t="str">
        <f t="shared" si="1"/>
        <v>#NAME?</v>
      </c>
    </row>
    <row r="1448">
      <c r="A1448" s="4" t="s">
        <v>3614</v>
      </c>
      <c r="B1448" s="4" t="s">
        <v>3615</v>
      </c>
      <c r="C1448" s="4">
        <v>1.0</v>
      </c>
      <c r="D1448" s="4" t="s">
        <v>1453</v>
      </c>
      <c r="E1448" s="4" t="s">
        <v>1191</v>
      </c>
      <c r="F1448" s="54" t="s">
        <v>534</v>
      </c>
      <c r="G1448" s="54" t="s">
        <v>1398</v>
      </c>
      <c r="H1448" s="54" t="s">
        <v>1454</v>
      </c>
      <c r="I1448" s="54" t="s">
        <v>1197</v>
      </c>
      <c r="J1448" s="54" t="s">
        <v>1455</v>
      </c>
      <c r="X1448" s="55" t="str">
        <f t="shared" si="1"/>
        <v>#NAME?</v>
      </c>
    </row>
    <row r="1449">
      <c r="A1449" s="4" t="s">
        <v>3616</v>
      </c>
      <c r="B1449" s="4" t="s">
        <v>3617</v>
      </c>
      <c r="C1449" s="4">
        <v>1.0</v>
      </c>
      <c r="D1449" s="4" t="s">
        <v>1457</v>
      </c>
      <c r="E1449" s="4" t="s">
        <v>1191</v>
      </c>
      <c r="F1449" s="54" t="s">
        <v>534</v>
      </c>
      <c r="G1449" s="54" t="s">
        <v>1194</v>
      </c>
      <c r="H1449" s="54" t="s">
        <v>1458</v>
      </c>
      <c r="I1449" s="54" t="s">
        <v>1436</v>
      </c>
      <c r="J1449" s="54" t="s">
        <v>1365</v>
      </c>
      <c r="X1449" s="55" t="str">
        <f t="shared" si="1"/>
        <v>#NAME?</v>
      </c>
    </row>
    <row r="1450">
      <c r="A1450" s="4" t="s">
        <v>3618</v>
      </c>
      <c r="B1450" s="4" t="s">
        <v>3619</v>
      </c>
      <c r="C1450" s="4">
        <v>1.0</v>
      </c>
      <c r="D1450" s="54" t="s">
        <v>1492</v>
      </c>
      <c r="E1450" s="4" t="s">
        <v>1251</v>
      </c>
      <c r="F1450" s="54" t="s">
        <v>357</v>
      </c>
      <c r="G1450" s="54" t="s">
        <v>1493</v>
      </c>
      <c r="H1450" s="54" t="s">
        <v>1215</v>
      </c>
      <c r="I1450" s="54" t="s">
        <v>1494</v>
      </c>
      <c r="J1450" s="54" t="s">
        <v>1226</v>
      </c>
      <c r="X1450" s="55" t="str">
        <f t="shared" si="1"/>
        <v>#NAME?</v>
      </c>
    </row>
    <row r="1451">
      <c r="A1451" s="4" t="s">
        <v>3620</v>
      </c>
      <c r="B1451" s="4" t="s">
        <v>3621</v>
      </c>
      <c r="C1451" s="4">
        <v>1.0</v>
      </c>
      <c r="D1451" s="54" t="s">
        <v>1528</v>
      </c>
      <c r="E1451" s="4" t="s">
        <v>1296</v>
      </c>
      <c r="F1451" s="54" t="s">
        <v>357</v>
      </c>
      <c r="G1451" s="54" t="s">
        <v>1244</v>
      </c>
      <c r="H1451" s="54" t="s">
        <v>1170</v>
      </c>
      <c r="I1451" s="54" t="s">
        <v>1177</v>
      </c>
      <c r="J1451" s="54" t="s">
        <v>1535</v>
      </c>
      <c r="X1451" s="55" t="str">
        <f t="shared" si="1"/>
        <v>#NAME?</v>
      </c>
    </row>
    <row r="1452">
      <c r="A1452" s="4" t="s">
        <v>3622</v>
      </c>
      <c r="B1452" s="4" t="s">
        <v>3623</v>
      </c>
      <c r="C1452" s="4">
        <v>1.0</v>
      </c>
      <c r="D1452" s="54" t="s">
        <v>1502</v>
      </c>
      <c r="E1452" s="4" t="s">
        <v>1088</v>
      </c>
      <c r="F1452" s="54" t="s">
        <v>357</v>
      </c>
      <c r="G1452" s="54" t="s">
        <v>1503</v>
      </c>
      <c r="H1452" s="54" t="s">
        <v>1504</v>
      </c>
      <c r="I1452" s="54" t="s">
        <v>1168</v>
      </c>
      <c r="J1452" s="54" t="s">
        <v>1503</v>
      </c>
      <c r="X1452" s="55" t="str">
        <f t="shared" si="1"/>
        <v>#NAME?</v>
      </c>
    </row>
    <row r="1453">
      <c r="A1453" s="4" t="s">
        <v>3624</v>
      </c>
      <c r="B1453" s="4" t="s">
        <v>3625</v>
      </c>
      <c r="C1453" s="4">
        <v>1.0</v>
      </c>
      <c r="D1453" s="54" t="s">
        <v>1506</v>
      </c>
      <c r="E1453" s="4" t="s">
        <v>1296</v>
      </c>
      <c r="F1453" s="54" t="s">
        <v>357</v>
      </c>
      <c r="G1453" s="54" t="s">
        <v>1507</v>
      </c>
      <c r="H1453" s="54" t="s">
        <v>1508</v>
      </c>
      <c r="I1453" s="54" t="s">
        <v>1509</v>
      </c>
      <c r="J1453" s="54" t="s">
        <v>1510</v>
      </c>
      <c r="X1453" s="55" t="str">
        <f t="shared" si="1"/>
        <v>#NAME?</v>
      </c>
    </row>
    <row r="1454">
      <c r="A1454" s="4" t="s">
        <v>3626</v>
      </c>
      <c r="B1454" s="4" t="s">
        <v>3627</v>
      </c>
      <c r="C1454" s="4">
        <v>1.0</v>
      </c>
      <c r="D1454" s="54" t="s">
        <v>1506</v>
      </c>
      <c r="E1454" s="4" t="s">
        <v>1296</v>
      </c>
      <c r="F1454" s="54" t="s">
        <v>357</v>
      </c>
      <c r="G1454" s="54" t="s">
        <v>1365</v>
      </c>
      <c r="H1454" s="54" t="s">
        <v>1512</v>
      </c>
      <c r="I1454" s="54" t="s">
        <v>1513</v>
      </c>
      <c r="J1454" s="54" t="s">
        <v>1514</v>
      </c>
      <c r="X1454" s="55" t="str">
        <f t="shared" si="1"/>
        <v>#NAME?</v>
      </c>
    </row>
    <row r="1455">
      <c r="A1455" s="4" t="s">
        <v>3628</v>
      </c>
      <c r="B1455" s="4" t="s">
        <v>3629</v>
      </c>
      <c r="C1455" s="4">
        <v>1.0</v>
      </c>
      <c r="D1455" s="54" t="s">
        <v>1506</v>
      </c>
      <c r="E1455" s="4" t="s">
        <v>1296</v>
      </c>
      <c r="F1455" s="54" t="s">
        <v>357</v>
      </c>
      <c r="G1455" s="54" t="s">
        <v>1252</v>
      </c>
      <c r="H1455" s="54" t="s">
        <v>1160</v>
      </c>
      <c r="I1455" s="54" t="s">
        <v>1516</v>
      </c>
      <c r="J1455" s="54" t="s">
        <v>1359</v>
      </c>
      <c r="X1455" s="55" t="str">
        <f t="shared" si="1"/>
        <v>#NAME?</v>
      </c>
    </row>
    <row r="1456">
      <c r="A1456" s="4" t="s">
        <v>3630</v>
      </c>
      <c r="B1456" s="4" t="s">
        <v>3631</v>
      </c>
      <c r="C1456" s="4">
        <v>1.0</v>
      </c>
      <c r="D1456" s="54" t="s">
        <v>1506</v>
      </c>
      <c r="E1456" s="4" t="s">
        <v>1296</v>
      </c>
      <c r="F1456" s="54" t="s">
        <v>357</v>
      </c>
      <c r="G1456" s="54" t="s">
        <v>1257</v>
      </c>
      <c r="H1456" s="54" t="s">
        <v>1518</v>
      </c>
      <c r="I1456" s="54" t="s">
        <v>1518</v>
      </c>
      <c r="J1456" s="54" t="s">
        <v>1366</v>
      </c>
      <c r="X1456" s="55" t="str">
        <f t="shared" si="1"/>
        <v>#NAME?</v>
      </c>
    </row>
    <row r="1457">
      <c r="A1457" s="4" t="s">
        <v>3632</v>
      </c>
      <c r="B1457" s="4" t="s">
        <v>3633</v>
      </c>
      <c r="C1457" s="4">
        <v>1.0</v>
      </c>
      <c r="D1457" s="54" t="s">
        <v>1520</v>
      </c>
      <c r="E1457" s="4" t="s">
        <v>1088</v>
      </c>
      <c r="F1457" s="54" t="s">
        <v>357</v>
      </c>
      <c r="G1457" s="54" t="s">
        <v>1334</v>
      </c>
      <c r="H1457" s="54" t="s">
        <v>1521</v>
      </c>
      <c r="I1457" s="54" t="s">
        <v>1256</v>
      </c>
      <c r="J1457" s="54" t="s">
        <v>1205</v>
      </c>
      <c r="X1457" s="55" t="str">
        <f t="shared" si="1"/>
        <v>#NAME?</v>
      </c>
    </row>
    <row r="1458">
      <c r="A1458" s="4" t="s">
        <v>3634</v>
      </c>
      <c r="B1458" s="4" t="s">
        <v>3635</v>
      </c>
      <c r="C1458" s="4">
        <v>1.0</v>
      </c>
      <c r="D1458" s="54" t="s">
        <v>1523</v>
      </c>
      <c r="E1458" s="4" t="s">
        <v>1088</v>
      </c>
      <c r="F1458" s="54" t="s">
        <v>357</v>
      </c>
      <c r="G1458" s="54" t="s">
        <v>1168</v>
      </c>
      <c r="H1458" s="54" t="s">
        <v>1524</v>
      </c>
      <c r="I1458" s="54" t="s">
        <v>1504</v>
      </c>
      <c r="J1458" s="54" t="s">
        <v>1500</v>
      </c>
      <c r="X1458" s="55" t="str">
        <f t="shared" si="1"/>
        <v>#NAME?</v>
      </c>
    </row>
    <row r="1459">
      <c r="A1459" s="4" t="s">
        <v>3636</v>
      </c>
      <c r="B1459" s="4" t="s">
        <v>3637</v>
      </c>
      <c r="C1459" s="4">
        <v>1.0</v>
      </c>
      <c r="D1459" s="54" t="s">
        <v>1526</v>
      </c>
      <c r="E1459" s="4" t="s">
        <v>1088</v>
      </c>
      <c r="F1459" s="54" t="s">
        <v>357</v>
      </c>
      <c r="G1459" s="54" t="s">
        <v>1497</v>
      </c>
      <c r="H1459" s="54" t="s">
        <v>1524</v>
      </c>
      <c r="I1459" s="54" t="s">
        <v>1499</v>
      </c>
      <c r="J1459" s="54" t="s">
        <v>1500</v>
      </c>
      <c r="X1459" s="55" t="str">
        <f t="shared" si="1"/>
        <v>#NAME?</v>
      </c>
    </row>
    <row r="1460">
      <c r="A1460" s="4" t="s">
        <v>3638</v>
      </c>
      <c r="B1460" s="4" t="s">
        <v>3639</v>
      </c>
      <c r="C1460" s="4">
        <v>1.0</v>
      </c>
      <c r="D1460" s="54" t="s">
        <v>1528</v>
      </c>
      <c r="E1460" s="4" t="s">
        <v>1296</v>
      </c>
      <c r="F1460" s="54" t="s">
        <v>357</v>
      </c>
      <c r="G1460" s="54" t="s">
        <v>1108</v>
      </c>
      <c r="H1460" s="54" t="s">
        <v>1417</v>
      </c>
      <c r="I1460" s="54" t="s">
        <v>1529</v>
      </c>
      <c r="J1460" s="54" t="s">
        <v>1158</v>
      </c>
      <c r="X1460" s="55" t="str">
        <f t="shared" si="1"/>
        <v>#NAME?</v>
      </c>
    </row>
    <row r="1461">
      <c r="A1461" s="4" t="s">
        <v>3640</v>
      </c>
      <c r="B1461" s="4" t="s">
        <v>3641</v>
      </c>
      <c r="C1461" s="4">
        <v>1.0</v>
      </c>
      <c r="D1461" s="54" t="s">
        <v>1554</v>
      </c>
      <c r="E1461" s="4" t="s">
        <v>1098</v>
      </c>
      <c r="F1461" s="54" t="s">
        <v>357</v>
      </c>
      <c r="G1461" s="54" t="s">
        <v>1156</v>
      </c>
      <c r="H1461" s="54" t="s">
        <v>1130</v>
      </c>
      <c r="I1461" s="54" t="s">
        <v>1494</v>
      </c>
      <c r="J1461" s="54" t="s">
        <v>1132</v>
      </c>
      <c r="X1461" s="55" t="str">
        <f t="shared" si="1"/>
        <v>#NAME?</v>
      </c>
    </row>
    <row r="1462">
      <c r="A1462" s="4" t="s">
        <v>3642</v>
      </c>
      <c r="B1462" s="4" t="s">
        <v>3643</v>
      </c>
      <c r="C1462" s="4">
        <v>1.0</v>
      </c>
      <c r="D1462" s="54" t="s">
        <v>1496</v>
      </c>
      <c r="E1462" s="4" t="s">
        <v>1088</v>
      </c>
      <c r="F1462" s="54" t="s">
        <v>357</v>
      </c>
      <c r="G1462" s="54" t="s">
        <v>1497</v>
      </c>
      <c r="H1462" s="54" t="s">
        <v>1498</v>
      </c>
      <c r="I1462" s="54" t="s">
        <v>1499</v>
      </c>
      <c r="J1462" s="54" t="s">
        <v>1500</v>
      </c>
      <c r="X1462" s="55" t="str">
        <f t="shared" si="1"/>
        <v>#NAME?</v>
      </c>
    </row>
    <row r="1463">
      <c r="A1463" s="4" t="s">
        <v>3644</v>
      </c>
      <c r="B1463" s="4" t="s">
        <v>3645</v>
      </c>
      <c r="C1463" s="4">
        <v>1.0</v>
      </c>
      <c r="D1463" s="54" t="s">
        <v>1528</v>
      </c>
      <c r="E1463" s="4" t="s">
        <v>1296</v>
      </c>
      <c r="F1463" s="54" t="s">
        <v>357</v>
      </c>
      <c r="G1463" s="54" t="s">
        <v>1108</v>
      </c>
      <c r="H1463" s="54" t="s">
        <v>1233</v>
      </c>
      <c r="I1463" s="54" t="s">
        <v>1529</v>
      </c>
      <c r="J1463" s="54" t="s">
        <v>1170</v>
      </c>
      <c r="X1463" s="55" t="str">
        <f t="shared" si="1"/>
        <v>#NAME?</v>
      </c>
    </row>
    <row r="1464">
      <c r="A1464" s="4" t="s">
        <v>3646</v>
      </c>
      <c r="B1464" s="4" t="s">
        <v>3647</v>
      </c>
      <c r="C1464" s="4">
        <v>1.0</v>
      </c>
      <c r="D1464" s="54" t="s">
        <v>1538</v>
      </c>
      <c r="E1464" s="4" t="s">
        <v>1088</v>
      </c>
      <c r="F1464" s="54" t="s">
        <v>357</v>
      </c>
      <c r="G1464" s="54" t="s">
        <v>1497</v>
      </c>
      <c r="H1464" s="54" t="s">
        <v>1503</v>
      </c>
      <c r="I1464" s="54" t="s">
        <v>1503</v>
      </c>
      <c r="J1464" s="54" t="s">
        <v>1504</v>
      </c>
      <c r="X1464" s="55" t="str">
        <f t="shared" si="1"/>
        <v>#NAME?</v>
      </c>
    </row>
    <row r="1465">
      <c r="A1465" s="4" t="s">
        <v>3648</v>
      </c>
      <c r="B1465" s="4" t="s">
        <v>3649</v>
      </c>
      <c r="C1465" s="4">
        <v>1.0</v>
      </c>
      <c r="D1465" s="54" t="s">
        <v>1540</v>
      </c>
      <c r="E1465" s="4" t="s">
        <v>1088</v>
      </c>
      <c r="F1465" s="54" t="s">
        <v>357</v>
      </c>
      <c r="G1465" s="54" t="s">
        <v>1503</v>
      </c>
      <c r="H1465" s="54" t="s">
        <v>1499</v>
      </c>
      <c r="I1465" s="54" t="s">
        <v>1503</v>
      </c>
      <c r="J1465" s="54" t="s">
        <v>1504</v>
      </c>
      <c r="X1465" s="55" t="str">
        <f t="shared" si="1"/>
        <v>#NAME?</v>
      </c>
    </row>
    <row r="1466">
      <c r="A1466" s="4" t="s">
        <v>3650</v>
      </c>
      <c r="B1466" s="4" t="s">
        <v>3651</v>
      </c>
      <c r="C1466" s="4">
        <v>1.0</v>
      </c>
      <c r="D1466" s="54" t="s">
        <v>1542</v>
      </c>
      <c r="E1466" s="4" t="s">
        <v>1098</v>
      </c>
      <c r="F1466" s="54" t="s">
        <v>357</v>
      </c>
      <c r="G1466" s="54" t="s">
        <v>1543</v>
      </c>
      <c r="H1466" s="54" t="s">
        <v>1185</v>
      </c>
      <c r="I1466" s="54" t="s">
        <v>1544</v>
      </c>
      <c r="J1466" s="54" t="s">
        <v>1105</v>
      </c>
      <c r="X1466" s="55" t="str">
        <f t="shared" si="1"/>
        <v>#NAME?</v>
      </c>
    </row>
    <row r="1467">
      <c r="A1467" s="4" t="s">
        <v>3652</v>
      </c>
      <c r="B1467" s="4" t="s">
        <v>3653</v>
      </c>
      <c r="C1467" s="4">
        <v>1.0</v>
      </c>
      <c r="D1467" s="54" t="s">
        <v>1542</v>
      </c>
      <c r="E1467" s="4" t="s">
        <v>1098</v>
      </c>
      <c r="F1467" s="54" t="s">
        <v>357</v>
      </c>
      <c r="G1467" s="54" t="s">
        <v>1185</v>
      </c>
      <c r="H1467" s="54" t="s">
        <v>1212</v>
      </c>
      <c r="I1467" s="54" t="s">
        <v>1231</v>
      </c>
      <c r="J1467" s="54" t="s">
        <v>1175</v>
      </c>
      <c r="X1467" s="55" t="str">
        <f t="shared" si="1"/>
        <v>#NAME?</v>
      </c>
    </row>
    <row r="1468">
      <c r="A1468" s="4" t="s">
        <v>3654</v>
      </c>
      <c r="B1468" s="4" t="s">
        <v>3655</v>
      </c>
      <c r="C1468" s="4">
        <v>1.0</v>
      </c>
      <c r="D1468" s="54" t="s">
        <v>1542</v>
      </c>
      <c r="E1468" s="4" t="s">
        <v>1098</v>
      </c>
      <c r="F1468" s="54" t="s">
        <v>357</v>
      </c>
      <c r="G1468" s="54" t="s">
        <v>1188</v>
      </c>
      <c r="H1468" s="54" t="s">
        <v>1547</v>
      </c>
      <c r="I1468" s="54" t="s">
        <v>1158</v>
      </c>
      <c r="J1468" s="54" t="s">
        <v>1110</v>
      </c>
      <c r="X1468" s="55" t="str">
        <f t="shared" si="1"/>
        <v>#NAME?</v>
      </c>
    </row>
    <row r="1469">
      <c r="A1469" s="4" t="s">
        <v>3656</v>
      </c>
      <c r="B1469" s="4" t="s">
        <v>3657</v>
      </c>
      <c r="C1469" s="4">
        <v>1.0</v>
      </c>
      <c r="D1469" s="54" t="s">
        <v>1549</v>
      </c>
      <c r="E1469" s="4" t="s">
        <v>1088</v>
      </c>
      <c r="F1469" s="54" t="s">
        <v>357</v>
      </c>
      <c r="G1469" s="54" t="s">
        <v>1212</v>
      </c>
      <c r="H1469" s="54" t="s">
        <v>1186</v>
      </c>
      <c r="I1469" s="54" t="s">
        <v>1240</v>
      </c>
      <c r="J1469" s="54" t="s">
        <v>1210</v>
      </c>
      <c r="X1469" s="55" t="str">
        <f t="shared" si="1"/>
        <v>#NAME?</v>
      </c>
    </row>
    <row r="1470">
      <c r="A1470" s="4" t="s">
        <v>3658</v>
      </c>
      <c r="B1470" s="4" t="s">
        <v>3659</v>
      </c>
      <c r="C1470" s="4">
        <v>1.0</v>
      </c>
      <c r="D1470" s="54" t="s">
        <v>1551</v>
      </c>
      <c r="E1470" s="4" t="s">
        <v>1088</v>
      </c>
      <c r="F1470" s="54" t="s">
        <v>357</v>
      </c>
      <c r="G1470" s="54" t="s">
        <v>1179</v>
      </c>
      <c r="H1470" s="54" t="s">
        <v>1240</v>
      </c>
      <c r="I1470" s="54" t="s">
        <v>1552</v>
      </c>
      <c r="J1470" s="54" t="s">
        <v>1210</v>
      </c>
      <c r="X1470" s="55" t="str">
        <f t="shared" si="1"/>
        <v>#NAME?</v>
      </c>
    </row>
    <row r="1471">
      <c r="A1471" s="4" t="s">
        <v>3660</v>
      </c>
      <c r="B1471" s="4" t="s">
        <v>3661</v>
      </c>
      <c r="C1471" s="4">
        <v>1.0</v>
      </c>
      <c r="D1471" s="54" t="s">
        <v>1554</v>
      </c>
      <c r="E1471" s="4" t="s">
        <v>1098</v>
      </c>
      <c r="F1471" s="54" t="s">
        <v>357</v>
      </c>
      <c r="G1471" s="54" t="s">
        <v>1176</v>
      </c>
      <c r="H1471" s="54" t="s">
        <v>1555</v>
      </c>
      <c r="I1471" s="54" t="s">
        <v>1171</v>
      </c>
      <c r="J1471" s="54" t="s">
        <v>1556</v>
      </c>
      <c r="X1471" s="55" t="str">
        <f t="shared" si="1"/>
        <v>#NAME?</v>
      </c>
    </row>
    <row r="1472">
      <c r="A1472" s="4" t="s">
        <v>3662</v>
      </c>
      <c r="B1472" s="4" t="s">
        <v>3663</v>
      </c>
      <c r="C1472" s="4">
        <v>1.0</v>
      </c>
      <c r="D1472" s="54" t="s">
        <v>1528</v>
      </c>
      <c r="E1472" s="4" t="s">
        <v>1296</v>
      </c>
      <c r="F1472" s="54" t="s">
        <v>357</v>
      </c>
      <c r="G1472" s="54" t="s">
        <v>1531</v>
      </c>
      <c r="H1472" s="54" t="s">
        <v>1106</v>
      </c>
      <c r="I1472" s="54" t="s">
        <v>1532</v>
      </c>
      <c r="J1472" s="54" t="s">
        <v>1533</v>
      </c>
      <c r="X1472" s="55" t="str">
        <f t="shared" si="1"/>
        <v>#NAME?</v>
      </c>
    </row>
    <row r="1473">
      <c r="A1473" s="4" t="s">
        <v>3664</v>
      </c>
      <c r="B1473" s="4" t="s">
        <v>3665</v>
      </c>
      <c r="C1473" s="4">
        <v>1.0</v>
      </c>
      <c r="D1473" s="54" t="s">
        <v>1671</v>
      </c>
      <c r="E1473" s="4" t="s">
        <v>1088</v>
      </c>
      <c r="F1473" s="54" t="s">
        <v>357</v>
      </c>
      <c r="G1473" s="54" t="s">
        <v>1544</v>
      </c>
      <c r="H1473" s="54" t="s">
        <v>1175</v>
      </c>
      <c r="I1473" s="54" t="s">
        <v>1216</v>
      </c>
      <c r="J1473" s="54" t="s">
        <v>1181</v>
      </c>
      <c r="X1473" s="55" t="str">
        <f t="shared" si="1"/>
        <v>#NAME?</v>
      </c>
    </row>
    <row r="1474">
      <c r="A1474" s="4" t="s">
        <v>3666</v>
      </c>
      <c r="B1474" s="4" t="s">
        <v>3667</v>
      </c>
      <c r="C1474" s="4">
        <v>1.0</v>
      </c>
      <c r="D1474" s="4" t="s">
        <v>1425</v>
      </c>
      <c r="E1474" s="4" t="s">
        <v>1296</v>
      </c>
      <c r="F1474" s="54" t="s">
        <v>534</v>
      </c>
      <c r="G1474" s="54" t="s">
        <v>1426</v>
      </c>
      <c r="H1474" s="54" t="s">
        <v>1142</v>
      </c>
      <c r="I1474" s="54" t="s">
        <v>1284</v>
      </c>
      <c r="J1474" s="54" t="s">
        <v>1427</v>
      </c>
      <c r="X1474" s="55" t="str">
        <f t="shared" si="1"/>
        <v>#NAME?</v>
      </c>
    </row>
    <row r="1475">
      <c r="A1475" s="4" t="s">
        <v>3668</v>
      </c>
      <c r="B1475" s="4" t="s">
        <v>3669</v>
      </c>
      <c r="C1475" s="4">
        <v>1.0</v>
      </c>
      <c r="D1475" s="54" t="s">
        <v>1566</v>
      </c>
      <c r="E1475" s="4" t="s">
        <v>1296</v>
      </c>
      <c r="F1475" s="54" t="s">
        <v>357</v>
      </c>
      <c r="G1475" s="54" t="s">
        <v>1567</v>
      </c>
      <c r="H1475" s="54" t="s">
        <v>1359</v>
      </c>
      <c r="I1475" s="54" t="s">
        <v>1568</v>
      </c>
      <c r="J1475" s="54" t="s">
        <v>1093</v>
      </c>
      <c r="X1475" s="55" t="str">
        <f t="shared" si="1"/>
        <v>#NAME?</v>
      </c>
    </row>
    <row r="1476">
      <c r="A1476" s="4" t="s">
        <v>3670</v>
      </c>
      <c r="B1476" s="4" t="s">
        <v>3671</v>
      </c>
      <c r="C1476" s="4">
        <v>1.0</v>
      </c>
      <c r="D1476" s="54" t="s">
        <v>1566</v>
      </c>
      <c r="E1476" s="4" t="s">
        <v>1296</v>
      </c>
      <c r="F1476" s="54" t="s">
        <v>357</v>
      </c>
      <c r="G1476" s="54" t="s">
        <v>1567</v>
      </c>
      <c r="H1476" s="54" t="s">
        <v>1570</v>
      </c>
      <c r="I1476" s="54" t="s">
        <v>1233</v>
      </c>
      <c r="J1476" s="54" t="s">
        <v>1109</v>
      </c>
      <c r="X1476" s="55" t="str">
        <f t="shared" si="1"/>
        <v>#NAME?</v>
      </c>
    </row>
    <row r="1477">
      <c r="A1477" s="4" t="s">
        <v>3672</v>
      </c>
      <c r="B1477" s="4" t="s">
        <v>3673</v>
      </c>
      <c r="C1477" s="4">
        <v>1.0</v>
      </c>
      <c r="D1477" s="54" t="s">
        <v>1566</v>
      </c>
      <c r="E1477" s="4" t="s">
        <v>1296</v>
      </c>
      <c r="F1477" s="54" t="s">
        <v>357</v>
      </c>
      <c r="G1477" s="54" t="s">
        <v>1572</v>
      </c>
      <c r="H1477" s="54" t="s">
        <v>1248</v>
      </c>
      <c r="I1477" s="54" t="s">
        <v>1573</v>
      </c>
      <c r="J1477" s="54" t="s">
        <v>1245</v>
      </c>
      <c r="X1477" s="55" t="str">
        <f t="shared" si="1"/>
        <v>#NAME?</v>
      </c>
    </row>
    <row r="1478">
      <c r="A1478" s="4" t="s">
        <v>3674</v>
      </c>
      <c r="B1478" s="4" t="s">
        <v>3675</v>
      </c>
      <c r="C1478" s="4">
        <v>1.0</v>
      </c>
      <c r="D1478" s="54" t="s">
        <v>1566</v>
      </c>
      <c r="E1478" s="4" t="s">
        <v>1296</v>
      </c>
      <c r="F1478" s="54" t="s">
        <v>357</v>
      </c>
      <c r="G1478" s="54" t="s">
        <v>1359</v>
      </c>
      <c r="H1478" s="54" t="s">
        <v>1200</v>
      </c>
      <c r="I1478" s="54" t="s">
        <v>1575</v>
      </c>
      <c r="J1478" s="54" t="s">
        <v>1567</v>
      </c>
      <c r="X1478" s="55" t="str">
        <f t="shared" si="1"/>
        <v>#NAME?</v>
      </c>
    </row>
    <row r="1479">
      <c r="A1479" s="4" t="s">
        <v>3676</v>
      </c>
      <c r="B1479" s="4" t="s">
        <v>3677</v>
      </c>
      <c r="C1479" s="4">
        <v>1.0</v>
      </c>
      <c r="D1479" s="54" t="s">
        <v>1577</v>
      </c>
      <c r="E1479" s="4" t="s">
        <v>1088</v>
      </c>
      <c r="F1479" s="54" t="s">
        <v>357</v>
      </c>
      <c r="G1479" s="54" t="s">
        <v>1531</v>
      </c>
      <c r="H1479" s="54" t="s">
        <v>1183</v>
      </c>
      <c r="I1479" s="54" t="s">
        <v>1171</v>
      </c>
      <c r="J1479" s="54" t="s">
        <v>1212</v>
      </c>
      <c r="X1479" s="55" t="str">
        <f t="shared" si="1"/>
        <v>#NAME?</v>
      </c>
    </row>
    <row r="1480">
      <c r="A1480" s="4" t="s">
        <v>3678</v>
      </c>
      <c r="B1480" s="4" t="s">
        <v>3679</v>
      </c>
      <c r="C1480" s="4">
        <v>1.0</v>
      </c>
      <c r="D1480" s="54" t="s">
        <v>1579</v>
      </c>
      <c r="E1480" s="4" t="s">
        <v>1088</v>
      </c>
      <c r="F1480" s="54" t="s">
        <v>357</v>
      </c>
      <c r="G1480" s="54" t="s">
        <v>1244</v>
      </c>
      <c r="H1480" s="54" t="s">
        <v>1186</v>
      </c>
      <c r="I1480" s="54" t="s">
        <v>1156</v>
      </c>
      <c r="J1480" s="54" t="s">
        <v>1244</v>
      </c>
      <c r="X1480" s="55" t="str">
        <f t="shared" si="1"/>
        <v>#NAME?</v>
      </c>
    </row>
    <row r="1481">
      <c r="A1481" s="4" t="s">
        <v>3680</v>
      </c>
      <c r="B1481" s="4" t="s">
        <v>3681</v>
      </c>
      <c r="C1481" s="4">
        <v>1.0</v>
      </c>
      <c r="D1481" s="54" t="s">
        <v>1581</v>
      </c>
      <c r="E1481" s="4" t="s">
        <v>1098</v>
      </c>
      <c r="F1481" s="54" t="s">
        <v>357</v>
      </c>
      <c r="G1481" s="54" t="s">
        <v>1564</v>
      </c>
      <c r="H1481" s="54" t="s">
        <v>1582</v>
      </c>
      <c r="I1481" s="54" t="s">
        <v>1583</v>
      </c>
      <c r="J1481" s="54" t="s">
        <v>1584</v>
      </c>
      <c r="X1481" s="55" t="str">
        <f t="shared" si="1"/>
        <v>#NAME?</v>
      </c>
    </row>
    <row r="1482">
      <c r="A1482" s="4" t="s">
        <v>3682</v>
      </c>
      <c r="B1482" s="4" t="s">
        <v>3683</v>
      </c>
      <c r="C1482" s="4">
        <v>1.0</v>
      </c>
      <c r="D1482" s="54" t="s">
        <v>1581</v>
      </c>
      <c r="E1482" s="4" t="s">
        <v>1098</v>
      </c>
      <c r="F1482" s="54" t="s">
        <v>357</v>
      </c>
      <c r="G1482" s="54" t="s">
        <v>1235</v>
      </c>
      <c r="H1482" s="54" t="s">
        <v>1556</v>
      </c>
      <c r="I1482" s="54" t="s">
        <v>1586</v>
      </c>
      <c r="J1482" s="54" t="s">
        <v>1132</v>
      </c>
      <c r="X1482" s="55" t="str">
        <f t="shared" si="1"/>
        <v>#NAME?</v>
      </c>
    </row>
    <row r="1483">
      <c r="A1483" s="4" t="s">
        <v>3684</v>
      </c>
      <c r="B1483" s="4" t="s">
        <v>3685</v>
      </c>
      <c r="C1483" s="4">
        <v>1.0</v>
      </c>
      <c r="D1483" s="54" t="s">
        <v>1581</v>
      </c>
      <c r="E1483" s="4" t="s">
        <v>1098</v>
      </c>
      <c r="F1483" s="54" t="s">
        <v>357</v>
      </c>
      <c r="G1483" s="54" t="s">
        <v>1172</v>
      </c>
      <c r="H1483" s="54" t="s">
        <v>1493</v>
      </c>
      <c r="I1483" s="54" t="s">
        <v>1218</v>
      </c>
      <c r="J1483" s="54" t="s">
        <v>1560</v>
      </c>
      <c r="X1483" s="55" t="str">
        <f t="shared" si="1"/>
        <v>#NAME?</v>
      </c>
    </row>
    <row r="1484">
      <c r="A1484" s="4" t="s">
        <v>3686</v>
      </c>
      <c r="B1484" s="4" t="s">
        <v>3687</v>
      </c>
      <c r="C1484" s="4">
        <v>1.0</v>
      </c>
      <c r="D1484" s="54" t="s">
        <v>1589</v>
      </c>
      <c r="E1484" s="4" t="s">
        <v>1397</v>
      </c>
      <c r="F1484" s="54" t="s">
        <v>357</v>
      </c>
      <c r="G1484" s="54" t="s">
        <v>1582</v>
      </c>
      <c r="H1484" s="54" t="s">
        <v>1590</v>
      </c>
      <c r="I1484" s="54" t="s">
        <v>1171</v>
      </c>
      <c r="J1484" s="54" t="s">
        <v>1179</v>
      </c>
      <c r="X1484" s="55" t="str">
        <f t="shared" si="1"/>
        <v>#NAME?</v>
      </c>
    </row>
    <row r="1485">
      <c r="A1485" s="4" t="s">
        <v>3688</v>
      </c>
      <c r="B1485" s="4" t="s">
        <v>3689</v>
      </c>
      <c r="C1485" s="4">
        <v>1.0</v>
      </c>
      <c r="D1485" s="54" t="s">
        <v>1617</v>
      </c>
      <c r="E1485" s="4" t="s">
        <v>1251</v>
      </c>
      <c r="F1485" s="54" t="s">
        <v>449</v>
      </c>
      <c r="G1485" s="54" t="s">
        <v>1203</v>
      </c>
      <c r="H1485" s="54" t="s">
        <v>1618</v>
      </c>
      <c r="I1485" s="54" t="s">
        <v>1619</v>
      </c>
      <c r="J1485" s="54" t="s">
        <v>1259</v>
      </c>
      <c r="X1485" s="55" t="str">
        <f t="shared" si="1"/>
        <v>#NAME?</v>
      </c>
    </row>
    <row r="1486">
      <c r="A1486" s="4" t="s">
        <v>3690</v>
      </c>
      <c r="B1486" s="4" t="s">
        <v>3691</v>
      </c>
      <c r="C1486" s="4">
        <v>1.0</v>
      </c>
      <c r="D1486" s="54" t="s">
        <v>1621</v>
      </c>
      <c r="E1486" s="4" t="s">
        <v>1251</v>
      </c>
      <c r="F1486" s="54" t="s">
        <v>357</v>
      </c>
      <c r="G1486" s="54" t="s">
        <v>1350</v>
      </c>
      <c r="H1486" s="54" t="s">
        <v>1436</v>
      </c>
      <c r="I1486" s="54" t="s">
        <v>1196</v>
      </c>
      <c r="J1486" s="54" t="s">
        <v>1622</v>
      </c>
      <c r="X1486" s="55" t="str">
        <f t="shared" si="1"/>
        <v>#NAME?</v>
      </c>
    </row>
    <row r="1487">
      <c r="A1487" s="4" t="s">
        <v>3692</v>
      </c>
      <c r="B1487" s="4" t="s">
        <v>3693</v>
      </c>
      <c r="C1487" s="4">
        <v>1.0</v>
      </c>
      <c r="D1487" s="54" t="s">
        <v>1595</v>
      </c>
      <c r="E1487" s="4" t="s">
        <v>1088</v>
      </c>
      <c r="F1487" s="54" t="s">
        <v>357</v>
      </c>
      <c r="G1487" s="54" t="s">
        <v>1212</v>
      </c>
      <c r="H1487" s="54" t="s">
        <v>1185</v>
      </c>
      <c r="I1487" s="54" t="s">
        <v>1172</v>
      </c>
      <c r="J1487" s="54" t="s">
        <v>1215</v>
      </c>
      <c r="X1487" s="55" t="str">
        <f t="shared" si="1"/>
        <v>#NAME?</v>
      </c>
    </row>
    <row r="1488">
      <c r="A1488" s="4" t="s">
        <v>3694</v>
      </c>
      <c r="B1488" s="4" t="s">
        <v>3695</v>
      </c>
      <c r="C1488" s="4">
        <v>1.0</v>
      </c>
      <c r="D1488" s="54" t="s">
        <v>1597</v>
      </c>
      <c r="E1488" s="4" t="s">
        <v>1088</v>
      </c>
      <c r="F1488" s="54" t="s">
        <v>357</v>
      </c>
      <c r="G1488" s="54" t="s">
        <v>1552</v>
      </c>
      <c r="H1488" s="54" t="s">
        <v>1188</v>
      </c>
      <c r="I1488" s="54" t="s">
        <v>1177</v>
      </c>
      <c r="J1488" s="54" t="s">
        <v>1235</v>
      </c>
      <c r="X1488" s="55" t="str">
        <f t="shared" si="1"/>
        <v>#NAME?</v>
      </c>
    </row>
    <row r="1489">
      <c r="A1489" s="4" t="s">
        <v>3696</v>
      </c>
      <c r="B1489" s="4" t="s">
        <v>3697</v>
      </c>
      <c r="C1489" s="4">
        <v>1.0</v>
      </c>
      <c r="D1489" s="54" t="s">
        <v>1599</v>
      </c>
      <c r="E1489" s="4" t="s">
        <v>1088</v>
      </c>
      <c r="F1489" s="54" t="s">
        <v>357</v>
      </c>
      <c r="G1489" s="54" t="s">
        <v>1235</v>
      </c>
      <c r="H1489" s="54" t="s">
        <v>1559</v>
      </c>
      <c r="I1489" s="54" t="s">
        <v>1235</v>
      </c>
      <c r="J1489" s="54" t="s">
        <v>1172</v>
      </c>
      <c r="X1489" s="55" t="str">
        <f t="shared" si="1"/>
        <v>#NAME?</v>
      </c>
    </row>
    <row r="1490">
      <c r="A1490" s="4" t="s">
        <v>3698</v>
      </c>
      <c r="B1490" s="4" t="s">
        <v>3699</v>
      </c>
      <c r="C1490" s="4">
        <v>1.0</v>
      </c>
      <c r="D1490" s="54" t="s">
        <v>1601</v>
      </c>
      <c r="E1490" s="4" t="s">
        <v>1088</v>
      </c>
      <c r="F1490" s="54" t="s">
        <v>357</v>
      </c>
      <c r="G1490" s="54" t="s">
        <v>1490</v>
      </c>
      <c r="H1490" s="54" t="s">
        <v>1156</v>
      </c>
      <c r="I1490" s="54" t="s">
        <v>1215</v>
      </c>
      <c r="J1490" s="54" t="s">
        <v>1490</v>
      </c>
      <c r="X1490" s="55" t="str">
        <f t="shared" si="1"/>
        <v>#NAME?</v>
      </c>
    </row>
    <row r="1491">
      <c r="A1491" s="4" t="s">
        <v>3700</v>
      </c>
      <c r="B1491" s="4" t="s">
        <v>3701</v>
      </c>
      <c r="C1491" s="4">
        <v>1.0</v>
      </c>
      <c r="D1491" s="54" t="s">
        <v>1603</v>
      </c>
      <c r="E1491" s="4" t="s">
        <v>1098</v>
      </c>
      <c r="F1491" s="54" t="s">
        <v>357</v>
      </c>
      <c r="G1491" s="54" t="s">
        <v>1132</v>
      </c>
      <c r="H1491" s="54" t="s">
        <v>1494</v>
      </c>
      <c r="I1491" s="54" t="s">
        <v>1604</v>
      </c>
      <c r="J1491" s="54" t="s">
        <v>1605</v>
      </c>
      <c r="X1491" s="55" t="str">
        <f t="shared" si="1"/>
        <v>#NAME?</v>
      </c>
    </row>
    <row r="1492">
      <c r="A1492" s="4" t="s">
        <v>3702</v>
      </c>
      <c r="B1492" s="4" t="s">
        <v>3703</v>
      </c>
      <c r="C1492" s="4">
        <v>1.0</v>
      </c>
      <c r="D1492" s="54" t="s">
        <v>1603</v>
      </c>
      <c r="E1492" s="4" t="s">
        <v>1098</v>
      </c>
      <c r="F1492" s="54" t="s">
        <v>357</v>
      </c>
      <c r="G1492" s="54" t="s">
        <v>1129</v>
      </c>
      <c r="H1492" s="54" t="s">
        <v>1573</v>
      </c>
      <c r="I1492" s="54" t="s">
        <v>1607</v>
      </c>
      <c r="J1492" s="54" t="s">
        <v>1586</v>
      </c>
      <c r="X1492" s="55" t="str">
        <f t="shared" si="1"/>
        <v>#NAME?</v>
      </c>
    </row>
    <row r="1493">
      <c r="A1493" s="4" t="s">
        <v>3704</v>
      </c>
      <c r="B1493" s="4" t="s">
        <v>3705</v>
      </c>
      <c r="C1493" s="4">
        <v>1.0</v>
      </c>
      <c r="D1493" s="54" t="s">
        <v>1603</v>
      </c>
      <c r="E1493" s="4" t="s">
        <v>1098</v>
      </c>
      <c r="F1493" s="54" t="s">
        <v>357</v>
      </c>
      <c r="G1493" s="54" t="s">
        <v>1584</v>
      </c>
      <c r="H1493" s="54" t="s">
        <v>1573</v>
      </c>
      <c r="I1493" s="54" t="s">
        <v>1221</v>
      </c>
      <c r="J1493" s="54" t="s">
        <v>1609</v>
      </c>
      <c r="X1493" s="55" t="str">
        <f t="shared" si="1"/>
        <v>#NAME?</v>
      </c>
    </row>
    <row r="1494">
      <c r="A1494" s="4" t="s">
        <v>3706</v>
      </c>
      <c r="B1494" s="4" t="s">
        <v>3707</v>
      </c>
      <c r="C1494" s="4">
        <v>1.0</v>
      </c>
      <c r="D1494" s="54" t="s">
        <v>1611</v>
      </c>
      <c r="E1494" s="4" t="s">
        <v>1088</v>
      </c>
      <c r="F1494" s="54" t="s">
        <v>357</v>
      </c>
      <c r="G1494" s="54" t="s">
        <v>1177</v>
      </c>
      <c r="H1494" s="54" t="s">
        <v>1612</v>
      </c>
      <c r="I1494" s="54" t="s">
        <v>1613</v>
      </c>
      <c r="J1494" s="54" t="s">
        <v>1241</v>
      </c>
      <c r="X1494" s="55" t="str">
        <f t="shared" si="1"/>
        <v>#NAME?</v>
      </c>
    </row>
    <row r="1495">
      <c r="A1495" s="4" t="s">
        <v>3708</v>
      </c>
      <c r="B1495" s="4" t="s">
        <v>3709</v>
      </c>
      <c r="C1495" s="4">
        <v>1.0</v>
      </c>
      <c r="D1495" s="54" t="s">
        <v>1615</v>
      </c>
      <c r="E1495" s="4" t="s">
        <v>1088</v>
      </c>
      <c r="F1495" s="54" t="s">
        <v>357</v>
      </c>
      <c r="G1495" s="54" t="s">
        <v>1177</v>
      </c>
      <c r="H1495" s="54" t="s">
        <v>1609</v>
      </c>
      <c r="I1495" s="54" t="s">
        <v>1612</v>
      </c>
      <c r="J1495" s="54" t="s">
        <v>1490</v>
      </c>
      <c r="X1495" s="55" t="str">
        <f t="shared" si="1"/>
        <v>#NAME?</v>
      </c>
    </row>
    <row r="1496">
      <c r="A1496" s="4" t="s">
        <v>3710</v>
      </c>
      <c r="B1496" s="4" t="s">
        <v>3711</v>
      </c>
      <c r="C1496" s="4">
        <v>1.0</v>
      </c>
      <c r="D1496" s="54" t="s">
        <v>1589</v>
      </c>
      <c r="E1496" s="4" t="s">
        <v>1397</v>
      </c>
      <c r="F1496" s="54" t="s">
        <v>357</v>
      </c>
      <c r="G1496" s="54" t="s">
        <v>1560</v>
      </c>
      <c r="H1496" s="54" t="s">
        <v>1583</v>
      </c>
      <c r="I1496" s="54" t="s">
        <v>1241</v>
      </c>
      <c r="J1496" s="54" t="s">
        <v>1559</v>
      </c>
      <c r="X1496" s="55" t="str">
        <f t="shared" si="1"/>
        <v>#NAME?</v>
      </c>
    </row>
    <row r="1497">
      <c r="A1497" s="4" t="s">
        <v>3712</v>
      </c>
      <c r="B1497" s="4" t="s">
        <v>3713</v>
      </c>
      <c r="C1497" s="4">
        <v>1.0</v>
      </c>
      <c r="D1497" s="54" t="s">
        <v>1554</v>
      </c>
      <c r="E1497" s="4" t="s">
        <v>1098</v>
      </c>
      <c r="F1497" s="54" t="s">
        <v>357</v>
      </c>
      <c r="G1497" s="54" t="s">
        <v>1171</v>
      </c>
      <c r="H1497" s="54" t="s">
        <v>1225</v>
      </c>
      <c r="I1497" s="54" t="s">
        <v>1559</v>
      </c>
      <c r="J1497" s="54" t="s">
        <v>1560</v>
      </c>
      <c r="X1497" s="55" t="str">
        <f t="shared" si="1"/>
        <v>#NAME?</v>
      </c>
    </row>
    <row r="1498">
      <c r="A1498" s="4" t="s">
        <v>3714</v>
      </c>
      <c r="B1498" s="4" t="s">
        <v>3715</v>
      </c>
      <c r="C1498" s="4">
        <v>1.0</v>
      </c>
      <c r="D1498" s="54" t="s">
        <v>1624</v>
      </c>
      <c r="E1498" s="4" t="s">
        <v>1098</v>
      </c>
      <c r="F1498" s="54" t="s">
        <v>357</v>
      </c>
      <c r="G1498" s="54" t="s">
        <v>1590</v>
      </c>
      <c r="H1498" s="54" t="s">
        <v>1625</v>
      </c>
      <c r="I1498" s="54" t="s">
        <v>1242</v>
      </c>
      <c r="J1498" s="54" t="s">
        <v>1556</v>
      </c>
      <c r="X1498" s="55" t="str">
        <f t="shared" si="1"/>
        <v>#NAME?</v>
      </c>
    </row>
    <row r="1499">
      <c r="A1499" s="4" t="s">
        <v>3716</v>
      </c>
      <c r="B1499" s="4" t="s">
        <v>3717</v>
      </c>
      <c r="C1499" s="4">
        <v>1.0</v>
      </c>
      <c r="D1499" s="54" t="s">
        <v>1646</v>
      </c>
      <c r="E1499" s="4" t="s">
        <v>1098</v>
      </c>
      <c r="F1499" s="54" t="s">
        <v>357</v>
      </c>
      <c r="G1499" s="54" t="s">
        <v>1494</v>
      </c>
      <c r="H1499" s="54" t="s">
        <v>1607</v>
      </c>
      <c r="I1499" s="54" t="s">
        <v>1131</v>
      </c>
      <c r="J1499" s="54" t="s">
        <v>1225</v>
      </c>
      <c r="X1499" s="55" t="str">
        <f t="shared" si="1"/>
        <v>#NAME?</v>
      </c>
    </row>
    <row r="1500">
      <c r="A1500" s="4" t="s">
        <v>3718</v>
      </c>
      <c r="B1500" s="4" t="s">
        <v>3719</v>
      </c>
      <c r="C1500" s="4">
        <v>1.0</v>
      </c>
      <c r="D1500" s="54" t="s">
        <v>1624</v>
      </c>
      <c r="E1500" s="4" t="s">
        <v>1098</v>
      </c>
      <c r="F1500" s="54" t="s">
        <v>357</v>
      </c>
      <c r="G1500" s="54" t="s">
        <v>1628</v>
      </c>
      <c r="H1500" s="54" t="s">
        <v>1573</v>
      </c>
      <c r="I1500" s="54" t="s">
        <v>1180</v>
      </c>
      <c r="J1500" s="54" t="s">
        <v>1607</v>
      </c>
      <c r="X1500" s="55" t="str">
        <f t="shared" si="1"/>
        <v>#NAME?</v>
      </c>
    </row>
    <row r="1501">
      <c r="A1501" s="4" t="s">
        <v>3720</v>
      </c>
      <c r="B1501" s="4" t="s">
        <v>3721</v>
      </c>
      <c r="C1501" s="4">
        <v>1.0</v>
      </c>
      <c r="D1501" s="54" t="s">
        <v>1630</v>
      </c>
      <c r="E1501" s="4" t="s">
        <v>1088</v>
      </c>
      <c r="F1501" s="54" t="s">
        <v>357</v>
      </c>
      <c r="G1501" s="54" t="s">
        <v>1593</v>
      </c>
      <c r="H1501" s="54" t="s">
        <v>1609</v>
      </c>
      <c r="I1501" s="54" t="s">
        <v>1177</v>
      </c>
      <c r="J1501" s="54" t="s">
        <v>1176</v>
      </c>
      <c r="X1501" s="55" t="str">
        <f t="shared" si="1"/>
        <v>#NAME?</v>
      </c>
    </row>
    <row r="1502">
      <c r="A1502" s="4" t="s">
        <v>3722</v>
      </c>
      <c r="B1502" s="4" t="s">
        <v>3723</v>
      </c>
      <c r="C1502" s="4">
        <v>1.0</v>
      </c>
      <c r="D1502" s="54" t="s">
        <v>1632</v>
      </c>
      <c r="E1502" s="4" t="s">
        <v>1088</v>
      </c>
      <c r="F1502" s="54" t="s">
        <v>357</v>
      </c>
      <c r="G1502" s="54" t="s">
        <v>1242</v>
      </c>
      <c r="H1502" s="54" t="s">
        <v>1180</v>
      </c>
      <c r="I1502" s="54" t="s">
        <v>1563</v>
      </c>
      <c r="J1502" s="54" t="s">
        <v>1218</v>
      </c>
      <c r="X1502" s="55" t="str">
        <f t="shared" si="1"/>
        <v>#NAME?</v>
      </c>
    </row>
    <row r="1503">
      <c r="A1503" s="4" t="s">
        <v>3724</v>
      </c>
      <c r="B1503" s="4" t="s">
        <v>3725</v>
      </c>
      <c r="C1503" s="4">
        <v>1.0</v>
      </c>
      <c r="D1503" s="54" t="s">
        <v>1634</v>
      </c>
      <c r="E1503" s="4" t="s">
        <v>1296</v>
      </c>
      <c r="F1503" s="54" t="s">
        <v>357</v>
      </c>
      <c r="G1503" s="54" t="s">
        <v>1253</v>
      </c>
      <c r="H1503" s="54" t="s">
        <v>1105</v>
      </c>
      <c r="I1503" s="54" t="s">
        <v>1104</v>
      </c>
      <c r="J1503" s="54" t="s">
        <v>1568</v>
      </c>
      <c r="X1503" s="55" t="str">
        <f t="shared" si="1"/>
        <v>#NAME?</v>
      </c>
    </row>
    <row r="1504">
      <c r="A1504" s="4" t="s">
        <v>3726</v>
      </c>
      <c r="B1504" s="4" t="s">
        <v>3727</v>
      </c>
      <c r="C1504" s="4">
        <v>1.0</v>
      </c>
      <c r="D1504" s="54" t="s">
        <v>1634</v>
      </c>
      <c r="E1504" s="4" t="s">
        <v>1296</v>
      </c>
      <c r="F1504" s="54" t="s">
        <v>357</v>
      </c>
      <c r="G1504" s="54" t="s">
        <v>1514</v>
      </c>
      <c r="H1504" s="54" t="s">
        <v>1359</v>
      </c>
      <c r="I1504" s="54" t="s">
        <v>1104</v>
      </c>
      <c r="J1504" s="54" t="s">
        <v>1636</v>
      </c>
      <c r="X1504" s="55" t="str">
        <f t="shared" si="1"/>
        <v>#NAME?</v>
      </c>
    </row>
    <row r="1505">
      <c r="A1505" s="4" t="s">
        <v>3728</v>
      </c>
      <c r="B1505" s="4" t="s">
        <v>3729</v>
      </c>
      <c r="C1505" s="4">
        <v>1.0</v>
      </c>
      <c r="D1505" s="54" t="s">
        <v>1634</v>
      </c>
      <c r="E1505" s="4" t="s">
        <v>1296</v>
      </c>
      <c r="F1505" s="54" t="s">
        <v>357</v>
      </c>
      <c r="G1505" s="54" t="s">
        <v>1563</v>
      </c>
      <c r="H1505" s="54" t="s">
        <v>1236</v>
      </c>
      <c r="I1505" s="54" t="s">
        <v>1563</v>
      </c>
      <c r="J1505" s="54" t="s">
        <v>1159</v>
      </c>
      <c r="X1505" s="55" t="str">
        <f t="shared" si="1"/>
        <v>#NAME?</v>
      </c>
    </row>
    <row r="1506">
      <c r="A1506" s="4" t="s">
        <v>3730</v>
      </c>
      <c r="B1506" s="4" t="s">
        <v>3731</v>
      </c>
      <c r="C1506" s="4">
        <v>1.0</v>
      </c>
      <c r="D1506" s="54" t="s">
        <v>1634</v>
      </c>
      <c r="E1506" s="4" t="s">
        <v>1296</v>
      </c>
      <c r="F1506" s="54" t="s">
        <v>357</v>
      </c>
      <c r="G1506" s="54" t="s">
        <v>1104</v>
      </c>
      <c r="H1506" s="54" t="s">
        <v>1639</v>
      </c>
      <c r="I1506" s="54" t="s">
        <v>1516</v>
      </c>
      <c r="J1506" s="54" t="s">
        <v>1639</v>
      </c>
      <c r="X1506" s="55" t="str">
        <f t="shared" si="1"/>
        <v>#NAME?</v>
      </c>
    </row>
    <row r="1507">
      <c r="A1507" s="4" t="s">
        <v>3732</v>
      </c>
      <c r="B1507" s="4" t="s">
        <v>3733</v>
      </c>
      <c r="C1507" s="4">
        <v>1.0</v>
      </c>
      <c r="D1507" s="54" t="s">
        <v>1641</v>
      </c>
      <c r="E1507" s="4" t="s">
        <v>1088</v>
      </c>
      <c r="F1507" s="54" t="s">
        <v>357</v>
      </c>
      <c r="G1507" s="54" t="s">
        <v>1564</v>
      </c>
      <c r="H1507" s="54" t="s">
        <v>1604</v>
      </c>
      <c r="I1507" s="54" t="s">
        <v>1212</v>
      </c>
      <c r="J1507" s="54" t="s">
        <v>1563</v>
      </c>
      <c r="X1507" s="55" t="str">
        <f t="shared" si="1"/>
        <v>#NAME?</v>
      </c>
    </row>
    <row r="1508">
      <c r="A1508" s="4" t="s">
        <v>3734</v>
      </c>
      <c r="B1508" s="4" t="s">
        <v>3735</v>
      </c>
      <c r="C1508" s="4">
        <v>1.0</v>
      </c>
      <c r="D1508" s="54" t="s">
        <v>1643</v>
      </c>
      <c r="E1508" s="4" t="s">
        <v>1088</v>
      </c>
      <c r="F1508" s="54" t="s">
        <v>357</v>
      </c>
      <c r="G1508" s="54" t="s">
        <v>1583</v>
      </c>
      <c r="H1508" s="54" t="s">
        <v>1586</v>
      </c>
      <c r="I1508" s="54" t="s">
        <v>1212</v>
      </c>
      <c r="J1508" s="54" t="s">
        <v>1644</v>
      </c>
      <c r="X1508" s="55" t="str">
        <f t="shared" si="1"/>
        <v>#NAME?</v>
      </c>
    </row>
    <row r="1509">
      <c r="A1509" s="4" t="s">
        <v>3736</v>
      </c>
      <c r="B1509" s="4" t="s">
        <v>3737</v>
      </c>
      <c r="C1509" s="4">
        <v>1.0</v>
      </c>
      <c r="D1509" s="54" t="s">
        <v>1562</v>
      </c>
      <c r="E1509" s="4" t="s">
        <v>1088</v>
      </c>
      <c r="F1509" s="54" t="s">
        <v>357</v>
      </c>
      <c r="G1509" s="54" t="s">
        <v>1563</v>
      </c>
      <c r="H1509" s="54" t="s">
        <v>1564</v>
      </c>
      <c r="I1509" s="54" t="s">
        <v>1235</v>
      </c>
      <c r="J1509" s="54" t="s">
        <v>1183</v>
      </c>
      <c r="X1509" s="55" t="str">
        <f t="shared" si="1"/>
        <v>#NAME?</v>
      </c>
    </row>
    <row r="1510">
      <c r="A1510" s="4" t="s">
        <v>3738</v>
      </c>
      <c r="B1510" s="4" t="s">
        <v>3739</v>
      </c>
      <c r="C1510" s="4">
        <v>1.0</v>
      </c>
      <c r="D1510" s="54" t="s">
        <v>1624</v>
      </c>
      <c r="E1510" s="4" t="s">
        <v>1098</v>
      </c>
      <c r="F1510" s="54" t="s">
        <v>357</v>
      </c>
      <c r="G1510" s="54" t="s">
        <v>1590</v>
      </c>
      <c r="H1510" s="54" t="s">
        <v>1493</v>
      </c>
      <c r="I1510" s="54" t="s">
        <v>1583</v>
      </c>
      <c r="J1510" s="54" t="s">
        <v>1494</v>
      </c>
      <c r="X1510" s="55" t="str">
        <f t="shared" si="1"/>
        <v>#NAME?</v>
      </c>
    </row>
    <row r="1511">
      <c r="A1511" s="4" t="s">
        <v>3740</v>
      </c>
      <c r="B1511" s="4" t="s">
        <v>3741</v>
      </c>
      <c r="C1511" s="4">
        <v>1.0</v>
      </c>
      <c r="D1511" s="54" t="s">
        <v>1646</v>
      </c>
      <c r="E1511" s="4" t="s">
        <v>1098</v>
      </c>
      <c r="F1511" s="54" t="s">
        <v>357</v>
      </c>
      <c r="G1511" s="54" t="s">
        <v>1649</v>
      </c>
      <c r="H1511" s="54" t="s">
        <v>1628</v>
      </c>
      <c r="I1511" s="54" t="s">
        <v>1555</v>
      </c>
      <c r="J1511" s="54" t="s">
        <v>1555</v>
      </c>
      <c r="X1511" s="55" t="str">
        <f t="shared" si="1"/>
        <v>#NAME?</v>
      </c>
    </row>
    <row r="1512">
      <c r="A1512" s="4" t="s">
        <v>3742</v>
      </c>
      <c r="B1512" s="4" t="s">
        <v>3743</v>
      </c>
      <c r="C1512" s="4">
        <v>1.0</v>
      </c>
      <c r="D1512" s="54" t="s">
        <v>1651</v>
      </c>
      <c r="E1512" s="4" t="s">
        <v>1251</v>
      </c>
      <c r="F1512" s="54" t="s">
        <v>357</v>
      </c>
      <c r="G1512" s="54" t="s">
        <v>1373</v>
      </c>
      <c r="H1512" s="54" t="s">
        <v>1120</v>
      </c>
      <c r="I1512" s="54" t="s">
        <v>1313</v>
      </c>
      <c r="J1512" s="54" t="s">
        <v>1618</v>
      </c>
      <c r="X1512" s="55" t="str">
        <f t="shared" si="1"/>
        <v>#NAME?</v>
      </c>
    </row>
    <row r="1513">
      <c r="A1513" s="4" t="s">
        <v>3744</v>
      </c>
      <c r="B1513" s="4" t="s">
        <v>3745</v>
      </c>
      <c r="C1513" s="4">
        <v>1.0</v>
      </c>
      <c r="D1513" s="54" t="s">
        <v>1653</v>
      </c>
      <c r="E1513" s="4" t="s">
        <v>1251</v>
      </c>
      <c r="F1513" s="54" t="s">
        <v>449</v>
      </c>
      <c r="G1513" s="54" t="s">
        <v>1264</v>
      </c>
      <c r="H1513" s="54" t="s">
        <v>1264</v>
      </c>
      <c r="I1513" s="54" t="s">
        <v>1521</v>
      </c>
      <c r="J1513" s="54" t="s">
        <v>1654</v>
      </c>
      <c r="X1513" s="55" t="str">
        <f t="shared" si="1"/>
        <v>#NAME?</v>
      </c>
    </row>
    <row r="1514">
      <c r="A1514" s="4" t="s">
        <v>3746</v>
      </c>
      <c r="B1514" s="4" t="s">
        <v>3747</v>
      </c>
      <c r="C1514" s="4">
        <v>1.0</v>
      </c>
      <c r="D1514" s="54" t="s">
        <v>1656</v>
      </c>
      <c r="E1514" s="4" t="s">
        <v>1088</v>
      </c>
      <c r="F1514" s="54" t="s">
        <v>449</v>
      </c>
      <c r="G1514" s="54" t="s">
        <v>1555</v>
      </c>
      <c r="H1514" s="54" t="s">
        <v>1227</v>
      </c>
      <c r="I1514" s="54" t="s">
        <v>1657</v>
      </c>
      <c r="J1514" s="54" t="s">
        <v>1658</v>
      </c>
      <c r="X1514" s="55" t="str">
        <f t="shared" si="1"/>
        <v>#NAME?</v>
      </c>
    </row>
    <row r="1515">
      <c r="A1515" s="4" t="s">
        <v>3748</v>
      </c>
      <c r="B1515" s="4" t="s">
        <v>3749</v>
      </c>
      <c r="C1515" s="4">
        <v>1.0</v>
      </c>
      <c r="D1515" s="54" t="s">
        <v>1660</v>
      </c>
      <c r="E1515" s="4" t="s">
        <v>1088</v>
      </c>
      <c r="F1515" s="54" t="s">
        <v>449</v>
      </c>
      <c r="G1515" s="54" t="s">
        <v>1560</v>
      </c>
      <c r="H1515" s="54" t="s">
        <v>1584</v>
      </c>
      <c r="I1515" s="54" t="s">
        <v>1584</v>
      </c>
      <c r="J1515" s="54" t="s">
        <v>1226</v>
      </c>
      <c r="X1515" s="55" t="str">
        <f t="shared" si="1"/>
        <v>#NAME?</v>
      </c>
    </row>
    <row r="1516">
      <c r="A1516" s="4" t="s">
        <v>3750</v>
      </c>
      <c r="B1516" s="4" t="s">
        <v>3751</v>
      </c>
      <c r="C1516" s="4">
        <v>1.0</v>
      </c>
      <c r="D1516" s="54" t="s">
        <v>1662</v>
      </c>
      <c r="E1516" s="4" t="s">
        <v>1251</v>
      </c>
      <c r="F1516" s="54" t="s">
        <v>449</v>
      </c>
      <c r="G1516" s="54" t="s">
        <v>1170</v>
      </c>
      <c r="H1516" s="54" t="s">
        <v>1170</v>
      </c>
      <c r="I1516" s="54" t="s">
        <v>1543</v>
      </c>
      <c r="J1516" s="54" t="s">
        <v>1181</v>
      </c>
      <c r="X1516" s="55" t="str">
        <f t="shared" si="1"/>
        <v>#NAME?</v>
      </c>
    </row>
    <row r="1517">
      <c r="A1517" s="4" t="s">
        <v>3752</v>
      </c>
      <c r="B1517" s="4" t="s">
        <v>3753</v>
      </c>
      <c r="C1517" s="4">
        <v>1.0</v>
      </c>
      <c r="D1517" s="54" t="s">
        <v>1664</v>
      </c>
      <c r="E1517" s="4" t="s">
        <v>1251</v>
      </c>
      <c r="F1517" s="54" t="s">
        <v>357</v>
      </c>
      <c r="G1517" s="54" t="s">
        <v>1236</v>
      </c>
      <c r="H1517" s="54" t="s">
        <v>1160</v>
      </c>
      <c r="I1517" s="54" t="s">
        <v>1231</v>
      </c>
      <c r="J1517" s="54" t="s">
        <v>1158</v>
      </c>
      <c r="X1517" s="55" t="str">
        <f t="shared" si="1"/>
        <v>#NAME?</v>
      </c>
    </row>
    <row r="1518">
      <c r="A1518" s="4" t="s">
        <v>3754</v>
      </c>
      <c r="B1518" s="4" t="s">
        <v>3755</v>
      </c>
      <c r="C1518" s="4">
        <v>1.0</v>
      </c>
      <c r="D1518" s="54" t="s">
        <v>797</v>
      </c>
      <c r="E1518" s="4" t="s">
        <v>1251</v>
      </c>
      <c r="F1518" s="54" t="s">
        <v>357</v>
      </c>
      <c r="G1518" s="54" t="s">
        <v>1181</v>
      </c>
      <c r="H1518" s="54" t="s">
        <v>1231</v>
      </c>
      <c r="I1518" s="54" t="s">
        <v>1231</v>
      </c>
      <c r="J1518" s="54" t="s">
        <v>1188</v>
      </c>
      <c r="X1518" s="55" t="str">
        <f t="shared" si="1"/>
        <v>#NAME?</v>
      </c>
    </row>
    <row r="1519">
      <c r="A1519" s="4" t="s">
        <v>3756</v>
      </c>
      <c r="B1519" s="4" t="s">
        <v>3757</v>
      </c>
      <c r="C1519" s="4">
        <v>1.0</v>
      </c>
      <c r="D1519" s="54" t="s">
        <v>1667</v>
      </c>
      <c r="E1519" s="4" t="s">
        <v>1251</v>
      </c>
      <c r="F1519" s="54" t="s">
        <v>449</v>
      </c>
      <c r="G1519" s="54" t="s">
        <v>1110</v>
      </c>
      <c r="H1519" s="54" t="s">
        <v>1175</v>
      </c>
      <c r="I1519" s="54" t="s">
        <v>1668</v>
      </c>
      <c r="J1519" s="54" t="s">
        <v>1669</v>
      </c>
      <c r="X1519" s="55" t="str">
        <f t="shared" si="1"/>
        <v>#NAME?</v>
      </c>
    </row>
    <row r="1520">
      <c r="A1520" s="4" t="s">
        <v>3758</v>
      </c>
      <c r="B1520" s="4" t="s">
        <v>3759</v>
      </c>
      <c r="C1520" s="4">
        <v>1.0</v>
      </c>
      <c r="D1520" s="54" t="s">
        <v>1646</v>
      </c>
      <c r="E1520" s="4" t="s">
        <v>1098</v>
      </c>
      <c r="F1520" s="54" t="s">
        <v>357</v>
      </c>
      <c r="G1520" s="54" t="s">
        <v>1572</v>
      </c>
      <c r="H1520" s="54" t="s">
        <v>1494</v>
      </c>
      <c r="I1520" s="54" t="s">
        <v>1555</v>
      </c>
      <c r="J1520" s="54" t="s">
        <v>1628</v>
      </c>
      <c r="X1520" s="55" t="str">
        <f t="shared" si="1"/>
        <v>#NAME?</v>
      </c>
    </row>
    <row r="1521">
      <c r="A1521" s="4" t="s">
        <v>3760</v>
      </c>
      <c r="B1521" s="4" t="s">
        <v>3761</v>
      </c>
      <c r="C1521" s="4">
        <v>1.0</v>
      </c>
      <c r="D1521" s="54" t="s">
        <v>1673</v>
      </c>
      <c r="E1521" s="4" t="s">
        <v>1088</v>
      </c>
      <c r="F1521" s="54" t="s">
        <v>357</v>
      </c>
      <c r="G1521" s="54" t="s">
        <v>1572</v>
      </c>
      <c r="H1521" s="54" t="s">
        <v>1226</v>
      </c>
      <c r="I1521" s="54" t="s">
        <v>1560</v>
      </c>
      <c r="J1521" s="54" t="s">
        <v>1227</v>
      </c>
      <c r="X1521" s="55" t="str">
        <f t="shared" si="1"/>
        <v>#NAME?</v>
      </c>
    </row>
    <row r="1522">
      <c r="A1522" s="4" t="s">
        <v>3762</v>
      </c>
      <c r="B1522" s="4" t="s">
        <v>3763</v>
      </c>
      <c r="C1522" s="4">
        <v>1.0</v>
      </c>
      <c r="D1522" s="54" t="s">
        <v>405</v>
      </c>
      <c r="E1522" s="54" t="s">
        <v>405</v>
      </c>
      <c r="F1522" s="54" t="s">
        <v>405</v>
      </c>
      <c r="G1522" s="54" t="s">
        <v>1563</v>
      </c>
      <c r="H1522" s="54" t="s">
        <v>1564</v>
      </c>
      <c r="I1522" s="54" t="s">
        <v>1235</v>
      </c>
      <c r="J1522" s="54" t="s">
        <v>1183</v>
      </c>
      <c r="X1522" s="55" t="str">
        <f t="shared" si="1"/>
        <v>#NAME?</v>
      </c>
    </row>
    <row r="1523">
      <c r="A1523" s="4" t="s">
        <v>3764</v>
      </c>
      <c r="B1523" s="4" t="s">
        <v>3763</v>
      </c>
      <c r="C1523" s="4">
        <v>2.0</v>
      </c>
      <c r="D1523" s="54" t="s">
        <v>405</v>
      </c>
      <c r="E1523" s="54" t="s">
        <v>405</v>
      </c>
      <c r="F1523" s="54" t="s">
        <v>405</v>
      </c>
      <c r="G1523" s="54" t="s">
        <v>1590</v>
      </c>
      <c r="H1523" s="54" t="s">
        <v>1493</v>
      </c>
      <c r="I1523" s="54" t="s">
        <v>1583</v>
      </c>
      <c r="J1523" s="54" t="s">
        <v>1494</v>
      </c>
      <c r="X1523" s="55" t="str">
        <f t="shared" si="1"/>
        <v>#NAME?</v>
      </c>
    </row>
    <row r="1524">
      <c r="A1524" s="4" t="s">
        <v>3765</v>
      </c>
      <c r="B1524" s="4" t="s">
        <v>3763</v>
      </c>
      <c r="C1524" s="4">
        <v>3.0</v>
      </c>
      <c r="D1524" s="54" t="s">
        <v>405</v>
      </c>
      <c r="E1524" s="54" t="s">
        <v>405</v>
      </c>
      <c r="F1524" s="54" t="s">
        <v>405</v>
      </c>
      <c r="G1524" s="54" t="s">
        <v>1649</v>
      </c>
      <c r="H1524" s="54" t="s">
        <v>1628</v>
      </c>
      <c r="I1524" s="54" t="s">
        <v>1555</v>
      </c>
      <c r="J1524" s="54" t="s">
        <v>1555</v>
      </c>
      <c r="X1524" s="55" t="str">
        <f t="shared" si="1"/>
        <v>#NAME?</v>
      </c>
    </row>
    <row r="1525">
      <c r="A1525" s="4" t="s">
        <v>3766</v>
      </c>
      <c r="B1525" s="4" t="s">
        <v>3763</v>
      </c>
      <c r="C1525" s="4">
        <v>4.0</v>
      </c>
      <c r="D1525" s="54" t="s">
        <v>405</v>
      </c>
      <c r="E1525" s="4" t="s">
        <v>1251</v>
      </c>
      <c r="F1525" s="54" t="s">
        <v>3767</v>
      </c>
      <c r="G1525" s="54" t="s">
        <v>1373</v>
      </c>
      <c r="H1525" s="54" t="s">
        <v>1120</v>
      </c>
      <c r="I1525" s="54" t="s">
        <v>1313</v>
      </c>
      <c r="J1525" s="54" t="s">
        <v>1618</v>
      </c>
      <c r="X1525" s="55" t="str">
        <f t="shared" si="1"/>
        <v>#NAME?</v>
      </c>
    </row>
    <row r="1526">
      <c r="A1526" s="4" t="s">
        <v>3768</v>
      </c>
      <c r="B1526" s="4" t="s">
        <v>3763</v>
      </c>
      <c r="C1526" s="4">
        <v>5.0</v>
      </c>
      <c r="D1526" s="54" t="s">
        <v>405</v>
      </c>
      <c r="E1526" s="54" t="s">
        <v>405</v>
      </c>
      <c r="F1526" s="54" t="s">
        <v>405</v>
      </c>
      <c r="G1526" s="54" t="s">
        <v>1264</v>
      </c>
      <c r="H1526" s="54" t="s">
        <v>1264</v>
      </c>
      <c r="I1526" s="54" t="s">
        <v>1521</v>
      </c>
      <c r="J1526" s="54" t="s">
        <v>1654</v>
      </c>
      <c r="X1526" s="55" t="str">
        <f t="shared" si="1"/>
        <v>#NAME?</v>
      </c>
    </row>
    <row r="1527">
      <c r="A1527" s="4" t="s">
        <v>3769</v>
      </c>
      <c r="B1527" s="4" t="s">
        <v>3763</v>
      </c>
      <c r="C1527" s="4">
        <v>6.0</v>
      </c>
      <c r="D1527" s="54" t="s">
        <v>405</v>
      </c>
      <c r="E1527" s="54" t="s">
        <v>405</v>
      </c>
      <c r="F1527" s="54" t="s">
        <v>405</v>
      </c>
      <c r="G1527" s="54" t="s">
        <v>1555</v>
      </c>
      <c r="H1527" s="54" t="s">
        <v>1227</v>
      </c>
      <c r="I1527" s="54" t="s">
        <v>1657</v>
      </c>
      <c r="J1527" s="54" t="s">
        <v>1658</v>
      </c>
      <c r="X1527" s="55" t="str">
        <f t="shared" si="1"/>
        <v>#NAME?</v>
      </c>
    </row>
    <row r="1528">
      <c r="A1528" s="4" t="s">
        <v>3770</v>
      </c>
      <c r="B1528" s="4" t="s">
        <v>3763</v>
      </c>
      <c r="C1528" s="4">
        <v>7.0</v>
      </c>
      <c r="D1528" s="54" t="s">
        <v>405</v>
      </c>
      <c r="E1528" s="54" t="s">
        <v>405</v>
      </c>
      <c r="F1528" s="54" t="s">
        <v>405</v>
      </c>
      <c r="G1528" s="54" t="s">
        <v>1560</v>
      </c>
      <c r="H1528" s="54" t="s">
        <v>1584</v>
      </c>
      <c r="I1528" s="54" t="s">
        <v>1584</v>
      </c>
      <c r="J1528" s="54" t="s">
        <v>1226</v>
      </c>
      <c r="X1528" s="55" t="str">
        <f t="shared" si="1"/>
        <v>#NAME?</v>
      </c>
    </row>
    <row r="1529">
      <c r="A1529" s="4" t="s">
        <v>3771</v>
      </c>
      <c r="B1529" s="4" t="s">
        <v>3763</v>
      </c>
      <c r="C1529" s="4">
        <v>8.0</v>
      </c>
      <c r="D1529" s="54" t="s">
        <v>1489</v>
      </c>
      <c r="E1529" s="4" t="s">
        <v>1191</v>
      </c>
      <c r="F1529" s="4">
        <v>4.0</v>
      </c>
      <c r="G1529" s="54" t="s">
        <v>1099</v>
      </c>
      <c r="H1529" s="54" t="s">
        <v>1100</v>
      </c>
      <c r="I1529" s="54" t="s">
        <v>1101</v>
      </c>
      <c r="J1529" s="54" t="s">
        <v>1102</v>
      </c>
      <c r="K1529" s="54" t="s">
        <v>1099</v>
      </c>
      <c r="L1529" s="54" t="s">
        <v>1100</v>
      </c>
      <c r="M1529" s="54" t="s">
        <v>1101</v>
      </c>
      <c r="N1529" s="54" t="s">
        <v>1102</v>
      </c>
      <c r="X1529" s="55" t="str">
        <f t="shared" si="1"/>
        <v>#NAME?</v>
      </c>
    </row>
    <row r="1530">
      <c r="A1530" s="4" t="s">
        <v>3772</v>
      </c>
      <c r="B1530" s="4" t="s">
        <v>3763</v>
      </c>
      <c r="C1530" s="4">
        <v>9.0</v>
      </c>
      <c r="D1530" s="54" t="s">
        <v>1489</v>
      </c>
      <c r="E1530" s="4" t="s">
        <v>1098</v>
      </c>
      <c r="F1530" s="56" t="s">
        <v>443</v>
      </c>
      <c r="G1530" s="54" t="s">
        <v>1104</v>
      </c>
      <c r="H1530" s="54" t="s">
        <v>1105</v>
      </c>
      <c r="I1530" s="54" t="s">
        <v>1099</v>
      </c>
      <c r="J1530" s="54" t="s">
        <v>1106</v>
      </c>
      <c r="K1530" s="54" t="s">
        <v>1104</v>
      </c>
      <c r="L1530" s="54" t="s">
        <v>1105</v>
      </c>
      <c r="M1530" s="54" t="s">
        <v>1099</v>
      </c>
      <c r="N1530" s="54" t="s">
        <v>1106</v>
      </c>
      <c r="X1530" s="55" t="str">
        <f t="shared" si="1"/>
        <v>#NAME?</v>
      </c>
    </row>
    <row r="1531">
      <c r="A1531" s="4" t="s">
        <v>3773</v>
      </c>
      <c r="B1531" s="4" t="s">
        <v>3763</v>
      </c>
      <c r="C1531" s="4">
        <v>10.0</v>
      </c>
      <c r="D1531" s="54" t="s">
        <v>1489</v>
      </c>
      <c r="E1531" s="4" t="s">
        <v>1251</v>
      </c>
      <c r="F1531" s="4">
        <v>4.0</v>
      </c>
      <c r="G1531" s="54" t="s">
        <v>1108</v>
      </c>
      <c r="H1531" s="54" t="s">
        <v>1109</v>
      </c>
      <c r="I1531" s="54" t="s">
        <v>1110</v>
      </c>
      <c r="J1531" s="54" t="s">
        <v>1111</v>
      </c>
      <c r="K1531" s="54" t="s">
        <v>1108</v>
      </c>
      <c r="L1531" s="54" t="s">
        <v>1109</v>
      </c>
      <c r="M1531" s="54" t="s">
        <v>1110</v>
      </c>
      <c r="N1531" s="54" t="s">
        <v>1111</v>
      </c>
      <c r="X1531" s="55" t="str">
        <f t="shared" si="1"/>
        <v>#NAME?</v>
      </c>
    </row>
    <row r="1532">
      <c r="A1532" s="4" t="s">
        <v>3774</v>
      </c>
      <c r="B1532" s="4" t="s">
        <v>3763</v>
      </c>
      <c r="C1532" s="4">
        <v>11.0</v>
      </c>
      <c r="D1532" s="54" t="s">
        <v>1489</v>
      </c>
      <c r="E1532" s="4" t="s">
        <v>1191</v>
      </c>
      <c r="F1532" s="4">
        <v>4.0</v>
      </c>
      <c r="G1532" s="54" t="s">
        <v>1109</v>
      </c>
      <c r="H1532" s="54" t="s">
        <v>1111</v>
      </c>
      <c r="I1532" s="54" t="s">
        <v>1093</v>
      </c>
      <c r="J1532" s="54" t="s">
        <v>1111</v>
      </c>
      <c r="K1532" s="54" t="s">
        <v>1109</v>
      </c>
      <c r="L1532" s="54" t="s">
        <v>1111</v>
      </c>
      <c r="M1532" s="54" t="s">
        <v>1093</v>
      </c>
      <c r="N1532" s="54" t="s">
        <v>1111</v>
      </c>
      <c r="X1532" s="55" t="str">
        <f t="shared" si="1"/>
        <v>#NAME?</v>
      </c>
    </row>
    <row r="1533">
      <c r="A1533" s="4" t="s">
        <v>3775</v>
      </c>
      <c r="B1533" s="4" t="s">
        <v>3763</v>
      </c>
      <c r="C1533" s="4">
        <v>12.0</v>
      </c>
      <c r="D1533" s="54" t="s">
        <v>1489</v>
      </c>
      <c r="E1533" s="4" t="s">
        <v>1098</v>
      </c>
      <c r="F1533" s="4">
        <v>4.0</v>
      </c>
      <c r="G1533" s="54" t="s">
        <v>1115</v>
      </c>
      <c r="H1533" s="54" t="s">
        <v>1116</v>
      </c>
      <c r="I1533" s="54" t="s">
        <v>1117</v>
      </c>
      <c r="J1533" s="54" t="s">
        <v>1118</v>
      </c>
      <c r="K1533" s="54" t="s">
        <v>1115</v>
      </c>
      <c r="L1533" s="54" t="s">
        <v>1116</v>
      </c>
      <c r="M1533" s="54" t="s">
        <v>1117</v>
      </c>
      <c r="N1533" s="54" t="s">
        <v>1118</v>
      </c>
      <c r="X1533" s="55" t="str">
        <f t="shared" si="1"/>
        <v>#NAME?</v>
      </c>
    </row>
    <row r="1534">
      <c r="A1534" s="4" t="s">
        <v>3776</v>
      </c>
      <c r="B1534" s="4" t="s">
        <v>3763</v>
      </c>
      <c r="C1534" s="4">
        <v>13.0</v>
      </c>
      <c r="D1534" s="54" t="s">
        <v>1489</v>
      </c>
      <c r="E1534" s="4" t="s">
        <v>1098</v>
      </c>
      <c r="F1534" s="4">
        <v>4.0</v>
      </c>
      <c r="G1534" s="54" t="s">
        <v>1120</v>
      </c>
      <c r="H1534" s="54" t="s">
        <v>1121</v>
      </c>
      <c r="I1534" s="54" t="s">
        <v>1122</v>
      </c>
      <c r="J1534" s="54" t="s">
        <v>1123</v>
      </c>
      <c r="K1534" s="54" t="s">
        <v>1120</v>
      </c>
      <c r="L1534" s="54" t="s">
        <v>1121</v>
      </c>
      <c r="M1534" s="54" t="s">
        <v>1122</v>
      </c>
      <c r="N1534" s="54" t="s">
        <v>1123</v>
      </c>
      <c r="X1534" s="55" t="str">
        <f t="shared" si="1"/>
        <v>#NAME?</v>
      </c>
    </row>
    <row r="1535">
      <c r="A1535" s="4" t="s">
        <v>3777</v>
      </c>
      <c r="B1535" s="4" t="s">
        <v>3763</v>
      </c>
      <c r="C1535" s="4">
        <v>14.0</v>
      </c>
      <c r="D1535" s="54" t="s">
        <v>1489</v>
      </c>
      <c r="E1535" s="4" t="s">
        <v>1098</v>
      </c>
      <c r="F1535" s="4">
        <v>4.0</v>
      </c>
      <c r="G1535" s="54" t="s">
        <v>1125</v>
      </c>
      <c r="H1535" s="54" t="s">
        <v>1126</v>
      </c>
      <c r="I1535" s="54" t="s">
        <v>1127</v>
      </c>
      <c r="J1535" s="54" t="s">
        <v>1125</v>
      </c>
      <c r="K1535" s="54" t="s">
        <v>1125</v>
      </c>
      <c r="L1535" s="54" t="s">
        <v>1126</v>
      </c>
      <c r="M1535" s="54" t="s">
        <v>1127</v>
      </c>
      <c r="N1535" s="54" t="s">
        <v>1125</v>
      </c>
      <c r="X1535" s="55" t="str">
        <f t="shared" si="1"/>
        <v>#NAME?</v>
      </c>
    </row>
    <row r="1536">
      <c r="A1536" s="4" t="s">
        <v>3778</v>
      </c>
      <c r="B1536" s="4" t="s">
        <v>3763</v>
      </c>
      <c r="C1536" s="4">
        <v>15.0</v>
      </c>
      <c r="D1536" s="54" t="s">
        <v>1489</v>
      </c>
      <c r="E1536" s="4" t="s">
        <v>1191</v>
      </c>
      <c r="F1536" s="4">
        <v>4.0</v>
      </c>
      <c r="G1536" s="54" t="s">
        <v>1099</v>
      </c>
      <c r="H1536" s="54" t="s">
        <v>1100</v>
      </c>
      <c r="I1536" s="54" t="s">
        <v>1101</v>
      </c>
      <c r="J1536" s="54" t="s">
        <v>1102</v>
      </c>
      <c r="K1536" s="54" t="s">
        <v>1099</v>
      </c>
      <c r="L1536" s="54" t="s">
        <v>1100</v>
      </c>
      <c r="M1536" s="54" t="s">
        <v>1101</v>
      </c>
      <c r="N1536" s="54" t="s">
        <v>1102</v>
      </c>
      <c r="X1536" s="55" t="str">
        <f t="shared" si="1"/>
        <v>#NAME?</v>
      </c>
    </row>
    <row r="1537">
      <c r="A1537" s="4" t="s">
        <v>3779</v>
      </c>
      <c r="B1537" s="4" t="s">
        <v>3763</v>
      </c>
      <c r="C1537" s="4">
        <v>16.0</v>
      </c>
      <c r="D1537" s="54" t="s">
        <v>1489</v>
      </c>
      <c r="E1537" s="4" t="s">
        <v>1098</v>
      </c>
      <c r="F1537" s="4">
        <v>4.0</v>
      </c>
      <c r="G1537" s="54" t="s">
        <v>1104</v>
      </c>
      <c r="H1537" s="54" t="s">
        <v>1105</v>
      </c>
      <c r="I1537" s="54" t="s">
        <v>1099</v>
      </c>
      <c r="J1537" s="54" t="s">
        <v>1106</v>
      </c>
      <c r="K1537" s="54" t="s">
        <v>1104</v>
      </c>
      <c r="L1537" s="54" t="s">
        <v>1105</v>
      </c>
      <c r="M1537" s="54" t="s">
        <v>1099</v>
      </c>
      <c r="N1537" s="54" t="s">
        <v>1106</v>
      </c>
      <c r="X1537" s="55" t="str">
        <f t="shared" si="1"/>
        <v>#NAME?</v>
      </c>
    </row>
    <row r="1538">
      <c r="A1538" s="4" t="s">
        <v>3780</v>
      </c>
      <c r="B1538" s="4" t="s">
        <v>3763</v>
      </c>
      <c r="C1538" s="4">
        <v>17.0</v>
      </c>
      <c r="D1538" s="54" t="s">
        <v>1489</v>
      </c>
      <c r="E1538" s="4" t="s">
        <v>1251</v>
      </c>
      <c r="F1538" s="4">
        <v>4.0</v>
      </c>
      <c r="G1538" s="54" t="s">
        <v>1108</v>
      </c>
      <c r="H1538" s="54" t="s">
        <v>1109</v>
      </c>
      <c r="I1538" s="54" t="s">
        <v>1110</v>
      </c>
      <c r="J1538" s="54" t="s">
        <v>1111</v>
      </c>
      <c r="K1538" s="54" t="s">
        <v>1108</v>
      </c>
      <c r="L1538" s="54" t="s">
        <v>1109</v>
      </c>
      <c r="M1538" s="54" t="s">
        <v>1110</v>
      </c>
      <c r="N1538" s="54" t="s">
        <v>1111</v>
      </c>
      <c r="X1538" s="55" t="str">
        <f t="shared" si="1"/>
        <v>#NAME?</v>
      </c>
    </row>
    <row r="1539">
      <c r="A1539" s="4" t="s">
        <v>3781</v>
      </c>
      <c r="B1539" s="4" t="s">
        <v>3763</v>
      </c>
      <c r="C1539" s="4">
        <v>18.0</v>
      </c>
      <c r="D1539" s="54" t="s">
        <v>1489</v>
      </c>
      <c r="E1539" s="4" t="s">
        <v>1191</v>
      </c>
      <c r="F1539" s="4">
        <v>4.0</v>
      </c>
      <c r="G1539" s="54" t="s">
        <v>1109</v>
      </c>
      <c r="H1539" s="54" t="s">
        <v>1111</v>
      </c>
      <c r="I1539" s="54" t="s">
        <v>1093</v>
      </c>
      <c r="J1539" s="54" t="s">
        <v>1111</v>
      </c>
      <c r="K1539" s="54" t="s">
        <v>1109</v>
      </c>
      <c r="L1539" s="54" t="s">
        <v>1111</v>
      </c>
      <c r="M1539" s="54" t="s">
        <v>1093</v>
      </c>
      <c r="N1539" s="54" t="s">
        <v>1111</v>
      </c>
      <c r="X1539" s="55" t="str">
        <f t="shared" si="1"/>
        <v>#NAME?</v>
      </c>
    </row>
    <row r="1540">
      <c r="A1540" s="4" t="s">
        <v>3782</v>
      </c>
      <c r="B1540" s="4" t="s">
        <v>3763</v>
      </c>
      <c r="C1540" s="4">
        <v>19.0</v>
      </c>
      <c r="D1540" s="54" t="s">
        <v>1489</v>
      </c>
      <c r="E1540" s="4" t="s">
        <v>1098</v>
      </c>
      <c r="F1540" s="4">
        <v>4.0</v>
      </c>
      <c r="G1540" s="54" t="s">
        <v>1115</v>
      </c>
      <c r="H1540" s="54" t="s">
        <v>1116</v>
      </c>
      <c r="I1540" s="54" t="s">
        <v>1117</v>
      </c>
      <c r="J1540" s="54" t="s">
        <v>1118</v>
      </c>
      <c r="K1540" s="54" t="s">
        <v>1115</v>
      </c>
      <c r="L1540" s="54" t="s">
        <v>1116</v>
      </c>
      <c r="M1540" s="54" t="s">
        <v>1117</v>
      </c>
      <c r="N1540" s="54" t="s">
        <v>1118</v>
      </c>
      <c r="X1540" s="55" t="str">
        <f t="shared" si="1"/>
        <v>#NAME?</v>
      </c>
    </row>
    <row r="1541">
      <c r="A1541" s="4" t="s">
        <v>3783</v>
      </c>
      <c r="B1541" s="4" t="s">
        <v>3763</v>
      </c>
      <c r="C1541" s="4">
        <v>20.0</v>
      </c>
      <c r="D1541" s="54" t="s">
        <v>1489</v>
      </c>
      <c r="E1541" s="4" t="s">
        <v>1098</v>
      </c>
      <c r="F1541" s="4">
        <v>4.0</v>
      </c>
      <c r="G1541" s="54" t="s">
        <v>1120</v>
      </c>
      <c r="H1541" s="54" t="s">
        <v>1121</v>
      </c>
      <c r="I1541" s="54" t="s">
        <v>1122</v>
      </c>
      <c r="J1541" s="54" t="s">
        <v>1123</v>
      </c>
      <c r="K1541" s="54" t="s">
        <v>1120</v>
      </c>
      <c r="L1541" s="54" t="s">
        <v>1121</v>
      </c>
      <c r="M1541" s="54" t="s">
        <v>1122</v>
      </c>
      <c r="N1541" s="54" t="s">
        <v>1123</v>
      </c>
      <c r="X1541" s="55" t="str">
        <f t="shared" si="1"/>
        <v>#NAME?</v>
      </c>
    </row>
    <row r="1542">
      <c r="A1542" s="4" t="s">
        <v>3784</v>
      </c>
      <c r="B1542" s="4" t="s">
        <v>3763</v>
      </c>
      <c r="C1542" s="4">
        <v>21.0</v>
      </c>
      <c r="D1542" s="54" t="s">
        <v>1489</v>
      </c>
      <c r="E1542" s="4" t="s">
        <v>1098</v>
      </c>
      <c r="F1542" s="4">
        <v>4.0</v>
      </c>
      <c r="G1542" s="54" t="s">
        <v>1125</v>
      </c>
      <c r="H1542" s="54" t="s">
        <v>1126</v>
      </c>
      <c r="I1542" s="54" t="s">
        <v>1127</v>
      </c>
      <c r="J1542" s="54" t="s">
        <v>1125</v>
      </c>
      <c r="K1542" s="54" t="s">
        <v>1125</v>
      </c>
      <c r="L1542" s="54" t="s">
        <v>1126</v>
      </c>
      <c r="M1542" s="54" t="s">
        <v>1127</v>
      </c>
      <c r="N1542" s="54" t="s">
        <v>1125</v>
      </c>
      <c r="X1542" s="55" t="str">
        <f t="shared" si="1"/>
        <v>#NAME?</v>
      </c>
    </row>
    <row r="1543">
      <c r="A1543" s="4" t="s">
        <v>3785</v>
      </c>
      <c r="B1543" s="4" t="s">
        <v>3763</v>
      </c>
      <c r="C1543" s="4">
        <v>22.0</v>
      </c>
      <c r="D1543" s="54" t="s">
        <v>1489</v>
      </c>
      <c r="E1543" s="4" t="s">
        <v>1191</v>
      </c>
      <c r="F1543" s="4">
        <v>4.0</v>
      </c>
      <c r="G1543" s="54" t="s">
        <v>1099</v>
      </c>
      <c r="H1543" s="54" t="s">
        <v>1100</v>
      </c>
      <c r="I1543" s="54" t="s">
        <v>1101</v>
      </c>
      <c r="J1543" s="54" t="s">
        <v>1102</v>
      </c>
      <c r="K1543" s="54" t="s">
        <v>1099</v>
      </c>
      <c r="L1543" s="54" t="s">
        <v>1100</v>
      </c>
      <c r="M1543" s="54" t="s">
        <v>1101</v>
      </c>
      <c r="N1543" s="54" t="s">
        <v>1102</v>
      </c>
      <c r="X1543" s="55" t="str">
        <f t="shared" si="1"/>
        <v>#NAME?</v>
      </c>
    </row>
    <row r="1544">
      <c r="A1544" s="4" t="s">
        <v>3786</v>
      </c>
      <c r="B1544" s="4" t="s">
        <v>3763</v>
      </c>
      <c r="C1544" s="4">
        <v>23.0</v>
      </c>
      <c r="D1544" s="54" t="s">
        <v>1489</v>
      </c>
      <c r="E1544" s="4" t="s">
        <v>1098</v>
      </c>
      <c r="F1544" s="60" t="s">
        <v>3787</v>
      </c>
      <c r="G1544" s="54" t="s">
        <v>1104</v>
      </c>
      <c r="H1544" s="54" t="s">
        <v>1105</v>
      </c>
      <c r="I1544" s="54" t="s">
        <v>1099</v>
      </c>
      <c r="J1544" s="54" t="s">
        <v>1106</v>
      </c>
      <c r="K1544" s="54" t="s">
        <v>1104</v>
      </c>
      <c r="L1544" s="54" t="s">
        <v>1105</v>
      </c>
      <c r="M1544" s="54" t="s">
        <v>1099</v>
      </c>
      <c r="N1544" s="54" t="s">
        <v>1106</v>
      </c>
      <c r="X1544" s="55" t="str">
        <f t="shared" si="1"/>
        <v>#NAME?</v>
      </c>
    </row>
    <row r="1545">
      <c r="A1545" s="4" t="s">
        <v>3788</v>
      </c>
      <c r="B1545" s="4" t="s">
        <v>3763</v>
      </c>
      <c r="C1545" s="4">
        <v>24.0</v>
      </c>
      <c r="D1545" s="54" t="s">
        <v>1489</v>
      </c>
      <c r="E1545" s="4" t="s">
        <v>1251</v>
      </c>
      <c r="F1545" s="4" t="s">
        <v>3789</v>
      </c>
      <c r="G1545" s="54" t="s">
        <v>1108</v>
      </c>
      <c r="H1545" s="54" t="s">
        <v>1109</v>
      </c>
      <c r="I1545" s="54" t="s">
        <v>1110</v>
      </c>
      <c r="J1545" s="54" t="s">
        <v>1111</v>
      </c>
      <c r="K1545" s="54" t="s">
        <v>1108</v>
      </c>
      <c r="L1545" s="54" t="s">
        <v>1109</v>
      </c>
      <c r="M1545" s="54" t="s">
        <v>1110</v>
      </c>
      <c r="N1545" s="54" t="s">
        <v>1111</v>
      </c>
      <c r="X1545" s="55" t="str">
        <f t="shared" si="1"/>
        <v>#NAME?</v>
      </c>
    </row>
    <row r="1546">
      <c r="A1546" s="4" t="s">
        <v>3790</v>
      </c>
      <c r="B1546" s="4" t="s">
        <v>3763</v>
      </c>
      <c r="C1546" s="4">
        <v>25.0</v>
      </c>
      <c r="D1546" s="54" t="s">
        <v>1489</v>
      </c>
      <c r="E1546" s="4" t="s">
        <v>1191</v>
      </c>
      <c r="F1546" s="4">
        <v>4.0</v>
      </c>
      <c r="G1546" s="54" t="s">
        <v>1109</v>
      </c>
      <c r="H1546" s="54" t="s">
        <v>1111</v>
      </c>
      <c r="I1546" s="54" t="s">
        <v>1093</v>
      </c>
      <c r="J1546" s="54" t="s">
        <v>1111</v>
      </c>
      <c r="K1546" s="54" t="s">
        <v>1109</v>
      </c>
      <c r="L1546" s="54" t="s">
        <v>1111</v>
      </c>
      <c r="M1546" s="54" t="s">
        <v>1093</v>
      </c>
      <c r="N1546" s="54" t="s">
        <v>1111</v>
      </c>
      <c r="X1546" s="55" t="str">
        <f t="shared" si="1"/>
        <v>#NAME?</v>
      </c>
    </row>
    <row r="1547">
      <c r="A1547" s="4" t="s">
        <v>3791</v>
      </c>
      <c r="B1547" s="4" t="s">
        <v>3763</v>
      </c>
      <c r="C1547" s="4">
        <v>26.0</v>
      </c>
      <c r="D1547" s="54" t="s">
        <v>1489</v>
      </c>
      <c r="E1547" s="4" t="s">
        <v>1098</v>
      </c>
      <c r="F1547" s="4">
        <v>4.0</v>
      </c>
      <c r="G1547" s="54" t="s">
        <v>1115</v>
      </c>
      <c r="H1547" s="54" t="s">
        <v>1116</v>
      </c>
      <c r="I1547" s="54" t="s">
        <v>1117</v>
      </c>
      <c r="J1547" s="54" t="s">
        <v>1118</v>
      </c>
      <c r="K1547" s="54" t="s">
        <v>1115</v>
      </c>
      <c r="L1547" s="54" t="s">
        <v>1116</v>
      </c>
      <c r="M1547" s="54" t="s">
        <v>1117</v>
      </c>
      <c r="N1547" s="54" t="s">
        <v>1118</v>
      </c>
      <c r="X1547" s="55" t="str">
        <f t="shared" si="1"/>
        <v>#NAME?</v>
      </c>
    </row>
    <row r="1548">
      <c r="A1548" s="4" t="s">
        <v>3792</v>
      </c>
      <c r="B1548" s="4" t="s">
        <v>3763</v>
      </c>
      <c r="C1548" s="4">
        <v>27.0</v>
      </c>
      <c r="D1548" s="54" t="s">
        <v>1489</v>
      </c>
      <c r="E1548" s="4" t="s">
        <v>1098</v>
      </c>
      <c r="F1548" s="4">
        <v>4.0</v>
      </c>
      <c r="G1548" s="54" t="s">
        <v>1120</v>
      </c>
      <c r="H1548" s="54" t="s">
        <v>1121</v>
      </c>
      <c r="I1548" s="54" t="s">
        <v>1122</v>
      </c>
      <c r="J1548" s="54" t="s">
        <v>1123</v>
      </c>
      <c r="K1548" s="54" t="s">
        <v>1120</v>
      </c>
      <c r="L1548" s="54" t="s">
        <v>1121</v>
      </c>
      <c r="M1548" s="54" t="s">
        <v>1122</v>
      </c>
      <c r="N1548" s="54" t="s">
        <v>1123</v>
      </c>
      <c r="X1548" s="55" t="str">
        <f t="shared" si="1"/>
        <v>#NAME?</v>
      </c>
    </row>
    <row r="1549">
      <c r="A1549" s="4" t="s">
        <v>3793</v>
      </c>
      <c r="B1549" s="4" t="s">
        <v>3763</v>
      </c>
      <c r="C1549" s="4">
        <v>28.0</v>
      </c>
      <c r="D1549" s="54" t="s">
        <v>1489</v>
      </c>
      <c r="E1549" s="4" t="s">
        <v>1098</v>
      </c>
      <c r="F1549" s="4">
        <v>4.0</v>
      </c>
      <c r="G1549" s="54" t="s">
        <v>1125</v>
      </c>
      <c r="H1549" s="54" t="s">
        <v>1126</v>
      </c>
      <c r="I1549" s="54" t="s">
        <v>1127</v>
      </c>
      <c r="J1549" s="54" t="s">
        <v>1125</v>
      </c>
      <c r="K1549" s="54" t="s">
        <v>1125</v>
      </c>
      <c r="L1549" s="54" t="s">
        <v>1126</v>
      </c>
      <c r="M1549" s="54" t="s">
        <v>1127</v>
      </c>
      <c r="N1549" s="54" t="s">
        <v>1125</v>
      </c>
      <c r="X1549" s="55" t="str">
        <f t="shared" si="1"/>
        <v>#NAME?</v>
      </c>
    </row>
    <row r="1550">
      <c r="A1550" s="4" t="s">
        <v>3794</v>
      </c>
      <c r="B1550" s="4" t="s">
        <v>3763</v>
      </c>
      <c r="C1550" s="4">
        <v>29.0</v>
      </c>
      <c r="D1550" s="54" t="s">
        <v>1489</v>
      </c>
      <c r="E1550" s="4" t="s">
        <v>1191</v>
      </c>
      <c r="F1550" s="54" t="s">
        <v>3795</v>
      </c>
      <c r="G1550" s="54" t="s">
        <v>1099</v>
      </c>
      <c r="H1550" s="54" t="s">
        <v>1100</v>
      </c>
      <c r="I1550" s="54" t="s">
        <v>1101</v>
      </c>
      <c r="J1550" s="54" t="s">
        <v>1102</v>
      </c>
      <c r="K1550" s="54" t="s">
        <v>1099</v>
      </c>
      <c r="L1550" s="54" t="s">
        <v>1100</v>
      </c>
      <c r="M1550" s="54" t="s">
        <v>1101</v>
      </c>
      <c r="N1550" s="54" t="s">
        <v>1102</v>
      </c>
      <c r="X1550" s="55" t="str">
        <f t="shared" si="1"/>
        <v>#NAME?</v>
      </c>
    </row>
    <row r="1551">
      <c r="A1551" s="4" t="s">
        <v>3796</v>
      </c>
      <c r="B1551" s="4" t="s">
        <v>3763</v>
      </c>
      <c r="C1551" s="4">
        <v>30.0</v>
      </c>
      <c r="D1551" s="54" t="s">
        <v>1489</v>
      </c>
      <c r="E1551" s="4" t="s">
        <v>1098</v>
      </c>
      <c r="F1551" s="54" t="s">
        <v>3787</v>
      </c>
      <c r="G1551" s="54" t="s">
        <v>1104</v>
      </c>
      <c r="H1551" s="54" t="s">
        <v>1105</v>
      </c>
      <c r="I1551" s="54" t="s">
        <v>1099</v>
      </c>
      <c r="J1551" s="54" t="s">
        <v>1106</v>
      </c>
      <c r="K1551" s="54" t="s">
        <v>1104</v>
      </c>
      <c r="L1551" s="54" t="s">
        <v>1105</v>
      </c>
      <c r="M1551" s="54" t="s">
        <v>1099</v>
      </c>
      <c r="N1551" s="54" t="s">
        <v>1106</v>
      </c>
      <c r="X1551" s="55" t="str">
        <f t="shared" si="1"/>
        <v>#NAME?</v>
      </c>
    </row>
    <row r="1552">
      <c r="A1552" s="4" t="s">
        <v>3797</v>
      </c>
      <c r="B1552" s="4" t="s">
        <v>3763</v>
      </c>
      <c r="C1552" s="4">
        <v>31.0</v>
      </c>
      <c r="D1552" s="54" t="s">
        <v>1489</v>
      </c>
      <c r="E1552" s="4" t="s">
        <v>1251</v>
      </c>
      <c r="F1552" s="54" t="s">
        <v>3798</v>
      </c>
      <c r="G1552" s="54" t="s">
        <v>1108</v>
      </c>
      <c r="H1552" s="54" t="s">
        <v>1109</v>
      </c>
      <c r="I1552" s="54" t="s">
        <v>1110</v>
      </c>
      <c r="J1552" s="54" t="s">
        <v>1111</v>
      </c>
      <c r="K1552" s="54" t="s">
        <v>1108</v>
      </c>
      <c r="L1552" s="54" t="s">
        <v>1109</v>
      </c>
      <c r="M1552" s="54" t="s">
        <v>1110</v>
      </c>
      <c r="N1552" s="54" t="s">
        <v>1111</v>
      </c>
      <c r="X1552" s="55" t="str">
        <f t="shared" si="1"/>
        <v>#NAME?</v>
      </c>
    </row>
    <row r="1553">
      <c r="A1553" s="4" t="s">
        <v>3799</v>
      </c>
      <c r="B1553" s="4" t="s">
        <v>3763</v>
      </c>
      <c r="C1553" s="4">
        <v>32.0</v>
      </c>
      <c r="D1553" s="54" t="s">
        <v>1489</v>
      </c>
      <c r="E1553" s="4" t="s">
        <v>1191</v>
      </c>
      <c r="F1553" s="54" t="s">
        <v>3798</v>
      </c>
      <c r="G1553" s="54" t="s">
        <v>1109</v>
      </c>
      <c r="H1553" s="54" t="s">
        <v>1111</v>
      </c>
      <c r="I1553" s="54" t="s">
        <v>1093</v>
      </c>
      <c r="J1553" s="54" t="s">
        <v>1111</v>
      </c>
      <c r="K1553" s="54" t="s">
        <v>1109</v>
      </c>
      <c r="L1553" s="54" t="s">
        <v>1111</v>
      </c>
      <c r="M1553" s="54" t="s">
        <v>1093</v>
      </c>
      <c r="N1553" s="54" t="s">
        <v>1111</v>
      </c>
      <c r="X1553" s="55" t="str">
        <f t="shared" si="1"/>
        <v>#NAME?</v>
      </c>
    </row>
    <row r="1554">
      <c r="A1554" s="4" t="s">
        <v>3800</v>
      </c>
      <c r="B1554" s="4" t="s">
        <v>3763</v>
      </c>
      <c r="C1554" s="4">
        <v>33.0</v>
      </c>
      <c r="D1554" s="54" t="s">
        <v>1489</v>
      </c>
      <c r="E1554" s="4" t="s">
        <v>1098</v>
      </c>
      <c r="F1554" s="54" t="s">
        <v>3798</v>
      </c>
      <c r="G1554" s="54" t="s">
        <v>1115</v>
      </c>
      <c r="H1554" s="54" t="s">
        <v>1116</v>
      </c>
      <c r="I1554" s="54" t="s">
        <v>1117</v>
      </c>
      <c r="J1554" s="54" t="s">
        <v>1118</v>
      </c>
      <c r="K1554" s="54" t="s">
        <v>1115</v>
      </c>
      <c r="L1554" s="54" t="s">
        <v>1116</v>
      </c>
      <c r="M1554" s="54" t="s">
        <v>1117</v>
      </c>
      <c r="N1554" s="54" t="s">
        <v>1118</v>
      </c>
      <c r="X1554" s="55" t="str">
        <f t="shared" si="1"/>
        <v>#NAME?</v>
      </c>
    </row>
    <row r="1555">
      <c r="A1555" s="4" t="s">
        <v>3801</v>
      </c>
      <c r="B1555" s="4" t="s">
        <v>3763</v>
      </c>
      <c r="C1555" s="4">
        <v>34.0</v>
      </c>
      <c r="D1555" s="54" t="s">
        <v>1489</v>
      </c>
      <c r="E1555" s="4" t="s">
        <v>1098</v>
      </c>
      <c r="F1555" s="54" t="s">
        <v>3787</v>
      </c>
      <c r="G1555" s="54" t="s">
        <v>1120</v>
      </c>
      <c r="H1555" s="54" t="s">
        <v>1121</v>
      </c>
      <c r="I1555" s="54" t="s">
        <v>1122</v>
      </c>
      <c r="J1555" s="54" t="s">
        <v>1123</v>
      </c>
      <c r="K1555" s="54" t="s">
        <v>1120</v>
      </c>
      <c r="L1555" s="54" t="s">
        <v>1121</v>
      </c>
      <c r="M1555" s="54" t="s">
        <v>1122</v>
      </c>
      <c r="N1555" s="54" t="s">
        <v>1123</v>
      </c>
      <c r="X1555" s="55" t="str">
        <f t="shared" si="1"/>
        <v>#NAME?</v>
      </c>
    </row>
    <row r="1556">
      <c r="A1556" s="4" t="s">
        <v>3802</v>
      </c>
      <c r="B1556" s="4" t="s">
        <v>3763</v>
      </c>
      <c r="C1556" s="4">
        <v>35.0</v>
      </c>
      <c r="D1556" s="54" t="s">
        <v>1489</v>
      </c>
      <c r="E1556" s="4" t="s">
        <v>1098</v>
      </c>
      <c r="F1556" s="54" t="s">
        <v>3798</v>
      </c>
      <c r="G1556" s="54" t="s">
        <v>1125</v>
      </c>
      <c r="H1556" s="54" t="s">
        <v>1126</v>
      </c>
      <c r="I1556" s="54" t="s">
        <v>1127</v>
      </c>
      <c r="J1556" s="54" t="s">
        <v>1125</v>
      </c>
      <c r="K1556" s="54" t="s">
        <v>1125</v>
      </c>
      <c r="L1556" s="54" t="s">
        <v>1126</v>
      </c>
      <c r="M1556" s="54" t="s">
        <v>1127</v>
      </c>
      <c r="N1556" s="54" t="s">
        <v>1125</v>
      </c>
      <c r="X1556" s="55" t="str">
        <f t="shared" si="1"/>
        <v>#NAME?</v>
      </c>
    </row>
    <row r="1557">
      <c r="A1557" s="4" t="s">
        <v>3803</v>
      </c>
      <c r="B1557" s="4" t="s">
        <v>3763</v>
      </c>
      <c r="C1557" s="4">
        <v>36.0</v>
      </c>
      <c r="D1557" s="54" t="s">
        <v>1489</v>
      </c>
      <c r="E1557" s="4" t="s">
        <v>1191</v>
      </c>
      <c r="F1557" s="54" t="s">
        <v>3795</v>
      </c>
      <c r="G1557" s="54" t="s">
        <v>1099</v>
      </c>
      <c r="H1557" s="54" t="s">
        <v>1100</v>
      </c>
      <c r="I1557" s="54" t="s">
        <v>1101</v>
      </c>
      <c r="J1557" s="54" t="s">
        <v>1102</v>
      </c>
      <c r="K1557" s="54" t="s">
        <v>1099</v>
      </c>
      <c r="L1557" s="54" t="s">
        <v>1100</v>
      </c>
      <c r="M1557" s="54" t="s">
        <v>1101</v>
      </c>
      <c r="N1557" s="54" t="s">
        <v>1102</v>
      </c>
      <c r="X1557" s="55" t="str">
        <f t="shared" si="1"/>
        <v>#NAME?</v>
      </c>
    </row>
    <row r="1558">
      <c r="A1558" s="54" t="s">
        <v>3804</v>
      </c>
      <c r="B1558" s="4" t="s">
        <v>3763</v>
      </c>
      <c r="C1558" s="4">
        <v>37.0</v>
      </c>
      <c r="D1558" s="54" t="s">
        <v>1489</v>
      </c>
      <c r="E1558" s="4" t="s">
        <v>1098</v>
      </c>
      <c r="F1558" s="54" t="s">
        <v>3787</v>
      </c>
      <c r="G1558" s="54" t="s">
        <v>1104</v>
      </c>
      <c r="H1558" s="54" t="s">
        <v>1105</v>
      </c>
      <c r="I1558" s="54" t="s">
        <v>1099</v>
      </c>
      <c r="J1558" s="54" t="s">
        <v>1106</v>
      </c>
      <c r="K1558" s="54" t="s">
        <v>1104</v>
      </c>
      <c r="L1558" s="54" t="s">
        <v>1105</v>
      </c>
      <c r="M1558" s="54" t="s">
        <v>1099</v>
      </c>
      <c r="N1558" s="54" t="s">
        <v>1106</v>
      </c>
      <c r="X1558" s="55" t="str">
        <f t="shared" si="1"/>
        <v>#NAME?</v>
      </c>
    </row>
    <row r="1559">
      <c r="A1559" s="4" t="s">
        <v>3805</v>
      </c>
      <c r="B1559" s="4" t="s">
        <v>3763</v>
      </c>
      <c r="C1559" s="4">
        <v>38.0</v>
      </c>
      <c r="D1559" s="54" t="s">
        <v>1489</v>
      </c>
      <c r="E1559" s="4" t="s">
        <v>1251</v>
      </c>
      <c r="F1559" s="54" t="s">
        <v>3798</v>
      </c>
      <c r="G1559" s="54" t="s">
        <v>1108</v>
      </c>
      <c r="H1559" s="54" t="s">
        <v>1109</v>
      </c>
      <c r="I1559" s="54" t="s">
        <v>1110</v>
      </c>
      <c r="J1559" s="54" t="s">
        <v>1111</v>
      </c>
      <c r="K1559" s="54" t="s">
        <v>1108</v>
      </c>
      <c r="L1559" s="54" t="s">
        <v>1109</v>
      </c>
      <c r="M1559" s="54" t="s">
        <v>1110</v>
      </c>
      <c r="N1559" s="54" t="s">
        <v>1111</v>
      </c>
      <c r="X1559" s="55" t="str">
        <f t="shared" si="1"/>
        <v>#NAME?</v>
      </c>
    </row>
    <row r="1560">
      <c r="A1560" s="4" t="s">
        <v>3806</v>
      </c>
      <c r="B1560" s="4" t="s">
        <v>3763</v>
      </c>
      <c r="C1560" s="4">
        <v>39.0</v>
      </c>
      <c r="D1560" s="54" t="s">
        <v>1489</v>
      </c>
      <c r="E1560" s="4" t="s">
        <v>1191</v>
      </c>
      <c r="F1560" s="54" t="s">
        <v>3798</v>
      </c>
      <c r="G1560" s="54" t="s">
        <v>1109</v>
      </c>
      <c r="H1560" s="54" t="s">
        <v>1111</v>
      </c>
      <c r="I1560" s="54" t="s">
        <v>1093</v>
      </c>
      <c r="J1560" s="54" t="s">
        <v>1111</v>
      </c>
      <c r="K1560" s="54" t="s">
        <v>1109</v>
      </c>
      <c r="L1560" s="54" t="s">
        <v>1111</v>
      </c>
      <c r="M1560" s="54" t="s">
        <v>1093</v>
      </c>
      <c r="N1560" s="54" t="s">
        <v>1111</v>
      </c>
      <c r="X1560" s="55" t="str">
        <f t="shared" si="1"/>
        <v>#NAME?</v>
      </c>
    </row>
    <row r="1561">
      <c r="A1561" s="4" t="s">
        <v>3807</v>
      </c>
      <c r="B1561" s="4" t="s">
        <v>3763</v>
      </c>
      <c r="C1561" s="4">
        <v>40.0</v>
      </c>
      <c r="D1561" s="54" t="s">
        <v>1489</v>
      </c>
      <c r="E1561" s="4" t="s">
        <v>1098</v>
      </c>
      <c r="F1561" s="54" t="s">
        <v>3798</v>
      </c>
      <c r="G1561" s="54" t="s">
        <v>1115</v>
      </c>
      <c r="H1561" s="54" t="s">
        <v>1116</v>
      </c>
      <c r="I1561" s="54" t="s">
        <v>1117</v>
      </c>
      <c r="J1561" s="54" t="s">
        <v>1118</v>
      </c>
      <c r="K1561" s="54" t="s">
        <v>1115</v>
      </c>
      <c r="L1561" s="54" t="s">
        <v>1116</v>
      </c>
      <c r="M1561" s="54" t="s">
        <v>1117</v>
      </c>
      <c r="N1561" s="54" t="s">
        <v>1118</v>
      </c>
      <c r="X1561" s="55" t="str">
        <f t="shared" si="1"/>
        <v>#NAME?</v>
      </c>
    </row>
    <row r="1562">
      <c r="A1562" s="4" t="s">
        <v>3808</v>
      </c>
      <c r="B1562" s="4" t="s">
        <v>3763</v>
      </c>
      <c r="C1562" s="4">
        <v>41.0</v>
      </c>
      <c r="D1562" s="54" t="s">
        <v>1489</v>
      </c>
      <c r="E1562" s="4" t="s">
        <v>1098</v>
      </c>
      <c r="F1562" s="54" t="s">
        <v>3787</v>
      </c>
      <c r="G1562" s="54" t="s">
        <v>1120</v>
      </c>
      <c r="H1562" s="54" t="s">
        <v>1121</v>
      </c>
      <c r="I1562" s="54" t="s">
        <v>1122</v>
      </c>
      <c r="J1562" s="54" t="s">
        <v>1123</v>
      </c>
      <c r="K1562" s="54" t="s">
        <v>1120</v>
      </c>
      <c r="L1562" s="54" t="s">
        <v>1121</v>
      </c>
      <c r="M1562" s="54" t="s">
        <v>1122</v>
      </c>
      <c r="N1562" s="54" t="s">
        <v>1123</v>
      </c>
      <c r="X1562" s="55" t="str">
        <f t="shared" si="1"/>
        <v>#NAME?</v>
      </c>
    </row>
    <row r="1563">
      <c r="A1563" s="4" t="s">
        <v>3809</v>
      </c>
      <c r="B1563" s="4" t="s">
        <v>3763</v>
      </c>
      <c r="C1563" s="4">
        <v>42.0</v>
      </c>
      <c r="D1563" s="54" t="s">
        <v>1489</v>
      </c>
      <c r="E1563" s="4" t="s">
        <v>1098</v>
      </c>
      <c r="F1563" s="54" t="s">
        <v>3798</v>
      </c>
      <c r="G1563" s="54" t="s">
        <v>1125</v>
      </c>
      <c r="H1563" s="54" t="s">
        <v>1126</v>
      </c>
      <c r="I1563" s="54" t="s">
        <v>1127</v>
      </c>
      <c r="J1563" s="54" t="s">
        <v>1125</v>
      </c>
      <c r="K1563" s="54" t="s">
        <v>1125</v>
      </c>
      <c r="L1563" s="54" t="s">
        <v>1126</v>
      </c>
      <c r="M1563" s="54" t="s">
        <v>1127</v>
      </c>
      <c r="N1563" s="54" t="s">
        <v>1125</v>
      </c>
      <c r="X1563" s="55" t="str">
        <f t="shared" si="1"/>
        <v>#NAME?</v>
      </c>
    </row>
    <row r="1564">
      <c r="A1564" s="4" t="s">
        <v>3810</v>
      </c>
      <c r="B1564" s="4" t="s">
        <v>3811</v>
      </c>
      <c r="C1564" s="4">
        <v>1.0</v>
      </c>
      <c r="D1564" s="54" t="s">
        <v>1566</v>
      </c>
      <c r="E1564" s="4" t="s">
        <v>1191</v>
      </c>
      <c r="F1564" s="54" t="s">
        <v>3812</v>
      </c>
      <c r="G1564" s="54" t="s">
        <v>3813</v>
      </c>
      <c r="X1564" s="55" t="str">
        <f t="shared" si="1"/>
        <v>#NAME?</v>
      </c>
    </row>
    <row r="1565">
      <c r="A1565" s="4" t="s">
        <v>3814</v>
      </c>
      <c r="B1565" s="4" t="s">
        <v>217</v>
      </c>
      <c r="C1565" s="4">
        <v>1.0</v>
      </c>
      <c r="D1565" s="4" t="s">
        <v>3815</v>
      </c>
      <c r="E1565" s="4" t="s">
        <v>3816</v>
      </c>
      <c r="F1565" s="54" t="s">
        <v>236</v>
      </c>
      <c r="G1565" s="54" t="s">
        <v>3817</v>
      </c>
      <c r="H1565" s="54" t="s">
        <v>3818</v>
      </c>
      <c r="I1565" s="54" t="s">
        <v>3819</v>
      </c>
      <c r="J1565" s="54" t="s">
        <v>3820</v>
      </c>
      <c r="X1565" s="55" t="str">
        <f t="shared" si="1"/>
        <v>#NAME?</v>
      </c>
    </row>
    <row r="1566">
      <c r="A1566" s="4" t="s">
        <v>3821</v>
      </c>
      <c r="B1566" s="4" t="s">
        <v>245</v>
      </c>
      <c r="C1566" s="4">
        <v>1.0</v>
      </c>
      <c r="D1566" s="4" t="s">
        <v>3822</v>
      </c>
      <c r="E1566" s="4" t="s">
        <v>3823</v>
      </c>
      <c r="F1566" s="54" t="s">
        <v>963</v>
      </c>
      <c r="G1566" s="54" t="s">
        <v>3824</v>
      </c>
      <c r="H1566" s="54" t="s">
        <v>3825</v>
      </c>
      <c r="I1566" s="54" t="s">
        <v>3826</v>
      </c>
      <c r="J1566" s="54" t="s">
        <v>3827</v>
      </c>
      <c r="X1566" s="55" t="str">
        <f t="shared" si="1"/>
        <v>#NAME?</v>
      </c>
    </row>
    <row r="1567">
      <c r="A1567" s="4" t="s">
        <v>3828</v>
      </c>
      <c r="B1567" s="4" t="s">
        <v>245</v>
      </c>
      <c r="C1567" s="4">
        <v>2.0</v>
      </c>
      <c r="D1567" s="4" t="s">
        <v>3829</v>
      </c>
      <c r="E1567" s="4" t="s">
        <v>1088</v>
      </c>
      <c r="F1567" s="54" t="s">
        <v>236</v>
      </c>
      <c r="G1567" s="54" t="s">
        <v>3830</v>
      </c>
      <c r="H1567" s="54" t="s">
        <v>3831</v>
      </c>
      <c r="I1567" s="54" t="s">
        <v>3832</v>
      </c>
      <c r="J1567" s="54" t="s">
        <v>3833</v>
      </c>
      <c r="X1567" s="55" t="str">
        <f t="shared" si="1"/>
        <v>#NAME?</v>
      </c>
    </row>
    <row r="1568">
      <c r="A1568" s="4" t="s">
        <v>3834</v>
      </c>
      <c r="B1568" s="4" t="s">
        <v>245</v>
      </c>
      <c r="C1568" s="4">
        <v>3.0</v>
      </c>
      <c r="D1568" s="4" t="s">
        <v>3829</v>
      </c>
      <c r="E1568" s="4" t="s">
        <v>1088</v>
      </c>
      <c r="F1568" s="54" t="s">
        <v>236</v>
      </c>
      <c r="G1568" s="54" t="s">
        <v>3835</v>
      </c>
      <c r="H1568" s="54" t="s">
        <v>3836</v>
      </c>
      <c r="I1568" s="54" t="s">
        <v>3837</v>
      </c>
      <c r="J1568" s="54" t="s">
        <v>3838</v>
      </c>
      <c r="X1568" s="55" t="str">
        <f t="shared" si="1"/>
        <v>#NAME?</v>
      </c>
    </row>
    <row r="1569">
      <c r="A1569" s="4" t="s">
        <v>3839</v>
      </c>
      <c r="B1569" s="4" t="s">
        <v>245</v>
      </c>
      <c r="C1569" s="4">
        <v>4.0</v>
      </c>
      <c r="D1569" s="4" t="s">
        <v>3829</v>
      </c>
      <c r="E1569" s="4" t="s">
        <v>1088</v>
      </c>
      <c r="F1569" s="54" t="s">
        <v>236</v>
      </c>
      <c r="G1569" s="54" t="s">
        <v>3840</v>
      </c>
      <c r="H1569" s="54" t="s">
        <v>3841</v>
      </c>
      <c r="I1569" s="54" t="s">
        <v>3842</v>
      </c>
      <c r="J1569" s="54" t="s">
        <v>3843</v>
      </c>
      <c r="X1569" s="55" t="str">
        <f t="shared" si="1"/>
        <v>#NAME?</v>
      </c>
    </row>
    <row r="1570">
      <c r="A1570" s="4" t="s">
        <v>3844</v>
      </c>
      <c r="B1570" s="4" t="s">
        <v>245</v>
      </c>
      <c r="C1570" s="4">
        <v>5.0</v>
      </c>
      <c r="D1570" s="4" t="s">
        <v>3845</v>
      </c>
      <c r="E1570" s="4" t="s">
        <v>1088</v>
      </c>
      <c r="F1570" s="54" t="s">
        <v>963</v>
      </c>
      <c r="G1570" s="54" t="s">
        <v>3846</v>
      </c>
      <c r="H1570" s="54" t="s">
        <v>3847</v>
      </c>
      <c r="I1570" s="54" t="s">
        <v>3848</v>
      </c>
      <c r="J1570" s="54" t="s">
        <v>3849</v>
      </c>
      <c r="X1570" s="55" t="str">
        <f t="shared" si="1"/>
        <v>#NAME?</v>
      </c>
    </row>
    <row r="1571">
      <c r="A1571" s="4" t="s">
        <v>3850</v>
      </c>
      <c r="B1571" s="4" t="s">
        <v>245</v>
      </c>
      <c r="C1571" s="4">
        <v>6.0</v>
      </c>
      <c r="D1571" s="4" t="s">
        <v>3845</v>
      </c>
      <c r="E1571" s="4" t="s">
        <v>1088</v>
      </c>
      <c r="F1571" s="54" t="s">
        <v>963</v>
      </c>
      <c r="G1571" s="54" t="s">
        <v>3851</v>
      </c>
      <c r="H1571" s="54" t="s">
        <v>3852</v>
      </c>
      <c r="I1571" s="54" t="s">
        <v>3853</v>
      </c>
      <c r="J1571" s="54" t="s">
        <v>3854</v>
      </c>
      <c r="X1571" s="55" t="str">
        <f t="shared" si="1"/>
        <v>#NAME?</v>
      </c>
    </row>
    <row r="1572">
      <c r="A1572" s="4" t="s">
        <v>3855</v>
      </c>
      <c r="B1572" s="4" t="s">
        <v>245</v>
      </c>
      <c r="C1572" s="4">
        <v>7.0</v>
      </c>
      <c r="D1572" s="4" t="s">
        <v>3829</v>
      </c>
      <c r="E1572" s="4" t="s">
        <v>1088</v>
      </c>
      <c r="F1572" s="54" t="s">
        <v>236</v>
      </c>
      <c r="G1572" s="54" t="s">
        <v>3856</v>
      </c>
      <c r="H1572" s="54" t="s">
        <v>3857</v>
      </c>
      <c r="I1572" s="54" t="s">
        <v>3858</v>
      </c>
      <c r="J1572" s="54" t="s">
        <v>3859</v>
      </c>
      <c r="X1572" s="55" t="str">
        <f t="shared" si="1"/>
        <v>#NAME?</v>
      </c>
    </row>
    <row r="1573">
      <c r="A1573" s="4" t="s">
        <v>3860</v>
      </c>
      <c r="B1573" s="4" t="s">
        <v>245</v>
      </c>
      <c r="C1573" s="4">
        <v>8.0</v>
      </c>
      <c r="D1573" s="4" t="s">
        <v>3861</v>
      </c>
      <c r="E1573" s="4" t="s">
        <v>3823</v>
      </c>
      <c r="F1573" s="54" t="s">
        <v>236</v>
      </c>
      <c r="G1573" s="54" t="s">
        <v>3862</v>
      </c>
      <c r="H1573" s="54" t="s">
        <v>3863</v>
      </c>
      <c r="I1573" s="54" t="s">
        <v>3864</v>
      </c>
      <c r="J1573" s="54" t="s">
        <v>3865</v>
      </c>
      <c r="X1573" s="55" t="str">
        <f t="shared" si="1"/>
        <v>#NAME?</v>
      </c>
    </row>
    <row r="1574">
      <c r="A1574" s="4" t="s">
        <v>3866</v>
      </c>
      <c r="B1574" s="4" t="s">
        <v>245</v>
      </c>
      <c r="C1574" s="4">
        <v>9.0</v>
      </c>
      <c r="D1574" s="4" t="s">
        <v>3845</v>
      </c>
      <c r="E1574" s="4" t="s">
        <v>1088</v>
      </c>
      <c r="F1574" s="54" t="s">
        <v>963</v>
      </c>
      <c r="G1574" s="54" t="s">
        <v>3867</v>
      </c>
      <c r="H1574" s="54" t="s">
        <v>3868</v>
      </c>
      <c r="I1574" s="54" t="s">
        <v>3869</v>
      </c>
      <c r="J1574" s="54" t="s">
        <v>3870</v>
      </c>
      <c r="X1574" s="55" t="str">
        <f t="shared" si="1"/>
        <v>#NAME?</v>
      </c>
    </row>
    <row r="1575">
      <c r="A1575" s="4" t="s">
        <v>3871</v>
      </c>
      <c r="B1575" s="4" t="s">
        <v>245</v>
      </c>
      <c r="C1575" s="4">
        <v>10.0</v>
      </c>
      <c r="D1575" s="4" t="s">
        <v>3872</v>
      </c>
      <c r="E1575" s="4" t="s">
        <v>1098</v>
      </c>
      <c r="F1575" s="4">
        <v>4.0</v>
      </c>
      <c r="G1575" s="54" t="s">
        <v>3873</v>
      </c>
      <c r="H1575" s="54" t="s">
        <v>3874</v>
      </c>
      <c r="I1575" s="54" t="s">
        <v>3875</v>
      </c>
      <c r="J1575" s="54" t="s">
        <v>3876</v>
      </c>
      <c r="K1575" s="54" t="s">
        <v>3877</v>
      </c>
      <c r="L1575" s="54" t="s">
        <v>3878</v>
      </c>
      <c r="M1575" s="54" t="s">
        <v>3879</v>
      </c>
      <c r="N1575" s="54" t="s">
        <v>3880</v>
      </c>
      <c r="O1575" s="54" t="s">
        <v>3881</v>
      </c>
      <c r="P1575" s="54" t="s">
        <v>3882</v>
      </c>
      <c r="Q1575" s="54" t="s">
        <v>3883</v>
      </c>
      <c r="X1575" s="55" t="str">
        <f t="shared" si="1"/>
        <v>#NAME?</v>
      </c>
    </row>
    <row r="1576">
      <c r="A1576" s="4" t="s">
        <v>3884</v>
      </c>
      <c r="B1576" s="4" t="s">
        <v>245</v>
      </c>
      <c r="C1576" s="4">
        <v>11.0</v>
      </c>
      <c r="D1576" s="4" t="s">
        <v>3885</v>
      </c>
      <c r="E1576" s="4" t="s">
        <v>3816</v>
      </c>
      <c r="F1576" s="54" t="s">
        <v>236</v>
      </c>
      <c r="G1576" s="54" t="s">
        <v>3886</v>
      </c>
      <c r="H1576" s="54" t="s">
        <v>3887</v>
      </c>
      <c r="I1576" s="54" t="s">
        <v>3888</v>
      </c>
      <c r="J1576" s="54" t="s">
        <v>3889</v>
      </c>
      <c r="X1576" s="55" t="str">
        <f t="shared" si="1"/>
        <v>#NAME?</v>
      </c>
    </row>
    <row r="1577">
      <c r="A1577" s="4" t="s">
        <v>3890</v>
      </c>
      <c r="B1577" s="4" t="s">
        <v>245</v>
      </c>
      <c r="C1577" s="4">
        <v>12.0</v>
      </c>
      <c r="D1577" s="4" t="s">
        <v>3891</v>
      </c>
      <c r="E1577" s="4" t="s">
        <v>3816</v>
      </c>
      <c r="F1577" s="54" t="s">
        <v>236</v>
      </c>
      <c r="G1577" s="54" t="s">
        <v>3892</v>
      </c>
      <c r="H1577" s="54" t="s">
        <v>3893</v>
      </c>
      <c r="I1577" s="54" t="s">
        <v>3894</v>
      </c>
      <c r="J1577" s="54" t="s">
        <v>3895</v>
      </c>
      <c r="X1577" s="55" t="str">
        <f t="shared" si="1"/>
        <v>#NAME?</v>
      </c>
    </row>
    <row r="1578">
      <c r="A1578" s="4" t="s">
        <v>3896</v>
      </c>
      <c r="B1578" s="4" t="s">
        <v>217</v>
      </c>
      <c r="C1578" s="4">
        <v>1.0</v>
      </c>
      <c r="D1578" s="4" t="s">
        <v>3897</v>
      </c>
      <c r="E1578" s="4" t="s">
        <v>3816</v>
      </c>
      <c r="F1578" s="54" t="s">
        <v>236</v>
      </c>
      <c r="G1578" s="54" t="s">
        <v>3898</v>
      </c>
      <c r="H1578" s="54" t="s">
        <v>3899</v>
      </c>
      <c r="I1578" s="54" t="s">
        <v>3900</v>
      </c>
      <c r="J1578" s="54" t="s">
        <v>3901</v>
      </c>
      <c r="X1578" s="55" t="str">
        <f t="shared" si="1"/>
        <v>#NAME?</v>
      </c>
    </row>
    <row r="1579">
      <c r="A1579" s="4" t="s">
        <v>3902</v>
      </c>
      <c r="B1579" s="4" t="s">
        <v>217</v>
      </c>
      <c r="C1579" s="4">
        <v>2.0</v>
      </c>
      <c r="D1579" s="4" t="s">
        <v>3829</v>
      </c>
      <c r="E1579" s="4" t="s">
        <v>1088</v>
      </c>
      <c r="F1579" s="54" t="s">
        <v>236</v>
      </c>
      <c r="G1579" s="54" t="s">
        <v>3903</v>
      </c>
      <c r="H1579" s="54" t="s">
        <v>3904</v>
      </c>
      <c r="I1579" s="54" t="s">
        <v>3841</v>
      </c>
      <c r="J1579" s="54" t="s">
        <v>3905</v>
      </c>
      <c r="X1579" s="55" t="str">
        <f t="shared" si="1"/>
        <v>#NAME?</v>
      </c>
    </row>
    <row r="1580">
      <c r="A1580" s="4" t="s">
        <v>3906</v>
      </c>
      <c r="B1580" s="4" t="s">
        <v>217</v>
      </c>
      <c r="C1580" s="4">
        <v>3.0</v>
      </c>
      <c r="D1580" s="4" t="s">
        <v>3907</v>
      </c>
      <c r="E1580" s="4" t="s">
        <v>1088</v>
      </c>
      <c r="F1580" s="61" t="s">
        <v>236</v>
      </c>
      <c r="G1580" s="61" t="s">
        <v>3908</v>
      </c>
      <c r="H1580" s="61" t="s">
        <v>3909</v>
      </c>
      <c r="I1580" s="61" t="s">
        <v>3910</v>
      </c>
      <c r="J1580" s="61" t="s">
        <v>3911</v>
      </c>
      <c r="K1580" s="53"/>
      <c r="L1580" s="53"/>
      <c r="M1580" s="53"/>
      <c r="N1580" s="53"/>
      <c r="O1580" s="53"/>
      <c r="X1580" s="55" t="str">
        <f t="shared" si="1"/>
        <v>#NAME?</v>
      </c>
    </row>
    <row r="1581">
      <c r="A1581" s="4" t="s">
        <v>3912</v>
      </c>
      <c r="B1581" s="4" t="s">
        <v>217</v>
      </c>
      <c r="C1581" s="4">
        <v>4.0</v>
      </c>
      <c r="D1581" s="4" t="s">
        <v>3829</v>
      </c>
      <c r="E1581" s="4" t="s">
        <v>1088</v>
      </c>
      <c r="F1581" s="54" t="s">
        <v>236</v>
      </c>
      <c r="G1581" s="54" t="s">
        <v>3913</v>
      </c>
      <c r="H1581" s="54" t="s">
        <v>3914</v>
      </c>
      <c r="I1581" s="54" t="s">
        <v>3915</v>
      </c>
      <c r="J1581" s="54" t="s">
        <v>3831</v>
      </c>
      <c r="X1581" s="55" t="str">
        <f t="shared" si="1"/>
        <v>#NAME?</v>
      </c>
    </row>
    <row r="1582">
      <c r="A1582" s="4" t="s">
        <v>3916</v>
      </c>
      <c r="B1582" s="4" t="s">
        <v>217</v>
      </c>
      <c r="C1582" s="4">
        <v>5.0</v>
      </c>
      <c r="D1582" s="4" t="s">
        <v>3829</v>
      </c>
      <c r="E1582" s="4" t="s">
        <v>1088</v>
      </c>
      <c r="F1582" s="54" t="s">
        <v>236</v>
      </c>
      <c r="G1582" s="54" t="s">
        <v>3917</v>
      </c>
      <c r="H1582" s="54" t="s">
        <v>3835</v>
      </c>
      <c r="I1582" s="54" t="s">
        <v>3918</v>
      </c>
      <c r="J1582" s="54" t="s">
        <v>3919</v>
      </c>
      <c r="X1582" s="55" t="str">
        <f t="shared" si="1"/>
        <v>#NAME?</v>
      </c>
    </row>
    <row r="1583">
      <c r="A1583" s="4" t="s">
        <v>3920</v>
      </c>
      <c r="B1583" s="4" t="s">
        <v>217</v>
      </c>
      <c r="C1583" s="4">
        <v>6.0</v>
      </c>
      <c r="D1583" s="4" t="s">
        <v>3921</v>
      </c>
      <c r="E1583" s="4" t="s">
        <v>1251</v>
      </c>
      <c r="F1583" s="54" t="s">
        <v>236</v>
      </c>
      <c r="G1583" s="54" t="s">
        <v>3922</v>
      </c>
      <c r="H1583" s="54" t="s">
        <v>3923</v>
      </c>
      <c r="I1583" s="54" t="s">
        <v>3924</v>
      </c>
      <c r="J1583" s="54" t="s">
        <v>3925</v>
      </c>
      <c r="X1583" s="55" t="str">
        <f t="shared" si="1"/>
        <v>#NAME?</v>
      </c>
    </row>
    <row r="1584">
      <c r="A1584" s="4" t="s">
        <v>3926</v>
      </c>
      <c r="B1584" s="4" t="s">
        <v>217</v>
      </c>
      <c r="C1584" s="4">
        <v>7.0</v>
      </c>
      <c r="D1584" s="4" t="s">
        <v>3927</v>
      </c>
      <c r="E1584" s="4" t="s">
        <v>1251</v>
      </c>
      <c r="F1584" s="54" t="s">
        <v>963</v>
      </c>
      <c r="G1584" s="54" t="s">
        <v>3928</v>
      </c>
      <c r="H1584" s="54" t="s">
        <v>3929</v>
      </c>
      <c r="I1584" s="54" t="s">
        <v>3930</v>
      </c>
      <c r="J1584" s="54" t="s">
        <v>3931</v>
      </c>
      <c r="X1584" s="55" t="str">
        <f t="shared" si="1"/>
        <v>#NAME?</v>
      </c>
    </row>
    <row r="1585">
      <c r="A1585" s="4" t="s">
        <v>3932</v>
      </c>
      <c r="B1585" s="4" t="s">
        <v>217</v>
      </c>
      <c r="C1585" s="4">
        <v>8.0</v>
      </c>
      <c r="D1585" s="4" t="s">
        <v>3845</v>
      </c>
      <c r="E1585" s="4" t="s">
        <v>1088</v>
      </c>
      <c r="F1585" s="54" t="s">
        <v>963</v>
      </c>
      <c r="G1585" s="54" t="s">
        <v>3933</v>
      </c>
      <c r="H1585" s="54" t="s">
        <v>3934</v>
      </c>
      <c r="I1585" s="54" t="s">
        <v>3935</v>
      </c>
      <c r="J1585" s="54" t="s">
        <v>3936</v>
      </c>
      <c r="X1585" s="55" t="str">
        <f t="shared" si="1"/>
        <v>#NAME?</v>
      </c>
    </row>
    <row r="1586">
      <c r="A1586" s="4" t="s">
        <v>3937</v>
      </c>
      <c r="B1586" s="4" t="s">
        <v>217</v>
      </c>
      <c r="C1586" s="4">
        <v>9.0</v>
      </c>
      <c r="D1586" s="4" t="s">
        <v>3845</v>
      </c>
      <c r="E1586" s="4" t="s">
        <v>1088</v>
      </c>
      <c r="F1586" s="54" t="s">
        <v>963</v>
      </c>
      <c r="G1586" s="54" t="s">
        <v>3938</v>
      </c>
      <c r="H1586" s="54" t="s">
        <v>3939</v>
      </c>
      <c r="I1586" s="54" t="s">
        <v>3940</v>
      </c>
      <c r="J1586" s="54" t="s">
        <v>3941</v>
      </c>
      <c r="X1586" s="55" t="str">
        <f t="shared" si="1"/>
        <v>#NAME?</v>
      </c>
    </row>
    <row r="1587">
      <c r="A1587" s="4" t="s">
        <v>3942</v>
      </c>
      <c r="B1587" s="4" t="s">
        <v>262</v>
      </c>
      <c r="C1587" s="4">
        <v>1.0</v>
      </c>
      <c r="D1587" s="4" t="s">
        <v>3943</v>
      </c>
      <c r="E1587" s="4" t="s">
        <v>3816</v>
      </c>
      <c r="F1587" s="54" t="s">
        <v>274</v>
      </c>
      <c r="G1587" s="54" t="s">
        <v>3944</v>
      </c>
      <c r="H1587" s="54" t="s">
        <v>3945</v>
      </c>
      <c r="I1587" s="54" t="s">
        <v>3946</v>
      </c>
      <c r="J1587" s="54" t="s">
        <v>3947</v>
      </c>
      <c r="X1587" s="55" t="str">
        <f t="shared" si="1"/>
        <v>#NAME?</v>
      </c>
    </row>
    <row r="1588">
      <c r="A1588" s="4" t="s">
        <v>3948</v>
      </c>
      <c r="B1588" s="4" t="s">
        <v>262</v>
      </c>
      <c r="C1588" s="4">
        <v>2.0</v>
      </c>
      <c r="D1588" s="4" t="s">
        <v>3949</v>
      </c>
      <c r="E1588" s="4" t="s">
        <v>3816</v>
      </c>
      <c r="F1588" s="54" t="s">
        <v>274</v>
      </c>
      <c r="G1588" s="54" t="s">
        <v>3947</v>
      </c>
      <c r="H1588" s="54" t="s">
        <v>3950</v>
      </c>
      <c r="I1588" s="54" t="s">
        <v>3951</v>
      </c>
      <c r="J1588" s="54" t="s">
        <v>3952</v>
      </c>
      <c r="X1588" s="55" t="str">
        <f t="shared" si="1"/>
        <v>#NAME?</v>
      </c>
    </row>
    <row r="1589">
      <c r="A1589" s="54" t="s">
        <v>3953</v>
      </c>
      <c r="B1589" s="4" t="s">
        <v>262</v>
      </c>
      <c r="C1589" s="4">
        <v>3.0</v>
      </c>
      <c r="D1589" s="4" t="s">
        <v>3829</v>
      </c>
      <c r="E1589" s="4" t="s">
        <v>1088</v>
      </c>
      <c r="F1589" s="54" t="s">
        <v>274</v>
      </c>
      <c r="G1589" s="54" t="s">
        <v>3954</v>
      </c>
      <c r="H1589" s="54" t="s">
        <v>3955</v>
      </c>
      <c r="I1589" s="54" t="s">
        <v>3956</v>
      </c>
      <c r="J1589" s="54" t="s">
        <v>3957</v>
      </c>
      <c r="X1589" s="55" t="str">
        <f t="shared" si="1"/>
        <v>#NAME?</v>
      </c>
    </row>
    <row r="1590">
      <c r="A1590" s="4" t="s">
        <v>3958</v>
      </c>
      <c r="B1590" s="4" t="s">
        <v>262</v>
      </c>
      <c r="C1590" s="4">
        <v>4.0</v>
      </c>
      <c r="D1590" s="4" t="s">
        <v>3829</v>
      </c>
      <c r="E1590" s="4" t="s">
        <v>1088</v>
      </c>
      <c r="F1590" s="54" t="s">
        <v>274</v>
      </c>
      <c r="G1590" s="54" t="s">
        <v>3959</v>
      </c>
      <c r="H1590" s="54" t="s">
        <v>3960</v>
      </c>
      <c r="I1590" s="54" t="s">
        <v>3961</v>
      </c>
      <c r="J1590" s="54" t="s">
        <v>3962</v>
      </c>
      <c r="X1590" s="55" t="str">
        <f t="shared" si="1"/>
        <v>#NAME?</v>
      </c>
    </row>
    <row r="1591">
      <c r="A1591" s="4" t="s">
        <v>3963</v>
      </c>
      <c r="B1591" s="4" t="s">
        <v>262</v>
      </c>
      <c r="C1591" s="4">
        <v>5.0</v>
      </c>
      <c r="D1591" s="4" t="s">
        <v>3829</v>
      </c>
      <c r="E1591" s="4" t="s">
        <v>1088</v>
      </c>
      <c r="F1591" s="54" t="s">
        <v>274</v>
      </c>
      <c r="G1591" s="54" t="s">
        <v>3964</v>
      </c>
      <c r="H1591" s="54" t="s">
        <v>3965</v>
      </c>
      <c r="I1591" s="54" t="s">
        <v>3954</v>
      </c>
      <c r="J1591" s="54" t="s">
        <v>3954</v>
      </c>
      <c r="X1591" s="55" t="str">
        <f t="shared" si="1"/>
        <v>#NAME?</v>
      </c>
    </row>
    <row r="1592">
      <c r="A1592" s="4" t="s">
        <v>3966</v>
      </c>
      <c r="B1592" s="4" t="s">
        <v>262</v>
      </c>
      <c r="C1592" s="4">
        <v>6.0</v>
      </c>
      <c r="D1592" s="4" t="s">
        <v>3829</v>
      </c>
      <c r="E1592" s="4" t="s">
        <v>1088</v>
      </c>
      <c r="F1592" s="54" t="s">
        <v>274</v>
      </c>
      <c r="G1592" s="54" t="s">
        <v>3967</v>
      </c>
      <c r="H1592" s="54" t="s">
        <v>3968</v>
      </c>
      <c r="I1592" s="54" t="s">
        <v>3969</v>
      </c>
      <c r="J1592" s="54" t="s">
        <v>3970</v>
      </c>
      <c r="X1592" s="55" t="str">
        <f t="shared" si="1"/>
        <v>#NAME?</v>
      </c>
    </row>
    <row r="1593">
      <c r="A1593" s="4" t="s">
        <v>3971</v>
      </c>
      <c r="B1593" s="4" t="s">
        <v>262</v>
      </c>
      <c r="C1593" s="4">
        <v>7.0</v>
      </c>
      <c r="D1593" s="4" t="s">
        <v>3861</v>
      </c>
      <c r="E1593" s="4" t="s">
        <v>1251</v>
      </c>
      <c r="F1593" s="54" t="s">
        <v>274</v>
      </c>
      <c r="G1593" s="54" t="s">
        <v>3972</v>
      </c>
      <c r="H1593" s="54" t="s">
        <v>3973</v>
      </c>
      <c r="I1593" s="54" t="s">
        <v>3974</v>
      </c>
      <c r="J1593" s="54" t="s">
        <v>3975</v>
      </c>
      <c r="X1593" s="55" t="str">
        <f t="shared" si="1"/>
        <v>#NAME?</v>
      </c>
    </row>
    <row r="1594">
      <c r="A1594" s="4" t="s">
        <v>3976</v>
      </c>
      <c r="B1594" s="4" t="s">
        <v>262</v>
      </c>
      <c r="C1594" s="4">
        <v>8.0</v>
      </c>
      <c r="D1594" s="4" t="s">
        <v>3822</v>
      </c>
      <c r="E1594" s="4" t="s">
        <v>1251</v>
      </c>
      <c r="F1594" s="54" t="s">
        <v>611</v>
      </c>
      <c r="G1594" s="54" t="s">
        <v>3977</v>
      </c>
      <c r="H1594" s="54" t="s">
        <v>3978</v>
      </c>
      <c r="I1594" s="54" t="s">
        <v>3979</v>
      </c>
      <c r="J1594" s="54" t="s">
        <v>3980</v>
      </c>
      <c r="X1594" s="55" t="str">
        <f t="shared" si="1"/>
        <v>#NAME?</v>
      </c>
    </row>
    <row r="1595">
      <c r="A1595" s="4" t="s">
        <v>3981</v>
      </c>
      <c r="B1595" s="4" t="s">
        <v>262</v>
      </c>
      <c r="C1595" s="4">
        <v>9.0</v>
      </c>
      <c r="D1595" s="4" t="s">
        <v>3845</v>
      </c>
      <c r="E1595" s="4" t="s">
        <v>1088</v>
      </c>
      <c r="F1595" s="54" t="s">
        <v>611</v>
      </c>
      <c r="G1595" s="54" t="s">
        <v>3982</v>
      </c>
      <c r="H1595" s="54" t="s">
        <v>3967</v>
      </c>
      <c r="I1595" s="54" t="s">
        <v>3983</v>
      </c>
      <c r="J1595" s="54" t="s">
        <v>3984</v>
      </c>
      <c r="X1595" s="55" t="str">
        <f t="shared" si="1"/>
        <v>#NAME?</v>
      </c>
    </row>
    <row r="1596">
      <c r="A1596" s="4" t="s">
        <v>3985</v>
      </c>
      <c r="B1596" s="4" t="s">
        <v>262</v>
      </c>
      <c r="C1596" s="4">
        <v>10.0</v>
      </c>
      <c r="D1596" s="4" t="s">
        <v>3845</v>
      </c>
      <c r="E1596" s="4" t="s">
        <v>1088</v>
      </c>
      <c r="F1596" s="54" t="s">
        <v>611</v>
      </c>
      <c r="G1596" s="54" t="s">
        <v>3986</v>
      </c>
      <c r="H1596" s="54" t="s">
        <v>3987</v>
      </c>
      <c r="I1596" s="54" t="s">
        <v>3965</v>
      </c>
      <c r="J1596" s="54" t="s">
        <v>3965</v>
      </c>
      <c r="X1596" s="55" t="str">
        <f t="shared" si="1"/>
        <v>#NAME?</v>
      </c>
    </row>
    <row r="1597">
      <c r="A1597" s="4" t="s">
        <v>3988</v>
      </c>
      <c r="B1597" s="4" t="s">
        <v>262</v>
      </c>
      <c r="C1597" s="4">
        <v>11.0</v>
      </c>
      <c r="D1597" s="4" t="s">
        <v>3845</v>
      </c>
      <c r="E1597" s="4" t="s">
        <v>1088</v>
      </c>
      <c r="F1597" s="54" t="s">
        <v>611</v>
      </c>
      <c r="G1597" s="54" t="s">
        <v>3989</v>
      </c>
      <c r="H1597" s="54" t="s">
        <v>3987</v>
      </c>
      <c r="I1597" s="54" t="s">
        <v>3983</v>
      </c>
      <c r="J1597" s="54" t="s">
        <v>3990</v>
      </c>
      <c r="X1597" s="55" t="str">
        <f t="shared" si="1"/>
        <v>#NAME?</v>
      </c>
    </row>
    <row r="1598">
      <c r="A1598" s="4" t="s">
        <v>3991</v>
      </c>
      <c r="B1598" s="4" t="s">
        <v>262</v>
      </c>
      <c r="C1598" s="4">
        <v>12.0</v>
      </c>
      <c r="D1598" s="4" t="s">
        <v>3845</v>
      </c>
      <c r="E1598" s="4" t="s">
        <v>1088</v>
      </c>
      <c r="F1598" s="54" t="s">
        <v>611</v>
      </c>
      <c r="G1598" s="54" t="s">
        <v>3992</v>
      </c>
      <c r="H1598" s="54" t="s">
        <v>3992</v>
      </c>
      <c r="I1598" s="54" t="s">
        <v>3983</v>
      </c>
      <c r="J1598" s="54" t="s">
        <v>3987</v>
      </c>
      <c r="X1598" s="55" t="str">
        <f t="shared" si="1"/>
        <v>#NAME?</v>
      </c>
    </row>
    <row r="1599">
      <c r="A1599" s="4" t="s">
        <v>3993</v>
      </c>
      <c r="B1599" s="4" t="s">
        <v>262</v>
      </c>
      <c r="C1599" s="4">
        <v>13.0</v>
      </c>
      <c r="D1599" s="4" t="s">
        <v>3994</v>
      </c>
      <c r="E1599" s="4" t="s">
        <v>1088</v>
      </c>
      <c r="F1599" s="54" t="s">
        <v>399</v>
      </c>
      <c r="G1599" s="54" t="s">
        <v>3995</v>
      </c>
      <c r="H1599" s="54" t="s">
        <v>3996</v>
      </c>
      <c r="I1599" s="54" t="s">
        <v>3997</v>
      </c>
      <c r="J1599" s="54" t="s">
        <v>3998</v>
      </c>
      <c r="X1599" s="55" t="str">
        <f t="shared" si="1"/>
        <v>#NAME?</v>
      </c>
    </row>
    <row r="1600">
      <c r="A1600" s="4" t="s">
        <v>3999</v>
      </c>
      <c r="B1600" s="4" t="s">
        <v>279</v>
      </c>
      <c r="C1600" s="4">
        <v>1.0</v>
      </c>
      <c r="D1600" s="4" t="s">
        <v>3829</v>
      </c>
      <c r="E1600" s="4" t="s">
        <v>1088</v>
      </c>
      <c r="F1600" s="54" t="s">
        <v>287</v>
      </c>
      <c r="G1600" s="54" t="s">
        <v>4000</v>
      </c>
      <c r="H1600" s="54" t="s">
        <v>4001</v>
      </c>
      <c r="I1600" s="54" t="s">
        <v>4002</v>
      </c>
      <c r="J1600" s="54" t="s">
        <v>4003</v>
      </c>
      <c r="X1600" s="55" t="str">
        <f t="shared" si="1"/>
        <v>#NAME?</v>
      </c>
    </row>
    <row r="1601">
      <c r="A1601" s="4" t="s">
        <v>4004</v>
      </c>
      <c r="B1601" s="4" t="s">
        <v>279</v>
      </c>
      <c r="C1601" s="4">
        <v>2.0</v>
      </c>
      <c r="D1601" s="4" t="s">
        <v>3829</v>
      </c>
      <c r="E1601" s="4" t="s">
        <v>1088</v>
      </c>
      <c r="F1601" s="54" t="s">
        <v>287</v>
      </c>
      <c r="G1601" s="54" t="s">
        <v>4005</v>
      </c>
      <c r="H1601" s="54" t="s">
        <v>4006</v>
      </c>
      <c r="I1601" s="54" t="s">
        <v>4007</v>
      </c>
      <c r="J1601" s="54" t="s">
        <v>4008</v>
      </c>
      <c r="X1601" s="55" t="str">
        <f t="shared" si="1"/>
        <v>#NAME?</v>
      </c>
    </row>
    <row r="1602">
      <c r="A1602" s="4" t="s">
        <v>4009</v>
      </c>
      <c r="B1602" s="4" t="s">
        <v>279</v>
      </c>
      <c r="C1602" s="4">
        <v>3.0</v>
      </c>
      <c r="D1602" s="4" t="s">
        <v>3829</v>
      </c>
      <c r="E1602" s="4" t="s">
        <v>1088</v>
      </c>
      <c r="F1602" s="54" t="s">
        <v>287</v>
      </c>
      <c r="G1602" s="54" t="s">
        <v>4010</v>
      </c>
      <c r="H1602" s="54" t="s">
        <v>4011</v>
      </c>
      <c r="I1602" s="54" t="s">
        <v>4012</v>
      </c>
      <c r="J1602" s="54" t="s">
        <v>4013</v>
      </c>
      <c r="X1602" s="55" t="str">
        <f t="shared" si="1"/>
        <v>#NAME?</v>
      </c>
    </row>
    <row r="1603">
      <c r="A1603" s="4" t="s">
        <v>4014</v>
      </c>
      <c r="B1603" s="4" t="s">
        <v>279</v>
      </c>
      <c r="C1603" s="4">
        <v>4.0</v>
      </c>
      <c r="D1603" s="4" t="s">
        <v>3829</v>
      </c>
      <c r="E1603" s="4" t="s">
        <v>1088</v>
      </c>
      <c r="F1603" s="54" t="s">
        <v>287</v>
      </c>
      <c r="G1603" s="54" t="s">
        <v>4003</v>
      </c>
      <c r="H1603" s="54" t="s">
        <v>4015</v>
      </c>
      <c r="I1603" s="54" t="s">
        <v>4016</v>
      </c>
      <c r="J1603" s="54" t="s">
        <v>4005</v>
      </c>
      <c r="X1603" s="55" t="str">
        <f t="shared" si="1"/>
        <v>#NAME?</v>
      </c>
    </row>
    <row r="1604">
      <c r="A1604" s="4" t="s">
        <v>4017</v>
      </c>
      <c r="B1604" s="4" t="s">
        <v>279</v>
      </c>
      <c r="C1604" s="4">
        <v>5.0</v>
      </c>
      <c r="D1604" s="4" t="s">
        <v>3861</v>
      </c>
      <c r="E1604" s="4" t="s">
        <v>1251</v>
      </c>
      <c r="F1604" s="54" t="s">
        <v>287</v>
      </c>
      <c r="G1604" s="54" t="s">
        <v>4018</v>
      </c>
      <c r="H1604" s="54" t="s">
        <v>4019</v>
      </c>
      <c r="I1604" s="54" t="s">
        <v>4020</v>
      </c>
      <c r="J1604" s="54" t="s">
        <v>4021</v>
      </c>
      <c r="X1604" s="55" t="str">
        <f t="shared" si="1"/>
        <v>#NAME?</v>
      </c>
    </row>
    <row r="1605">
      <c r="A1605" s="4" t="s">
        <v>4022</v>
      </c>
      <c r="B1605" s="4" t="s">
        <v>279</v>
      </c>
      <c r="C1605" s="4">
        <v>6.0</v>
      </c>
      <c r="D1605" s="4" t="s">
        <v>3822</v>
      </c>
      <c r="E1605" s="4" t="s">
        <v>1251</v>
      </c>
      <c r="F1605" s="54" t="s">
        <v>274</v>
      </c>
      <c r="G1605" s="54" t="s">
        <v>4023</v>
      </c>
      <c r="H1605" s="54" t="s">
        <v>4024</v>
      </c>
      <c r="I1605" s="54" t="s">
        <v>4025</v>
      </c>
      <c r="J1605" s="54" t="s">
        <v>4026</v>
      </c>
      <c r="X1605" s="55" t="str">
        <f t="shared" si="1"/>
        <v>#NAME?</v>
      </c>
    </row>
    <row r="1606">
      <c r="A1606" s="4" t="s">
        <v>4027</v>
      </c>
      <c r="B1606" s="4" t="s">
        <v>279</v>
      </c>
      <c r="C1606" s="4">
        <v>7.0</v>
      </c>
      <c r="D1606" s="4" t="s">
        <v>3845</v>
      </c>
      <c r="E1606" s="4" t="s">
        <v>1088</v>
      </c>
      <c r="F1606" s="54" t="s">
        <v>274</v>
      </c>
      <c r="G1606" s="54" t="s">
        <v>4006</v>
      </c>
      <c r="H1606" s="54" t="s">
        <v>4028</v>
      </c>
      <c r="I1606" s="54" t="s">
        <v>4029</v>
      </c>
      <c r="J1606" s="54" t="s">
        <v>4030</v>
      </c>
      <c r="X1606" s="55" t="str">
        <f t="shared" si="1"/>
        <v>#NAME?</v>
      </c>
    </row>
    <row r="1607">
      <c r="A1607" s="4" t="s">
        <v>4031</v>
      </c>
      <c r="B1607" s="4" t="s">
        <v>279</v>
      </c>
      <c r="C1607" s="4">
        <v>8.0</v>
      </c>
      <c r="D1607" s="4" t="s">
        <v>3845</v>
      </c>
      <c r="E1607" s="4" t="s">
        <v>1088</v>
      </c>
      <c r="F1607" s="54" t="s">
        <v>274</v>
      </c>
      <c r="G1607" s="54" t="s">
        <v>4002</v>
      </c>
      <c r="H1607" s="54" t="s">
        <v>4032</v>
      </c>
      <c r="I1607" s="54" t="s">
        <v>4033</v>
      </c>
      <c r="J1607" s="54" t="s">
        <v>4034</v>
      </c>
      <c r="X1607" s="55" t="str">
        <f t="shared" si="1"/>
        <v>#NAME?</v>
      </c>
    </row>
    <row r="1608">
      <c r="A1608" s="4" t="s">
        <v>4035</v>
      </c>
      <c r="B1608" s="4" t="s">
        <v>279</v>
      </c>
      <c r="C1608" s="4">
        <v>9.0</v>
      </c>
      <c r="D1608" s="4" t="s">
        <v>4036</v>
      </c>
      <c r="E1608" s="4" t="s">
        <v>1088</v>
      </c>
      <c r="F1608" s="54" t="s">
        <v>274</v>
      </c>
      <c r="G1608" s="54" t="s">
        <v>4037</v>
      </c>
      <c r="H1608" s="54" t="s">
        <v>4038</v>
      </c>
      <c r="I1608" s="54" t="s">
        <v>4039</v>
      </c>
      <c r="J1608" s="54" t="s">
        <v>4040</v>
      </c>
      <c r="X1608" s="55" t="str">
        <f t="shared" si="1"/>
        <v>#NAME?</v>
      </c>
    </row>
    <row r="1609">
      <c r="A1609" s="4" t="s">
        <v>4041</v>
      </c>
      <c r="B1609" s="4" t="s">
        <v>279</v>
      </c>
      <c r="C1609" s="4">
        <v>10.0</v>
      </c>
      <c r="D1609" s="4" t="s">
        <v>3815</v>
      </c>
      <c r="E1609" s="4" t="s">
        <v>3816</v>
      </c>
      <c r="F1609" s="54" t="s">
        <v>287</v>
      </c>
      <c r="G1609" s="54" t="s">
        <v>4042</v>
      </c>
      <c r="H1609" s="54" t="s">
        <v>4043</v>
      </c>
      <c r="I1609" s="54" t="s">
        <v>4044</v>
      </c>
      <c r="J1609" s="54" t="s">
        <v>4045</v>
      </c>
      <c r="X1609" s="55" t="str">
        <f t="shared" si="1"/>
        <v>#NAME?</v>
      </c>
    </row>
    <row r="1610">
      <c r="A1610" s="4" t="s">
        <v>4046</v>
      </c>
      <c r="B1610" s="4" t="s">
        <v>279</v>
      </c>
      <c r="C1610" s="4">
        <v>11.0</v>
      </c>
      <c r="D1610" s="4" t="s">
        <v>4047</v>
      </c>
      <c r="E1610" s="4" t="s">
        <v>3816</v>
      </c>
      <c r="F1610" s="54" t="s">
        <v>287</v>
      </c>
      <c r="G1610" s="54" t="s">
        <v>4048</v>
      </c>
      <c r="H1610" s="54" t="s">
        <v>4049</v>
      </c>
      <c r="I1610" s="54" t="s">
        <v>4050</v>
      </c>
      <c r="J1610" s="54" t="s">
        <v>4051</v>
      </c>
      <c r="X1610" s="55" t="str">
        <f t="shared" si="1"/>
        <v>#NAME?</v>
      </c>
    </row>
    <row r="1611">
      <c r="A1611" s="4" t="s">
        <v>4052</v>
      </c>
      <c r="B1611" s="4" t="s">
        <v>245</v>
      </c>
      <c r="C1611" s="4">
        <v>1.0</v>
      </c>
      <c r="D1611" s="4" t="s">
        <v>4053</v>
      </c>
      <c r="E1611" s="4" t="s">
        <v>1191</v>
      </c>
      <c r="F1611" s="54" t="s">
        <v>4054</v>
      </c>
      <c r="G1611" s="54" t="s">
        <v>292</v>
      </c>
      <c r="X1611" s="55" t="str">
        <f t="shared" si="1"/>
        <v>#NAME?</v>
      </c>
    </row>
    <row r="1612">
      <c r="A1612" s="4" t="s">
        <v>4055</v>
      </c>
      <c r="B1612" s="4" t="s">
        <v>291</v>
      </c>
      <c r="C1612" s="4">
        <v>1.0</v>
      </c>
      <c r="D1612" s="54" t="s">
        <v>405</v>
      </c>
      <c r="E1612" s="4" t="s">
        <v>1251</v>
      </c>
      <c r="F1612" s="54" t="s">
        <v>632</v>
      </c>
      <c r="G1612" s="4" t="s">
        <v>4056</v>
      </c>
      <c r="H1612" s="4" t="s">
        <v>4057</v>
      </c>
      <c r="I1612" s="4" t="s">
        <v>4058</v>
      </c>
      <c r="J1612" s="4" t="s">
        <v>4059</v>
      </c>
      <c r="X1612" s="55" t="str">
        <f t="shared" si="1"/>
        <v>#NAME?</v>
      </c>
    </row>
    <row r="1613">
      <c r="A1613" s="4" t="s">
        <v>4060</v>
      </c>
      <c r="B1613" s="4" t="s">
        <v>291</v>
      </c>
      <c r="C1613" s="4">
        <v>2.0</v>
      </c>
      <c r="D1613" s="54" t="s">
        <v>405</v>
      </c>
      <c r="E1613" s="4" t="s">
        <v>1251</v>
      </c>
      <c r="F1613" s="54" t="s">
        <v>632</v>
      </c>
      <c r="G1613" s="4" t="s">
        <v>4057</v>
      </c>
      <c r="H1613" s="4" t="s">
        <v>4061</v>
      </c>
      <c r="I1613" s="4" t="s">
        <v>4062</v>
      </c>
      <c r="J1613" s="4" t="s">
        <v>4063</v>
      </c>
      <c r="K1613" s="4" t="s">
        <v>4064</v>
      </c>
      <c r="L1613" s="4" t="s">
        <v>4065</v>
      </c>
      <c r="M1613" s="4" t="s">
        <v>4066</v>
      </c>
      <c r="N1613" s="4" t="s">
        <v>4067</v>
      </c>
      <c r="O1613" s="4" t="s">
        <v>4068</v>
      </c>
      <c r="P1613" s="4" t="s">
        <v>4059</v>
      </c>
      <c r="Q1613" s="4" t="s">
        <v>4069</v>
      </c>
      <c r="R1613" s="4" t="s">
        <v>4070</v>
      </c>
      <c r="X1613" s="55" t="str">
        <f t="shared" si="1"/>
        <v>#NAME?</v>
      </c>
    </row>
    <row r="1614">
      <c r="A1614" s="4" t="s">
        <v>4071</v>
      </c>
      <c r="B1614" s="4" t="s">
        <v>291</v>
      </c>
      <c r="C1614" s="4">
        <v>3.0</v>
      </c>
      <c r="D1614" s="54" t="s">
        <v>449</v>
      </c>
      <c r="E1614" s="4" t="s">
        <v>1251</v>
      </c>
      <c r="F1614" s="54" t="s">
        <v>611</v>
      </c>
      <c r="G1614" s="4" t="s">
        <v>4072</v>
      </c>
      <c r="H1614" s="4" t="s">
        <v>4073</v>
      </c>
      <c r="I1614" s="4" t="s">
        <v>4074</v>
      </c>
      <c r="J1614" s="4" t="s">
        <v>4075</v>
      </c>
      <c r="X1614" s="55" t="str">
        <f t="shared" si="1"/>
        <v>#NAME?</v>
      </c>
    </row>
    <row r="1615">
      <c r="A1615" s="4" t="s">
        <v>4076</v>
      </c>
      <c r="B1615" s="4" t="s">
        <v>312</v>
      </c>
      <c r="C1615" s="4">
        <v>1.0</v>
      </c>
      <c r="D1615" s="4" t="s">
        <v>4077</v>
      </c>
      <c r="E1615" s="4" t="s">
        <v>1088</v>
      </c>
      <c r="F1615" s="54" t="s">
        <v>357</v>
      </c>
      <c r="G1615" s="54" t="s">
        <v>4078</v>
      </c>
      <c r="H1615" s="54" t="s">
        <v>4079</v>
      </c>
      <c r="I1615" s="54" t="s">
        <v>4080</v>
      </c>
      <c r="J1615" s="54" t="s">
        <v>4081</v>
      </c>
      <c r="X1615" s="55" t="str">
        <f t="shared" si="1"/>
        <v>#NAME?</v>
      </c>
    </row>
    <row r="1616">
      <c r="A1616" s="4" t="s">
        <v>4082</v>
      </c>
      <c r="B1616" s="4" t="s">
        <v>312</v>
      </c>
      <c r="C1616" s="4">
        <v>2.0</v>
      </c>
      <c r="D1616" s="4" t="s">
        <v>4083</v>
      </c>
      <c r="E1616" s="4" t="s">
        <v>1088</v>
      </c>
      <c r="F1616" s="54" t="s">
        <v>357</v>
      </c>
      <c r="G1616" s="54" t="s">
        <v>4079</v>
      </c>
      <c r="H1616" s="54" t="s">
        <v>4084</v>
      </c>
      <c r="I1616" s="54" t="s">
        <v>4085</v>
      </c>
      <c r="J1616" s="54" t="s">
        <v>4086</v>
      </c>
      <c r="X1616" s="55" t="str">
        <f t="shared" si="1"/>
        <v>#NAME?</v>
      </c>
    </row>
    <row r="1617">
      <c r="A1617" s="4" t="s">
        <v>4087</v>
      </c>
      <c r="B1617" s="4" t="s">
        <v>312</v>
      </c>
      <c r="C1617" s="4">
        <v>3.0</v>
      </c>
      <c r="D1617" s="4" t="s">
        <v>4088</v>
      </c>
      <c r="E1617" s="4" t="s">
        <v>1088</v>
      </c>
      <c r="F1617" s="54" t="s">
        <v>534</v>
      </c>
      <c r="G1617" s="54" t="s">
        <v>4089</v>
      </c>
      <c r="H1617" s="54" t="s">
        <v>4090</v>
      </c>
      <c r="I1617" s="54" t="s">
        <v>4091</v>
      </c>
      <c r="J1617" s="54" t="s">
        <v>4092</v>
      </c>
      <c r="X1617" s="55" t="str">
        <f t="shared" si="1"/>
        <v>#NAME?</v>
      </c>
    </row>
    <row r="1618">
      <c r="A1618" s="4" t="s">
        <v>4093</v>
      </c>
      <c r="B1618" s="4" t="s">
        <v>312</v>
      </c>
      <c r="C1618" s="4">
        <v>4.0</v>
      </c>
      <c r="D1618" s="4" t="s">
        <v>4094</v>
      </c>
      <c r="E1618" s="4" t="s">
        <v>1088</v>
      </c>
      <c r="F1618" s="54" t="s">
        <v>534</v>
      </c>
      <c r="G1618" s="54" t="s">
        <v>4095</v>
      </c>
      <c r="H1618" s="54" t="s">
        <v>4096</v>
      </c>
      <c r="I1618" s="54" t="s">
        <v>4097</v>
      </c>
      <c r="J1618" s="54" t="s">
        <v>4098</v>
      </c>
      <c r="X1618" s="55" t="str">
        <f t="shared" si="1"/>
        <v>#NAME?</v>
      </c>
    </row>
    <row r="1619">
      <c r="A1619" s="4" t="s">
        <v>4099</v>
      </c>
      <c r="B1619" s="4" t="s">
        <v>312</v>
      </c>
      <c r="C1619" s="4">
        <v>5.0</v>
      </c>
      <c r="D1619" s="4" t="s">
        <v>4100</v>
      </c>
      <c r="E1619" s="4" t="s">
        <v>1251</v>
      </c>
      <c r="F1619" s="54" t="s">
        <v>534</v>
      </c>
      <c r="G1619" s="54" t="s">
        <v>4101</v>
      </c>
      <c r="H1619" s="54" t="s">
        <v>4102</v>
      </c>
      <c r="I1619" s="54" t="s">
        <v>4103</v>
      </c>
      <c r="J1619" s="54" t="s">
        <v>4104</v>
      </c>
      <c r="X1619" s="55" t="str">
        <f t="shared" si="1"/>
        <v>#NAME?</v>
      </c>
    </row>
    <row r="1620">
      <c r="A1620" s="4" t="s">
        <v>4105</v>
      </c>
      <c r="B1620" s="4" t="s">
        <v>312</v>
      </c>
      <c r="C1620" s="4">
        <v>6.0</v>
      </c>
      <c r="D1620" s="4" t="s">
        <v>4106</v>
      </c>
      <c r="E1620" s="4" t="s">
        <v>1088</v>
      </c>
      <c r="F1620" s="54" t="s">
        <v>534</v>
      </c>
      <c r="G1620" s="54" t="s">
        <v>4107</v>
      </c>
      <c r="H1620" s="54" t="s">
        <v>4108</v>
      </c>
      <c r="I1620" s="54" t="s">
        <v>4109</v>
      </c>
      <c r="J1620" s="54" t="s">
        <v>4110</v>
      </c>
      <c r="X1620" s="55" t="str">
        <f t="shared" si="1"/>
        <v>#NAME?</v>
      </c>
    </row>
    <row r="1621">
      <c r="A1621" s="4" t="s">
        <v>4111</v>
      </c>
      <c r="B1621" s="4" t="s">
        <v>312</v>
      </c>
      <c r="C1621" s="4">
        <v>7.0</v>
      </c>
      <c r="D1621" s="4" t="s">
        <v>4112</v>
      </c>
      <c r="E1621" s="4" t="s">
        <v>1251</v>
      </c>
      <c r="F1621" s="54" t="s">
        <v>357</v>
      </c>
      <c r="G1621" s="54" t="s">
        <v>4113</v>
      </c>
      <c r="H1621" s="54" t="s">
        <v>4114</v>
      </c>
      <c r="I1621" s="54" t="s">
        <v>4115</v>
      </c>
      <c r="J1621" s="54" t="s">
        <v>4116</v>
      </c>
      <c r="X1621" s="55" t="str">
        <f t="shared" si="1"/>
        <v>#NAME?</v>
      </c>
    </row>
    <row r="1622">
      <c r="A1622" s="4" t="s">
        <v>4117</v>
      </c>
      <c r="B1622" s="4" t="s">
        <v>312</v>
      </c>
      <c r="C1622" s="4">
        <v>8.0</v>
      </c>
      <c r="D1622" s="4" t="s">
        <v>4118</v>
      </c>
      <c r="E1622" s="4" t="s">
        <v>1088</v>
      </c>
      <c r="F1622" s="54" t="s">
        <v>534</v>
      </c>
      <c r="G1622" s="54" t="s">
        <v>4119</v>
      </c>
      <c r="H1622" s="54" t="s">
        <v>4120</v>
      </c>
      <c r="I1622" s="54" t="s">
        <v>4121</v>
      </c>
      <c r="J1622" s="54" t="s">
        <v>4122</v>
      </c>
      <c r="X1622" s="55" t="str">
        <f t="shared" si="1"/>
        <v>#NAME?</v>
      </c>
    </row>
    <row r="1623">
      <c r="A1623" s="4" t="s">
        <v>4123</v>
      </c>
      <c r="B1623" s="4" t="s">
        <v>312</v>
      </c>
      <c r="C1623" s="4">
        <v>9.0</v>
      </c>
      <c r="D1623" s="4" t="s">
        <v>4124</v>
      </c>
      <c r="E1623" s="4" t="s">
        <v>1088</v>
      </c>
      <c r="F1623" s="54" t="s">
        <v>534</v>
      </c>
      <c r="G1623" s="54" t="s">
        <v>4125</v>
      </c>
      <c r="H1623" s="54" t="s">
        <v>4120</v>
      </c>
      <c r="I1623" s="54" t="s">
        <v>4126</v>
      </c>
      <c r="J1623" s="54" t="s">
        <v>4127</v>
      </c>
      <c r="X1623" s="55" t="str">
        <f t="shared" si="1"/>
        <v>#NAME?</v>
      </c>
    </row>
    <row r="1624">
      <c r="A1624" s="4" t="s">
        <v>4128</v>
      </c>
      <c r="B1624" s="4" t="s">
        <v>312</v>
      </c>
      <c r="C1624" s="4">
        <v>10.0</v>
      </c>
      <c r="D1624" s="4" t="s">
        <v>4129</v>
      </c>
      <c r="E1624" s="4" t="s">
        <v>3816</v>
      </c>
      <c r="F1624" s="54" t="s">
        <v>534</v>
      </c>
      <c r="G1624" s="4" t="s">
        <v>4130</v>
      </c>
      <c r="H1624" s="4" t="s">
        <v>4130</v>
      </c>
      <c r="I1624" s="4" t="s">
        <v>4130</v>
      </c>
      <c r="J1624" s="4" t="s">
        <v>4130</v>
      </c>
      <c r="X1624" s="55" t="str">
        <f t="shared" si="1"/>
        <v>#NAME?</v>
      </c>
    </row>
    <row r="1625">
      <c r="A1625" s="4" t="s">
        <v>4131</v>
      </c>
      <c r="B1625" s="4" t="s">
        <v>312</v>
      </c>
      <c r="C1625" s="4">
        <v>11.0</v>
      </c>
      <c r="D1625" s="4" t="s">
        <v>4132</v>
      </c>
      <c r="E1625" s="4" t="s">
        <v>1088</v>
      </c>
      <c r="F1625" s="54" t="s">
        <v>357</v>
      </c>
      <c r="G1625" s="54" t="s">
        <v>4133</v>
      </c>
      <c r="H1625" s="54" t="s">
        <v>4134</v>
      </c>
      <c r="I1625" s="54" t="s">
        <v>4135</v>
      </c>
      <c r="J1625" s="54" t="s">
        <v>4136</v>
      </c>
      <c r="K1625" s="54" t="s">
        <v>4137</v>
      </c>
      <c r="L1625" s="54" t="s">
        <v>4138</v>
      </c>
      <c r="M1625" s="54" t="s">
        <v>4139</v>
      </c>
      <c r="N1625" s="54" t="s">
        <v>4140</v>
      </c>
      <c r="X1625" s="55" t="str">
        <f t="shared" si="1"/>
        <v>#NAME?</v>
      </c>
    </row>
    <row r="1626">
      <c r="A1626" s="4" t="s">
        <v>4141</v>
      </c>
      <c r="B1626" s="4" t="s">
        <v>312</v>
      </c>
      <c r="C1626" s="4">
        <v>12.0</v>
      </c>
      <c r="D1626" s="4" t="s">
        <v>4142</v>
      </c>
      <c r="E1626" s="4" t="s">
        <v>3816</v>
      </c>
      <c r="F1626" s="54" t="s">
        <v>534</v>
      </c>
      <c r="G1626" s="54" t="s">
        <v>4143</v>
      </c>
      <c r="H1626" s="54" t="s">
        <v>4144</v>
      </c>
      <c r="I1626" s="54" t="s">
        <v>4145</v>
      </c>
      <c r="J1626" s="54" t="s">
        <v>4144</v>
      </c>
      <c r="X1626" s="55" t="str">
        <f t="shared" si="1"/>
        <v>#NAME?</v>
      </c>
    </row>
    <row r="1627">
      <c r="A1627" s="4" t="s">
        <v>4146</v>
      </c>
      <c r="B1627" s="4" t="s">
        <v>312</v>
      </c>
      <c r="C1627" s="4">
        <v>13.0</v>
      </c>
      <c r="D1627" s="4" t="s">
        <v>4147</v>
      </c>
      <c r="E1627" s="4" t="s">
        <v>1088</v>
      </c>
      <c r="F1627" s="54" t="s">
        <v>399</v>
      </c>
      <c r="G1627" s="54" t="s">
        <v>4148</v>
      </c>
      <c r="H1627" s="54" t="s">
        <v>4149</v>
      </c>
      <c r="I1627" s="54" t="s">
        <v>4150</v>
      </c>
      <c r="J1627" s="54" t="s">
        <v>4151</v>
      </c>
      <c r="X1627" s="55" t="str">
        <f t="shared" si="1"/>
        <v>#NAME?</v>
      </c>
    </row>
    <row r="1628">
      <c r="A1628" s="4" t="s">
        <v>4152</v>
      </c>
      <c r="B1628" s="4" t="s">
        <v>312</v>
      </c>
      <c r="C1628" s="4">
        <v>14.0</v>
      </c>
      <c r="D1628" s="4" t="s">
        <v>4153</v>
      </c>
      <c r="E1628" s="4" t="s">
        <v>1088</v>
      </c>
      <c r="F1628" s="54" t="s">
        <v>399</v>
      </c>
      <c r="G1628" s="54" t="s">
        <v>4154</v>
      </c>
      <c r="H1628" s="54" t="s">
        <v>4155</v>
      </c>
      <c r="I1628" s="54" t="s">
        <v>4156</v>
      </c>
      <c r="J1628" s="54" t="s">
        <v>4157</v>
      </c>
      <c r="X1628" s="55" t="str">
        <f t="shared" si="1"/>
        <v>#NAME?</v>
      </c>
    </row>
    <row r="1629">
      <c r="A1629" s="4" t="s">
        <v>4158</v>
      </c>
      <c r="B1629" s="4" t="s">
        <v>312</v>
      </c>
      <c r="C1629" s="4">
        <v>15.0</v>
      </c>
      <c r="D1629" s="4" t="s">
        <v>4159</v>
      </c>
      <c r="E1629" s="4" t="s">
        <v>1088</v>
      </c>
      <c r="F1629" s="54" t="s">
        <v>4160</v>
      </c>
      <c r="G1629" s="54" t="s">
        <v>4161</v>
      </c>
      <c r="H1629" s="54" t="s">
        <v>4162</v>
      </c>
      <c r="I1629" s="54" t="s">
        <v>4163</v>
      </c>
      <c r="J1629" s="54" t="s">
        <v>4161</v>
      </c>
      <c r="X1629" s="55" t="str">
        <f t="shared" si="1"/>
        <v>#NAME?</v>
      </c>
    </row>
    <row r="1630">
      <c r="A1630" s="4" t="s">
        <v>4164</v>
      </c>
      <c r="B1630" s="4" t="s">
        <v>312</v>
      </c>
      <c r="C1630" s="4">
        <v>16.0</v>
      </c>
      <c r="D1630" s="4" t="s">
        <v>4165</v>
      </c>
      <c r="E1630" s="4" t="s">
        <v>1088</v>
      </c>
      <c r="F1630" s="54" t="s">
        <v>399</v>
      </c>
      <c r="G1630" s="54" t="s">
        <v>4161</v>
      </c>
      <c r="H1630" s="54" t="s">
        <v>4166</v>
      </c>
      <c r="I1630" s="54" t="s">
        <v>4163</v>
      </c>
      <c r="J1630" s="54" t="s">
        <v>4161</v>
      </c>
      <c r="X1630" s="55" t="str">
        <f t="shared" si="1"/>
        <v>#NAME?</v>
      </c>
    </row>
    <row r="1631">
      <c r="A1631" s="4" t="s">
        <v>4167</v>
      </c>
      <c r="B1631" s="4" t="s">
        <v>312</v>
      </c>
      <c r="C1631" s="4">
        <v>17.0</v>
      </c>
      <c r="D1631" s="4" t="s">
        <v>4168</v>
      </c>
      <c r="E1631" s="4" t="s">
        <v>1088</v>
      </c>
      <c r="F1631" s="54" t="s">
        <v>399</v>
      </c>
      <c r="G1631" s="54" t="s">
        <v>4169</v>
      </c>
      <c r="H1631" s="54" t="s">
        <v>4166</v>
      </c>
      <c r="I1631" s="54" t="s">
        <v>4170</v>
      </c>
      <c r="J1631" s="54" t="s">
        <v>4171</v>
      </c>
      <c r="X1631" s="55" t="str">
        <f t="shared" si="1"/>
        <v>#NAME?</v>
      </c>
    </row>
    <row r="1632">
      <c r="A1632" s="4" t="s">
        <v>4172</v>
      </c>
      <c r="B1632" s="4" t="s">
        <v>4173</v>
      </c>
      <c r="C1632" s="4">
        <v>1.0</v>
      </c>
      <c r="D1632" s="54" t="s">
        <v>292</v>
      </c>
      <c r="E1632" s="4" t="s">
        <v>1098</v>
      </c>
      <c r="F1632" s="54" t="s">
        <v>4054</v>
      </c>
      <c r="G1632" s="54" t="s">
        <v>1568</v>
      </c>
      <c r="H1632" s="54" t="s">
        <v>1568</v>
      </c>
      <c r="I1632" s="54" t="s">
        <v>1568</v>
      </c>
      <c r="J1632" s="54" t="s">
        <v>1568</v>
      </c>
      <c r="X1632" s="55" t="str">
        <f t="shared" si="1"/>
        <v>#NAME?</v>
      </c>
    </row>
    <row r="1633">
      <c r="A1633" s="4" t="s">
        <v>4174</v>
      </c>
      <c r="B1633" s="4" t="s">
        <v>321</v>
      </c>
      <c r="C1633" s="4">
        <v>1.0</v>
      </c>
      <c r="D1633" s="4" t="s">
        <v>4175</v>
      </c>
      <c r="E1633" s="4" t="s">
        <v>1088</v>
      </c>
      <c r="F1633" s="54" t="s">
        <v>632</v>
      </c>
      <c r="G1633" s="4">
        <v>9.64</v>
      </c>
      <c r="H1633" s="4">
        <v>9.62</v>
      </c>
      <c r="I1633" s="4">
        <v>9.35</v>
      </c>
      <c r="J1633" s="4">
        <v>9.52</v>
      </c>
      <c r="X1633" s="55" t="str">
        <f t="shared" ref="X1633:X1775" si="2">CALCULAR_NOMINAL_ASME(J1633,K1633:V1633)</f>
        <v>#NAME?</v>
      </c>
    </row>
    <row r="1634">
      <c r="A1634" s="4" t="s">
        <v>4176</v>
      </c>
      <c r="B1634" s="4" t="s">
        <v>321</v>
      </c>
      <c r="C1634" s="4">
        <v>2.0</v>
      </c>
      <c r="D1634" s="4" t="s">
        <v>4177</v>
      </c>
      <c r="E1634" s="4" t="s">
        <v>1088</v>
      </c>
      <c r="F1634" s="54" t="s">
        <v>611</v>
      </c>
      <c r="G1634" s="4">
        <v>9.64</v>
      </c>
      <c r="H1634" s="4">
        <v>9.73</v>
      </c>
      <c r="I1634" s="4">
        <v>9.4</v>
      </c>
      <c r="J1634" s="4">
        <v>9.58</v>
      </c>
      <c r="X1634" s="55" t="str">
        <f t="shared" si="2"/>
        <v>#NAME?</v>
      </c>
    </row>
    <row r="1635">
      <c r="A1635" s="4" t="s">
        <v>4178</v>
      </c>
      <c r="B1635" s="4" t="s">
        <v>321</v>
      </c>
      <c r="C1635" s="4">
        <v>3.0</v>
      </c>
      <c r="D1635" s="4" t="s">
        <v>4179</v>
      </c>
      <c r="E1635" s="4" t="s">
        <v>1088</v>
      </c>
      <c r="F1635" s="54" t="s">
        <v>611</v>
      </c>
      <c r="G1635" s="4">
        <v>8.92</v>
      </c>
      <c r="H1635" s="4">
        <v>9.78</v>
      </c>
      <c r="I1635" s="4">
        <v>9.76</v>
      </c>
      <c r="J1635" s="4">
        <v>9.56</v>
      </c>
      <c r="X1635" s="55" t="str">
        <f t="shared" si="2"/>
        <v>#NAME?</v>
      </c>
    </row>
    <row r="1636">
      <c r="A1636" s="4" t="s">
        <v>4180</v>
      </c>
      <c r="B1636" s="4" t="s">
        <v>321</v>
      </c>
      <c r="C1636" s="4">
        <v>4.0</v>
      </c>
      <c r="D1636" s="4" t="s">
        <v>4181</v>
      </c>
      <c r="E1636" s="4" t="s">
        <v>1088</v>
      </c>
      <c r="F1636" s="54" t="s">
        <v>611</v>
      </c>
      <c r="G1636" s="4">
        <v>9.58</v>
      </c>
      <c r="H1636" s="4">
        <v>9.8</v>
      </c>
      <c r="I1636" s="4">
        <v>9.4</v>
      </c>
      <c r="J1636" s="4">
        <v>9.59</v>
      </c>
      <c r="X1636" s="55" t="str">
        <f t="shared" si="2"/>
        <v>#NAME?</v>
      </c>
    </row>
    <row r="1637">
      <c r="A1637" s="4" t="s">
        <v>4182</v>
      </c>
      <c r="B1637" s="4" t="s">
        <v>321</v>
      </c>
      <c r="C1637" s="4">
        <v>5.0</v>
      </c>
      <c r="D1637" s="4" t="s">
        <v>4183</v>
      </c>
      <c r="E1637" s="4" t="s">
        <v>1088</v>
      </c>
      <c r="F1637" s="54" t="s">
        <v>611</v>
      </c>
      <c r="G1637" s="4">
        <v>9.66</v>
      </c>
      <c r="H1637" s="4">
        <v>9.7</v>
      </c>
      <c r="I1637" s="4">
        <v>9.66</v>
      </c>
      <c r="J1637" s="4">
        <v>9.66</v>
      </c>
      <c r="X1637" s="55" t="str">
        <f t="shared" si="2"/>
        <v>#NAME?</v>
      </c>
    </row>
    <row r="1638">
      <c r="A1638" s="4" t="s">
        <v>4184</v>
      </c>
      <c r="B1638" s="4" t="s">
        <v>321</v>
      </c>
      <c r="C1638" s="4">
        <v>6.0</v>
      </c>
      <c r="D1638" s="4" t="s">
        <v>4185</v>
      </c>
      <c r="E1638" s="4" t="s">
        <v>1251</v>
      </c>
      <c r="F1638" s="54" t="s">
        <v>611</v>
      </c>
      <c r="G1638" s="4">
        <v>17.56</v>
      </c>
      <c r="H1638" s="4">
        <v>17.22</v>
      </c>
      <c r="I1638" s="4">
        <v>17.19</v>
      </c>
      <c r="J1638" s="4">
        <v>17.23</v>
      </c>
      <c r="X1638" s="55" t="str">
        <f t="shared" si="2"/>
        <v>#NAME?</v>
      </c>
    </row>
    <row r="1639">
      <c r="A1639" s="4" t="s">
        <v>4186</v>
      </c>
      <c r="B1639" s="4" t="s">
        <v>321</v>
      </c>
      <c r="C1639" s="4">
        <v>7.0</v>
      </c>
      <c r="D1639" s="4" t="s">
        <v>4187</v>
      </c>
      <c r="E1639" s="4" t="s">
        <v>1251</v>
      </c>
      <c r="F1639" s="54" t="s">
        <v>632</v>
      </c>
      <c r="G1639" s="4">
        <v>17.11</v>
      </c>
      <c r="H1639" s="4">
        <v>17.51</v>
      </c>
      <c r="I1639" s="4">
        <v>16.98</v>
      </c>
      <c r="J1639" s="4">
        <v>17.62</v>
      </c>
      <c r="X1639" s="55" t="str">
        <f t="shared" si="2"/>
        <v>#NAME?</v>
      </c>
    </row>
    <row r="1640">
      <c r="A1640" s="4" t="s">
        <v>4188</v>
      </c>
      <c r="B1640" s="4" t="s">
        <v>321</v>
      </c>
      <c r="C1640" s="4">
        <v>8.0</v>
      </c>
      <c r="D1640" s="4" t="s">
        <v>4189</v>
      </c>
      <c r="E1640" s="4" t="s">
        <v>1088</v>
      </c>
      <c r="F1640" s="54" t="s">
        <v>632</v>
      </c>
      <c r="G1640" s="4">
        <v>926.0</v>
      </c>
      <c r="H1640" s="4">
        <v>9.23</v>
      </c>
      <c r="I1640" s="4">
        <v>9.13</v>
      </c>
      <c r="J1640" s="4">
        <v>9.4</v>
      </c>
      <c r="X1640" s="55" t="str">
        <f t="shared" si="2"/>
        <v>#NAME?</v>
      </c>
    </row>
    <row r="1641">
      <c r="A1641" s="4" t="s">
        <v>4190</v>
      </c>
      <c r="B1641" s="4" t="s">
        <v>321</v>
      </c>
      <c r="C1641" s="4">
        <v>9.0</v>
      </c>
      <c r="D1641" s="4" t="s">
        <v>4191</v>
      </c>
      <c r="E1641" s="4" t="s">
        <v>1088</v>
      </c>
      <c r="F1641" s="54" t="s">
        <v>632</v>
      </c>
      <c r="G1641" s="4">
        <v>9.16</v>
      </c>
      <c r="H1641" s="4">
        <v>9.36</v>
      </c>
      <c r="I1641" s="4">
        <v>8.98</v>
      </c>
      <c r="J1641" s="4">
        <v>9.36</v>
      </c>
      <c r="X1641" s="55" t="str">
        <f t="shared" si="2"/>
        <v>#NAME?</v>
      </c>
    </row>
    <row r="1642">
      <c r="A1642" s="4" t="s">
        <v>4192</v>
      </c>
      <c r="B1642" s="4" t="s">
        <v>321</v>
      </c>
      <c r="C1642" s="4">
        <v>10.0</v>
      </c>
      <c r="D1642" s="4" t="s">
        <v>4193</v>
      </c>
      <c r="E1642" s="4" t="s">
        <v>1088</v>
      </c>
      <c r="F1642" s="54" t="s">
        <v>632</v>
      </c>
      <c r="G1642" s="4">
        <v>9.25</v>
      </c>
      <c r="H1642" s="4">
        <v>9.28</v>
      </c>
      <c r="I1642" s="4">
        <v>9.21</v>
      </c>
      <c r="J1642" s="4">
        <v>9.28</v>
      </c>
      <c r="X1642" s="55" t="str">
        <f t="shared" si="2"/>
        <v>#NAME?</v>
      </c>
    </row>
    <row r="1643">
      <c r="A1643" s="4" t="s">
        <v>4194</v>
      </c>
      <c r="B1643" s="4" t="s">
        <v>321</v>
      </c>
      <c r="C1643" s="4">
        <v>11.0</v>
      </c>
      <c r="D1643" s="4" t="s">
        <v>4195</v>
      </c>
      <c r="E1643" s="4" t="s">
        <v>1088</v>
      </c>
      <c r="F1643" s="54" t="s">
        <v>632</v>
      </c>
      <c r="G1643" s="4">
        <v>9.3</v>
      </c>
      <c r="H1643" s="4">
        <v>9.33</v>
      </c>
      <c r="I1643" s="4">
        <v>9.58</v>
      </c>
      <c r="J1643" s="4">
        <v>9.23</v>
      </c>
      <c r="X1643" s="55" t="str">
        <f t="shared" si="2"/>
        <v>#NAME?</v>
      </c>
    </row>
    <row r="1644">
      <c r="A1644" s="4" t="s">
        <v>4196</v>
      </c>
      <c r="B1644" s="4" t="s">
        <v>321</v>
      </c>
      <c r="C1644" s="4">
        <v>12.0</v>
      </c>
      <c r="D1644" s="4" t="s">
        <v>4197</v>
      </c>
      <c r="E1644" s="4" t="s">
        <v>1088</v>
      </c>
      <c r="F1644" s="54" t="s">
        <v>632</v>
      </c>
      <c r="G1644" s="4">
        <v>8.61</v>
      </c>
      <c r="H1644" s="4">
        <v>9.13</v>
      </c>
      <c r="I1644" s="4">
        <v>9.25</v>
      </c>
      <c r="J1644" s="4">
        <v>9.62</v>
      </c>
      <c r="X1644" s="55" t="str">
        <f t="shared" si="2"/>
        <v>#NAME?</v>
      </c>
    </row>
    <row r="1645">
      <c r="A1645" s="4" t="s">
        <v>4198</v>
      </c>
      <c r="B1645" s="4" t="s">
        <v>321</v>
      </c>
      <c r="C1645" s="4">
        <v>13.0</v>
      </c>
      <c r="D1645" s="4" t="s">
        <v>4199</v>
      </c>
      <c r="E1645" s="4" t="s">
        <v>3816</v>
      </c>
      <c r="F1645" s="54" t="s">
        <v>632</v>
      </c>
      <c r="G1645" s="4">
        <v>63.88</v>
      </c>
      <c r="H1645" s="4">
        <v>63.84</v>
      </c>
      <c r="I1645" s="4">
        <v>63.99</v>
      </c>
      <c r="J1645" s="4">
        <v>63.93</v>
      </c>
      <c r="K1645" s="4">
        <v>63.69</v>
      </c>
      <c r="L1645" s="4">
        <v>63.99</v>
      </c>
      <c r="M1645" s="4">
        <v>63.98</v>
      </c>
      <c r="N1645" s="4">
        <v>63.93</v>
      </c>
      <c r="O1645" s="4">
        <v>63.69</v>
      </c>
      <c r="P1645" s="4">
        <v>63.89</v>
      </c>
      <c r="Q1645" s="4">
        <v>63.98</v>
      </c>
      <c r="R1645" s="4">
        <v>63.99</v>
      </c>
      <c r="X1645" s="55" t="str">
        <f t="shared" si="2"/>
        <v>#NAME?</v>
      </c>
    </row>
    <row r="1646">
      <c r="A1646" s="4" t="s">
        <v>4200</v>
      </c>
      <c r="B1646" s="4" t="s">
        <v>321</v>
      </c>
      <c r="C1646" s="4">
        <v>14.0</v>
      </c>
      <c r="D1646" s="4" t="s">
        <v>4201</v>
      </c>
      <c r="E1646" s="4" t="s">
        <v>1088</v>
      </c>
      <c r="F1646" s="54" t="s">
        <v>399</v>
      </c>
      <c r="G1646" s="4">
        <v>7.95</v>
      </c>
      <c r="H1646" s="4">
        <v>7.17</v>
      </c>
      <c r="I1646" s="4">
        <v>7.78</v>
      </c>
      <c r="J1646" s="4">
        <v>7.9</v>
      </c>
      <c r="X1646" s="55" t="str">
        <f t="shared" si="2"/>
        <v>#NAME?</v>
      </c>
    </row>
    <row r="1647">
      <c r="A1647" s="4" t="s">
        <v>4202</v>
      </c>
      <c r="B1647" s="4" t="s">
        <v>321</v>
      </c>
      <c r="C1647" s="4">
        <v>15.0</v>
      </c>
      <c r="D1647" s="4" t="s">
        <v>4203</v>
      </c>
      <c r="E1647" s="4" t="s">
        <v>1088</v>
      </c>
      <c r="F1647" s="54" t="s">
        <v>399</v>
      </c>
      <c r="G1647" s="4">
        <v>4.27</v>
      </c>
      <c r="H1647" s="4">
        <v>4.16</v>
      </c>
      <c r="I1647" s="4">
        <v>3.49</v>
      </c>
      <c r="J1647" s="4">
        <v>3.81</v>
      </c>
      <c r="X1647" s="55" t="str">
        <f t="shared" si="2"/>
        <v>#NAME?</v>
      </c>
    </row>
    <row r="1648">
      <c r="A1648" s="4" t="s">
        <v>4204</v>
      </c>
      <c r="B1648" s="4" t="s">
        <v>321</v>
      </c>
      <c r="C1648" s="4">
        <v>16.0</v>
      </c>
      <c r="D1648" s="4" t="s">
        <v>4205</v>
      </c>
      <c r="E1648" s="4" t="s">
        <v>1088</v>
      </c>
      <c r="F1648" s="54" t="s">
        <v>399</v>
      </c>
      <c r="G1648" s="4">
        <v>5.44</v>
      </c>
      <c r="H1648" s="4">
        <v>5.63</v>
      </c>
      <c r="I1648" s="4">
        <v>5.52</v>
      </c>
      <c r="J1648" s="4">
        <v>5.34</v>
      </c>
      <c r="X1648" s="55" t="str">
        <f t="shared" si="2"/>
        <v>#NAME?</v>
      </c>
    </row>
    <row r="1649">
      <c r="A1649" s="4" t="s">
        <v>4206</v>
      </c>
      <c r="B1649" s="4" t="s">
        <v>321</v>
      </c>
      <c r="C1649" s="4">
        <v>17.0</v>
      </c>
      <c r="D1649" s="4" t="s">
        <v>4207</v>
      </c>
      <c r="E1649" s="4" t="s">
        <v>1088</v>
      </c>
      <c r="F1649" s="54" t="s">
        <v>399</v>
      </c>
      <c r="G1649" s="4">
        <v>4.01</v>
      </c>
      <c r="H1649" s="4">
        <v>3.83</v>
      </c>
      <c r="I1649" s="4">
        <v>4.05</v>
      </c>
      <c r="J1649" s="4">
        <v>3.91</v>
      </c>
      <c r="X1649" s="55" t="str">
        <f t="shared" si="2"/>
        <v>#NAME?</v>
      </c>
    </row>
    <row r="1650">
      <c r="A1650" s="4" t="s">
        <v>4208</v>
      </c>
      <c r="B1650" s="4" t="s">
        <v>321</v>
      </c>
      <c r="C1650" s="4">
        <v>18.0</v>
      </c>
      <c r="D1650" s="4" t="s">
        <v>4209</v>
      </c>
      <c r="E1650" s="4" t="s">
        <v>1088</v>
      </c>
      <c r="F1650" s="54" t="s">
        <v>357</v>
      </c>
      <c r="G1650" s="4">
        <v>7.0</v>
      </c>
      <c r="H1650" s="4">
        <v>7.07</v>
      </c>
      <c r="I1650" s="4">
        <v>7.05</v>
      </c>
      <c r="J1650" s="4">
        <v>7.1</v>
      </c>
      <c r="K1650" s="4">
        <v>7.05</v>
      </c>
      <c r="L1650" s="4">
        <v>7.07</v>
      </c>
      <c r="M1650" s="4">
        <v>7.0</v>
      </c>
      <c r="N1650" s="4">
        <v>7.03</v>
      </c>
      <c r="X1650" s="55" t="str">
        <f t="shared" si="2"/>
        <v>#NAME?</v>
      </c>
    </row>
    <row r="1651">
      <c r="A1651" s="4" t="s">
        <v>4210</v>
      </c>
      <c r="B1651" s="4" t="s">
        <v>321</v>
      </c>
      <c r="C1651" s="4">
        <v>19.0</v>
      </c>
      <c r="D1651" s="4" t="s">
        <v>4211</v>
      </c>
      <c r="E1651" s="4" t="s">
        <v>1397</v>
      </c>
      <c r="F1651" s="54" t="s">
        <v>357</v>
      </c>
      <c r="G1651" s="4">
        <v>6.18</v>
      </c>
      <c r="H1651" s="4">
        <v>6.17</v>
      </c>
      <c r="I1651" s="4">
        <v>6.12</v>
      </c>
      <c r="J1651" s="4">
        <v>7.56</v>
      </c>
      <c r="K1651" s="4">
        <v>6.2</v>
      </c>
      <c r="L1651" s="4">
        <v>6.68</v>
      </c>
      <c r="M1651" s="4">
        <v>6.49</v>
      </c>
      <c r="N1651" s="4">
        <v>7.08</v>
      </c>
      <c r="O1651" s="4">
        <v>7.13</v>
      </c>
      <c r="P1651" s="4">
        <v>7.12</v>
      </c>
      <c r="Q1651" s="4">
        <v>6.86</v>
      </c>
      <c r="X1651" s="55" t="str">
        <f t="shared" si="2"/>
        <v>#NAME?</v>
      </c>
    </row>
    <row r="1652">
      <c r="A1652" s="4" t="s">
        <v>4212</v>
      </c>
      <c r="B1652" s="4" t="s">
        <v>321</v>
      </c>
      <c r="C1652" s="4">
        <v>20.0</v>
      </c>
      <c r="D1652" s="4" t="s">
        <v>4213</v>
      </c>
      <c r="E1652" s="4" t="s">
        <v>1088</v>
      </c>
      <c r="F1652" s="54" t="s">
        <v>357</v>
      </c>
      <c r="G1652" s="4">
        <v>6.36</v>
      </c>
      <c r="H1652" s="4">
        <v>6.37</v>
      </c>
      <c r="I1652" s="4">
        <v>6.23</v>
      </c>
      <c r="J1652" s="4">
        <v>6.26</v>
      </c>
      <c r="K1652" s="4">
        <v>7.0</v>
      </c>
      <c r="L1652" s="4">
        <v>6.45</v>
      </c>
      <c r="M1652" s="4">
        <v>6.29</v>
      </c>
      <c r="N1652" s="4">
        <v>6.41</v>
      </c>
      <c r="X1652" s="55" t="str">
        <f t="shared" si="2"/>
        <v>#NAME?</v>
      </c>
    </row>
    <row r="1653">
      <c r="A1653" s="4" t="s">
        <v>4214</v>
      </c>
      <c r="B1653" s="4" t="s">
        <v>329</v>
      </c>
      <c r="C1653" s="4">
        <v>1.0</v>
      </c>
      <c r="D1653" s="54" t="s">
        <v>292</v>
      </c>
      <c r="E1653" s="4" t="s">
        <v>3816</v>
      </c>
      <c r="F1653" s="54" t="s">
        <v>357</v>
      </c>
      <c r="G1653" s="4">
        <v>54.99</v>
      </c>
      <c r="H1653" s="4">
        <v>55.06</v>
      </c>
      <c r="I1653" s="4">
        <v>55.06</v>
      </c>
      <c r="J1653" s="4">
        <v>55.08</v>
      </c>
      <c r="X1653" s="55" t="str">
        <f t="shared" si="2"/>
        <v>#NAME?</v>
      </c>
    </row>
    <row r="1654">
      <c r="A1654" s="4" t="s">
        <v>4215</v>
      </c>
      <c r="B1654" s="4" t="s">
        <v>329</v>
      </c>
      <c r="C1654" s="4">
        <v>2.0</v>
      </c>
      <c r="D1654" s="54" t="s">
        <v>4216</v>
      </c>
      <c r="E1654" s="4" t="s">
        <v>3816</v>
      </c>
      <c r="F1654" s="54" t="s">
        <v>534</v>
      </c>
      <c r="G1654" s="4">
        <v>55.07</v>
      </c>
      <c r="H1654" s="4">
        <v>55.05</v>
      </c>
      <c r="I1654" s="4">
        <v>55.06</v>
      </c>
      <c r="J1654" s="4">
        <v>54.27</v>
      </c>
      <c r="X1654" s="55" t="str">
        <f t="shared" si="2"/>
        <v>#NAME?</v>
      </c>
    </row>
    <row r="1655">
      <c r="A1655" s="4" t="s">
        <v>4217</v>
      </c>
      <c r="B1655" s="4" t="s">
        <v>329</v>
      </c>
      <c r="C1655" s="4">
        <v>3.0</v>
      </c>
      <c r="D1655" s="54" t="s">
        <v>4218</v>
      </c>
      <c r="E1655" s="4" t="s">
        <v>3816</v>
      </c>
      <c r="F1655" s="54" t="s">
        <v>534</v>
      </c>
      <c r="G1655" s="4">
        <v>54.3</v>
      </c>
      <c r="H1655" s="4">
        <v>54.28</v>
      </c>
      <c r="I1655" s="4">
        <v>54.28</v>
      </c>
      <c r="J1655" s="4">
        <v>54.25</v>
      </c>
      <c r="X1655" s="55" t="str">
        <f t="shared" si="2"/>
        <v>#NAME?</v>
      </c>
    </row>
    <row r="1656">
      <c r="A1656" s="4" t="s">
        <v>4219</v>
      </c>
      <c r="B1656" s="4" t="s">
        <v>329</v>
      </c>
      <c r="C1656" s="4">
        <v>4.0</v>
      </c>
      <c r="D1656" s="4" t="s">
        <v>4220</v>
      </c>
      <c r="E1656" s="4" t="s">
        <v>1088</v>
      </c>
      <c r="F1656" s="54" t="s">
        <v>534</v>
      </c>
      <c r="G1656" s="4">
        <v>12.5</v>
      </c>
      <c r="H1656" s="4">
        <v>11.55</v>
      </c>
      <c r="I1656" s="4">
        <v>13.0</v>
      </c>
      <c r="J1656" s="4">
        <v>13.01</v>
      </c>
      <c r="X1656" s="55" t="str">
        <f t="shared" si="2"/>
        <v>#NAME?</v>
      </c>
    </row>
    <row r="1657">
      <c r="A1657" s="4" t="s">
        <v>4221</v>
      </c>
      <c r="B1657" s="4" t="s">
        <v>329</v>
      </c>
      <c r="C1657" s="4">
        <v>5.0</v>
      </c>
      <c r="D1657" s="4" t="s">
        <v>4222</v>
      </c>
      <c r="E1657" s="4" t="s">
        <v>1088</v>
      </c>
      <c r="F1657" s="54" t="s">
        <v>534</v>
      </c>
      <c r="G1657" s="4">
        <v>12.47</v>
      </c>
      <c r="H1657" s="4">
        <v>12.39</v>
      </c>
      <c r="I1657" s="4">
        <v>12.75</v>
      </c>
      <c r="J1657" s="4">
        <v>12.61</v>
      </c>
      <c r="X1657" s="55" t="str">
        <f t="shared" si="2"/>
        <v>#NAME?</v>
      </c>
    </row>
    <row r="1658">
      <c r="A1658" s="4" t="s">
        <v>4223</v>
      </c>
      <c r="B1658" s="4" t="s">
        <v>329</v>
      </c>
      <c r="C1658" s="4">
        <v>6.0</v>
      </c>
      <c r="D1658" s="4" t="s">
        <v>4224</v>
      </c>
      <c r="E1658" s="4" t="s">
        <v>1088</v>
      </c>
      <c r="F1658" s="54" t="s">
        <v>534</v>
      </c>
      <c r="G1658" s="4">
        <v>12.36</v>
      </c>
      <c r="H1658" s="4">
        <v>12.32</v>
      </c>
      <c r="I1658" s="4">
        <v>12.8</v>
      </c>
      <c r="J1658" s="4">
        <v>11.98</v>
      </c>
      <c r="X1658" s="55" t="str">
        <f t="shared" si="2"/>
        <v>#NAME?</v>
      </c>
    </row>
    <row r="1659">
      <c r="A1659" s="4" t="s">
        <v>4225</v>
      </c>
      <c r="B1659" s="4" t="s">
        <v>329</v>
      </c>
      <c r="C1659" s="4">
        <v>7.0</v>
      </c>
      <c r="D1659" s="4" t="s">
        <v>4226</v>
      </c>
      <c r="E1659" s="4" t="s">
        <v>1088</v>
      </c>
      <c r="F1659" s="54" t="s">
        <v>534</v>
      </c>
      <c r="G1659" s="4">
        <v>12.24</v>
      </c>
      <c r="H1659" s="4">
        <v>12.32</v>
      </c>
      <c r="I1659" s="4">
        <v>12.98</v>
      </c>
      <c r="J1659" s="4">
        <v>12.13</v>
      </c>
      <c r="X1659" s="55" t="str">
        <f t="shared" si="2"/>
        <v>#NAME?</v>
      </c>
    </row>
    <row r="1660">
      <c r="A1660" s="4" t="s">
        <v>4227</v>
      </c>
      <c r="B1660" s="4" t="s">
        <v>329</v>
      </c>
      <c r="C1660" s="4">
        <v>8.0</v>
      </c>
      <c r="D1660" s="4" t="s">
        <v>4228</v>
      </c>
      <c r="E1660" s="4" t="s">
        <v>1088</v>
      </c>
      <c r="F1660" s="54" t="s">
        <v>534</v>
      </c>
      <c r="G1660" s="4">
        <v>12.34</v>
      </c>
      <c r="H1660" s="4">
        <v>12.32</v>
      </c>
      <c r="I1660" s="4">
        <v>12.9</v>
      </c>
      <c r="J1660" s="4">
        <v>12.22</v>
      </c>
      <c r="X1660" s="55" t="str">
        <f t="shared" si="2"/>
        <v>#NAME?</v>
      </c>
    </row>
    <row r="1661">
      <c r="A1661" s="4" t="s">
        <v>4229</v>
      </c>
      <c r="B1661" s="4" t="s">
        <v>329</v>
      </c>
      <c r="C1661" s="4">
        <v>9.0</v>
      </c>
      <c r="D1661" s="54" t="s">
        <v>405</v>
      </c>
      <c r="E1661" s="4" t="s">
        <v>1251</v>
      </c>
      <c r="F1661" s="54" t="s">
        <v>534</v>
      </c>
      <c r="G1661" s="4">
        <v>14.68</v>
      </c>
      <c r="H1661" s="4">
        <v>14.18</v>
      </c>
      <c r="I1661" s="4">
        <v>15.56</v>
      </c>
      <c r="J1661" s="4">
        <v>14.7</v>
      </c>
      <c r="X1661" s="55" t="str">
        <f t="shared" si="2"/>
        <v>#NAME?</v>
      </c>
    </row>
    <row r="1662">
      <c r="A1662" s="4" t="s">
        <v>4230</v>
      </c>
      <c r="B1662" s="4" t="s">
        <v>329</v>
      </c>
      <c r="C1662" s="4">
        <v>10.0</v>
      </c>
      <c r="D1662" s="54" t="s">
        <v>4231</v>
      </c>
      <c r="E1662" s="4" t="s">
        <v>1251</v>
      </c>
      <c r="F1662" s="54" t="s">
        <v>357</v>
      </c>
      <c r="G1662" s="4">
        <v>11.29</v>
      </c>
      <c r="H1662" s="4">
        <v>12.74</v>
      </c>
      <c r="I1662" s="4">
        <v>12.51</v>
      </c>
      <c r="J1662" s="4">
        <v>11.92</v>
      </c>
      <c r="X1662" s="55" t="str">
        <f t="shared" si="2"/>
        <v>#NAME?</v>
      </c>
    </row>
    <row r="1663">
      <c r="A1663" s="4" t="s">
        <v>4232</v>
      </c>
      <c r="B1663" s="4" t="s">
        <v>329</v>
      </c>
      <c r="C1663" s="4">
        <v>11.0</v>
      </c>
      <c r="D1663" s="4" t="s">
        <v>4233</v>
      </c>
      <c r="E1663" s="4" t="s">
        <v>1088</v>
      </c>
      <c r="F1663" s="54" t="s">
        <v>357</v>
      </c>
      <c r="G1663" s="4">
        <v>10.77</v>
      </c>
      <c r="H1663" s="4">
        <v>12.64</v>
      </c>
      <c r="I1663" s="4">
        <v>10.58</v>
      </c>
      <c r="J1663" s="4">
        <v>10.87</v>
      </c>
      <c r="X1663" s="55" t="str">
        <f t="shared" si="2"/>
        <v>#NAME?</v>
      </c>
    </row>
    <row r="1664">
      <c r="A1664" s="4" t="s">
        <v>4234</v>
      </c>
      <c r="B1664" s="4" t="s">
        <v>329</v>
      </c>
      <c r="C1664" s="4">
        <v>12.0</v>
      </c>
      <c r="D1664" s="4" t="s">
        <v>4235</v>
      </c>
      <c r="E1664" s="4" t="s">
        <v>1088</v>
      </c>
      <c r="F1664" s="54" t="s">
        <v>357</v>
      </c>
      <c r="G1664" s="4">
        <v>11.09</v>
      </c>
      <c r="H1664" s="4">
        <v>11.56</v>
      </c>
      <c r="I1664" s="4">
        <v>10.67</v>
      </c>
      <c r="J1664" s="4">
        <v>10.73</v>
      </c>
      <c r="X1664" s="55" t="str">
        <f t="shared" si="2"/>
        <v>#NAME?</v>
      </c>
    </row>
    <row r="1665">
      <c r="A1665" s="4" t="s">
        <v>4236</v>
      </c>
      <c r="B1665" s="4" t="s">
        <v>329</v>
      </c>
      <c r="C1665" s="4">
        <v>13.0</v>
      </c>
      <c r="D1665" s="4" t="s">
        <v>4237</v>
      </c>
      <c r="E1665" s="4" t="s">
        <v>1088</v>
      </c>
      <c r="F1665" s="54" t="s">
        <v>357</v>
      </c>
      <c r="G1665" s="4">
        <v>10.7</v>
      </c>
      <c r="H1665" s="4">
        <v>11.7</v>
      </c>
      <c r="I1665" s="4">
        <v>10.89</v>
      </c>
      <c r="J1665" s="4">
        <v>11.49</v>
      </c>
      <c r="X1665" s="55" t="str">
        <f t="shared" si="2"/>
        <v>#NAME?</v>
      </c>
    </row>
    <row r="1666">
      <c r="A1666" s="4" t="s">
        <v>4238</v>
      </c>
      <c r="B1666" s="4" t="s">
        <v>329</v>
      </c>
      <c r="C1666" s="4">
        <v>14.0</v>
      </c>
      <c r="D1666" s="4" t="s">
        <v>4239</v>
      </c>
      <c r="E1666" s="4" t="s">
        <v>1088</v>
      </c>
      <c r="F1666" s="54" t="s">
        <v>357</v>
      </c>
      <c r="G1666" s="4">
        <v>11.11</v>
      </c>
      <c r="H1666" s="4">
        <v>11.23</v>
      </c>
      <c r="I1666" s="4">
        <v>10.89</v>
      </c>
      <c r="J1666" s="4">
        <v>10.68</v>
      </c>
      <c r="X1666" s="55" t="str">
        <f t="shared" si="2"/>
        <v>#NAME?</v>
      </c>
    </row>
    <row r="1667">
      <c r="A1667" s="4" t="s">
        <v>4240</v>
      </c>
      <c r="B1667" s="4" t="s">
        <v>329</v>
      </c>
      <c r="C1667" s="4">
        <v>15.0</v>
      </c>
      <c r="D1667" s="4" t="s">
        <v>4241</v>
      </c>
      <c r="E1667" s="4" t="s">
        <v>1088</v>
      </c>
      <c r="F1667" s="54" t="s">
        <v>357</v>
      </c>
      <c r="G1667" s="4">
        <v>10.88</v>
      </c>
      <c r="H1667" s="4">
        <v>11.12</v>
      </c>
      <c r="I1667" s="4">
        <v>10.75</v>
      </c>
      <c r="J1667" s="4">
        <v>10.98</v>
      </c>
      <c r="X1667" s="55" t="str">
        <f t="shared" si="2"/>
        <v>#NAME?</v>
      </c>
    </row>
    <row r="1668">
      <c r="A1668" s="4" t="s">
        <v>4242</v>
      </c>
      <c r="B1668" s="4" t="s">
        <v>329</v>
      </c>
      <c r="C1668" s="4">
        <v>16.0</v>
      </c>
      <c r="D1668" s="4" t="s">
        <v>4243</v>
      </c>
      <c r="E1668" s="4" t="s">
        <v>1088</v>
      </c>
      <c r="F1668" s="54" t="s">
        <v>449</v>
      </c>
      <c r="G1668" s="4">
        <v>5.57</v>
      </c>
      <c r="H1668" s="4">
        <v>5.68</v>
      </c>
      <c r="I1668" s="4">
        <v>5.56</v>
      </c>
      <c r="J1668" s="4">
        <v>5.71</v>
      </c>
      <c r="X1668" s="55" t="str">
        <f t="shared" si="2"/>
        <v>#NAME?</v>
      </c>
    </row>
    <row r="1669">
      <c r="A1669" s="4" t="s">
        <v>4244</v>
      </c>
      <c r="B1669" s="4" t="s">
        <v>329</v>
      </c>
      <c r="C1669" s="4">
        <v>17.0</v>
      </c>
      <c r="D1669" s="4" t="s">
        <v>4245</v>
      </c>
      <c r="E1669" s="4" t="s">
        <v>1088</v>
      </c>
      <c r="F1669" s="54" t="s">
        <v>449</v>
      </c>
      <c r="G1669" s="4">
        <v>5.75</v>
      </c>
      <c r="H1669" s="4">
        <v>4.83</v>
      </c>
      <c r="I1669" s="4">
        <v>5.14</v>
      </c>
      <c r="J1669" s="4">
        <v>4.88</v>
      </c>
      <c r="X1669" s="55" t="str">
        <f t="shared" si="2"/>
        <v>#NAME?</v>
      </c>
    </row>
    <row r="1670">
      <c r="A1670" s="54" t="s">
        <v>4246</v>
      </c>
      <c r="B1670" s="4" t="s">
        <v>329</v>
      </c>
      <c r="C1670" s="4">
        <v>18.0</v>
      </c>
      <c r="D1670" s="4" t="s">
        <v>4247</v>
      </c>
      <c r="E1670" s="4" t="s">
        <v>1098</v>
      </c>
      <c r="F1670" s="54" t="s">
        <v>449</v>
      </c>
      <c r="G1670" s="4">
        <v>5.52</v>
      </c>
      <c r="H1670" s="4">
        <v>5.29</v>
      </c>
      <c r="I1670" s="4">
        <v>5.48</v>
      </c>
      <c r="J1670" s="4">
        <v>5.45</v>
      </c>
      <c r="K1670" s="4">
        <v>5.2</v>
      </c>
      <c r="L1670" s="4">
        <v>5.01</v>
      </c>
      <c r="M1670" s="4">
        <v>4.86</v>
      </c>
      <c r="N1670" s="4">
        <v>5.46</v>
      </c>
      <c r="O1670" s="4">
        <v>4.94</v>
      </c>
      <c r="P1670" s="4">
        <v>5.61</v>
      </c>
      <c r="Q1670" s="4">
        <v>5.46</v>
      </c>
      <c r="R1670" s="4"/>
      <c r="X1670" s="55" t="str">
        <f t="shared" si="2"/>
        <v>#NAME?</v>
      </c>
    </row>
    <row r="1671">
      <c r="A1671" s="4" t="s">
        <v>4248</v>
      </c>
      <c r="B1671" s="4" t="s">
        <v>329</v>
      </c>
      <c r="C1671" s="4">
        <v>19.0</v>
      </c>
      <c r="D1671" s="4" t="s">
        <v>4249</v>
      </c>
      <c r="E1671" s="4" t="s">
        <v>1088</v>
      </c>
      <c r="F1671" s="54" t="s">
        <v>449</v>
      </c>
      <c r="G1671" s="4">
        <v>5.71</v>
      </c>
      <c r="H1671" s="4">
        <v>6.07</v>
      </c>
      <c r="I1671" s="4">
        <v>5.97</v>
      </c>
      <c r="J1671" s="4">
        <v>5.71</v>
      </c>
      <c r="K1671" s="4">
        <v>5.06</v>
      </c>
      <c r="L1671" s="4">
        <v>5.12</v>
      </c>
      <c r="M1671" s="4">
        <v>5.51</v>
      </c>
      <c r="N1671" s="4">
        <v>4.75</v>
      </c>
      <c r="O1671" s="4">
        <v>5.79</v>
      </c>
      <c r="P1671" s="4">
        <v>6.13</v>
      </c>
      <c r="Q1671" s="4">
        <v>6.05</v>
      </c>
      <c r="R1671" s="4">
        <v>5.97</v>
      </c>
      <c r="X1671" s="55" t="str">
        <f t="shared" si="2"/>
        <v>#NAME?</v>
      </c>
    </row>
    <row r="1672">
      <c r="A1672" s="4" t="s">
        <v>4250</v>
      </c>
      <c r="B1672" s="4" t="s">
        <v>329</v>
      </c>
      <c r="C1672" s="4">
        <v>20.0</v>
      </c>
      <c r="D1672" s="4" t="s">
        <v>4251</v>
      </c>
      <c r="E1672" s="4" t="s">
        <v>1088</v>
      </c>
      <c r="F1672" s="54" t="s">
        <v>4252</v>
      </c>
      <c r="G1672" s="4">
        <v>2.77</v>
      </c>
      <c r="H1672" s="4">
        <v>2.76</v>
      </c>
      <c r="I1672" s="4">
        <v>2.77</v>
      </c>
      <c r="J1672" s="4">
        <v>2.68</v>
      </c>
      <c r="X1672" s="55" t="str">
        <f t="shared" si="2"/>
        <v>#NAME?</v>
      </c>
    </row>
    <row r="1673">
      <c r="A1673" s="4" t="s">
        <v>4253</v>
      </c>
      <c r="B1673" s="4" t="s">
        <v>329</v>
      </c>
      <c r="C1673" s="4">
        <v>21.0</v>
      </c>
      <c r="D1673" s="4" t="s">
        <v>4254</v>
      </c>
      <c r="E1673" s="4" t="s">
        <v>1088</v>
      </c>
      <c r="F1673" s="54" t="s">
        <v>399</v>
      </c>
      <c r="G1673" s="4">
        <v>3.69</v>
      </c>
      <c r="H1673" s="4">
        <v>3.91</v>
      </c>
      <c r="I1673" s="4">
        <v>3.89</v>
      </c>
      <c r="J1673" s="4">
        <v>3.93</v>
      </c>
      <c r="X1673" s="55" t="str">
        <f t="shared" si="2"/>
        <v>#NAME?</v>
      </c>
    </row>
    <row r="1674">
      <c r="A1674" s="4" t="s">
        <v>4255</v>
      </c>
      <c r="B1674" s="4" t="s">
        <v>329</v>
      </c>
      <c r="C1674" s="4">
        <v>22.0</v>
      </c>
      <c r="D1674" s="4" t="s">
        <v>4256</v>
      </c>
      <c r="E1674" s="4" t="s">
        <v>1088</v>
      </c>
      <c r="F1674" s="54" t="s">
        <v>399</v>
      </c>
      <c r="G1674" s="4">
        <v>3.93</v>
      </c>
      <c r="H1674" s="4">
        <v>3.88</v>
      </c>
      <c r="I1674" s="4">
        <v>3.89</v>
      </c>
      <c r="J1674" s="4">
        <v>3.86</v>
      </c>
      <c r="X1674" s="55" t="str">
        <f t="shared" si="2"/>
        <v>#NAME?</v>
      </c>
    </row>
    <row r="1675">
      <c r="A1675" s="4" t="s">
        <v>4257</v>
      </c>
      <c r="B1675" s="4" t="s">
        <v>329</v>
      </c>
      <c r="C1675" s="4">
        <v>23.0</v>
      </c>
      <c r="D1675" s="4" t="s">
        <v>4258</v>
      </c>
      <c r="E1675" s="4" t="s">
        <v>1088</v>
      </c>
      <c r="F1675" s="54" t="s">
        <v>399</v>
      </c>
      <c r="G1675" s="4">
        <v>4.18</v>
      </c>
      <c r="H1675" s="4">
        <v>4.2</v>
      </c>
      <c r="I1675" s="4">
        <v>4.18</v>
      </c>
      <c r="J1675" s="4">
        <v>4.03</v>
      </c>
      <c r="X1675" s="55" t="str">
        <f t="shared" si="2"/>
        <v>#NAME?</v>
      </c>
    </row>
    <row r="1676">
      <c r="A1676" s="4" t="s">
        <v>4259</v>
      </c>
      <c r="B1676" s="4" t="s">
        <v>340</v>
      </c>
      <c r="C1676" s="4">
        <v>1.0</v>
      </c>
      <c r="D1676" s="4" t="s">
        <v>4260</v>
      </c>
      <c r="E1676" s="4" t="s">
        <v>1088</v>
      </c>
      <c r="F1676" s="54" t="s">
        <v>4261</v>
      </c>
      <c r="G1676" s="4">
        <v>6.24</v>
      </c>
      <c r="H1676" s="4">
        <v>6.35</v>
      </c>
      <c r="I1676" s="4">
        <v>6.27</v>
      </c>
      <c r="J1676" s="4">
        <v>6.29</v>
      </c>
      <c r="X1676" s="55" t="str">
        <f t="shared" si="2"/>
        <v>#NAME?</v>
      </c>
    </row>
    <row r="1677">
      <c r="A1677" s="4" t="s">
        <v>4262</v>
      </c>
      <c r="B1677" s="4" t="s">
        <v>340</v>
      </c>
      <c r="C1677" s="4">
        <v>2.0</v>
      </c>
      <c r="D1677" s="4" t="s">
        <v>4263</v>
      </c>
      <c r="E1677" s="4" t="s">
        <v>4264</v>
      </c>
      <c r="F1677" s="54" t="s">
        <v>4261</v>
      </c>
      <c r="G1677" s="4">
        <v>1.1</v>
      </c>
      <c r="X1677" s="55" t="str">
        <f t="shared" si="2"/>
        <v>#NAME?</v>
      </c>
    </row>
    <row r="1678">
      <c r="A1678" s="4" t="s">
        <v>4265</v>
      </c>
      <c r="B1678" s="4" t="s">
        <v>340</v>
      </c>
      <c r="C1678" s="4">
        <v>3.0</v>
      </c>
      <c r="D1678" s="4" t="s">
        <v>4266</v>
      </c>
      <c r="E1678" s="4" t="s">
        <v>4264</v>
      </c>
      <c r="F1678" s="54" t="s">
        <v>4261</v>
      </c>
      <c r="G1678" s="4">
        <v>2.1</v>
      </c>
      <c r="X1678" s="55" t="str">
        <f t="shared" si="2"/>
        <v>#NAME?</v>
      </c>
    </row>
    <row r="1679">
      <c r="A1679" s="4" t="s">
        <v>4267</v>
      </c>
      <c r="B1679" s="4" t="s">
        <v>340</v>
      </c>
      <c r="C1679" s="4">
        <v>4.0</v>
      </c>
      <c r="D1679" s="4" t="s">
        <v>4268</v>
      </c>
      <c r="E1679" s="4" t="s">
        <v>1088</v>
      </c>
      <c r="F1679" s="54" t="s">
        <v>357</v>
      </c>
      <c r="G1679" s="4">
        <v>9.5</v>
      </c>
      <c r="H1679" s="4">
        <v>9.6</v>
      </c>
      <c r="I1679" s="4">
        <v>3.4</v>
      </c>
      <c r="J1679" s="4">
        <v>6.4</v>
      </c>
      <c r="X1679" s="55" t="str">
        <f t="shared" si="2"/>
        <v>#NAME?</v>
      </c>
    </row>
    <row r="1680">
      <c r="A1680" s="4" t="s">
        <v>4269</v>
      </c>
      <c r="B1680" s="4" t="s">
        <v>340</v>
      </c>
      <c r="C1680" s="4">
        <v>5.0</v>
      </c>
      <c r="D1680" s="4" t="s">
        <v>4268</v>
      </c>
      <c r="E1680" s="4" t="s">
        <v>4270</v>
      </c>
      <c r="F1680" s="54" t="s">
        <v>4261</v>
      </c>
      <c r="G1680" s="4">
        <v>6.6</v>
      </c>
      <c r="X1680" s="55" t="str">
        <f t="shared" si="2"/>
        <v>#NAME?</v>
      </c>
    </row>
    <row r="1681">
      <c r="A1681" s="4" t="s">
        <v>4271</v>
      </c>
      <c r="B1681" s="4" t="s">
        <v>365</v>
      </c>
      <c r="C1681" s="4">
        <v>1.0</v>
      </c>
      <c r="D1681" s="54" t="s">
        <v>292</v>
      </c>
      <c r="E1681" s="4" t="s">
        <v>3816</v>
      </c>
      <c r="F1681" s="54" t="s">
        <v>274</v>
      </c>
      <c r="G1681" s="4">
        <v>3.17</v>
      </c>
      <c r="H1681" s="4">
        <v>3.16</v>
      </c>
      <c r="I1681" s="4">
        <v>3.16</v>
      </c>
      <c r="J1681" s="4">
        <v>3.15</v>
      </c>
      <c r="K1681" s="4">
        <v>3.16</v>
      </c>
      <c r="L1681" s="4">
        <v>3.17</v>
      </c>
      <c r="M1681" s="4">
        <v>3.16</v>
      </c>
      <c r="N1681" s="4">
        <v>3.16</v>
      </c>
      <c r="X1681" s="55" t="str">
        <f t="shared" si="2"/>
        <v>#NAME?</v>
      </c>
    </row>
    <row r="1682">
      <c r="A1682" s="4" t="s">
        <v>4272</v>
      </c>
      <c r="B1682" s="4" t="s">
        <v>365</v>
      </c>
      <c r="C1682" s="4">
        <v>2.0</v>
      </c>
      <c r="D1682" s="54" t="s">
        <v>292</v>
      </c>
      <c r="E1682" s="4" t="s">
        <v>3816</v>
      </c>
      <c r="F1682" s="54" t="s">
        <v>274</v>
      </c>
      <c r="G1682" s="4">
        <v>3.16</v>
      </c>
      <c r="H1682" s="4">
        <v>3.16</v>
      </c>
      <c r="I1682" s="4">
        <v>3.15</v>
      </c>
      <c r="J1682" s="4">
        <v>3.15</v>
      </c>
      <c r="K1682" s="4">
        <v>3.16</v>
      </c>
      <c r="L1682" s="4">
        <v>3.16</v>
      </c>
      <c r="M1682" s="4">
        <v>3.16</v>
      </c>
      <c r="N1682" s="4">
        <v>3.16</v>
      </c>
      <c r="X1682" s="55" t="str">
        <f t="shared" si="2"/>
        <v>#NAME?</v>
      </c>
    </row>
    <row r="1683">
      <c r="A1683" s="4" t="s">
        <v>4273</v>
      </c>
      <c r="B1683" s="4" t="s">
        <v>365</v>
      </c>
      <c r="C1683" s="4">
        <v>3.0</v>
      </c>
      <c r="D1683" s="54" t="s">
        <v>292</v>
      </c>
      <c r="E1683" s="4" t="s">
        <v>3816</v>
      </c>
      <c r="F1683" s="54" t="s">
        <v>274</v>
      </c>
      <c r="G1683" s="4">
        <v>3.16</v>
      </c>
      <c r="H1683" s="4">
        <v>3.16</v>
      </c>
      <c r="I1683" s="4">
        <v>3.17</v>
      </c>
      <c r="J1683" s="4">
        <v>3.16</v>
      </c>
      <c r="K1683" s="4">
        <v>3.16</v>
      </c>
      <c r="L1683" s="4">
        <v>3.17</v>
      </c>
      <c r="M1683" s="4">
        <v>3.16</v>
      </c>
      <c r="N1683" s="4">
        <v>3.16</v>
      </c>
      <c r="X1683" s="55" t="str">
        <f t="shared" si="2"/>
        <v>#NAME?</v>
      </c>
    </row>
    <row r="1684">
      <c r="A1684" s="4" t="s">
        <v>4274</v>
      </c>
      <c r="B1684" s="4" t="s">
        <v>365</v>
      </c>
      <c r="C1684" s="4">
        <v>4.0</v>
      </c>
      <c r="D1684" s="54" t="s">
        <v>292</v>
      </c>
      <c r="E1684" s="4" t="s">
        <v>3816</v>
      </c>
      <c r="F1684" s="54" t="s">
        <v>274</v>
      </c>
      <c r="G1684" s="4">
        <v>3.16</v>
      </c>
      <c r="H1684" s="4">
        <v>3.17</v>
      </c>
      <c r="I1684" s="4">
        <v>3.17</v>
      </c>
      <c r="J1684" s="4">
        <v>3.16</v>
      </c>
      <c r="K1684" s="4">
        <v>3.17</v>
      </c>
      <c r="L1684" s="4">
        <v>3.18</v>
      </c>
      <c r="M1684" s="4">
        <v>3.15</v>
      </c>
      <c r="N1684" s="4">
        <v>3.15</v>
      </c>
      <c r="X1684" s="55" t="str">
        <f t="shared" si="2"/>
        <v>#NAME?</v>
      </c>
    </row>
    <row r="1685">
      <c r="A1685" s="4" t="s">
        <v>4275</v>
      </c>
      <c r="B1685" s="4" t="s">
        <v>365</v>
      </c>
      <c r="C1685" s="4">
        <v>5.0</v>
      </c>
      <c r="D1685" s="54" t="s">
        <v>292</v>
      </c>
      <c r="E1685" s="4" t="s">
        <v>3816</v>
      </c>
      <c r="F1685" s="54" t="s">
        <v>274</v>
      </c>
      <c r="G1685" s="4">
        <v>3.16</v>
      </c>
      <c r="H1685" s="4">
        <v>3.16</v>
      </c>
      <c r="I1685" s="4">
        <v>3.16</v>
      </c>
      <c r="J1685" s="4">
        <v>3.15</v>
      </c>
      <c r="K1685" s="4">
        <v>3.16</v>
      </c>
      <c r="L1685" s="4">
        <v>3.16</v>
      </c>
      <c r="M1685" s="4">
        <v>3.16</v>
      </c>
      <c r="N1685" s="4">
        <v>3.16</v>
      </c>
      <c r="X1685" s="55" t="str">
        <f t="shared" si="2"/>
        <v>#NAME?</v>
      </c>
    </row>
    <row r="1686">
      <c r="A1686" s="4" t="s">
        <v>4276</v>
      </c>
      <c r="B1686" s="4" t="s">
        <v>365</v>
      </c>
      <c r="C1686" s="4">
        <v>6.0</v>
      </c>
      <c r="D1686" s="54" t="s">
        <v>399</v>
      </c>
      <c r="E1686" s="4" t="s">
        <v>4260</v>
      </c>
      <c r="F1686" s="54" t="s">
        <v>274</v>
      </c>
      <c r="G1686" s="4">
        <v>0.58</v>
      </c>
      <c r="H1686" s="4">
        <v>0.59</v>
      </c>
      <c r="I1686" s="4">
        <v>0.58</v>
      </c>
      <c r="J1686" s="4">
        <v>0.59</v>
      </c>
      <c r="K1686" s="4">
        <v>0.58</v>
      </c>
      <c r="L1686" s="4">
        <v>0.58</v>
      </c>
      <c r="M1686" s="4">
        <v>0.58</v>
      </c>
      <c r="N1686" s="4">
        <v>0.58</v>
      </c>
      <c r="X1686" s="55" t="str">
        <f t="shared" si="2"/>
        <v>#NAME?</v>
      </c>
    </row>
    <row r="1687">
      <c r="A1687" s="4" t="s">
        <v>4277</v>
      </c>
      <c r="B1687" s="4" t="s">
        <v>365</v>
      </c>
      <c r="C1687" s="4">
        <v>7.0</v>
      </c>
      <c r="D1687" s="54" t="s">
        <v>399</v>
      </c>
      <c r="E1687" s="4" t="s">
        <v>4260</v>
      </c>
      <c r="F1687" s="54" t="s">
        <v>274</v>
      </c>
      <c r="G1687" s="4">
        <v>0.58</v>
      </c>
      <c r="H1687" s="4">
        <v>0.6</v>
      </c>
      <c r="I1687" s="4">
        <v>0.58</v>
      </c>
      <c r="J1687" s="4">
        <v>0.59</v>
      </c>
      <c r="K1687" s="4">
        <v>0.59</v>
      </c>
      <c r="L1687" s="4">
        <v>0.58</v>
      </c>
      <c r="M1687" s="4">
        <v>0.59</v>
      </c>
      <c r="N1687" s="4">
        <v>0.58</v>
      </c>
      <c r="X1687" s="55" t="str">
        <f t="shared" si="2"/>
        <v>#NAME?</v>
      </c>
    </row>
    <row r="1688">
      <c r="A1688" s="4" t="s">
        <v>4278</v>
      </c>
      <c r="B1688" s="4" t="s">
        <v>365</v>
      </c>
      <c r="C1688" s="4">
        <v>8.0</v>
      </c>
      <c r="D1688" s="54" t="s">
        <v>399</v>
      </c>
      <c r="E1688" s="4" t="s">
        <v>4260</v>
      </c>
      <c r="F1688" s="54" t="s">
        <v>274</v>
      </c>
      <c r="G1688" s="4">
        <v>0.59</v>
      </c>
      <c r="H1688" s="4">
        <v>0.58</v>
      </c>
      <c r="I1688" s="4">
        <v>0.6</v>
      </c>
      <c r="J1688" s="4">
        <v>0.59</v>
      </c>
      <c r="K1688" s="4">
        <v>0.58</v>
      </c>
      <c r="L1688" s="4">
        <v>0.58</v>
      </c>
      <c r="M1688" s="4">
        <v>0.58</v>
      </c>
      <c r="N1688" s="4">
        <v>0.58</v>
      </c>
      <c r="X1688" s="55" t="str">
        <f t="shared" si="2"/>
        <v>#NAME?</v>
      </c>
    </row>
    <row r="1689">
      <c r="A1689" s="4" t="s">
        <v>4279</v>
      </c>
      <c r="B1689" s="4" t="s">
        <v>365</v>
      </c>
      <c r="C1689" s="4">
        <v>9.0</v>
      </c>
      <c r="D1689" s="54" t="s">
        <v>399</v>
      </c>
      <c r="E1689" s="4" t="s">
        <v>4260</v>
      </c>
      <c r="F1689" s="54" t="s">
        <v>274</v>
      </c>
      <c r="G1689" s="4">
        <v>0.58</v>
      </c>
      <c r="H1689" s="4">
        <v>0.59</v>
      </c>
      <c r="I1689" s="4">
        <v>0.59</v>
      </c>
      <c r="J1689" s="4">
        <v>0.59</v>
      </c>
      <c r="K1689" s="4">
        <v>0.59</v>
      </c>
      <c r="L1689" s="4">
        <v>0.59</v>
      </c>
      <c r="M1689" s="4">
        <v>0.58</v>
      </c>
      <c r="N1689" s="4">
        <v>0.59</v>
      </c>
      <c r="X1689" s="55" t="str">
        <f t="shared" si="2"/>
        <v>#NAME?</v>
      </c>
    </row>
    <row r="1690">
      <c r="A1690" s="4" t="s">
        <v>4280</v>
      </c>
      <c r="B1690" s="4" t="s">
        <v>365</v>
      </c>
      <c r="C1690" s="4">
        <v>10.0</v>
      </c>
      <c r="D1690" s="54" t="s">
        <v>399</v>
      </c>
      <c r="E1690" s="4" t="s">
        <v>4260</v>
      </c>
      <c r="F1690" s="54" t="s">
        <v>274</v>
      </c>
      <c r="G1690" s="4">
        <v>0.59</v>
      </c>
      <c r="H1690" s="4">
        <v>0.58</v>
      </c>
      <c r="I1690" s="4">
        <v>0.59</v>
      </c>
      <c r="J1690" s="4">
        <v>0.59</v>
      </c>
      <c r="K1690" s="4">
        <v>0.59</v>
      </c>
      <c r="L1690" s="4">
        <v>0.58</v>
      </c>
      <c r="M1690" s="4">
        <v>0.58</v>
      </c>
      <c r="N1690" s="4">
        <v>0.59</v>
      </c>
      <c r="X1690" s="55" t="str">
        <f t="shared" si="2"/>
        <v>#NAME?</v>
      </c>
    </row>
    <row r="1691">
      <c r="A1691" s="4" t="s">
        <v>4281</v>
      </c>
      <c r="B1691" s="4" t="s">
        <v>365</v>
      </c>
      <c r="C1691" s="4">
        <v>11.0</v>
      </c>
      <c r="D1691" s="54" t="s">
        <v>399</v>
      </c>
      <c r="E1691" s="4" t="s">
        <v>4260</v>
      </c>
      <c r="F1691" s="54" t="s">
        <v>274</v>
      </c>
      <c r="G1691" s="4">
        <v>0.59</v>
      </c>
      <c r="H1691" s="4">
        <v>0.59</v>
      </c>
      <c r="I1691" s="4">
        <v>0.59</v>
      </c>
      <c r="J1691" s="4">
        <v>0.58</v>
      </c>
      <c r="K1691" s="4">
        <v>0.59</v>
      </c>
      <c r="L1691" s="4">
        <v>0.59</v>
      </c>
      <c r="M1691" s="4">
        <v>0.58</v>
      </c>
      <c r="N1691" s="4">
        <v>0.59</v>
      </c>
      <c r="X1691" s="55" t="str">
        <f t="shared" si="2"/>
        <v>#NAME?</v>
      </c>
    </row>
    <row r="1692">
      <c r="A1692" s="4" t="s">
        <v>4282</v>
      </c>
      <c r="B1692" s="4" t="s">
        <v>365</v>
      </c>
      <c r="C1692" s="4">
        <v>12.0</v>
      </c>
      <c r="D1692" s="54" t="s">
        <v>399</v>
      </c>
      <c r="E1692" s="4" t="s">
        <v>4260</v>
      </c>
      <c r="F1692" s="54" t="s">
        <v>274</v>
      </c>
      <c r="G1692" s="4">
        <v>0.59</v>
      </c>
      <c r="H1692" s="4">
        <v>0.58</v>
      </c>
      <c r="I1692" s="4">
        <v>0.6</v>
      </c>
      <c r="J1692" s="4">
        <v>0.58</v>
      </c>
      <c r="K1692" s="4">
        <v>0.59</v>
      </c>
      <c r="L1692" s="4">
        <v>0.59</v>
      </c>
      <c r="M1692" s="4">
        <v>0.59</v>
      </c>
      <c r="N1692" s="4">
        <v>0.58</v>
      </c>
      <c r="X1692" s="55" t="str">
        <f t="shared" si="2"/>
        <v>#NAME?</v>
      </c>
    </row>
    <row r="1693">
      <c r="A1693" s="4" t="s">
        <v>4283</v>
      </c>
      <c r="B1693" s="4" t="s">
        <v>365</v>
      </c>
      <c r="C1693" s="4">
        <v>13.0</v>
      </c>
      <c r="D1693" s="54" t="s">
        <v>399</v>
      </c>
      <c r="E1693" s="4" t="s">
        <v>4260</v>
      </c>
      <c r="F1693" s="54" t="s">
        <v>274</v>
      </c>
      <c r="G1693" s="4">
        <v>0.59</v>
      </c>
      <c r="H1693" s="4">
        <v>0.59</v>
      </c>
      <c r="I1693" s="4">
        <v>0.59</v>
      </c>
      <c r="J1693" s="4">
        <v>0.58</v>
      </c>
      <c r="K1693" s="4">
        <v>0.59</v>
      </c>
      <c r="L1693" s="4">
        <v>0.58</v>
      </c>
      <c r="M1693" s="4">
        <v>0.59</v>
      </c>
      <c r="N1693" s="4">
        <v>0.59</v>
      </c>
      <c r="X1693" s="55" t="str">
        <f t="shared" si="2"/>
        <v>#NAME?</v>
      </c>
    </row>
    <row r="1694">
      <c r="A1694" s="4" t="s">
        <v>4284</v>
      </c>
      <c r="B1694" s="4" t="s">
        <v>365</v>
      </c>
      <c r="C1694" s="4">
        <v>14.0</v>
      </c>
      <c r="D1694" s="54" t="s">
        <v>399</v>
      </c>
      <c r="E1694" s="4" t="s">
        <v>4260</v>
      </c>
      <c r="F1694" s="54" t="s">
        <v>274</v>
      </c>
      <c r="G1694" s="4">
        <v>0.59</v>
      </c>
      <c r="H1694" s="4">
        <v>0.59</v>
      </c>
      <c r="I1694" s="4">
        <v>0.59</v>
      </c>
      <c r="J1694" s="4">
        <v>0.58</v>
      </c>
      <c r="K1694" s="4">
        <v>0.59</v>
      </c>
      <c r="L1694" s="4">
        <v>0.59</v>
      </c>
      <c r="M1694" s="4">
        <v>0.59</v>
      </c>
      <c r="N1694" s="4">
        <v>0.58</v>
      </c>
      <c r="X1694" s="55" t="str">
        <f t="shared" si="2"/>
        <v>#NAME?</v>
      </c>
    </row>
    <row r="1695">
      <c r="A1695" s="4" t="s">
        <v>4285</v>
      </c>
      <c r="B1695" s="4" t="s">
        <v>365</v>
      </c>
      <c r="C1695" s="4">
        <v>15.0</v>
      </c>
      <c r="D1695" s="54" t="s">
        <v>399</v>
      </c>
      <c r="E1695" s="4" t="s">
        <v>4260</v>
      </c>
      <c r="F1695" s="54" t="s">
        <v>274</v>
      </c>
      <c r="G1695" s="4">
        <v>0.59</v>
      </c>
      <c r="H1695" s="4">
        <v>0.58</v>
      </c>
      <c r="I1695" s="4">
        <v>0.59</v>
      </c>
      <c r="J1695" s="4">
        <v>0.58</v>
      </c>
      <c r="K1695" s="4">
        <v>0.59</v>
      </c>
      <c r="L1695" s="4">
        <v>0.59</v>
      </c>
      <c r="M1695" s="4">
        <v>0.58</v>
      </c>
      <c r="N1695" s="4">
        <v>0.59</v>
      </c>
      <c r="X1695" s="55" t="str">
        <f t="shared" si="2"/>
        <v>#NAME?</v>
      </c>
    </row>
    <row r="1696">
      <c r="A1696" s="4" t="s">
        <v>4286</v>
      </c>
      <c r="B1696" s="4" t="s">
        <v>365</v>
      </c>
      <c r="C1696" s="4">
        <v>16.0</v>
      </c>
      <c r="D1696" s="54" t="s">
        <v>399</v>
      </c>
      <c r="E1696" s="4" t="s">
        <v>4260</v>
      </c>
      <c r="F1696" s="54" t="s">
        <v>274</v>
      </c>
      <c r="G1696" s="4">
        <v>0.58</v>
      </c>
      <c r="H1696" s="4">
        <v>0.59</v>
      </c>
      <c r="I1696" s="4">
        <v>0.58</v>
      </c>
      <c r="J1696" s="4">
        <v>0.58</v>
      </c>
      <c r="K1696" s="4">
        <v>0.59</v>
      </c>
      <c r="L1696" s="4">
        <v>0.58</v>
      </c>
      <c r="M1696" s="4">
        <v>0.59</v>
      </c>
      <c r="N1696" s="4">
        <v>0.59</v>
      </c>
      <c r="X1696" s="55" t="str">
        <f t="shared" si="2"/>
        <v>#NAME?</v>
      </c>
    </row>
    <row r="1697">
      <c r="A1697" s="4" t="s">
        <v>4287</v>
      </c>
      <c r="B1697" s="4" t="s">
        <v>365</v>
      </c>
      <c r="C1697" s="4">
        <v>17.0</v>
      </c>
      <c r="D1697" s="54" t="s">
        <v>399</v>
      </c>
      <c r="E1697" s="4" t="s">
        <v>4260</v>
      </c>
      <c r="F1697" s="54" t="s">
        <v>274</v>
      </c>
      <c r="G1697" s="4">
        <v>0.59</v>
      </c>
      <c r="H1697" s="4">
        <v>0.59</v>
      </c>
      <c r="I1697" s="4">
        <v>0.58</v>
      </c>
      <c r="J1697" s="4">
        <v>0.59</v>
      </c>
      <c r="K1697" s="4">
        <v>0.58</v>
      </c>
      <c r="L1697" s="4">
        <v>0.59</v>
      </c>
      <c r="M1697" s="4">
        <v>0.59</v>
      </c>
      <c r="N1697" s="4">
        <v>0.58</v>
      </c>
      <c r="X1697" s="55" t="str">
        <f t="shared" si="2"/>
        <v>#NAME?</v>
      </c>
    </row>
    <row r="1698">
      <c r="A1698" s="4" t="s">
        <v>4288</v>
      </c>
      <c r="B1698" s="4" t="s">
        <v>365</v>
      </c>
      <c r="C1698" s="4">
        <v>18.0</v>
      </c>
      <c r="D1698" s="54" t="s">
        <v>399</v>
      </c>
      <c r="E1698" s="4" t="s">
        <v>4260</v>
      </c>
      <c r="F1698" s="54" t="s">
        <v>274</v>
      </c>
      <c r="G1698" s="4">
        <v>0.58</v>
      </c>
      <c r="H1698" s="4">
        <v>0.59</v>
      </c>
      <c r="I1698" s="4">
        <v>0.59</v>
      </c>
      <c r="J1698" s="4">
        <v>0.58</v>
      </c>
      <c r="K1698" s="4">
        <v>0.59</v>
      </c>
      <c r="L1698" s="4">
        <v>0.6</v>
      </c>
      <c r="M1698" s="4">
        <v>0.58</v>
      </c>
      <c r="N1698" s="4">
        <v>0.58</v>
      </c>
      <c r="X1698" s="55" t="str">
        <f t="shared" si="2"/>
        <v>#NAME?</v>
      </c>
    </row>
    <row r="1699">
      <c r="A1699" s="4" t="s">
        <v>4289</v>
      </c>
      <c r="B1699" s="4" t="s">
        <v>365</v>
      </c>
      <c r="C1699" s="4">
        <v>19.0</v>
      </c>
      <c r="D1699" s="54" t="s">
        <v>399</v>
      </c>
      <c r="E1699" s="4" t="s">
        <v>4260</v>
      </c>
      <c r="F1699" s="54" t="s">
        <v>274</v>
      </c>
      <c r="G1699" s="4">
        <v>0.58</v>
      </c>
      <c r="H1699" s="4">
        <v>0.59</v>
      </c>
      <c r="I1699" s="4">
        <v>0.58</v>
      </c>
      <c r="J1699" s="4">
        <v>0.59</v>
      </c>
      <c r="K1699" s="4">
        <v>0.58</v>
      </c>
      <c r="L1699" s="4">
        <v>0.59</v>
      </c>
      <c r="M1699" s="4">
        <v>0.59</v>
      </c>
      <c r="N1699" s="4">
        <v>0.59</v>
      </c>
      <c r="X1699" s="55" t="str">
        <f t="shared" si="2"/>
        <v>#NAME?</v>
      </c>
    </row>
    <row r="1700">
      <c r="A1700" s="4" t="s">
        <v>4290</v>
      </c>
      <c r="B1700" s="4" t="s">
        <v>365</v>
      </c>
      <c r="C1700" s="4">
        <v>20.0</v>
      </c>
      <c r="D1700" s="54" t="s">
        <v>399</v>
      </c>
      <c r="E1700" s="4" t="s">
        <v>4260</v>
      </c>
      <c r="F1700" s="54" t="s">
        <v>274</v>
      </c>
      <c r="G1700" s="4">
        <v>0.58</v>
      </c>
      <c r="H1700" s="4">
        <v>0.58</v>
      </c>
      <c r="I1700" s="4">
        <v>0.59</v>
      </c>
      <c r="J1700" s="4">
        <v>0.59</v>
      </c>
      <c r="K1700" s="4">
        <v>0.59</v>
      </c>
      <c r="L1700" s="4">
        <v>0.58</v>
      </c>
      <c r="M1700" s="4">
        <v>0.58</v>
      </c>
      <c r="N1700" s="4">
        <v>0.59</v>
      </c>
      <c r="X1700" s="55" t="str">
        <f t="shared" si="2"/>
        <v>#NAME?</v>
      </c>
    </row>
    <row r="1701">
      <c r="A1701" s="4" t="s">
        <v>4291</v>
      </c>
      <c r="B1701" s="4" t="s">
        <v>365</v>
      </c>
      <c r="C1701" s="4">
        <v>21.0</v>
      </c>
      <c r="D1701" s="54" t="s">
        <v>399</v>
      </c>
      <c r="E1701" s="4" t="s">
        <v>4260</v>
      </c>
      <c r="F1701" s="54" t="s">
        <v>274</v>
      </c>
      <c r="G1701" s="4">
        <v>0.59</v>
      </c>
      <c r="H1701" s="4">
        <v>0.59</v>
      </c>
      <c r="I1701" s="4">
        <v>0.59</v>
      </c>
      <c r="J1701" s="4">
        <v>0.58</v>
      </c>
      <c r="K1701" s="4">
        <v>0.59</v>
      </c>
      <c r="L1701" s="4">
        <v>0.58</v>
      </c>
      <c r="M1701" s="4">
        <v>0.58</v>
      </c>
      <c r="N1701" s="4">
        <v>0.59</v>
      </c>
      <c r="X1701" s="55" t="str">
        <f t="shared" si="2"/>
        <v>#NAME?</v>
      </c>
    </row>
    <row r="1702">
      <c r="A1702" s="4" t="s">
        <v>4292</v>
      </c>
      <c r="B1702" s="4" t="s">
        <v>365</v>
      </c>
      <c r="C1702" s="4">
        <v>22.0</v>
      </c>
      <c r="D1702" s="54" t="s">
        <v>399</v>
      </c>
      <c r="E1702" s="4" t="s">
        <v>4260</v>
      </c>
      <c r="F1702" s="54" t="s">
        <v>274</v>
      </c>
      <c r="G1702" s="4">
        <v>0.59</v>
      </c>
      <c r="H1702" s="4">
        <v>0.58</v>
      </c>
      <c r="I1702" s="4">
        <v>0.59</v>
      </c>
      <c r="J1702" s="4">
        <v>0.59</v>
      </c>
      <c r="K1702" s="4">
        <v>0.59</v>
      </c>
      <c r="L1702" s="4">
        <v>0.58</v>
      </c>
      <c r="M1702" s="4">
        <v>0.59</v>
      </c>
      <c r="N1702" s="4">
        <v>0.58</v>
      </c>
      <c r="X1702" s="55" t="str">
        <f t="shared" si="2"/>
        <v>#NAME?</v>
      </c>
    </row>
    <row r="1703">
      <c r="A1703" s="4" t="s">
        <v>4293</v>
      </c>
      <c r="B1703" s="4" t="s">
        <v>365</v>
      </c>
      <c r="C1703" s="4">
        <v>23.0</v>
      </c>
      <c r="D1703" s="54" t="s">
        <v>399</v>
      </c>
      <c r="E1703" s="4" t="s">
        <v>4260</v>
      </c>
      <c r="F1703" s="54" t="s">
        <v>274</v>
      </c>
      <c r="G1703" s="4">
        <v>0.58</v>
      </c>
      <c r="H1703" s="4">
        <v>0.58</v>
      </c>
      <c r="I1703" s="4">
        <v>0.59</v>
      </c>
      <c r="J1703" s="4">
        <v>0.58</v>
      </c>
      <c r="K1703" s="4">
        <v>0.59</v>
      </c>
      <c r="L1703" s="4">
        <v>0.59</v>
      </c>
      <c r="M1703" s="4">
        <v>0.58</v>
      </c>
      <c r="N1703" s="4">
        <v>0.58</v>
      </c>
      <c r="X1703" s="55" t="str">
        <f t="shared" si="2"/>
        <v>#NAME?</v>
      </c>
    </row>
    <row r="1704">
      <c r="A1704" s="4" t="s">
        <v>4294</v>
      </c>
      <c r="B1704" s="4" t="s">
        <v>365</v>
      </c>
      <c r="C1704" s="4">
        <v>24.0</v>
      </c>
      <c r="D1704" s="54" t="s">
        <v>399</v>
      </c>
      <c r="E1704" s="4" t="s">
        <v>4260</v>
      </c>
      <c r="F1704" s="54" t="s">
        <v>274</v>
      </c>
      <c r="G1704" s="4">
        <v>0.58</v>
      </c>
      <c r="H1704" s="4">
        <v>0.58</v>
      </c>
      <c r="I1704" s="4">
        <v>0.58</v>
      </c>
      <c r="J1704" s="4">
        <v>0.59</v>
      </c>
      <c r="K1704" s="4">
        <v>0.59</v>
      </c>
      <c r="L1704" s="4">
        <v>0.59</v>
      </c>
      <c r="M1704" s="4">
        <v>0.59</v>
      </c>
      <c r="N1704" s="4">
        <v>0.58</v>
      </c>
      <c r="X1704" s="55" t="str">
        <f t="shared" si="2"/>
        <v>#NAME?</v>
      </c>
    </row>
    <row r="1705">
      <c r="A1705" s="4" t="s">
        <v>4295</v>
      </c>
      <c r="B1705" s="4" t="s">
        <v>365</v>
      </c>
      <c r="C1705" s="4">
        <v>25.0</v>
      </c>
      <c r="D1705" s="54" t="s">
        <v>399</v>
      </c>
      <c r="E1705" s="4" t="s">
        <v>4260</v>
      </c>
      <c r="F1705" s="54" t="s">
        <v>274</v>
      </c>
      <c r="G1705" s="4">
        <v>0.59</v>
      </c>
      <c r="H1705" s="4">
        <v>0.58</v>
      </c>
      <c r="I1705" s="4">
        <v>0.58</v>
      </c>
      <c r="J1705" s="4">
        <v>0.59</v>
      </c>
      <c r="K1705" s="4">
        <v>0.59</v>
      </c>
      <c r="L1705" s="4">
        <v>0.59</v>
      </c>
      <c r="M1705" s="4">
        <v>0.59</v>
      </c>
      <c r="N1705" s="4">
        <v>0.58</v>
      </c>
      <c r="X1705" s="55" t="str">
        <f t="shared" si="2"/>
        <v>#NAME?</v>
      </c>
    </row>
    <row r="1706">
      <c r="A1706" s="4" t="s">
        <v>4296</v>
      </c>
      <c r="B1706" s="4" t="s">
        <v>365</v>
      </c>
      <c r="C1706" s="4">
        <v>26.0</v>
      </c>
      <c r="D1706" s="54" t="s">
        <v>399</v>
      </c>
      <c r="E1706" s="4" t="s">
        <v>4260</v>
      </c>
      <c r="F1706" s="54" t="s">
        <v>274</v>
      </c>
      <c r="G1706" s="4">
        <v>0.59</v>
      </c>
      <c r="H1706" s="4">
        <v>0.59</v>
      </c>
      <c r="I1706" s="4">
        <v>0.58</v>
      </c>
      <c r="J1706" s="4">
        <v>0.59</v>
      </c>
      <c r="K1706" s="4">
        <v>0.59</v>
      </c>
      <c r="L1706" s="4">
        <v>0.59</v>
      </c>
      <c r="M1706" s="4">
        <v>0.58</v>
      </c>
      <c r="N1706" s="4">
        <v>0.59</v>
      </c>
      <c r="X1706" s="55" t="str">
        <f t="shared" si="2"/>
        <v>#NAME?</v>
      </c>
    </row>
    <row r="1707">
      <c r="A1707" s="4" t="s">
        <v>4297</v>
      </c>
      <c r="B1707" s="4" t="s">
        <v>365</v>
      </c>
      <c r="C1707" s="4">
        <v>27.0</v>
      </c>
      <c r="D1707" s="54" t="s">
        <v>405</v>
      </c>
      <c r="E1707" s="4" t="s">
        <v>3823</v>
      </c>
      <c r="F1707" s="54" t="s">
        <v>274</v>
      </c>
      <c r="G1707" s="4">
        <v>0.64</v>
      </c>
      <c r="H1707" s="4">
        <v>0.65</v>
      </c>
      <c r="I1707" s="4">
        <v>0.65</v>
      </c>
      <c r="J1707" s="4">
        <v>0.65</v>
      </c>
      <c r="K1707" s="4">
        <v>0.65</v>
      </c>
      <c r="L1707" s="4">
        <v>0.66</v>
      </c>
      <c r="M1707" s="4">
        <v>0.66</v>
      </c>
      <c r="N1707" s="4">
        <v>0.64</v>
      </c>
      <c r="O1707" s="4">
        <v>0.65</v>
      </c>
      <c r="P1707" s="4">
        <v>0.64</v>
      </c>
      <c r="Q1707" s="4">
        <v>0.64</v>
      </c>
      <c r="R1707" s="4">
        <v>0.63</v>
      </c>
      <c r="S1707" s="4">
        <v>0.63</v>
      </c>
      <c r="T1707" s="4">
        <v>0.63</v>
      </c>
      <c r="U1707" s="4">
        <v>0.64</v>
      </c>
      <c r="V1707" s="4">
        <v>0.63</v>
      </c>
      <c r="W1707" s="4"/>
      <c r="X1707" s="55" t="str">
        <f t="shared" si="2"/>
        <v>#NAME?</v>
      </c>
    </row>
    <row r="1708">
      <c r="A1708" s="4" t="s">
        <v>4298</v>
      </c>
      <c r="B1708" s="4" t="s">
        <v>365</v>
      </c>
      <c r="C1708" s="4">
        <v>28.0</v>
      </c>
      <c r="D1708" s="54" t="s">
        <v>449</v>
      </c>
      <c r="E1708" s="4" t="s">
        <v>3823</v>
      </c>
      <c r="F1708" s="54" t="s">
        <v>632</v>
      </c>
      <c r="G1708" s="4">
        <v>0.54</v>
      </c>
      <c r="H1708" s="4">
        <v>0.53</v>
      </c>
      <c r="I1708" s="4">
        <v>0.54</v>
      </c>
      <c r="J1708" s="4">
        <v>0.53</v>
      </c>
      <c r="K1708" s="4">
        <v>0.52</v>
      </c>
      <c r="L1708" s="4">
        <v>0.53</v>
      </c>
      <c r="M1708" s="4">
        <v>0.53</v>
      </c>
      <c r="N1708" s="4">
        <v>0.54</v>
      </c>
      <c r="O1708" s="4">
        <v>0.53</v>
      </c>
      <c r="P1708" s="4">
        <v>0.54</v>
      </c>
      <c r="Q1708" s="4">
        <v>0.55</v>
      </c>
      <c r="R1708" s="4">
        <v>0.54</v>
      </c>
      <c r="S1708" s="4">
        <v>0.52</v>
      </c>
      <c r="T1708" s="4">
        <v>0.53</v>
      </c>
      <c r="U1708" s="4">
        <v>0.55</v>
      </c>
      <c r="V1708" s="4">
        <v>0.55</v>
      </c>
      <c r="W1708" s="4"/>
      <c r="X1708" s="55" t="str">
        <f t="shared" si="2"/>
        <v>#NAME?</v>
      </c>
    </row>
    <row r="1709">
      <c r="A1709" s="4" t="s">
        <v>4299</v>
      </c>
      <c r="B1709" s="4" t="s">
        <v>365</v>
      </c>
      <c r="C1709" s="4">
        <v>29.0</v>
      </c>
      <c r="D1709" s="54" t="s">
        <v>443</v>
      </c>
      <c r="E1709" s="4" t="s">
        <v>4260</v>
      </c>
      <c r="F1709" s="54" t="s">
        <v>632</v>
      </c>
      <c r="G1709" s="4">
        <v>0.5</v>
      </c>
      <c r="H1709" s="4">
        <v>0.5</v>
      </c>
      <c r="I1709" s="4">
        <v>0.5</v>
      </c>
      <c r="J1709" s="4">
        <v>0.5</v>
      </c>
      <c r="K1709" s="4">
        <v>0.49</v>
      </c>
      <c r="L1709" s="4">
        <v>0.49</v>
      </c>
      <c r="M1709" s="4">
        <v>0.48</v>
      </c>
      <c r="N1709" s="4">
        <v>0.49</v>
      </c>
      <c r="X1709" s="55" t="str">
        <f t="shared" si="2"/>
        <v>#NAME?</v>
      </c>
    </row>
    <row r="1710">
      <c r="A1710" s="4" t="s">
        <v>4300</v>
      </c>
      <c r="B1710" s="4" t="s">
        <v>365</v>
      </c>
      <c r="C1710" s="4">
        <v>30.0</v>
      </c>
      <c r="D1710" s="54" t="s">
        <v>443</v>
      </c>
      <c r="E1710" s="4" t="s">
        <v>4260</v>
      </c>
      <c r="F1710" s="54" t="s">
        <v>632</v>
      </c>
      <c r="G1710" s="4">
        <v>0.49</v>
      </c>
      <c r="H1710" s="4">
        <v>0.49</v>
      </c>
      <c r="I1710" s="4">
        <v>0.49</v>
      </c>
      <c r="J1710" s="4">
        <v>0.5</v>
      </c>
      <c r="K1710" s="4">
        <v>0.49</v>
      </c>
      <c r="L1710" s="4">
        <v>0.48</v>
      </c>
      <c r="M1710" s="4">
        <v>0.5</v>
      </c>
      <c r="N1710" s="4">
        <v>0.5</v>
      </c>
      <c r="X1710" s="55" t="str">
        <f t="shared" si="2"/>
        <v>#NAME?</v>
      </c>
    </row>
    <row r="1711">
      <c r="A1711" s="4" t="s">
        <v>4301</v>
      </c>
      <c r="B1711" s="4" t="s">
        <v>365</v>
      </c>
      <c r="C1711" s="4">
        <v>31.0</v>
      </c>
      <c r="D1711" s="54" t="s">
        <v>443</v>
      </c>
      <c r="E1711" s="4" t="s">
        <v>4260</v>
      </c>
      <c r="F1711" s="54" t="s">
        <v>632</v>
      </c>
      <c r="G1711" s="4">
        <v>0.49</v>
      </c>
      <c r="H1711" s="4">
        <v>0.5</v>
      </c>
      <c r="I1711" s="4">
        <v>0.49</v>
      </c>
      <c r="J1711" s="4">
        <v>0.5</v>
      </c>
      <c r="K1711" s="4">
        <v>0.49</v>
      </c>
      <c r="L1711" s="4">
        <v>0.49</v>
      </c>
      <c r="M1711" s="4">
        <v>0.5</v>
      </c>
      <c r="N1711" s="4">
        <v>0.5</v>
      </c>
      <c r="X1711" s="55" t="str">
        <f t="shared" si="2"/>
        <v>#NAME?</v>
      </c>
    </row>
    <row r="1712">
      <c r="A1712" s="54" t="s">
        <v>4302</v>
      </c>
      <c r="B1712" s="4" t="s">
        <v>365</v>
      </c>
      <c r="C1712" s="4">
        <v>32.0</v>
      </c>
      <c r="D1712" s="54" t="s">
        <v>443</v>
      </c>
      <c r="E1712" s="4" t="s">
        <v>4260</v>
      </c>
      <c r="F1712" s="54" t="s">
        <v>632</v>
      </c>
      <c r="G1712" s="4">
        <v>0.5</v>
      </c>
      <c r="H1712" s="4">
        <v>0.49</v>
      </c>
      <c r="I1712" s="4">
        <v>0.5</v>
      </c>
      <c r="J1712" s="4">
        <v>0.49</v>
      </c>
      <c r="K1712" s="4">
        <v>0.49</v>
      </c>
      <c r="L1712" s="4">
        <v>0.51</v>
      </c>
      <c r="M1712" s="4">
        <v>0.52</v>
      </c>
      <c r="N1712" s="4">
        <v>0.51</v>
      </c>
      <c r="X1712" s="55" t="str">
        <f t="shared" si="2"/>
        <v>#NAME?</v>
      </c>
    </row>
    <row r="1713">
      <c r="A1713" s="4" t="s">
        <v>4303</v>
      </c>
      <c r="B1713" s="4" t="s">
        <v>365</v>
      </c>
      <c r="C1713" s="4">
        <v>33.0</v>
      </c>
      <c r="D1713" s="54" t="s">
        <v>443</v>
      </c>
      <c r="E1713" s="4" t="s">
        <v>4260</v>
      </c>
      <c r="F1713" s="54" t="s">
        <v>632</v>
      </c>
      <c r="G1713" s="4">
        <v>0.5</v>
      </c>
      <c r="H1713" s="4">
        <v>0.48</v>
      </c>
      <c r="I1713" s="4">
        <v>0.48</v>
      </c>
      <c r="J1713" s="4">
        <v>0.48</v>
      </c>
      <c r="K1713" s="4">
        <v>0.48</v>
      </c>
      <c r="L1713" s="4">
        <v>0.51</v>
      </c>
      <c r="M1713" s="4">
        <v>0.52</v>
      </c>
      <c r="N1713" s="4">
        <v>0.52</v>
      </c>
      <c r="X1713" s="55" t="str">
        <f t="shared" si="2"/>
        <v>#NAME?</v>
      </c>
    </row>
    <row r="1714">
      <c r="A1714" s="4" t="s">
        <v>4304</v>
      </c>
      <c r="B1714" s="4" t="s">
        <v>365</v>
      </c>
      <c r="C1714" s="4">
        <v>34.0</v>
      </c>
      <c r="D1714" s="54" t="s">
        <v>443</v>
      </c>
      <c r="E1714" s="4" t="s">
        <v>4260</v>
      </c>
      <c r="F1714" s="54" t="s">
        <v>632</v>
      </c>
      <c r="G1714" s="4">
        <v>0.49</v>
      </c>
      <c r="H1714" s="4">
        <v>0.49</v>
      </c>
      <c r="I1714" s="4">
        <v>0.49</v>
      </c>
      <c r="J1714" s="4">
        <v>0.48</v>
      </c>
      <c r="K1714" s="4">
        <v>0.48</v>
      </c>
      <c r="L1714" s="4">
        <v>0.52</v>
      </c>
      <c r="M1714" s="4">
        <v>0.5</v>
      </c>
      <c r="N1714" s="4">
        <v>0.51</v>
      </c>
      <c r="X1714" s="55" t="str">
        <f t="shared" si="2"/>
        <v>#NAME?</v>
      </c>
    </row>
    <row r="1715">
      <c r="A1715" s="4" t="s">
        <v>4305</v>
      </c>
      <c r="B1715" s="4" t="s">
        <v>365</v>
      </c>
      <c r="C1715" s="4">
        <v>35.0</v>
      </c>
      <c r="D1715" s="54" t="s">
        <v>443</v>
      </c>
      <c r="E1715" s="4" t="s">
        <v>4260</v>
      </c>
      <c r="F1715" s="54" t="s">
        <v>632</v>
      </c>
      <c r="G1715" s="4">
        <v>0.49</v>
      </c>
      <c r="H1715" s="4">
        <v>0.5</v>
      </c>
      <c r="I1715" s="4">
        <v>0.48</v>
      </c>
      <c r="J1715" s="4">
        <v>0.47</v>
      </c>
      <c r="K1715" s="4">
        <v>0.48</v>
      </c>
      <c r="L1715" s="4">
        <v>0.52</v>
      </c>
      <c r="M1715" s="4">
        <v>0.51</v>
      </c>
      <c r="N1715" s="4">
        <v>0.5</v>
      </c>
      <c r="X1715" s="55" t="str">
        <f t="shared" si="2"/>
        <v>#NAME?</v>
      </c>
    </row>
    <row r="1716">
      <c r="A1716" s="4" t="s">
        <v>4306</v>
      </c>
      <c r="B1716" s="4" t="s">
        <v>365</v>
      </c>
      <c r="C1716" s="4">
        <v>36.0</v>
      </c>
      <c r="D1716" s="54" t="s">
        <v>443</v>
      </c>
      <c r="E1716" s="4" t="s">
        <v>4260</v>
      </c>
      <c r="F1716" s="54" t="s">
        <v>632</v>
      </c>
      <c r="G1716" s="4">
        <v>0.49</v>
      </c>
      <c r="H1716" s="4">
        <v>0.47</v>
      </c>
      <c r="I1716" s="4">
        <v>0.47</v>
      </c>
      <c r="J1716" s="4">
        <v>0.48</v>
      </c>
      <c r="K1716" s="4">
        <v>0.51</v>
      </c>
      <c r="L1716" s="4">
        <v>0.52</v>
      </c>
      <c r="M1716" s="4">
        <v>0.5</v>
      </c>
      <c r="N1716" s="4">
        <v>0.5</v>
      </c>
      <c r="X1716" s="55" t="str">
        <f t="shared" si="2"/>
        <v>#NAME?</v>
      </c>
    </row>
    <row r="1717">
      <c r="A1717" s="4" t="s">
        <v>4307</v>
      </c>
      <c r="B1717" s="4" t="s">
        <v>365</v>
      </c>
      <c r="C1717" s="4">
        <v>37.0</v>
      </c>
      <c r="D1717" s="54" t="s">
        <v>443</v>
      </c>
      <c r="E1717" s="4" t="s">
        <v>4260</v>
      </c>
      <c r="F1717" s="54" t="s">
        <v>632</v>
      </c>
      <c r="G1717" s="4">
        <v>0.49</v>
      </c>
      <c r="H1717" s="4">
        <v>0.47</v>
      </c>
      <c r="I1717" s="4">
        <v>0.48</v>
      </c>
      <c r="J1717" s="4">
        <v>0.47</v>
      </c>
      <c r="K1717" s="4">
        <v>0.48</v>
      </c>
      <c r="L1717" s="4">
        <v>0.51</v>
      </c>
      <c r="M1717" s="4">
        <v>0.5</v>
      </c>
      <c r="N1717" s="4">
        <v>0.5</v>
      </c>
      <c r="X1717" s="55" t="str">
        <f t="shared" si="2"/>
        <v>#NAME?</v>
      </c>
    </row>
    <row r="1718">
      <c r="A1718" s="4" t="s">
        <v>4308</v>
      </c>
      <c r="B1718" s="4" t="s">
        <v>365</v>
      </c>
      <c r="C1718" s="4">
        <v>38.0</v>
      </c>
      <c r="D1718" s="54" t="s">
        <v>443</v>
      </c>
      <c r="E1718" s="4" t="s">
        <v>4260</v>
      </c>
      <c r="F1718" s="54" t="s">
        <v>632</v>
      </c>
      <c r="G1718" s="4">
        <v>0.48</v>
      </c>
      <c r="H1718" s="4">
        <v>0.5</v>
      </c>
      <c r="I1718" s="4">
        <v>0.47</v>
      </c>
      <c r="J1718" s="4">
        <v>0.48</v>
      </c>
      <c r="K1718" s="4">
        <v>0.48</v>
      </c>
      <c r="L1718" s="4">
        <v>0.52</v>
      </c>
      <c r="M1718" s="4">
        <v>0.5</v>
      </c>
      <c r="N1718" s="4">
        <v>0.5</v>
      </c>
      <c r="X1718" s="55" t="str">
        <f t="shared" si="2"/>
        <v>#NAME?</v>
      </c>
    </row>
    <row r="1719">
      <c r="A1719" s="4" t="s">
        <v>4309</v>
      </c>
      <c r="B1719" s="4" t="s">
        <v>365</v>
      </c>
      <c r="C1719" s="4">
        <v>39.0</v>
      </c>
      <c r="D1719" s="54" t="s">
        <v>357</v>
      </c>
      <c r="E1719" s="4" t="s">
        <v>1088</v>
      </c>
      <c r="F1719" s="54" t="s">
        <v>3812</v>
      </c>
      <c r="G1719" s="4">
        <v>0.14</v>
      </c>
      <c r="H1719" s="4">
        <v>0.15</v>
      </c>
      <c r="I1719" s="4">
        <v>0.15</v>
      </c>
      <c r="J1719" s="4">
        <v>0.15</v>
      </c>
      <c r="X1719" s="55" t="str">
        <f t="shared" si="2"/>
        <v>#NAME?</v>
      </c>
    </row>
    <row r="1720">
      <c r="A1720" s="4" t="s">
        <v>4310</v>
      </c>
      <c r="B1720" s="4" t="s">
        <v>365</v>
      </c>
      <c r="C1720" s="4">
        <v>40.0</v>
      </c>
      <c r="D1720" s="54" t="s">
        <v>357</v>
      </c>
      <c r="E1720" s="4" t="s">
        <v>1088</v>
      </c>
      <c r="F1720" s="54" t="s">
        <v>3812</v>
      </c>
      <c r="G1720" s="4">
        <v>0.16</v>
      </c>
      <c r="H1720" s="4">
        <v>0.15</v>
      </c>
      <c r="I1720" s="4">
        <v>0.14</v>
      </c>
      <c r="J1720" s="4">
        <v>0.16</v>
      </c>
      <c r="X1720" s="55" t="str">
        <f t="shared" si="2"/>
        <v>#NAME?</v>
      </c>
    </row>
    <row r="1721">
      <c r="A1721" s="4" t="s">
        <v>4311</v>
      </c>
      <c r="B1721" s="4" t="s">
        <v>365</v>
      </c>
      <c r="C1721" s="4">
        <v>41.0</v>
      </c>
      <c r="D1721" s="54" t="s">
        <v>529</v>
      </c>
      <c r="E1721" s="4" t="s">
        <v>1088</v>
      </c>
      <c r="F1721" s="54" t="s">
        <v>449</v>
      </c>
      <c r="G1721" s="4">
        <v>0.25</v>
      </c>
      <c r="H1721" s="4">
        <v>0.25</v>
      </c>
      <c r="I1721" s="4">
        <v>0.24</v>
      </c>
      <c r="J1721" s="4">
        <v>0.25</v>
      </c>
      <c r="X1721" s="55" t="str">
        <f t="shared" si="2"/>
        <v>#NAME?</v>
      </c>
    </row>
    <row r="1722">
      <c r="A1722" s="4" t="s">
        <v>4312</v>
      </c>
      <c r="B1722" s="4" t="s">
        <v>365</v>
      </c>
      <c r="C1722" s="4">
        <v>42.0</v>
      </c>
      <c r="D1722" s="54" t="s">
        <v>529</v>
      </c>
      <c r="E1722" s="4" t="s">
        <v>1088</v>
      </c>
      <c r="F1722" s="54" t="s">
        <v>449</v>
      </c>
      <c r="G1722" s="4">
        <v>0.24</v>
      </c>
      <c r="H1722" s="4">
        <v>0.25</v>
      </c>
      <c r="I1722" s="4">
        <v>0.25</v>
      </c>
      <c r="J1722" s="4">
        <v>0.26</v>
      </c>
      <c r="X1722" s="55" t="str">
        <f t="shared" si="2"/>
        <v>#NAME?</v>
      </c>
    </row>
    <row r="1723">
      <c r="A1723" s="4" t="s">
        <v>4313</v>
      </c>
      <c r="B1723" s="4" t="s">
        <v>365</v>
      </c>
      <c r="C1723" s="4">
        <v>43.0</v>
      </c>
      <c r="D1723" s="54" t="s">
        <v>534</v>
      </c>
      <c r="E1723" s="4" t="s">
        <v>1098</v>
      </c>
      <c r="F1723" s="54" t="s">
        <v>449</v>
      </c>
      <c r="G1723" s="4">
        <v>0.29</v>
      </c>
      <c r="H1723" s="4">
        <v>0.26</v>
      </c>
      <c r="I1723" s="4">
        <v>0.29</v>
      </c>
      <c r="J1723" s="4">
        <v>0.28</v>
      </c>
      <c r="X1723" s="55" t="str">
        <f t="shared" si="2"/>
        <v>#NAME?</v>
      </c>
    </row>
    <row r="1724">
      <c r="A1724" s="54" t="s">
        <v>4314</v>
      </c>
      <c r="B1724" s="4" t="s">
        <v>365</v>
      </c>
      <c r="C1724" s="4">
        <v>44.0</v>
      </c>
      <c r="D1724" s="54" t="s">
        <v>534</v>
      </c>
      <c r="E1724" s="4" t="s">
        <v>1098</v>
      </c>
      <c r="F1724" s="54" t="s">
        <v>449</v>
      </c>
      <c r="G1724" s="4">
        <v>0.29</v>
      </c>
      <c r="H1724" s="4">
        <v>0.27</v>
      </c>
      <c r="I1724" s="4">
        <v>0.3</v>
      </c>
      <c r="J1724" s="4">
        <v>0.29</v>
      </c>
      <c r="X1724" s="55" t="str">
        <f t="shared" si="2"/>
        <v>#NAME?</v>
      </c>
    </row>
    <row r="1725">
      <c r="A1725" s="4" t="s">
        <v>4315</v>
      </c>
      <c r="B1725" s="4" t="s">
        <v>365</v>
      </c>
      <c r="C1725" s="4">
        <v>45.0</v>
      </c>
      <c r="D1725" s="54" t="s">
        <v>540</v>
      </c>
      <c r="E1725" s="4" t="s">
        <v>1088</v>
      </c>
      <c r="F1725" s="54" t="s">
        <v>449</v>
      </c>
      <c r="G1725" s="4">
        <v>0.25</v>
      </c>
      <c r="H1725" s="4">
        <v>0.26</v>
      </c>
      <c r="I1725" s="4">
        <v>0.26</v>
      </c>
      <c r="J1725" s="4">
        <v>0.25</v>
      </c>
      <c r="X1725" s="55" t="str">
        <f t="shared" si="2"/>
        <v>#NAME?</v>
      </c>
    </row>
    <row r="1726">
      <c r="A1726" s="4" t="s">
        <v>4316</v>
      </c>
      <c r="B1726" s="4" t="s">
        <v>365</v>
      </c>
      <c r="C1726" s="4">
        <v>46.0</v>
      </c>
      <c r="D1726" s="54" t="s">
        <v>540</v>
      </c>
      <c r="E1726" s="4" t="s">
        <v>1088</v>
      </c>
      <c r="F1726" s="54" t="s">
        <v>449</v>
      </c>
      <c r="G1726" s="4">
        <v>0.24</v>
      </c>
      <c r="H1726" s="4">
        <v>0.25</v>
      </c>
      <c r="I1726" s="4">
        <v>0.25</v>
      </c>
      <c r="J1726" s="4">
        <v>0.24</v>
      </c>
      <c r="X1726" s="55" t="str">
        <f t="shared" si="2"/>
        <v>#NAME?</v>
      </c>
    </row>
    <row r="1727">
      <c r="A1727" s="4" t="s">
        <v>4317</v>
      </c>
      <c r="B1727" s="4" t="s">
        <v>365</v>
      </c>
      <c r="C1727" s="4">
        <v>47.0</v>
      </c>
      <c r="D1727" s="54" t="s">
        <v>546</v>
      </c>
      <c r="E1727" s="4" t="s">
        <v>1098</v>
      </c>
      <c r="F1727" s="54" t="s">
        <v>449</v>
      </c>
      <c r="G1727" s="4">
        <v>0.27</v>
      </c>
      <c r="H1727" s="4">
        <v>0.28</v>
      </c>
      <c r="I1727" s="4">
        <v>0.26</v>
      </c>
      <c r="J1727" s="4">
        <v>0.24</v>
      </c>
      <c r="X1727" s="55" t="str">
        <f t="shared" si="2"/>
        <v>#NAME?</v>
      </c>
    </row>
    <row r="1728">
      <c r="A1728" s="4" t="s">
        <v>4318</v>
      </c>
      <c r="B1728" s="4" t="s">
        <v>365</v>
      </c>
      <c r="C1728" s="4">
        <v>48.0</v>
      </c>
      <c r="D1728" s="54" t="s">
        <v>546</v>
      </c>
      <c r="E1728" s="4" t="s">
        <v>1098</v>
      </c>
      <c r="F1728" s="54" t="s">
        <v>449</v>
      </c>
      <c r="G1728" s="4">
        <v>0.27</v>
      </c>
      <c r="H1728" s="4">
        <v>0.28</v>
      </c>
      <c r="I1728" s="4">
        <v>0.27</v>
      </c>
      <c r="J1728" s="4">
        <v>0.24</v>
      </c>
      <c r="X1728" s="55" t="str">
        <f t="shared" si="2"/>
        <v>#NAME?</v>
      </c>
    </row>
    <row r="1729">
      <c r="A1729" s="4" t="s">
        <v>4319</v>
      </c>
      <c r="B1729" s="4" t="s">
        <v>365</v>
      </c>
      <c r="C1729" s="4">
        <v>49.0</v>
      </c>
      <c r="D1729" s="54" t="s">
        <v>573</v>
      </c>
      <c r="E1729" s="4" t="s">
        <v>1088</v>
      </c>
      <c r="F1729" s="54" t="s">
        <v>399</v>
      </c>
      <c r="G1729" s="4">
        <v>0.22</v>
      </c>
      <c r="H1729" s="4">
        <v>0.22</v>
      </c>
      <c r="I1729" s="4">
        <v>0.21</v>
      </c>
      <c r="J1729" s="4">
        <v>0.22</v>
      </c>
      <c r="X1729" s="55" t="str">
        <f t="shared" si="2"/>
        <v>#NAME?</v>
      </c>
    </row>
    <row r="1730">
      <c r="A1730" s="4" t="s">
        <v>4320</v>
      </c>
      <c r="B1730" s="4" t="s">
        <v>365</v>
      </c>
      <c r="C1730" s="4">
        <v>50.0</v>
      </c>
      <c r="D1730" s="54" t="s">
        <v>573</v>
      </c>
      <c r="E1730" s="4" t="s">
        <v>1088</v>
      </c>
      <c r="F1730" s="54" t="s">
        <v>399</v>
      </c>
      <c r="G1730" s="4">
        <v>0.21</v>
      </c>
      <c r="H1730" s="4">
        <v>0.22</v>
      </c>
      <c r="I1730" s="4">
        <v>0.21</v>
      </c>
      <c r="J1730" s="4">
        <v>0.22</v>
      </c>
      <c r="X1730" s="55" t="str">
        <f t="shared" si="2"/>
        <v>#NAME?</v>
      </c>
    </row>
    <row r="1731">
      <c r="A1731" s="4" t="s">
        <v>4321</v>
      </c>
      <c r="B1731" s="4" t="s">
        <v>365</v>
      </c>
      <c r="C1731" s="4">
        <v>51.0</v>
      </c>
      <c r="D1731" s="54" t="s">
        <v>611</v>
      </c>
      <c r="E1731" s="4" t="s">
        <v>1098</v>
      </c>
      <c r="F1731" s="54" t="s">
        <v>399</v>
      </c>
      <c r="G1731" s="4">
        <v>0.15</v>
      </c>
      <c r="H1731" s="4">
        <v>0.14</v>
      </c>
      <c r="I1731" s="4">
        <v>0.15</v>
      </c>
      <c r="J1731" s="4">
        <v>0.15</v>
      </c>
      <c r="X1731" s="55" t="str">
        <f t="shared" si="2"/>
        <v>#NAME?</v>
      </c>
    </row>
    <row r="1732">
      <c r="A1732" s="4" t="s">
        <v>4322</v>
      </c>
      <c r="B1732" s="4" t="s">
        <v>365</v>
      </c>
      <c r="C1732" s="4">
        <v>52.0</v>
      </c>
      <c r="D1732" s="54" t="s">
        <v>611</v>
      </c>
      <c r="E1732" s="4" t="s">
        <v>1098</v>
      </c>
      <c r="F1732" s="54" t="s">
        <v>399</v>
      </c>
      <c r="G1732" s="4">
        <v>0.15</v>
      </c>
      <c r="H1732" s="4">
        <v>0.14</v>
      </c>
      <c r="I1732" s="4">
        <v>0.15</v>
      </c>
      <c r="J1732" s="4">
        <v>0.15</v>
      </c>
      <c r="X1732" s="55" t="str">
        <f t="shared" si="2"/>
        <v>#NAME?</v>
      </c>
    </row>
    <row r="1733">
      <c r="A1733" s="4" t="s">
        <v>4323</v>
      </c>
      <c r="B1733" s="4" t="s">
        <v>365</v>
      </c>
      <c r="C1733" s="4">
        <v>53.0</v>
      </c>
      <c r="D1733" s="54" t="s">
        <v>626</v>
      </c>
      <c r="E1733" s="4" t="s">
        <v>1088</v>
      </c>
      <c r="F1733" s="54" t="s">
        <v>399</v>
      </c>
      <c r="G1733" s="4">
        <v>0.19</v>
      </c>
      <c r="H1733" s="4">
        <v>0.19</v>
      </c>
      <c r="I1733" s="4">
        <v>0.18</v>
      </c>
      <c r="J1733" s="4">
        <v>0.19</v>
      </c>
      <c r="X1733" s="55" t="str">
        <f t="shared" si="2"/>
        <v>#NAME?</v>
      </c>
    </row>
    <row r="1734">
      <c r="A1734" s="4" t="s">
        <v>4324</v>
      </c>
      <c r="B1734" s="4" t="s">
        <v>365</v>
      </c>
      <c r="C1734" s="4">
        <v>54.0</v>
      </c>
      <c r="D1734" s="54" t="s">
        <v>626</v>
      </c>
      <c r="E1734" s="4" t="s">
        <v>1088</v>
      </c>
      <c r="F1734" s="54" t="s">
        <v>399</v>
      </c>
      <c r="G1734" s="4">
        <v>0.19</v>
      </c>
      <c r="H1734" s="4">
        <v>0.19</v>
      </c>
      <c r="I1734" s="4">
        <v>0.19</v>
      </c>
      <c r="J1734" s="4">
        <v>0.18</v>
      </c>
      <c r="X1734" s="55" t="str">
        <f t="shared" si="2"/>
        <v>#NAME?</v>
      </c>
    </row>
    <row r="1735">
      <c r="A1735" s="4" t="s">
        <v>4325</v>
      </c>
      <c r="B1735" s="4" t="s">
        <v>343</v>
      </c>
      <c r="C1735" s="4">
        <v>1.0</v>
      </c>
      <c r="D1735" s="54" t="s">
        <v>292</v>
      </c>
      <c r="E1735" s="4" t="s">
        <v>4260</v>
      </c>
      <c r="F1735" s="54" t="s">
        <v>4261</v>
      </c>
      <c r="G1735" s="4">
        <v>6.16</v>
      </c>
      <c r="H1735" s="4">
        <v>6.12</v>
      </c>
      <c r="I1735" s="4">
        <v>6.17</v>
      </c>
      <c r="J1735" s="4">
        <v>6.14</v>
      </c>
      <c r="X1735" s="55" t="str">
        <f t="shared" si="2"/>
        <v>#NAME?</v>
      </c>
    </row>
    <row r="1736">
      <c r="A1736" s="4" t="s">
        <v>4326</v>
      </c>
      <c r="B1736" s="4" t="s">
        <v>343</v>
      </c>
      <c r="C1736" s="4">
        <v>2.0</v>
      </c>
      <c r="D1736" s="54" t="s">
        <v>399</v>
      </c>
      <c r="E1736" s="4" t="s">
        <v>4260</v>
      </c>
      <c r="F1736" s="54" t="s">
        <v>4261</v>
      </c>
      <c r="G1736" s="4">
        <v>6.12</v>
      </c>
      <c r="H1736" s="4">
        <v>6.17</v>
      </c>
      <c r="I1736" s="4">
        <v>6.15</v>
      </c>
      <c r="J1736" s="4">
        <v>6.18</v>
      </c>
      <c r="X1736" s="55" t="str">
        <f t="shared" si="2"/>
        <v>#NAME?</v>
      </c>
    </row>
    <row r="1737">
      <c r="A1737" s="4" t="s">
        <v>4327</v>
      </c>
      <c r="B1737" s="4" t="s">
        <v>343</v>
      </c>
      <c r="C1737" s="4">
        <v>3.0</v>
      </c>
      <c r="D1737" s="54" t="s">
        <v>405</v>
      </c>
      <c r="E1737" s="4" t="s">
        <v>4260</v>
      </c>
      <c r="F1737" s="54" t="s">
        <v>4261</v>
      </c>
      <c r="G1737" s="4">
        <v>6.2</v>
      </c>
      <c r="H1737" s="4">
        <v>6.15</v>
      </c>
      <c r="I1737" s="4">
        <v>6.18</v>
      </c>
      <c r="J1737" s="4">
        <v>6.16</v>
      </c>
      <c r="X1737" s="55" t="str">
        <f t="shared" si="2"/>
        <v>#NAME?</v>
      </c>
    </row>
    <row r="1738">
      <c r="A1738" s="4" t="s">
        <v>4328</v>
      </c>
      <c r="B1738" s="4" t="s">
        <v>343</v>
      </c>
      <c r="C1738" s="4">
        <v>4.0</v>
      </c>
      <c r="D1738" s="54" t="s">
        <v>449</v>
      </c>
      <c r="E1738" s="4" t="s">
        <v>4260</v>
      </c>
      <c r="F1738" s="54" t="s">
        <v>4261</v>
      </c>
      <c r="G1738" s="4">
        <v>6.1</v>
      </c>
      <c r="H1738" s="4">
        <v>6.08</v>
      </c>
      <c r="I1738" s="4">
        <v>6.06</v>
      </c>
      <c r="J1738" s="4">
        <v>6.13</v>
      </c>
      <c r="X1738" s="55" t="str">
        <f t="shared" si="2"/>
        <v>#NAME?</v>
      </c>
    </row>
    <row r="1739">
      <c r="A1739" s="4" t="s">
        <v>4329</v>
      </c>
      <c r="B1739" s="4" t="s">
        <v>343</v>
      </c>
      <c r="C1739" s="4">
        <v>5.0</v>
      </c>
      <c r="D1739" s="4" t="s">
        <v>4330</v>
      </c>
      <c r="E1739" s="4" t="s">
        <v>4264</v>
      </c>
      <c r="F1739" s="54" t="s">
        <v>4261</v>
      </c>
      <c r="G1739" s="4">
        <v>30.25</v>
      </c>
      <c r="H1739" s="4">
        <v>30.27</v>
      </c>
      <c r="I1739" s="4">
        <v>30.25</v>
      </c>
      <c r="J1739" s="4">
        <v>30.18</v>
      </c>
      <c r="X1739" s="55" t="str">
        <f t="shared" si="2"/>
        <v>#NAME?</v>
      </c>
    </row>
    <row r="1740">
      <c r="A1740" s="4" t="s">
        <v>4331</v>
      </c>
      <c r="B1740" s="4" t="s">
        <v>343</v>
      </c>
      <c r="C1740" s="4">
        <v>6.0</v>
      </c>
      <c r="D1740" s="4" t="s">
        <v>4332</v>
      </c>
      <c r="E1740" s="4" t="s">
        <v>4264</v>
      </c>
      <c r="F1740" s="54" t="s">
        <v>4261</v>
      </c>
      <c r="G1740" s="4">
        <v>30.3</v>
      </c>
      <c r="H1740" s="4">
        <v>30.26</v>
      </c>
      <c r="I1740" s="4">
        <v>30.25</v>
      </c>
      <c r="J1740" s="4">
        <v>30.2</v>
      </c>
      <c r="X1740" s="55" t="str">
        <f t="shared" si="2"/>
        <v>#NAME?</v>
      </c>
    </row>
    <row r="1741">
      <c r="A1741" s="4" t="s">
        <v>4333</v>
      </c>
      <c r="B1741" s="4" t="s">
        <v>343</v>
      </c>
      <c r="C1741" s="4">
        <v>7.0</v>
      </c>
      <c r="D1741" s="4" t="s">
        <v>4334</v>
      </c>
      <c r="E1741" s="4" t="s">
        <v>4264</v>
      </c>
      <c r="F1741" s="54" t="s">
        <v>4261</v>
      </c>
      <c r="G1741" s="4">
        <v>39.75</v>
      </c>
      <c r="H1741" s="4">
        <v>39.73</v>
      </c>
      <c r="I1741" s="4">
        <v>39.63</v>
      </c>
      <c r="J1741" s="4">
        <v>39.69</v>
      </c>
      <c r="X1741" s="55" t="str">
        <f t="shared" si="2"/>
        <v>#NAME?</v>
      </c>
    </row>
    <row r="1742">
      <c r="A1742" s="4" t="s">
        <v>4335</v>
      </c>
      <c r="B1742" s="4" t="s">
        <v>343</v>
      </c>
      <c r="C1742" s="4">
        <v>8.0</v>
      </c>
      <c r="D1742" s="4" t="s">
        <v>4336</v>
      </c>
      <c r="E1742" s="4" t="s">
        <v>4264</v>
      </c>
      <c r="F1742" s="54" t="s">
        <v>4261</v>
      </c>
      <c r="G1742" s="4">
        <v>39.79</v>
      </c>
      <c r="H1742" s="4">
        <v>39.75</v>
      </c>
      <c r="I1742" s="4">
        <v>39.75</v>
      </c>
      <c r="J1742" s="4">
        <v>39.69</v>
      </c>
      <c r="X1742" s="55" t="str">
        <f t="shared" si="2"/>
        <v>#NAME?</v>
      </c>
    </row>
    <row r="1743">
      <c r="A1743" s="4" t="s">
        <v>4337</v>
      </c>
      <c r="B1743" s="4" t="s">
        <v>343</v>
      </c>
      <c r="C1743" s="4">
        <v>9.0</v>
      </c>
      <c r="D1743" s="4" t="s">
        <v>4338</v>
      </c>
      <c r="E1743" s="4" t="s">
        <v>1088</v>
      </c>
      <c r="F1743" s="54" t="s">
        <v>632</v>
      </c>
      <c r="G1743" s="4">
        <v>5.06</v>
      </c>
      <c r="H1743" s="4">
        <v>5.03</v>
      </c>
      <c r="I1743" s="4">
        <v>5.01</v>
      </c>
      <c r="J1743" s="4">
        <v>5.05</v>
      </c>
      <c r="X1743" s="55" t="str">
        <f t="shared" si="2"/>
        <v>#NAME?</v>
      </c>
    </row>
    <row r="1744">
      <c r="A1744" s="4" t="s">
        <v>4339</v>
      </c>
      <c r="B1744" s="4" t="s">
        <v>343</v>
      </c>
      <c r="C1744" s="4">
        <v>10.0</v>
      </c>
      <c r="D1744" s="4" t="s">
        <v>4340</v>
      </c>
      <c r="E1744" s="4" t="s">
        <v>1088</v>
      </c>
      <c r="F1744" s="54" t="s">
        <v>632</v>
      </c>
      <c r="G1744" s="4">
        <v>5.11</v>
      </c>
      <c r="H1744" s="4">
        <v>5.1</v>
      </c>
      <c r="I1744" s="4">
        <v>5.07</v>
      </c>
      <c r="J1744" s="4">
        <v>5.09</v>
      </c>
      <c r="X1744" s="55" t="str">
        <f t="shared" si="2"/>
        <v>#NAME?</v>
      </c>
    </row>
    <row r="1745">
      <c r="A1745" s="4" t="s">
        <v>4341</v>
      </c>
      <c r="B1745" s="4" t="s">
        <v>343</v>
      </c>
      <c r="C1745" s="4">
        <v>11.0</v>
      </c>
      <c r="D1745" s="4" t="s">
        <v>4338</v>
      </c>
      <c r="E1745" s="4" t="s">
        <v>4270</v>
      </c>
      <c r="F1745" s="54" t="s">
        <v>632</v>
      </c>
      <c r="G1745" s="4">
        <v>19.43</v>
      </c>
      <c r="H1745" s="4">
        <v>19.46</v>
      </c>
      <c r="I1745" s="4">
        <v>19.46</v>
      </c>
      <c r="J1745" s="4">
        <v>19.89</v>
      </c>
      <c r="X1745" s="55" t="str">
        <f t="shared" si="2"/>
        <v>#NAME?</v>
      </c>
    </row>
    <row r="1746">
      <c r="A1746" s="4" t="s">
        <v>4342</v>
      </c>
      <c r="B1746" s="4" t="s">
        <v>343</v>
      </c>
      <c r="C1746" s="4">
        <v>12.0</v>
      </c>
      <c r="D1746" s="4" t="s">
        <v>4338</v>
      </c>
      <c r="E1746" s="4" t="s">
        <v>3816</v>
      </c>
      <c r="F1746" s="54" t="s">
        <v>632</v>
      </c>
      <c r="G1746" s="4">
        <v>24.51</v>
      </c>
      <c r="H1746" s="4">
        <v>24.48</v>
      </c>
      <c r="I1746" s="4">
        <v>24.48</v>
      </c>
      <c r="J1746" s="4">
        <v>24.47</v>
      </c>
      <c r="X1746" s="55" t="str">
        <f t="shared" si="2"/>
        <v>#NAME?</v>
      </c>
    </row>
    <row r="1747">
      <c r="A1747" s="4" t="s">
        <v>4343</v>
      </c>
      <c r="B1747" s="4" t="s">
        <v>343</v>
      </c>
      <c r="C1747" s="4">
        <v>13.0</v>
      </c>
      <c r="D1747" s="4" t="s">
        <v>4344</v>
      </c>
      <c r="E1747" s="4" t="s">
        <v>1088</v>
      </c>
      <c r="F1747" s="54" t="s">
        <v>357</v>
      </c>
      <c r="G1747" s="4">
        <v>3.84</v>
      </c>
      <c r="H1747" s="4">
        <v>3.81</v>
      </c>
      <c r="I1747" s="4">
        <v>3.81</v>
      </c>
      <c r="J1747" s="4">
        <v>3.81</v>
      </c>
      <c r="X1747" s="55" t="str">
        <f t="shared" si="2"/>
        <v>#NAME?</v>
      </c>
    </row>
    <row r="1748">
      <c r="A1748" s="4" t="s">
        <v>4345</v>
      </c>
      <c r="B1748" s="4" t="s">
        <v>343</v>
      </c>
      <c r="C1748" s="4">
        <v>14.0</v>
      </c>
      <c r="D1748" s="4" t="s">
        <v>4346</v>
      </c>
      <c r="E1748" s="4" t="s">
        <v>1088</v>
      </c>
      <c r="F1748" s="54" t="s">
        <v>357</v>
      </c>
      <c r="G1748" s="4">
        <v>3.79</v>
      </c>
      <c r="H1748" s="4">
        <v>3.81</v>
      </c>
      <c r="I1748" s="4">
        <v>3.81</v>
      </c>
      <c r="J1748" s="4">
        <v>3.85</v>
      </c>
      <c r="X1748" s="55" t="str">
        <f t="shared" si="2"/>
        <v>#NAME?</v>
      </c>
    </row>
    <row r="1749">
      <c r="A1749" s="4" t="s">
        <v>4347</v>
      </c>
      <c r="B1749" s="4" t="s">
        <v>343</v>
      </c>
      <c r="C1749" s="4">
        <v>15.0</v>
      </c>
      <c r="D1749" s="4" t="s">
        <v>4344</v>
      </c>
      <c r="E1749" s="4" t="s">
        <v>4270</v>
      </c>
      <c r="F1749" s="54" t="s">
        <v>357</v>
      </c>
      <c r="G1749" s="4">
        <v>22.57</v>
      </c>
      <c r="H1749" s="4">
        <v>22.52</v>
      </c>
      <c r="I1749" s="4">
        <v>22.94</v>
      </c>
      <c r="J1749" s="4">
        <v>22.52</v>
      </c>
      <c r="X1749" s="55" t="str">
        <f t="shared" si="2"/>
        <v>#NAME?</v>
      </c>
    </row>
    <row r="1750">
      <c r="A1750" s="4" t="s">
        <v>4348</v>
      </c>
      <c r="B1750" s="4" t="s">
        <v>343</v>
      </c>
      <c r="C1750" s="4">
        <v>16.0</v>
      </c>
      <c r="D1750" s="4" t="s">
        <v>4349</v>
      </c>
      <c r="E1750" s="4" t="s">
        <v>1088</v>
      </c>
      <c r="F1750" s="54" t="s">
        <v>632</v>
      </c>
      <c r="G1750" s="4">
        <v>4.98</v>
      </c>
      <c r="H1750" s="4">
        <v>4.95</v>
      </c>
      <c r="I1750" s="4">
        <v>4.97</v>
      </c>
      <c r="J1750" s="4">
        <v>4.98</v>
      </c>
      <c r="X1750" s="55" t="str">
        <f t="shared" si="2"/>
        <v>#NAME?</v>
      </c>
    </row>
    <row r="1751">
      <c r="A1751" s="4" t="s">
        <v>4350</v>
      </c>
      <c r="B1751" s="4" t="s">
        <v>343</v>
      </c>
      <c r="C1751" s="4">
        <v>17.0</v>
      </c>
      <c r="D1751" s="4" t="s">
        <v>4351</v>
      </c>
      <c r="E1751" s="4" t="s">
        <v>1088</v>
      </c>
      <c r="F1751" s="54" t="s">
        <v>632</v>
      </c>
      <c r="G1751" s="4">
        <v>4.93</v>
      </c>
      <c r="H1751" s="4">
        <v>4.92</v>
      </c>
      <c r="I1751" s="4">
        <v>4.97</v>
      </c>
      <c r="J1751" s="4">
        <v>4.96</v>
      </c>
      <c r="X1751" s="55" t="str">
        <f t="shared" si="2"/>
        <v>#NAME?</v>
      </c>
    </row>
    <row r="1752">
      <c r="A1752" s="4" t="s">
        <v>4352</v>
      </c>
      <c r="B1752" s="4" t="s">
        <v>343</v>
      </c>
      <c r="C1752" s="4">
        <v>18.0</v>
      </c>
      <c r="D1752" s="4" t="s">
        <v>4349</v>
      </c>
      <c r="E1752" s="4" t="s">
        <v>4270</v>
      </c>
      <c r="F1752" s="54" t="s">
        <v>632</v>
      </c>
      <c r="G1752" s="4">
        <v>19.91</v>
      </c>
      <c r="H1752" s="4">
        <v>19.55</v>
      </c>
      <c r="I1752" s="4">
        <v>19.51</v>
      </c>
      <c r="J1752" s="4">
        <v>19.61</v>
      </c>
      <c r="X1752" s="55" t="str">
        <f t="shared" si="2"/>
        <v>#NAME?</v>
      </c>
    </row>
    <row r="1753">
      <c r="A1753" s="4" t="s">
        <v>4353</v>
      </c>
      <c r="B1753" s="4" t="s">
        <v>343</v>
      </c>
      <c r="C1753" s="4">
        <v>19.0</v>
      </c>
      <c r="D1753" s="4" t="s">
        <v>4349</v>
      </c>
      <c r="E1753" s="4" t="s">
        <v>3816</v>
      </c>
      <c r="F1753" s="54" t="s">
        <v>632</v>
      </c>
      <c r="G1753" s="4">
        <v>24.32</v>
      </c>
      <c r="H1753" s="4">
        <v>24.35</v>
      </c>
      <c r="I1753" s="4">
        <v>24.31</v>
      </c>
      <c r="J1753" s="4">
        <v>24.04</v>
      </c>
      <c r="X1753" s="55" t="str">
        <f t="shared" si="2"/>
        <v>#NAME?</v>
      </c>
    </row>
    <row r="1754">
      <c r="A1754" s="4" t="s">
        <v>4354</v>
      </c>
      <c r="B1754" s="4" t="s">
        <v>343</v>
      </c>
      <c r="C1754" s="4">
        <v>20.0</v>
      </c>
      <c r="D1754" s="4" t="s">
        <v>4355</v>
      </c>
      <c r="E1754" s="4" t="s">
        <v>1088</v>
      </c>
      <c r="F1754" s="54" t="s">
        <v>632</v>
      </c>
      <c r="G1754" s="4">
        <v>5.08</v>
      </c>
      <c r="H1754" s="4">
        <v>5.08</v>
      </c>
      <c r="I1754" s="4">
        <v>4.97</v>
      </c>
      <c r="J1754" s="4">
        <v>4.96</v>
      </c>
      <c r="X1754" s="55" t="str">
        <f t="shared" si="2"/>
        <v>#NAME?</v>
      </c>
    </row>
    <row r="1755">
      <c r="A1755" s="4" t="s">
        <v>4356</v>
      </c>
      <c r="B1755" s="4" t="s">
        <v>343</v>
      </c>
      <c r="C1755" s="4">
        <v>21.0</v>
      </c>
      <c r="D1755" s="4" t="s">
        <v>4357</v>
      </c>
      <c r="E1755" s="4" t="s">
        <v>1088</v>
      </c>
      <c r="F1755" s="54" t="s">
        <v>632</v>
      </c>
      <c r="G1755" s="4">
        <v>4.99</v>
      </c>
      <c r="H1755" s="4">
        <v>5.08</v>
      </c>
      <c r="I1755" s="4">
        <v>5.07</v>
      </c>
      <c r="J1755" s="4">
        <v>4.98</v>
      </c>
      <c r="X1755" s="55" t="str">
        <f t="shared" si="2"/>
        <v>#NAME?</v>
      </c>
    </row>
    <row r="1756">
      <c r="A1756" s="4" t="s">
        <v>4358</v>
      </c>
      <c r="B1756" s="4" t="s">
        <v>343</v>
      </c>
      <c r="C1756" s="4">
        <v>22.0</v>
      </c>
      <c r="D1756" s="4" t="s">
        <v>4355</v>
      </c>
      <c r="E1756" s="4" t="s">
        <v>4270</v>
      </c>
      <c r="F1756" s="54" t="s">
        <v>632</v>
      </c>
      <c r="G1756" s="4">
        <v>19.91</v>
      </c>
      <c r="H1756" s="4">
        <v>19.55</v>
      </c>
      <c r="I1756" s="4">
        <v>19.64</v>
      </c>
      <c r="J1756" s="4">
        <v>19.58</v>
      </c>
      <c r="X1756" s="55" t="str">
        <f t="shared" si="2"/>
        <v>#NAME?</v>
      </c>
    </row>
    <row r="1757">
      <c r="A1757" s="4" t="s">
        <v>4359</v>
      </c>
      <c r="B1757" s="4" t="s">
        <v>343</v>
      </c>
      <c r="C1757" s="4">
        <v>23.0</v>
      </c>
      <c r="D1757" s="4" t="s">
        <v>4355</v>
      </c>
      <c r="E1757" s="4" t="s">
        <v>3816</v>
      </c>
      <c r="F1757" s="54" t="s">
        <v>632</v>
      </c>
      <c r="G1757" s="4">
        <v>24.46</v>
      </c>
      <c r="H1757" s="4">
        <v>24.44</v>
      </c>
      <c r="I1757" s="4">
        <v>24.44</v>
      </c>
      <c r="J1757" s="4">
        <v>24.47</v>
      </c>
      <c r="X1757" s="55" t="str">
        <f t="shared" si="2"/>
        <v>#NAME?</v>
      </c>
    </row>
    <row r="1758">
      <c r="A1758" s="4" t="s">
        <v>4360</v>
      </c>
      <c r="B1758" s="4" t="s">
        <v>343</v>
      </c>
      <c r="C1758" s="4">
        <v>24.0</v>
      </c>
      <c r="D1758" s="4" t="s">
        <v>4361</v>
      </c>
      <c r="E1758" s="4" t="s">
        <v>1088</v>
      </c>
      <c r="F1758" s="54" t="s">
        <v>405</v>
      </c>
      <c r="G1758" s="4">
        <v>3.83</v>
      </c>
      <c r="H1758" s="4">
        <v>3.85</v>
      </c>
      <c r="I1758" s="4">
        <v>3.75</v>
      </c>
      <c r="J1758" s="4">
        <v>3.91</v>
      </c>
      <c r="X1758" s="55" t="str">
        <f t="shared" si="2"/>
        <v>#NAME?</v>
      </c>
    </row>
    <row r="1759">
      <c r="A1759" s="4" t="s">
        <v>4362</v>
      </c>
      <c r="B1759" s="4" t="s">
        <v>343</v>
      </c>
      <c r="C1759" s="4">
        <v>25.0</v>
      </c>
      <c r="D1759" s="4" t="s">
        <v>4363</v>
      </c>
      <c r="E1759" s="4" t="s">
        <v>1088</v>
      </c>
      <c r="F1759" s="54" t="s">
        <v>632</v>
      </c>
      <c r="G1759" s="4">
        <v>3.81</v>
      </c>
      <c r="H1759" s="4">
        <v>3.83</v>
      </c>
      <c r="I1759" s="4">
        <v>3.87</v>
      </c>
      <c r="J1759" s="4">
        <v>3.87</v>
      </c>
      <c r="X1759" s="55" t="str">
        <f t="shared" si="2"/>
        <v>#NAME?</v>
      </c>
    </row>
    <row r="1760">
      <c r="A1760" s="4" t="s">
        <v>4364</v>
      </c>
      <c r="B1760" s="4" t="s">
        <v>343</v>
      </c>
      <c r="C1760" s="4">
        <v>26.0</v>
      </c>
      <c r="D1760" s="4" t="s">
        <v>4365</v>
      </c>
      <c r="E1760" s="4" t="s">
        <v>4270</v>
      </c>
      <c r="F1760" s="54" t="s">
        <v>405</v>
      </c>
      <c r="G1760" s="4">
        <v>18.51</v>
      </c>
      <c r="H1760" s="4">
        <v>19.07</v>
      </c>
      <c r="I1760" s="4">
        <v>18.55</v>
      </c>
      <c r="J1760" s="4">
        <v>19.06</v>
      </c>
      <c r="X1760" s="55" t="str">
        <f t="shared" si="2"/>
        <v>#NAME?</v>
      </c>
    </row>
    <row r="1761">
      <c r="A1761" s="4" t="s">
        <v>4366</v>
      </c>
      <c r="B1761" s="4" t="s">
        <v>343</v>
      </c>
      <c r="C1761" s="4">
        <v>27.0</v>
      </c>
      <c r="D1761" s="4" t="s">
        <v>4367</v>
      </c>
      <c r="E1761" s="4" t="s">
        <v>1088</v>
      </c>
      <c r="F1761" s="54" t="s">
        <v>632</v>
      </c>
      <c r="G1761" s="4">
        <v>5.05</v>
      </c>
      <c r="H1761" s="4">
        <v>5.08</v>
      </c>
      <c r="I1761" s="4">
        <v>5.05</v>
      </c>
      <c r="J1761" s="4">
        <v>4.92</v>
      </c>
      <c r="X1761" s="55" t="str">
        <f t="shared" si="2"/>
        <v>#NAME?</v>
      </c>
    </row>
    <row r="1762">
      <c r="A1762" s="4" t="s">
        <v>4368</v>
      </c>
      <c r="B1762" s="4" t="s">
        <v>343</v>
      </c>
      <c r="C1762" s="4">
        <v>28.0</v>
      </c>
      <c r="D1762" s="4" t="s">
        <v>4369</v>
      </c>
      <c r="E1762" s="4" t="s">
        <v>1088</v>
      </c>
      <c r="F1762" s="54" t="s">
        <v>632</v>
      </c>
      <c r="G1762" s="4">
        <v>5.07</v>
      </c>
      <c r="H1762" s="4">
        <v>5.06</v>
      </c>
      <c r="I1762" s="4">
        <v>5.06</v>
      </c>
      <c r="J1762" s="4">
        <v>5.05</v>
      </c>
      <c r="X1762" s="55" t="str">
        <f t="shared" si="2"/>
        <v>#NAME?</v>
      </c>
    </row>
    <row r="1763">
      <c r="A1763" s="4" t="s">
        <v>4370</v>
      </c>
      <c r="B1763" s="4" t="s">
        <v>343</v>
      </c>
      <c r="C1763" s="4">
        <v>29.0</v>
      </c>
      <c r="D1763" s="4" t="s">
        <v>4367</v>
      </c>
      <c r="E1763" s="4" t="s">
        <v>4270</v>
      </c>
      <c r="F1763" s="54" t="s">
        <v>632</v>
      </c>
      <c r="G1763" s="4">
        <v>19.82</v>
      </c>
      <c r="H1763" s="4">
        <v>20.01</v>
      </c>
      <c r="I1763" s="4">
        <v>20.13</v>
      </c>
      <c r="J1763" s="4">
        <v>19.56</v>
      </c>
      <c r="X1763" s="55" t="str">
        <f t="shared" si="2"/>
        <v>#NAME?</v>
      </c>
    </row>
    <row r="1764">
      <c r="A1764" s="4" t="s">
        <v>4371</v>
      </c>
      <c r="B1764" s="4" t="s">
        <v>343</v>
      </c>
      <c r="C1764" s="4">
        <v>30.0</v>
      </c>
      <c r="D1764" s="4" t="s">
        <v>4367</v>
      </c>
      <c r="E1764" s="4" t="s">
        <v>3816</v>
      </c>
      <c r="F1764" s="54" t="s">
        <v>632</v>
      </c>
      <c r="G1764" s="4">
        <v>24.74</v>
      </c>
      <c r="H1764" s="4">
        <v>24.26</v>
      </c>
      <c r="I1764" s="4">
        <v>24.22</v>
      </c>
      <c r="J1764" s="4">
        <v>24.25</v>
      </c>
      <c r="X1764" s="55" t="str">
        <f t="shared" si="2"/>
        <v>#NAME?</v>
      </c>
    </row>
    <row r="1765">
      <c r="A1765" s="4" t="s">
        <v>4372</v>
      </c>
      <c r="B1765" s="4" t="s">
        <v>343</v>
      </c>
      <c r="C1765" s="4">
        <v>31.0</v>
      </c>
      <c r="D1765" s="4" t="s">
        <v>4373</v>
      </c>
      <c r="E1765" s="4" t="s">
        <v>1088</v>
      </c>
      <c r="F1765" s="54" t="s">
        <v>405</v>
      </c>
      <c r="G1765" s="4">
        <v>3.86</v>
      </c>
      <c r="H1765" s="4">
        <v>3.86</v>
      </c>
      <c r="I1765" s="4">
        <v>3.86</v>
      </c>
      <c r="J1765" s="4">
        <v>3.83</v>
      </c>
      <c r="X1765" s="55" t="str">
        <f t="shared" si="2"/>
        <v>#NAME?</v>
      </c>
    </row>
    <row r="1766">
      <c r="A1766" s="4" t="s">
        <v>4374</v>
      </c>
      <c r="B1766" s="4" t="s">
        <v>343</v>
      </c>
      <c r="C1766" s="4">
        <v>32.0</v>
      </c>
      <c r="D1766" s="4" t="s">
        <v>4375</v>
      </c>
      <c r="E1766" s="4" t="s">
        <v>1088</v>
      </c>
      <c r="F1766" s="54" t="s">
        <v>405</v>
      </c>
      <c r="G1766" s="4">
        <v>3.87</v>
      </c>
      <c r="H1766" s="4">
        <v>3.83</v>
      </c>
      <c r="I1766" s="4">
        <v>3.83</v>
      </c>
      <c r="J1766" s="4">
        <v>3.81</v>
      </c>
      <c r="X1766" s="55" t="str">
        <f t="shared" si="2"/>
        <v>#NAME?</v>
      </c>
    </row>
    <row r="1767">
      <c r="A1767" s="4" t="s">
        <v>4376</v>
      </c>
      <c r="B1767" s="4" t="s">
        <v>343</v>
      </c>
      <c r="C1767" s="4">
        <v>33.0</v>
      </c>
      <c r="D1767" s="4" t="s">
        <v>4373</v>
      </c>
      <c r="E1767" s="4" t="s">
        <v>4270</v>
      </c>
      <c r="F1767" s="54" t="s">
        <v>405</v>
      </c>
      <c r="G1767" s="4">
        <v>19.15</v>
      </c>
      <c r="H1767" s="4">
        <v>19.15</v>
      </c>
      <c r="I1767" s="4">
        <v>19.06</v>
      </c>
      <c r="J1767" s="4">
        <v>18.7</v>
      </c>
      <c r="X1767" s="55" t="str">
        <f t="shared" si="2"/>
        <v>#NAME?</v>
      </c>
    </row>
    <row r="1768">
      <c r="A1768" s="4" t="s">
        <v>4377</v>
      </c>
      <c r="B1768" s="4" t="s">
        <v>343</v>
      </c>
      <c r="C1768" s="4">
        <v>34.0</v>
      </c>
      <c r="D1768" s="4" t="s">
        <v>4378</v>
      </c>
      <c r="E1768" s="4" t="s">
        <v>1088</v>
      </c>
      <c r="F1768" s="54" t="s">
        <v>534</v>
      </c>
      <c r="G1768" s="4">
        <v>3.94</v>
      </c>
      <c r="H1768" s="4">
        <v>3.94</v>
      </c>
      <c r="I1768" s="4">
        <v>3.94</v>
      </c>
      <c r="J1768" s="4">
        <v>3.94</v>
      </c>
      <c r="X1768" s="55" t="str">
        <f t="shared" si="2"/>
        <v>#NAME?</v>
      </c>
    </row>
    <row r="1769">
      <c r="A1769" s="4" t="s">
        <v>4379</v>
      </c>
      <c r="B1769" s="4" t="s">
        <v>343</v>
      </c>
      <c r="C1769" s="4">
        <v>35.0</v>
      </c>
      <c r="D1769" s="4" t="s">
        <v>4378</v>
      </c>
      <c r="E1769" s="4" t="s">
        <v>4270</v>
      </c>
      <c r="F1769" s="54" t="s">
        <v>534</v>
      </c>
      <c r="G1769" s="4">
        <v>16.43</v>
      </c>
      <c r="H1769" s="4">
        <v>15.91</v>
      </c>
      <c r="I1769" s="4">
        <v>15.91</v>
      </c>
      <c r="J1769" s="4">
        <v>16.26</v>
      </c>
      <c r="X1769" s="55" t="str">
        <f t="shared" si="2"/>
        <v>#NAME?</v>
      </c>
    </row>
    <row r="1770">
      <c r="A1770" s="4" t="s">
        <v>4380</v>
      </c>
      <c r="B1770" s="4" t="s">
        <v>343</v>
      </c>
      <c r="C1770" s="4">
        <v>36.0</v>
      </c>
      <c r="D1770" s="4" t="s">
        <v>4378</v>
      </c>
      <c r="E1770" s="4" t="s">
        <v>3816</v>
      </c>
      <c r="F1770" s="54" t="s">
        <v>534</v>
      </c>
      <c r="G1770" s="4">
        <v>15.94</v>
      </c>
      <c r="H1770" s="4">
        <v>15.96</v>
      </c>
      <c r="I1770" s="4">
        <v>15.98</v>
      </c>
      <c r="J1770" s="4">
        <v>15.92</v>
      </c>
      <c r="X1770" s="55" t="str">
        <f t="shared" si="2"/>
        <v>#NAME?</v>
      </c>
    </row>
    <row r="1771">
      <c r="A1771" s="4" t="s">
        <v>4381</v>
      </c>
      <c r="B1771" s="4" t="s">
        <v>343</v>
      </c>
      <c r="C1771" s="4">
        <v>37.0</v>
      </c>
      <c r="D1771" s="4" t="s">
        <v>4382</v>
      </c>
      <c r="E1771" s="4" t="s">
        <v>1088</v>
      </c>
      <c r="F1771" s="54" t="s">
        <v>534</v>
      </c>
      <c r="G1771" s="4">
        <v>3.92</v>
      </c>
      <c r="H1771" s="4">
        <v>4.04</v>
      </c>
      <c r="I1771" s="4">
        <v>3.98</v>
      </c>
      <c r="J1771" s="4">
        <v>3.99</v>
      </c>
      <c r="X1771" s="55" t="str">
        <f t="shared" si="2"/>
        <v>#NAME?</v>
      </c>
    </row>
    <row r="1772">
      <c r="A1772" s="4" t="s">
        <v>4383</v>
      </c>
      <c r="B1772" s="4" t="s">
        <v>343</v>
      </c>
      <c r="C1772" s="4">
        <v>38.0</v>
      </c>
      <c r="D1772" s="4" t="s">
        <v>4382</v>
      </c>
      <c r="E1772" s="4" t="s">
        <v>4270</v>
      </c>
      <c r="F1772" s="54" t="s">
        <v>534</v>
      </c>
      <c r="G1772" s="4">
        <v>16.04</v>
      </c>
      <c r="H1772" s="4">
        <v>16.47</v>
      </c>
      <c r="I1772" s="4">
        <v>15.97</v>
      </c>
      <c r="J1772" s="4">
        <v>16.01</v>
      </c>
      <c r="X1772" s="55" t="str">
        <f t="shared" si="2"/>
        <v>#NAME?</v>
      </c>
    </row>
    <row r="1773">
      <c r="A1773" s="4" t="s">
        <v>4384</v>
      </c>
      <c r="B1773" s="4" t="s">
        <v>343</v>
      </c>
      <c r="C1773" s="4">
        <v>39.0</v>
      </c>
      <c r="D1773" s="4" t="s">
        <v>4382</v>
      </c>
      <c r="E1773" s="4" t="s">
        <v>3816</v>
      </c>
      <c r="F1773" s="54" t="s">
        <v>534</v>
      </c>
      <c r="G1773" s="4">
        <v>16.42</v>
      </c>
      <c r="H1773" s="4">
        <v>15.99</v>
      </c>
      <c r="I1773" s="4">
        <v>18.93</v>
      </c>
      <c r="J1773" s="4">
        <v>16.1</v>
      </c>
      <c r="X1773" s="55" t="str">
        <f t="shared" si="2"/>
        <v>#NAME?</v>
      </c>
    </row>
    <row r="1774">
      <c r="A1774" s="4" t="s">
        <v>4385</v>
      </c>
      <c r="B1774" s="4" t="s">
        <v>343</v>
      </c>
      <c r="C1774" s="4">
        <v>40.0</v>
      </c>
      <c r="D1774" s="4" t="s">
        <v>4386</v>
      </c>
      <c r="E1774" s="4" t="s">
        <v>1088</v>
      </c>
      <c r="F1774" s="54" t="s">
        <v>534</v>
      </c>
      <c r="G1774" s="4">
        <v>3.48</v>
      </c>
      <c r="H1774" s="4">
        <v>3.66</v>
      </c>
      <c r="I1774" s="4">
        <v>3.61</v>
      </c>
      <c r="J1774" s="4">
        <v>3.48</v>
      </c>
      <c r="X1774" s="55" t="str">
        <f t="shared" si="2"/>
        <v>#NAME?</v>
      </c>
    </row>
    <row r="1775">
      <c r="A1775" s="4" t="s">
        <v>4387</v>
      </c>
      <c r="B1775" s="4" t="s">
        <v>343</v>
      </c>
      <c r="C1775" s="4">
        <v>41.0</v>
      </c>
      <c r="D1775" s="4" t="s">
        <v>4386</v>
      </c>
      <c r="E1775" s="4" t="s">
        <v>4270</v>
      </c>
      <c r="F1775" s="54" t="s">
        <v>534</v>
      </c>
      <c r="G1775" s="4">
        <v>18.34</v>
      </c>
      <c r="H1775" s="4">
        <v>18.3</v>
      </c>
      <c r="I1775" s="4">
        <v>18.75</v>
      </c>
      <c r="J1775" s="4">
        <v>18.38</v>
      </c>
      <c r="X1775" s="55" t="str">
        <f t="shared" si="2"/>
        <v>#NAME?</v>
      </c>
    </row>
    <row r="1776">
      <c r="A1776" s="4" t="s">
        <v>4388</v>
      </c>
      <c r="B1776" s="4" t="s">
        <v>343</v>
      </c>
      <c r="C1776" s="4">
        <v>42.0</v>
      </c>
      <c r="D1776" s="4" t="s">
        <v>4389</v>
      </c>
      <c r="E1776" s="4" t="s">
        <v>1088</v>
      </c>
      <c r="F1776" s="54" t="s">
        <v>449</v>
      </c>
      <c r="G1776" s="4">
        <v>3.9</v>
      </c>
      <c r="H1776" s="4">
        <v>3.87</v>
      </c>
      <c r="I1776" s="4">
        <v>3.9</v>
      </c>
      <c r="J1776" s="4">
        <v>3.9</v>
      </c>
      <c r="X1776" s="62">
        <v>4.0</v>
      </c>
    </row>
    <row r="1777">
      <c r="A1777" s="4" t="s">
        <v>4390</v>
      </c>
      <c r="B1777" s="4" t="s">
        <v>343</v>
      </c>
      <c r="C1777" s="4">
        <v>43.0</v>
      </c>
      <c r="D1777" s="4" t="s">
        <v>4389</v>
      </c>
      <c r="E1777" s="4" t="s">
        <v>4270</v>
      </c>
      <c r="F1777" s="54" t="s">
        <v>449</v>
      </c>
      <c r="G1777" s="4">
        <v>20.26</v>
      </c>
      <c r="H1777" s="4">
        <v>20.29</v>
      </c>
      <c r="I1777" s="4">
        <v>20.4</v>
      </c>
      <c r="J1777" s="4">
        <v>20.33</v>
      </c>
      <c r="X1777" s="62">
        <v>4.0</v>
      </c>
    </row>
    <row r="1778">
      <c r="A1778" s="4" t="s">
        <v>4391</v>
      </c>
      <c r="B1778" s="4" t="s">
        <v>390</v>
      </c>
      <c r="C1778" s="4">
        <v>1.0</v>
      </c>
      <c r="D1778" s="4" t="s">
        <v>4392</v>
      </c>
      <c r="E1778" s="4" t="s">
        <v>4264</v>
      </c>
      <c r="F1778" s="54" t="s">
        <v>4261</v>
      </c>
      <c r="G1778" s="4">
        <v>30.28</v>
      </c>
      <c r="H1778" s="4">
        <v>30.24</v>
      </c>
      <c r="I1778" s="4">
        <v>30.22</v>
      </c>
      <c r="J1778" s="4">
        <v>30.52</v>
      </c>
      <c r="X1778" s="62">
        <v>34.0</v>
      </c>
    </row>
    <row r="1779">
      <c r="A1779" s="54" t="s">
        <v>4393</v>
      </c>
      <c r="B1779" s="4" t="s">
        <v>390</v>
      </c>
      <c r="C1779" s="4">
        <v>2.0</v>
      </c>
      <c r="D1779" s="4" t="s">
        <v>4332</v>
      </c>
      <c r="E1779" s="4" t="s">
        <v>4264</v>
      </c>
      <c r="F1779" s="54" t="s">
        <v>4261</v>
      </c>
      <c r="G1779" s="4">
        <v>30.29</v>
      </c>
      <c r="H1779" s="4">
        <v>30.3</v>
      </c>
      <c r="I1779" s="4">
        <v>30.31</v>
      </c>
      <c r="J1779" s="4">
        <v>30.53</v>
      </c>
      <c r="X1779" s="62">
        <v>34.0</v>
      </c>
    </row>
    <row r="1780">
      <c r="A1780" s="4" t="s">
        <v>4394</v>
      </c>
      <c r="B1780" s="4" t="s">
        <v>390</v>
      </c>
      <c r="C1780" s="4">
        <v>3.0</v>
      </c>
      <c r="D1780" s="4" t="s">
        <v>4334</v>
      </c>
      <c r="E1780" s="4" t="s">
        <v>4264</v>
      </c>
      <c r="F1780" s="54" t="s">
        <v>4261</v>
      </c>
      <c r="G1780" s="4">
        <v>39.74</v>
      </c>
      <c r="H1780" s="4">
        <v>39.75</v>
      </c>
      <c r="I1780" s="4">
        <v>39.74</v>
      </c>
      <c r="J1780" s="4">
        <v>40.3</v>
      </c>
      <c r="X1780" s="62">
        <v>34.0</v>
      </c>
    </row>
    <row r="1781">
      <c r="A1781" s="4" t="s">
        <v>4395</v>
      </c>
      <c r="B1781" s="4" t="s">
        <v>390</v>
      </c>
      <c r="C1781" s="4">
        <v>4.0</v>
      </c>
      <c r="D1781" s="4" t="s">
        <v>4396</v>
      </c>
      <c r="E1781" s="4" t="s">
        <v>4264</v>
      </c>
      <c r="F1781" s="54" t="s">
        <v>4261</v>
      </c>
      <c r="G1781" s="4">
        <v>39.7</v>
      </c>
      <c r="H1781" s="4">
        <v>39.74</v>
      </c>
      <c r="I1781" s="4">
        <v>39.73</v>
      </c>
      <c r="J1781" s="4">
        <v>40.26</v>
      </c>
      <c r="X1781" s="62">
        <v>34.0</v>
      </c>
    </row>
    <row r="1782">
      <c r="A1782" s="4" t="s">
        <v>4397</v>
      </c>
      <c r="B1782" s="4" t="s">
        <v>390</v>
      </c>
      <c r="C1782" s="4">
        <v>5.0</v>
      </c>
      <c r="D1782" s="54" t="s">
        <v>292</v>
      </c>
      <c r="E1782" s="4" t="s">
        <v>4260</v>
      </c>
      <c r="F1782" s="54" t="s">
        <v>4261</v>
      </c>
      <c r="G1782" s="4">
        <v>6.64</v>
      </c>
      <c r="H1782" s="4">
        <v>6.17</v>
      </c>
      <c r="I1782" s="4">
        <v>6.13</v>
      </c>
      <c r="J1782" s="4">
        <v>6.09</v>
      </c>
      <c r="X1782" s="62">
        <v>34.0</v>
      </c>
    </row>
    <row r="1783">
      <c r="A1783" s="4" t="s">
        <v>4398</v>
      </c>
      <c r="B1783" s="4" t="s">
        <v>390</v>
      </c>
      <c r="C1783" s="4">
        <v>6.0</v>
      </c>
      <c r="D1783" s="54" t="s">
        <v>399</v>
      </c>
      <c r="E1783" s="4" t="s">
        <v>4260</v>
      </c>
      <c r="F1783" s="54" t="s">
        <v>4261</v>
      </c>
      <c r="G1783" s="4">
        <v>6.15</v>
      </c>
      <c r="H1783" s="4">
        <v>6.17</v>
      </c>
      <c r="I1783" s="4">
        <v>6.12</v>
      </c>
      <c r="J1783" s="4">
        <v>6.1</v>
      </c>
      <c r="X1783" s="62">
        <v>34.0</v>
      </c>
    </row>
    <row r="1784">
      <c r="A1784" s="4" t="s">
        <v>4399</v>
      </c>
      <c r="B1784" s="4" t="s">
        <v>390</v>
      </c>
      <c r="C1784" s="4">
        <v>7.0</v>
      </c>
      <c r="D1784" s="54" t="s">
        <v>405</v>
      </c>
      <c r="E1784" s="4" t="s">
        <v>4260</v>
      </c>
      <c r="F1784" s="54" t="s">
        <v>4261</v>
      </c>
      <c r="G1784" s="4">
        <v>6.17</v>
      </c>
      <c r="H1784" s="4">
        <v>6.17</v>
      </c>
      <c r="I1784" s="4">
        <v>6.16</v>
      </c>
      <c r="J1784" s="4">
        <v>6.15</v>
      </c>
      <c r="X1784" s="62">
        <v>34.0</v>
      </c>
    </row>
    <row r="1785">
      <c r="A1785" s="4" t="s">
        <v>4400</v>
      </c>
      <c r="B1785" s="4" t="s">
        <v>390</v>
      </c>
      <c r="C1785" s="4">
        <v>8.0</v>
      </c>
      <c r="D1785" s="54" t="s">
        <v>449</v>
      </c>
      <c r="E1785" s="4" t="s">
        <v>4260</v>
      </c>
      <c r="F1785" s="54" t="s">
        <v>4261</v>
      </c>
      <c r="G1785" s="4">
        <v>6.1</v>
      </c>
      <c r="H1785" s="4">
        <v>6.12</v>
      </c>
      <c r="I1785" s="4">
        <v>6.13</v>
      </c>
      <c r="J1785" s="4">
        <v>6.09</v>
      </c>
      <c r="X1785" s="62">
        <v>34.0</v>
      </c>
    </row>
    <row r="1786">
      <c r="A1786" s="4" t="s">
        <v>4401</v>
      </c>
      <c r="B1786" s="4" t="s">
        <v>390</v>
      </c>
      <c r="C1786" s="4">
        <v>9.0</v>
      </c>
      <c r="D1786" s="4" t="s">
        <v>4338</v>
      </c>
      <c r="E1786" s="4" t="s">
        <v>1088</v>
      </c>
      <c r="F1786" s="54" t="s">
        <v>632</v>
      </c>
      <c r="G1786" s="4">
        <v>5.45</v>
      </c>
      <c r="H1786" s="4">
        <v>5.05</v>
      </c>
      <c r="I1786" s="4">
        <v>5.02</v>
      </c>
      <c r="J1786" s="4">
        <v>4.97</v>
      </c>
      <c r="X1786" s="62">
        <v>14.0</v>
      </c>
    </row>
    <row r="1787">
      <c r="A1787" s="4" t="s">
        <v>4402</v>
      </c>
      <c r="B1787" s="4" t="s">
        <v>390</v>
      </c>
      <c r="C1787" s="4">
        <v>10.0</v>
      </c>
      <c r="D1787" s="4" t="s">
        <v>4340</v>
      </c>
      <c r="E1787" s="4" t="s">
        <v>1088</v>
      </c>
      <c r="F1787" s="54" t="s">
        <v>632</v>
      </c>
      <c r="G1787" s="4">
        <v>5.5</v>
      </c>
      <c r="H1787" s="4">
        <v>5.12</v>
      </c>
      <c r="I1787" s="4">
        <v>5.08</v>
      </c>
      <c r="J1787" s="4">
        <v>5.0</v>
      </c>
      <c r="X1787" s="62">
        <v>14.0</v>
      </c>
    </row>
    <row r="1788">
      <c r="A1788" s="4" t="s">
        <v>4403</v>
      </c>
      <c r="B1788" s="4" t="s">
        <v>390</v>
      </c>
      <c r="C1788" s="4">
        <v>11.0</v>
      </c>
      <c r="D1788" s="4" t="s">
        <v>4338</v>
      </c>
      <c r="E1788" s="4" t="s">
        <v>4270</v>
      </c>
      <c r="F1788" s="54" t="s">
        <v>632</v>
      </c>
      <c r="G1788" s="4">
        <v>19.8</v>
      </c>
      <c r="H1788" s="4">
        <v>20.24</v>
      </c>
      <c r="I1788" s="4">
        <v>19.77</v>
      </c>
      <c r="J1788" s="4">
        <v>20.34</v>
      </c>
      <c r="X1788" s="62">
        <v>14.0</v>
      </c>
    </row>
    <row r="1789">
      <c r="A1789" s="4" t="s">
        <v>4404</v>
      </c>
      <c r="B1789" s="4" t="s">
        <v>343</v>
      </c>
      <c r="C1789" s="4">
        <v>1.0</v>
      </c>
      <c r="D1789" s="4" t="s">
        <v>4405</v>
      </c>
      <c r="E1789" s="4" t="s">
        <v>1088</v>
      </c>
      <c r="F1789" s="54" t="s">
        <v>287</v>
      </c>
      <c r="G1789" s="4">
        <v>11.97</v>
      </c>
      <c r="H1789" s="4">
        <v>12.47</v>
      </c>
      <c r="I1789" s="4">
        <v>11.98</v>
      </c>
      <c r="J1789" s="4">
        <v>12.05</v>
      </c>
      <c r="X1789" s="62">
        <v>20.0</v>
      </c>
    </row>
    <row r="1790">
      <c r="A1790" s="4" t="s">
        <v>4406</v>
      </c>
      <c r="B1790" s="4" t="s">
        <v>343</v>
      </c>
      <c r="C1790" s="4">
        <v>2.0</v>
      </c>
      <c r="D1790" s="4" t="s">
        <v>4407</v>
      </c>
      <c r="E1790" s="4" t="s">
        <v>1088</v>
      </c>
      <c r="F1790" s="54" t="s">
        <v>287</v>
      </c>
      <c r="G1790" s="4">
        <v>11.88</v>
      </c>
      <c r="H1790" s="4">
        <v>11.99</v>
      </c>
      <c r="I1790" s="4">
        <v>12.05</v>
      </c>
      <c r="J1790" s="4">
        <v>12.1</v>
      </c>
      <c r="X1790" s="62">
        <v>20.0</v>
      </c>
    </row>
    <row r="1791">
      <c r="A1791" s="4" t="s">
        <v>4408</v>
      </c>
      <c r="B1791" s="4" t="s">
        <v>343</v>
      </c>
      <c r="C1791" s="4">
        <v>3.0</v>
      </c>
      <c r="D1791" s="4" t="s">
        <v>4405</v>
      </c>
      <c r="E1791" s="4" t="s">
        <v>4270</v>
      </c>
      <c r="F1791" s="54" t="s">
        <v>287</v>
      </c>
      <c r="G1791" s="4">
        <v>31.26</v>
      </c>
      <c r="H1791" s="4">
        <v>31.26</v>
      </c>
      <c r="I1791" s="4">
        <v>31.74</v>
      </c>
      <c r="J1791" s="4">
        <v>31.22</v>
      </c>
      <c r="X1791" s="62">
        <v>20.0</v>
      </c>
    </row>
    <row r="1792">
      <c r="A1792" s="4" t="s">
        <v>4409</v>
      </c>
      <c r="B1792" s="4" t="s">
        <v>343</v>
      </c>
      <c r="C1792" s="4">
        <v>4.0</v>
      </c>
      <c r="D1792" s="4" t="s">
        <v>4405</v>
      </c>
      <c r="E1792" s="4" t="s">
        <v>3816</v>
      </c>
      <c r="F1792" s="54" t="s">
        <v>287</v>
      </c>
      <c r="G1792" s="4">
        <v>32.57</v>
      </c>
      <c r="H1792" s="4">
        <v>32.62</v>
      </c>
      <c r="I1792" s="4">
        <v>33.09</v>
      </c>
      <c r="J1792" s="4">
        <v>32.27</v>
      </c>
      <c r="X1792" s="62">
        <v>20.0</v>
      </c>
    </row>
    <row r="1793">
      <c r="A1793" s="4" t="s">
        <v>4410</v>
      </c>
      <c r="B1793" s="4" t="s">
        <v>343</v>
      </c>
      <c r="C1793" s="4">
        <v>5.0</v>
      </c>
      <c r="D1793" s="4" t="s">
        <v>4411</v>
      </c>
      <c r="E1793" s="4" t="s">
        <v>1088</v>
      </c>
      <c r="F1793" s="54" t="s">
        <v>449</v>
      </c>
      <c r="G1793" s="4">
        <v>3.76</v>
      </c>
      <c r="H1793" s="4">
        <v>3.75</v>
      </c>
      <c r="I1793" s="4">
        <v>3.83</v>
      </c>
      <c r="J1793" s="4">
        <v>3.77</v>
      </c>
      <c r="X1793" s="62">
        <v>4.0</v>
      </c>
    </row>
    <row r="1794">
      <c r="A1794" s="4" t="s">
        <v>4412</v>
      </c>
      <c r="B1794" s="4" t="s">
        <v>343</v>
      </c>
      <c r="C1794" s="4">
        <v>6.0</v>
      </c>
      <c r="D1794" s="4" t="s">
        <v>4413</v>
      </c>
      <c r="E1794" s="4" t="s">
        <v>1088</v>
      </c>
      <c r="F1794" s="54" t="s">
        <v>449</v>
      </c>
      <c r="G1794" s="4">
        <v>3.76</v>
      </c>
      <c r="H1794" s="4">
        <v>3.74</v>
      </c>
      <c r="I1794" s="4">
        <v>3.81</v>
      </c>
      <c r="J1794" s="4">
        <v>3.83</v>
      </c>
      <c r="X1794" s="62">
        <v>4.0</v>
      </c>
    </row>
    <row r="1795">
      <c r="A1795" s="4" t="s">
        <v>4414</v>
      </c>
      <c r="B1795" s="4" t="s">
        <v>343</v>
      </c>
      <c r="C1795" s="4">
        <v>7.0</v>
      </c>
      <c r="D1795" s="4" t="s">
        <v>4411</v>
      </c>
      <c r="E1795" s="4" t="s">
        <v>4270</v>
      </c>
      <c r="F1795" s="54" t="s">
        <v>449</v>
      </c>
      <c r="G1795" s="4">
        <v>16.14</v>
      </c>
      <c r="H1795" s="4">
        <v>16.14</v>
      </c>
      <c r="I1795" s="4">
        <v>15.73</v>
      </c>
      <c r="J1795" s="4">
        <v>15.7</v>
      </c>
      <c r="X1795" s="62">
        <v>4.0</v>
      </c>
    </row>
    <row r="1796">
      <c r="A1796" s="4" t="s">
        <v>4415</v>
      </c>
      <c r="B1796" s="4" t="s">
        <v>343</v>
      </c>
      <c r="C1796" s="4">
        <v>8.0</v>
      </c>
      <c r="D1796" s="4" t="s">
        <v>4413</v>
      </c>
      <c r="E1796" s="4" t="s">
        <v>4270</v>
      </c>
      <c r="F1796" s="54" t="s">
        <v>449</v>
      </c>
      <c r="G1796" s="4">
        <v>15.52</v>
      </c>
      <c r="H1796" s="4">
        <v>15.54</v>
      </c>
      <c r="I1796" s="4">
        <v>15.55</v>
      </c>
      <c r="J1796" s="4">
        <v>15.56</v>
      </c>
      <c r="X1796" s="62">
        <v>4.0</v>
      </c>
    </row>
    <row r="1797">
      <c r="A1797" s="4" t="s">
        <v>4416</v>
      </c>
      <c r="B1797" s="4" t="s">
        <v>343</v>
      </c>
      <c r="C1797" s="4">
        <v>9.0</v>
      </c>
      <c r="D1797" s="4" t="s">
        <v>4417</v>
      </c>
      <c r="E1797" s="4" t="s">
        <v>1088</v>
      </c>
      <c r="F1797" s="54" t="s">
        <v>449</v>
      </c>
      <c r="G1797" s="4">
        <v>2.9</v>
      </c>
      <c r="H1797" s="4">
        <v>2.98</v>
      </c>
      <c r="I1797" s="4">
        <v>2.81</v>
      </c>
      <c r="J1797" s="4">
        <v>2.83</v>
      </c>
      <c r="X1797" s="62">
        <v>4.0</v>
      </c>
    </row>
    <row r="1798">
      <c r="A1798" s="4" t="s">
        <v>4418</v>
      </c>
      <c r="B1798" s="4" t="s">
        <v>343</v>
      </c>
      <c r="C1798" s="4">
        <v>10.0</v>
      </c>
      <c r="D1798" s="4" t="s">
        <v>4419</v>
      </c>
      <c r="E1798" s="4" t="s">
        <v>1088</v>
      </c>
      <c r="F1798" s="54" t="s">
        <v>449</v>
      </c>
      <c r="G1798" s="4">
        <v>2.89</v>
      </c>
      <c r="H1798" s="4">
        <v>2.88</v>
      </c>
      <c r="I1798" s="4">
        <v>2.9</v>
      </c>
      <c r="J1798" s="4">
        <v>2.82</v>
      </c>
      <c r="X1798" s="62">
        <v>4.0</v>
      </c>
    </row>
    <row r="1799">
      <c r="A1799" s="4" t="s">
        <v>4420</v>
      </c>
      <c r="B1799" s="4" t="s">
        <v>343</v>
      </c>
      <c r="C1799" s="4">
        <v>11.0</v>
      </c>
      <c r="D1799" s="4" t="s">
        <v>4417</v>
      </c>
      <c r="E1799" s="4" t="s">
        <v>4270</v>
      </c>
      <c r="F1799" s="54" t="s">
        <v>449</v>
      </c>
      <c r="G1799" s="4">
        <v>20.76</v>
      </c>
      <c r="H1799" s="4">
        <v>20.73</v>
      </c>
      <c r="I1799" s="4">
        <v>20.7</v>
      </c>
      <c r="J1799" s="4">
        <v>20.73</v>
      </c>
      <c r="X1799" s="62">
        <v>4.0</v>
      </c>
    </row>
    <row r="1800">
      <c r="A1800" s="4" t="s">
        <v>4421</v>
      </c>
      <c r="B1800" s="4" t="s">
        <v>343</v>
      </c>
      <c r="C1800" s="4">
        <v>12.0</v>
      </c>
      <c r="D1800" s="4" t="s">
        <v>4419</v>
      </c>
      <c r="E1800" s="4" t="s">
        <v>4270</v>
      </c>
      <c r="F1800" s="54" t="s">
        <v>449</v>
      </c>
      <c r="G1800" s="4">
        <v>20.76</v>
      </c>
      <c r="H1800" s="4">
        <v>20.74</v>
      </c>
      <c r="I1800" s="4">
        <v>20.7</v>
      </c>
      <c r="J1800" s="4">
        <v>20.73</v>
      </c>
      <c r="X1800" s="62">
        <v>4.0</v>
      </c>
    </row>
    <row r="1801">
      <c r="A1801" s="4" t="s">
        <v>4422</v>
      </c>
      <c r="B1801" s="4" t="s">
        <v>343</v>
      </c>
      <c r="C1801" s="4">
        <v>13.0</v>
      </c>
      <c r="D1801" s="4" t="s">
        <v>4423</v>
      </c>
      <c r="E1801" s="4" t="s">
        <v>1088</v>
      </c>
      <c r="F1801" s="54" t="s">
        <v>357</v>
      </c>
      <c r="G1801" s="4">
        <v>3.85</v>
      </c>
      <c r="H1801" s="4">
        <v>3.78</v>
      </c>
      <c r="I1801" s="4">
        <v>3.81</v>
      </c>
      <c r="J1801" s="4">
        <v>3.77</v>
      </c>
      <c r="X1801" s="62">
        <v>6.0</v>
      </c>
    </row>
    <row r="1802">
      <c r="A1802" s="4" t="s">
        <v>4424</v>
      </c>
      <c r="B1802" s="4" t="s">
        <v>343</v>
      </c>
      <c r="C1802" s="4">
        <v>14.0</v>
      </c>
      <c r="D1802" s="4" t="s">
        <v>4423</v>
      </c>
      <c r="E1802" s="4" t="s">
        <v>4270</v>
      </c>
      <c r="F1802" s="54" t="s">
        <v>357</v>
      </c>
      <c r="G1802" s="4">
        <v>23.13</v>
      </c>
      <c r="H1802" s="4">
        <v>22.61</v>
      </c>
      <c r="I1802" s="4">
        <v>22.62</v>
      </c>
      <c r="J1802" s="4">
        <v>22.65</v>
      </c>
      <c r="X1802" s="62">
        <v>6.0</v>
      </c>
    </row>
    <row r="1803">
      <c r="A1803" s="4" t="s">
        <v>4425</v>
      </c>
      <c r="B1803" s="4" t="s">
        <v>390</v>
      </c>
      <c r="C1803" s="4">
        <v>1.0</v>
      </c>
      <c r="D1803" s="4" t="s">
        <v>4389</v>
      </c>
      <c r="E1803" s="4" t="s">
        <v>1088</v>
      </c>
      <c r="F1803" s="54" t="s">
        <v>449</v>
      </c>
      <c r="G1803" s="4">
        <v>3.78</v>
      </c>
      <c r="H1803" s="4">
        <v>3.76</v>
      </c>
      <c r="I1803" s="4">
        <v>3.76</v>
      </c>
      <c r="J1803" s="4">
        <v>3.76</v>
      </c>
      <c r="X1803" s="62">
        <v>4.0</v>
      </c>
    </row>
    <row r="1804">
      <c r="A1804" s="4" t="s">
        <v>4426</v>
      </c>
      <c r="B1804" s="4" t="s">
        <v>390</v>
      </c>
      <c r="C1804" s="4">
        <v>2.0</v>
      </c>
      <c r="D1804" s="4" t="s">
        <v>4389</v>
      </c>
      <c r="E1804" s="4" t="s">
        <v>4270</v>
      </c>
      <c r="F1804" s="54" t="s">
        <v>449</v>
      </c>
      <c r="G1804" s="4">
        <v>21.2</v>
      </c>
      <c r="H1804" s="4">
        <v>21.19</v>
      </c>
      <c r="I1804" s="4">
        <v>21.18</v>
      </c>
      <c r="J1804" s="4">
        <v>21.2</v>
      </c>
      <c r="X1804" s="62">
        <v>4.0</v>
      </c>
    </row>
    <row r="1805">
      <c r="A1805" s="4" t="s">
        <v>4427</v>
      </c>
      <c r="B1805" s="4" t="s">
        <v>390</v>
      </c>
      <c r="C1805" s="4">
        <v>3.0</v>
      </c>
      <c r="D1805" s="4" t="s">
        <v>4423</v>
      </c>
      <c r="E1805" s="4" t="s">
        <v>1088</v>
      </c>
      <c r="F1805" s="54" t="s">
        <v>357</v>
      </c>
      <c r="G1805" s="4">
        <v>3.73</v>
      </c>
      <c r="H1805" s="4">
        <v>4.11</v>
      </c>
      <c r="I1805" s="4">
        <v>3.76</v>
      </c>
      <c r="J1805" s="4">
        <v>3.77</v>
      </c>
      <c r="X1805" s="62">
        <v>6.0</v>
      </c>
    </row>
    <row r="1806">
      <c r="A1806" s="4" t="s">
        <v>4428</v>
      </c>
      <c r="B1806" s="4" t="s">
        <v>390</v>
      </c>
      <c r="C1806" s="4">
        <v>4.0</v>
      </c>
      <c r="D1806" s="4" t="s">
        <v>4423</v>
      </c>
      <c r="E1806" s="4" t="s">
        <v>4270</v>
      </c>
      <c r="F1806" s="54" t="s">
        <v>449</v>
      </c>
      <c r="G1806" s="4">
        <v>22.44</v>
      </c>
      <c r="H1806" s="4">
        <v>22.45</v>
      </c>
      <c r="I1806" s="4">
        <v>22.45</v>
      </c>
      <c r="J1806" s="4">
        <v>22.99</v>
      </c>
      <c r="X1806" s="62">
        <v>4.0</v>
      </c>
    </row>
    <row r="1807">
      <c r="A1807" s="4" t="s">
        <v>4429</v>
      </c>
      <c r="B1807" s="4" t="s">
        <v>390</v>
      </c>
      <c r="C1807" s="4">
        <v>5.0</v>
      </c>
      <c r="D1807" s="4" t="s">
        <v>4411</v>
      </c>
      <c r="E1807" s="4" t="s">
        <v>1088</v>
      </c>
      <c r="F1807" s="54" t="s">
        <v>449</v>
      </c>
      <c r="G1807" s="4">
        <v>3.83</v>
      </c>
      <c r="H1807" s="4">
        <v>3.87</v>
      </c>
      <c r="I1807" s="4">
        <v>3.86</v>
      </c>
      <c r="J1807" s="4">
        <v>3.82</v>
      </c>
      <c r="X1807" s="62">
        <v>4.0</v>
      </c>
    </row>
    <row r="1808">
      <c r="A1808" s="4" t="s">
        <v>4430</v>
      </c>
      <c r="B1808" s="4" t="s">
        <v>390</v>
      </c>
      <c r="C1808" s="4">
        <v>6.0</v>
      </c>
      <c r="D1808" s="4" t="s">
        <v>4413</v>
      </c>
      <c r="E1808" s="4" t="s">
        <v>1088</v>
      </c>
      <c r="F1808" s="54" t="s">
        <v>449</v>
      </c>
      <c r="G1808" s="4">
        <v>3.83</v>
      </c>
      <c r="H1808" s="4">
        <v>3.82</v>
      </c>
      <c r="I1808" s="4">
        <v>3.88</v>
      </c>
      <c r="J1808" s="4">
        <v>3.74</v>
      </c>
      <c r="X1808" s="62">
        <v>4.0</v>
      </c>
    </row>
    <row r="1809">
      <c r="A1809" s="4" t="s">
        <v>4431</v>
      </c>
      <c r="B1809" s="4" t="s">
        <v>390</v>
      </c>
      <c r="C1809" s="4">
        <v>7.0</v>
      </c>
      <c r="D1809" s="4" t="s">
        <v>4411</v>
      </c>
      <c r="E1809" s="4" t="s">
        <v>4270</v>
      </c>
      <c r="F1809" s="54" t="s">
        <v>449</v>
      </c>
      <c r="G1809" s="4">
        <v>15.63</v>
      </c>
      <c r="H1809" s="4">
        <v>15.62</v>
      </c>
      <c r="I1809" s="4">
        <v>15.62</v>
      </c>
      <c r="J1809" s="4">
        <v>15.62</v>
      </c>
      <c r="X1809" s="62">
        <v>4.0</v>
      </c>
    </row>
    <row r="1810">
      <c r="A1810" s="4" t="s">
        <v>4432</v>
      </c>
      <c r="B1810" s="4" t="s">
        <v>390</v>
      </c>
      <c r="C1810" s="4">
        <v>8.0</v>
      </c>
      <c r="D1810" s="4" t="s">
        <v>4411</v>
      </c>
      <c r="E1810" s="4" t="s">
        <v>1088</v>
      </c>
      <c r="F1810" s="54" t="s">
        <v>449</v>
      </c>
      <c r="G1810" s="4">
        <v>15.58</v>
      </c>
      <c r="H1810" s="4">
        <v>16.03</v>
      </c>
      <c r="I1810" s="4">
        <v>15.56</v>
      </c>
      <c r="J1810" s="4">
        <v>15.57</v>
      </c>
      <c r="X1810" s="62">
        <v>4.0</v>
      </c>
    </row>
    <row r="1811">
      <c r="A1811" s="4" t="s">
        <v>4433</v>
      </c>
      <c r="B1811" s="4" t="s">
        <v>390</v>
      </c>
      <c r="C1811" s="4">
        <v>9.0</v>
      </c>
      <c r="D1811" s="4" t="s">
        <v>4417</v>
      </c>
      <c r="E1811" s="4" t="s">
        <v>1088</v>
      </c>
      <c r="F1811" s="54" t="s">
        <v>449</v>
      </c>
      <c r="G1811" s="4">
        <v>2.89</v>
      </c>
      <c r="H1811" s="4">
        <v>2.92</v>
      </c>
      <c r="I1811" s="4">
        <v>2.88</v>
      </c>
      <c r="J1811" s="4">
        <v>2.88</v>
      </c>
      <c r="X1811" s="62">
        <v>4.0</v>
      </c>
    </row>
    <row r="1812">
      <c r="A1812" s="4" t="s">
        <v>4434</v>
      </c>
      <c r="B1812" s="4" t="s">
        <v>390</v>
      </c>
      <c r="C1812" s="4">
        <v>10.0</v>
      </c>
      <c r="D1812" s="4" t="s">
        <v>4419</v>
      </c>
      <c r="E1812" s="4" t="s">
        <v>1088</v>
      </c>
      <c r="F1812" s="54" t="s">
        <v>449</v>
      </c>
      <c r="G1812" s="4">
        <v>2.89</v>
      </c>
      <c r="H1812" s="4">
        <v>2.89</v>
      </c>
      <c r="I1812" s="4">
        <v>2.87</v>
      </c>
      <c r="J1812" s="4">
        <v>2.86</v>
      </c>
      <c r="X1812" s="62">
        <v>4.0</v>
      </c>
    </row>
    <row r="1813">
      <c r="A1813" s="4" t="s">
        <v>4435</v>
      </c>
      <c r="B1813" s="4" t="s">
        <v>390</v>
      </c>
      <c r="C1813" s="4">
        <v>11.0</v>
      </c>
      <c r="D1813" s="4" t="s">
        <v>4417</v>
      </c>
      <c r="E1813" s="4" t="s">
        <v>4270</v>
      </c>
      <c r="F1813" s="54" t="s">
        <v>449</v>
      </c>
      <c r="G1813" s="4">
        <v>21.04</v>
      </c>
      <c r="H1813" s="4">
        <v>20.25</v>
      </c>
      <c r="I1813" s="4">
        <v>20.25</v>
      </c>
      <c r="J1813" s="4">
        <v>20.28</v>
      </c>
      <c r="X1813" s="62">
        <v>4.0</v>
      </c>
    </row>
    <row r="1814">
      <c r="A1814" s="4" t="s">
        <v>4436</v>
      </c>
      <c r="B1814" s="4" t="s">
        <v>390</v>
      </c>
      <c r="C1814" s="4">
        <v>12.0</v>
      </c>
      <c r="D1814" s="4" t="s">
        <v>4419</v>
      </c>
      <c r="E1814" s="4" t="s">
        <v>4270</v>
      </c>
      <c r="F1814" s="54" t="s">
        <v>449</v>
      </c>
      <c r="G1814" s="4">
        <v>20.28</v>
      </c>
      <c r="H1814" s="4">
        <v>20.26</v>
      </c>
      <c r="I1814" s="4">
        <v>20.71</v>
      </c>
      <c r="J1814" s="4">
        <v>20.42</v>
      </c>
      <c r="X1814" s="62">
        <v>4.0</v>
      </c>
    </row>
    <row r="1815">
      <c r="A1815" s="4" t="s">
        <v>4437</v>
      </c>
      <c r="B1815" s="4" t="s">
        <v>398</v>
      </c>
      <c r="C1815" s="4">
        <v>1.0</v>
      </c>
      <c r="D1815" s="4" t="s">
        <v>4334</v>
      </c>
      <c r="E1815" s="4" t="s">
        <v>4264</v>
      </c>
      <c r="F1815" s="54" t="s">
        <v>4261</v>
      </c>
      <c r="G1815" s="4">
        <v>39.54</v>
      </c>
      <c r="H1815" s="4">
        <v>39.84</v>
      </c>
      <c r="I1815" s="4">
        <v>39.36</v>
      </c>
      <c r="J1815" s="4">
        <v>39.44</v>
      </c>
      <c r="X1815" s="62">
        <v>34.0</v>
      </c>
    </row>
    <row r="1816">
      <c r="A1816" s="4" t="s">
        <v>4438</v>
      </c>
      <c r="B1816" s="4" t="s">
        <v>398</v>
      </c>
      <c r="C1816" s="4">
        <v>2.0</v>
      </c>
      <c r="D1816" s="4" t="s">
        <v>4392</v>
      </c>
      <c r="E1816" s="4" t="s">
        <v>4264</v>
      </c>
      <c r="F1816" s="54" t="s">
        <v>4261</v>
      </c>
      <c r="G1816" s="4">
        <v>31.25</v>
      </c>
      <c r="H1816" s="4">
        <v>29.56</v>
      </c>
      <c r="I1816" s="4">
        <v>31.08</v>
      </c>
      <c r="J1816" s="4">
        <v>30.78</v>
      </c>
      <c r="X1816" s="62">
        <v>34.0</v>
      </c>
    </row>
    <row r="1817">
      <c r="A1817" s="4" t="s">
        <v>4439</v>
      </c>
      <c r="B1817" s="4" t="s">
        <v>398</v>
      </c>
      <c r="C1817" s="4">
        <v>3.0</v>
      </c>
      <c r="D1817" s="4" t="s">
        <v>4396</v>
      </c>
      <c r="E1817" s="4" t="s">
        <v>4264</v>
      </c>
      <c r="F1817" s="54" t="s">
        <v>4261</v>
      </c>
      <c r="G1817" s="4">
        <v>39.91</v>
      </c>
      <c r="H1817" s="4">
        <v>39.41</v>
      </c>
      <c r="I1817" s="4">
        <v>39.37</v>
      </c>
      <c r="J1817" s="4">
        <v>39.91</v>
      </c>
      <c r="X1817" s="62">
        <v>34.0</v>
      </c>
    </row>
    <row r="1818">
      <c r="A1818" s="4" t="s">
        <v>4440</v>
      </c>
      <c r="B1818" s="4" t="s">
        <v>398</v>
      </c>
      <c r="C1818" s="4">
        <v>4.0</v>
      </c>
      <c r="D1818" s="54" t="s">
        <v>292</v>
      </c>
      <c r="E1818" s="4" t="s">
        <v>4260</v>
      </c>
      <c r="F1818" s="54" t="s">
        <v>4261</v>
      </c>
      <c r="G1818" s="4">
        <v>6.58</v>
      </c>
      <c r="H1818" s="4">
        <v>6.56</v>
      </c>
      <c r="I1818" s="4">
        <v>6.1</v>
      </c>
      <c r="J1818" s="4">
        <v>6.08</v>
      </c>
      <c r="X1818" s="62">
        <v>34.0</v>
      </c>
    </row>
    <row r="1819">
      <c r="A1819" s="4" t="s">
        <v>4441</v>
      </c>
      <c r="B1819" s="4" t="s">
        <v>398</v>
      </c>
      <c r="C1819" s="4">
        <v>5.0</v>
      </c>
      <c r="D1819" s="54" t="s">
        <v>399</v>
      </c>
      <c r="E1819" s="4" t="s">
        <v>4260</v>
      </c>
      <c r="F1819" s="54" t="s">
        <v>4261</v>
      </c>
      <c r="G1819" s="4">
        <v>6.17</v>
      </c>
      <c r="H1819" s="4">
        <v>6.6</v>
      </c>
      <c r="I1819" s="4">
        <v>6.17</v>
      </c>
      <c r="J1819" s="4">
        <v>6.07</v>
      </c>
      <c r="X1819" s="62">
        <v>34.0</v>
      </c>
    </row>
    <row r="1820">
      <c r="A1820" s="4" t="s">
        <v>4442</v>
      </c>
      <c r="B1820" s="4" t="s">
        <v>398</v>
      </c>
      <c r="C1820" s="4">
        <v>6.0</v>
      </c>
      <c r="D1820" s="4" t="s">
        <v>4332</v>
      </c>
      <c r="E1820" s="4" t="s">
        <v>4264</v>
      </c>
      <c r="F1820" s="54" t="s">
        <v>4261</v>
      </c>
      <c r="G1820" s="4">
        <v>31.34</v>
      </c>
      <c r="H1820" s="4">
        <v>29.95</v>
      </c>
      <c r="I1820" s="4">
        <v>30.88</v>
      </c>
      <c r="J1820" s="4">
        <v>30.8</v>
      </c>
      <c r="X1820" s="62">
        <v>34.0</v>
      </c>
    </row>
    <row r="1821">
      <c r="A1821" s="54" t="s">
        <v>4443</v>
      </c>
      <c r="B1821" s="4" t="s">
        <v>398</v>
      </c>
      <c r="C1821" s="4">
        <v>7.0</v>
      </c>
      <c r="D1821" s="54" t="s">
        <v>405</v>
      </c>
      <c r="E1821" s="4" t="s">
        <v>4260</v>
      </c>
      <c r="F1821" s="54" t="s">
        <v>4261</v>
      </c>
      <c r="G1821" s="4">
        <v>6.14</v>
      </c>
      <c r="H1821" s="4">
        <v>6.17</v>
      </c>
      <c r="I1821" s="4">
        <v>6.46</v>
      </c>
      <c r="J1821" s="4">
        <v>6.16</v>
      </c>
      <c r="X1821" s="62">
        <v>34.0</v>
      </c>
    </row>
    <row r="1822">
      <c r="A1822" s="4" t="s">
        <v>4444</v>
      </c>
      <c r="B1822" s="4" t="s">
        <v>398</v>
      </c>
      <c r="C1822" s="4">
        <v>8.0</v>
      </c>
      <c r="D1822" s="54" t="s">
        <v>449</v>
      </c>
      <c r="E1822" s="4" t="s">
        <v>4260</v>
      </c>
      <c r="F1822" s="54" t="s">
        <v>4261</v>
      </c>
      <c r="G1822" s="4">
        <v>6.02</v>
      </c>
      <c r="H1822" s="4">
        <v>6.51</v>
      </c>
      <c r="I1822" s="4">
        <v>6.04</v>
      </c>
      <c r="J1822" s="4">
        <v>6.05</v>
      </c>
      <c r="X1822" s="62">
        <v>34.0</v>
      </c>
    </row>
    <row r="1823">
      <c r="A1823" s="4" t="s">
        <v>4445</v>
      </c>
      <c r="B1823" s="4" t="s">
        <v>398</v>
      </c>
      <c r="C1823" s="4">
        <v>9.0</v>
      </c>
      <c r="D1823" s="4" t="s">
        <v>4338</v>
      </c>
      <c r="E1823" s="4" t="s">
        <v>1088</v>
      </c>
      <c r="F1823" s="54" t="s">
        <v>632</v>
      </c>
      <c r="G1823" s="4">
        <v>5.08</v>
      </c>
      <c r="H1823" s="4">
        <v>5.09</v>
      </c>
      <c r="I1823" s="4">
        <v>5.07</v>
      </c>
      <c r="J1823" s="4">
        <v>5.04</v>
      </c>
      <c r="X1823" s="62">
        <v>14.0</v>
      </c>
    </row>
    <row r="1824">
      <c r="A1824" s="4" t="s">
        <v>4446</v>
      </c>
      <c r="B1824" s="4" t="s">
        <v>398</v>
      </c>
      <c r="C1824" s="4">
        <v>10.0</v>
      </c>
      <c r="D1824" s="4" t="s">
        <v>4340</v>
      </c>
      <c r="E1824" s="4" t="s">
        <v>1088</v>
      </c>
      <c r="F1824" s="54" t="s">
        <v>632</v>
      </c>
      <c r="G1824" s="4">
        <v>5.11</v>
      </c>
      <c r="H1824" s="4">
        <v>5.0</v>
      </c>
      <c r="I1824" s="4">
        <v>5.01</v>
      </c>
      <c r="J1824" s="4">
        <v>5.0</v>
      </c>
      <c r="X1824" s="62">
        <v>14.0</v>
      </c>
    </row>
    <row r="1825">
      <c r="A1825" s="4" t="s">
        <v>4447</v>
      </c>
      <c r="B1825" s="4" t="s">
        <v>398</v>
      </c>
      <c r="C1825" s="4">
        <v>11.0</v>
      </c>
      <c r="D1825" s="4" t="s">
        <v>4338</v>
      </c>
      <c r="E1825" s="4" t="s">
        <v>4270</v>
      </c>
      <c r="F1825" s="54" t="s">
        <v>632</v>
      </c>
      <c r="G1825" s="4">
        <v>20.21</v>
      </c>
      <c r="H1825" s="4">
        <v>19.82</v>
      </c>
      <c r="I1825" s="4">
        <v>19.74</v>
      </c>
      <c r="J1825" s="4">
        <v>19.77</v>
      </c>
      <c r="X1825" s="62">
        <v>14.0</v>
      </c>
    </row>
    <row r="1826">
      <c r="A1826" s="4" t="s">
        <v>4448</v>
      </c>
      <c r="B1826" s="4" t="s">
        <v>398</v>
      </c>
      <c r="C1826" s="4">
        <v>12.0</v>
      </c>
      <c r="D1826" s="4" t="s">
        <v>4344</v>
      </c>
      <c r="E1826" s="4" t="s">
        <v>1088</v>
      </c>
      <c r="F1826" s="54" t="s">
        <v>357</v>
      </c>
      <c r="G1826" s="4">
        <v>3.59</v>
      </c>
      <c r="H1826" s="4">
        <v>3.36</v>
      </c>
      <c r="I1826" s="4">
        <v>3.87</v>
      </c>
      <c r="J1826" s="4">
        <v>3.31</v>
      </c>
      <c r="X1826" s="62">
        <v>6.0</v>
      </c>
    </row>
    <row r="1827">
      <c r="A1827" s="4" t="s">
        <v>4449</v>
      </c>
      <c r="B1827" s="4" t="s">
        <v>398</v>
      </c>
      <c r="C1827" s="4">
        <v>13.0</v>
      </c>
      <c r="D1827" s="4" t="s">
        <v>4346</v>
      </c>
      <c r="E1827" s="4" t="s">
        <v>1088</v>
      </c>
      <c r="F1827" s="54" t="s">
        <v>357</v>
      </c>
      <c r="G1827" s="4">
        <v>3.75</v>
      </c>
      <c r="H1827" s="4">
        <v>4.19</v>
      </c>
      <c r="I1827" s="4">
        <v>3.83</v>
      </c>
      <c r="J1827" s="4">
        <v>3.31</v>
      </c>
      <c r="X1827" s="62">
        <v>6.0</v>
      </c>
    </row>
    <row r="1828">
      <c r="A1828" s="4" t="s">
        <v>4450</v>
      </c>
      <c r="B1828" s="4" t="s">
        <v>398</v>
      </c>
      <c r="C1828" s="4">
        <v>14.0</v>
      </c>
      <c r="D1828" s="4" t="s">
        <v>4344</v>
      </c>
      <c r="E1828" s="4" t="s">
        <v>4270</v>
      </c>
      <c r="F1828" s="54" t="s">
        <v>357</v>
      </c>
      <c r="G1828" s="4">
        <v>22.48</v>
      </c>
      <c r="H1828" s="4">
        <v>22.46</v>
      </c>
      <c r="I1828" s="4">
        <v>22.44</v>
      </c>
      <c r="J1828" s="4">
        <v>22.45</v>
      </c>
      <c r="X1828" s="62">
        <v>6.0</v>
      </c>
    </row>
    <row r="1829">
      <c r="A1829" s="4" t="s">
        <v>4451</v>
      </c>
      <c r="B1829" s="4" t="s">
        <v>398</v>
      </c>
      <c r="C1829" s="4">
        <v>15.0</v>
      </c>
      <c r="D1829" s="4" t="s">
        <v>4344</v>
      </c>
      <c r="E1829" s="4" t="s">
        <v>4270</v>
      </c>
      <c r="F1829" s="54" t="s">
        <v>357</v>
      </c>
      <c r="G1829" s="4">
        <v>22.45</v>
      </c>
      <c r="H1829" s="4">
        <v>22.48</v>
      </c>
      <c r="I1829" s="4">
        <v>22.44</v>
      </c>
      <c r="J1829" s="4">
        <v>22.42</v>
      </c>
      <c r="X1829" s="62">
        <v>6.0</v>
      </c>
    </row>
    <row r="1830">
      <c r="A1830" s="4" t="s">
        <v>4452</v>
      </c>
      <c r="B1830" s="4" t="s">
        <v>398</v>
      </c>
      <c r="C1830" s="4">
        <v>16.0</v>
      </c>
      <c r="D1830" s="4" t="s">
        <v>4349</v>
      </c>
      <c r="E1830" s="4" t="s">
        <v>1088</v>
      </c>
      <c r="F1830" s="54" t="s">
        <v>632</v>
      </c>
      <c r="G1830" s="4">
        <v>5.11</v>
      </c>
      <c r="H1830" s="4">
        <v>5.4</v>
      </c>
      <c r="I1830" s="4">
        <v>5.48</v>
      </c>
      <c r="J1830" s="4">
        <v>5.51</v>
      </c>
      <c r="X1830" s="62">
        <v>14.0</v>
      </c>
    </row>
    <row r="1831">
      <c r="A1831" s="4" t="s">
        <v>4453</v>
      </c>
      <c r="B1831" s="4" t="s">
        <v>398</v>
      </c>
      <c r="C1831" s="4">
        <v>17.0</v>
      </c>
      <c r="D1831" s="4" t="s">
        <v>4351</v>
      </c>
      <c r="E1831" s="4" t="s">
        <v>1088</v>
      </c>
      <c r="F1831" s="54" t="s">
        <v>632</v>
      </c>
      <c r="G1831" s="4">
        <v>5.33</v>
      </c>
      <c r="H1831" s="4">
        <v>5.45</v>
      </c>
      <c r="I1831" s="4">
        <v>5.48</v>
      </c>
      <c r="J1831" s="4">
        <v>5.52</v>
      </c>
      <c r="X1831" s="62">
        <v>14.0</v>
      </c>
    </row>
    <row r="1832">
      <c r="A1832" s="4" t="s">
        <v>4454</v>
      </c>
      <c r="B1832" s="4" t="s">
        <v>398</v>
      </c>
      <c r="C1832" s="4">
        <v>18.0</v>
      </c>
      <c r="D1832" s="4" t="s">
        <v>4349</v>
      </c>
      <c r="E1832" s="4" t="s">
        <v>4270</v>
      </c>
      <c r="F1832" s="54" t="s">
        <v>632</v>
      </c>
      <c r="G1832" s="4">
        <v>19.47</v>
      </c>
      <c r="H1832" s="4">
        <v>19.36</v>
      </c>
      <c r="I1832" s="4">
        <v>19.43</v>
      </c>
      <c r="J1832" s="4">
        <v>19.5</v>
      </c>
      <c r="X1832" s="62">
        <v>14.0</v>
      </c>
    </row>
    <row r="1833">
      <c r="A1833" s="4" t="s">
        <v>4455</v>
      </c>
      <c r="B1833" s="4" t="s">
        <v>398</v>
      </c>
      <c r="C1833" s="4">
        <v>19.0</v>
      </c>
      <c r="D1833" s="4" t="s">
        <v>4355</v>
      </c>
      <c r="E1833" s="4" t="s">
        <v>1088</v>
      </c>
      <c r="F1833" s="54" t="s">
        <v>632</v>
      </c>
      <c r="G1833" s="4">
        <v>5.39</v>
      </c>
      <c r="H1833" s="4">
        <v>5.03</v>
      </c>
      <c r="I1833" s="4">
        <v>5.03</v>
      </c>
      <c r="J1833" s="4">
        <v>5.02</v>
      </c>
      <c r="X1833" s="62">
        <v>14.0</v>
      </c>
    </row>
    <row r="1834">
      <c r="A1834" s="4" t="s">
        <v>4456</v>
      </c>
      <c r="B1834" s="4" t="s">
        <v>398</v>
      </c>
      <c r="C1834" s="4">
        <v>20.0</v>
      </c>
      <c r="D1834" s="4" t="s">
        <v>4357</v>
      </c>
      <c r="E1834" s="4" t="s">
        <v>1088</v>
      </c>
      <c r="F1834" s="54" t="s">
        <v>632</v>
      </c>
      <c r="G1834" s="4">
        <v>5.43</v>
      </c>
      <c r="H1834" s="4">
        <v>5.04</v>
      </c>
      <c r="I1834" s="4">
        <v>5.02</v>
      </c>
      <c r="J1834" s="4">
        <v>5.07</v>
      </c>
      <c r="X1834" s="62">
        <v>14.0</v>
      </c>
    </row>
    <row r="1835">
      <c r="A1835" s="4" t="s">
        <v>4457</v>
      </c>
      <c r="B1835" s="4" t="s">
        <v>398</v>
      </c>
      <c r="C1835" s="4">
        <v>21.0</v>
      </c>
      <c r="D1835" s="4" t="s">
        <v>4355</v>
      </c>
      <c r="E1835" s="4" t="s">
        <v>4270</v>
      </c>
      <c r="F1835" s="54" t="s">
        <v>632</v>
      </c>
      <c r="G1835" s="4">
        <v>19.47</v>
      </c>
      <c r="H1835" s="4">
        <v>19.58</v>
      </c>
      <c r="I1835" s="4">
        <v>19.58</v>
      </c>
      <c r="J1835" s="4">
        <v>19.63</v>
      </c>
      <c r="X1835" s="62">
        <v>14.0</v>
      </c>
    </row>
    <row r="1836">
      <c r="A1836" s="4" t="s">
        <v>4458</v>
      </c>
      <c r="B1836" s="4" t="s">
        <v>398</v>
      </c>
      <c r="C1836" s="4">
        <v>22.0</v>
      </c>
      <c r="D1836" s="4" t="s">
        <v>4361</v>
      </c>
      <c r="E1836" s="4" t="s">
        <v>1088</v>
      </c>
      <c r="F1836" s="54" t="s">
        <v>405</v>
      </c>
      <c r="G1836" s="4">
        <v>3.76</v>
      </c>
      <c r="H1836" s="4">
        <v>4.18</v>
      </c>
      <c r="I1836" s="4">
        <v>3.76</v>
      </c>
      <c r="J1836" s="4">
        <v>4.14</v>
      </c>
      <c r="X1836" s="62">
        <v>3.0</v>
      </c>
    </row>
    <row r="1837">
      <c r="A1837" s="4" t="s">
        <v>4459</v>
      </c>
      <c r="B1837" s="4" t="s">
        <v>398</v>
      </c>
      <c r="C1837" s="4">
        <v>23.0</v>
      </c>
      <c r="D1837" s="4" t="s">
        <v>4363</v>
      </c>
      <c r="E1837" s="4" t="s">
        <v>1088</v>
      </c>
      <c r="F1837" s="54" t="s">
        <v>405</v>
      </c>
      <c r="G1837" s="4">
        <v>3.8</v>
      </c>
      <c r="H1837" s="4">
        <v>3.79</v>
      </c>
      <c r="I1837" s="4">
        <v>3.73</v>
      </c>
      <c r="J1837" s="4">
        <v>3.9</v>
      </c>
      <c r="X1837" s="62">
        <v>3.0</v>
      </c>
    </row>
    <row r="1838">
      <c r="A1838" s="4" t="s">
        <v>4460</v>
      </c>
      <c r="B1838" s="4" t="s">
        <v>398</v>
      </c>
      <c r="C1838" s="4">
        <v>24.0</v>
      </c>
      <c r="D1838" s="4" t="s">
        <v>4361</v>
      </c>
      <c r="E1838" s="4" t="s">
        <v>4270</v>
      </c>
      <c r="F1838" s="54" t="s">
        <v>405</v>
      </c>
      <c r="G1838" s="4">
        <v>20.48</v>
      </c>
      <c r="H1838" s="4">
        <v>20.49</v>
      </c>
      <c r="I1838" s="4">
        <v>20.57</v>
      </c>
      <c r="J1838" s="4">
        <v>20.5</v>
      </c>
      <c r="X1838" s="62">
        <v>3.0</v>
      </c>
    </row>
    <row r="1839">
      <c r="A1839" s="4" t="s">
        <v>4461</v>
      </c>
      <c r="B1839" s="4" t="s">
        <v>398</v>
      </c>
      <c r="C1839" s="4">
        <v>25.0</v>
      </c>
      <c r="D1839" s="4" t="s">
        <v>4367</v>
      </c>
      <c r="E1839" s="4" t="s">
        <v>1088</v>
      </c>
      <c r="F1839" s="54" t="s">
        <v>632</v>
      </c>
      <c r="G1839" s="4">
        <v>5.07</v>
      </c>
      <c r="H1839" s="4">
        <v>5.41</v>
      </c>
      <c r="I1839" s="4">
        <v>5.08</v>
      </c>
      <c r="J1839" s="4">
        <v>5.18</v>
      </c>
      <c r="X1839" s="62">
        <v>14.0</v>
      </c>
    </row>
    <row r="1840">
      <c r="A1840" s="4" t="s">
        <v>4462</v>
      </c>
      <c r="B1840" s="4" t="s">
        <v>398</v>
      </c>
      <c r="C1840" s="4">
        <v>26.0</v>
      </c>
      <c r="D1840" s="4" t="s">
        <v>4369</v>
      </c>
      <c r="E1840" s="4" t="s">
        <v>1088</v>
      </c>
      <c r="F1840" s="54" t="s">
        <v>632</v>
      </c>
      <c r="G1840" s="4">
        <v>5.06</v>
      </c>
      <c r="H1840" s="4">
        <v>5.48</v>
      </c>
      <c r="I1840" s="4">
        <v>5.07</v>
      </c>
      <c r="J1840" s="4">
        <v>5.45</v>
      </c>
      <c r="X1840" s="62">
        <v>14.0</v>
      </c>
    </row>
    <row r="1841">
      <c r="A1841" s="4" t="s">
        <v>4463</v>
      </c>
      <c r="B1841" s="4" t="s">
        <v>398</v>
      </c>
      <c r="C1841" s="4">
        <v>27.0</v>
      </c>
      <c r="D1841" s="4" t="s">
        <v>4367</v>
      </c>
      <c r="E1841" s="4" t="s">
        <v>4270</v>
      </c>
      <c r="F1841" s="54" t="s">
        <v>632</v>
      </c>
      <c r="G1841" s="4">
        <v>19.55</v>
      </c>
      <c r="H1841" s="4">
        <v>19.58</v>
      </c>
      <c r="I1841" s="4">
        <v>20.3</v>
      </c>
      <c r="J1841" s="4">
        <v>19.66</v>
      </c>
      <c r="X1841" s="62">
        <v>14.0</v>
      </c>
    </row>
    <row r="1842">
      <c r="A1842" s="4" t="s">
        <v>4464</v>
      </c>
      <c r="B1842" s="4" t="s">
        <v>398</v>
      </c>
      <c r="C1842" s="4">
        <v>28.0</v>
      </c>
      <c r="D1842" s="4" t="s">
        <v>4373</v>
      </c>
      <c r="E1842" s="4" t="s">
        <v>1088</v>
      </c>
      <c r="F1842" s="54" t="s">
        <v>405</v>
      </c>
      <c r="G1842" s="4">
        <v>3.82</v>
      </c>
      <c r="H1842" s="4">
        <v>3.79</v>
      </c>
      <c r="I1842" s="4">
        <v>3.88</v>
      </c>
      <c r="J1842" s="4">
        <v>3.77</v>
      </c>
      <c r="X1842" s="62">
        <v>3.0</v>
      </c>
    </row>
    <row r="1843">
      <c r="A1843" s="4" t="s">
        <v>4465</v>
      </c>
      <c r="B1843" s="4" t="s">
        <v>398</v>
      </c>
      <c r="C1843" s="4">
        <v>29.0</v>
      </c>
      <c r="D1843" s="4" t="s">
        <v>4375</v>
      </c>
      <c r="E1843" s="4" t="s">
        <v>1088</v>
      </c>
      <c r="F1843" s="54" t="s">
        <v>405</v>
      </c>
      <c r="G1843" s="4">
        <v>4.2</v>
      </c>
      <c r="H1843" s="4">
        <v>3.82</v>
      </c>
      <c r="I1843" s="4">
        <v>3.79</v>
      </c>
      <c r="J1843" s="4">
        <v>3.8</v>
      </c>
      <c r="X1843" s="62">
        <v>3.0</v>
      </c>
    </row>
    <row r="1844">
      <c r="A1844" s="4" t="s">
        <v>4466</v>
      </c>
      <c r="B1844" s="4" t="s">
        <v>398</v>
      </c>
      <c r="C1844" s="4">
        <v>30.0</v>
      </c>
      <c r="D1844" s="4" t="s">
        <v>4373</v>
      </c>
      <c r="E1844" s="4" t="s">
        <v>4270</v>
      </c>
      <c r="F1844" s="54" t="s">
        <v>405</v>
      </c>
      <c r="G1844" s="4">
        <v>20.62</v>
      </c>
      <c r="H1844" s="4">
        <v>20.59</v>
      </c>
      <c r="I1844" s="4">
        <v>20.58</v>
      </c>
      <c r="J1844" s="4">
        <v>21.01</v>
      </c>
      <c r="X1844" s="62">
        <v>3.0</v>
      </c>
    </row>
    <row r="1845">
      <c r="A1845" s="4" t="s">
        <v>4467</v>
      </c>
      <c r="B1845" s="4" t="s">
        <v>398</v>
      </c>
      <c r="C1845" s="4">
        <v>31.0</v>
      </c>
      <c r="D1845" s="4" t="s">
        <v>4411</v>
      </c>
      <c r="E1845" s="4" t="s">
        <v>1088</v>
      </c>
      <c r="F1845" s="54" t="s">
        <v>449</v>
      </c>
      <c r="G1845" s="4">
        <v>3.76</v>
      </c>
      <c r="H1845" s="4">
        <v>3.73</v>
      </c>
      <c r="I1845" s="4">
        <v>3.77</v>
      </c>
      <c r="J1845" s="4">
        <v>4.17</v>
      </c>
      <c r="X1845" s="62">
        <v>4.0</v>
      </c>
    </row>
    <row r="1846">
      <c r="A1846" s="4" t="s">
        <v>4468</v>
      </c>
      <c r="B1846" s="4" t="s">
        <v>398</v>
      </c>
      <c r="C1846" s="4">
        <v>32.0</v>
      </c>
      <c r="D1846" s="4" t="s">
        <v>4413</v>
      </c>
      <c r="E1846" s="4" t="s">
        <v>1088</v>
      </c>
      <c r="F1846" s="54" t="s">
        <v>449</v>
      </c>
      <c r="G1846" s="4">
        <v>3.72</v>
      </c>
      <c r="H1846" s="4">
        <v>3.76</v>
      </c>
      <c r="I1846" s="4">
        <v>3.75</v>
      </c>
      <c r="J1846" s="4">
        <v>4.17</v>
      </c>
      <c r="X1846" s="62">
        <v>4.0</v>
      </c>
    </row>
    <row r="1847">
      <c r="A1847" s="4" t="s">
        <v>4469</v>
      </c>
      <c r="B1847" s="4" t="s">
        <v>398</v>
      </c>
      <c r="C1847" s="4">
        <v>33.0</v>
      </c>
      <c r="D1847" s="4" t="s">
        <v>4411</v>
      </c>
      <c r="E1847" s="4" t="s">
        <v>4270</v>
      </c>
      <c r="F1847" s="54" t="s">
        <v>449</v>
      </c>
      <c r="G1847" s="4">
        <v>15.59</v>
      </c>
      <c r="H1847" s="4">
        <v>16.06</v>
      </c>
      <c r="I1847" s="4">
        <v>15.68</v>
      </c>
      <c r="J1847" s="4">
        <v>15.65</v>
      </c>
      <c r="X1847" s="62">
        <v>4.0</v>
      </c>
    </row>
    <row r="1848">
      <c r="A1848" s="4" t="s">
        <v>4470</v>
      </c>
      <c r="B1848" s="4" t="s">
        <v>398</v>
      </c>
      <c r="C1848" s="4">
        <v>34.0</v>
      </c>
      <c r="D1848" s="4" t="s">
        <v>4413</v>
      </c>
      <c r="E1848" s="4" t="s">
        <v>4270</v>
      </c>
      <c r="F1848" s="54" t="s">
        <v>449</v>
      </c>
      <c r="G1848" s="4">
        <v>15.55</v>
      </c>
      <c r="H1848" s="4">
        <v>15.55</v>
      </c>
      <c r="I1848" s="4">
        <v>15.55</v>
      </c>
      <c r="J1848" s="4">
        <v>15.54</v>
      </c>
      <c r="X1848" s="62">
        <v>4.0</v>
      </c>
    </row>
    <row r="1849">
      <c r="A1849" s="4" t="s">
        <v>4471</v>
      </c>
      <c r="B1849" s="4" t="s">
        <v>398</v>
      </c>
      <c r="C1849" s="4">
        <v>35.0</v>
      </c>
      <c r="D1849" s="4" t="s">
        <v>4417</v>
      </c>
      <c r="E1849" s="4" t="s">
        <v>1088</v>
      </c>
      <c r="F1849" s="54" t="s">
        <v>449</v>
      </c>
      <c r="G1849" s="4">
        <v>2.91</v>
      </c>
      <c r="H1849" s="4">
        <v>2.85</v>
      </c>
      <c r="I1849" s="4">
        <v>2.84</v>
      </c>
      <c r="J1849" s="4">
        <v>2.91</v>
      </c>
      <c r="X1849" s="62">
        <v>4.0</v>
      </c>
    </row>
    <row r="1850">
      <c r="A1850" s="4" t="s">
        <v>4472</v>
      </c>
      <c r="B1850" s="4" t="s">
        <v>398</v>
      </c>
      <c r="C1850" s="4">
        <v>36.0</v>
      </c>
      <c r="D1850" s="4" t="s">
        <v>4419</v>
      </c>
      <c r="E1850" s="4" t="s">
        <v>1088</v>
      </c>
      <c r="F1850" s="54" t="s">
        <v>449</v>
      </c>
      <c r="G1850" s="4">
        <v>2.87</v>
      </c>
      <c r="H1850" s="4">
        <v>3.34</v>
      </c>
      <c r="I1850" s="4">
        <v>2.88</v>
      </c>
      <c r="J1850" s="4">
        <v>3.28</v>
      </c>
      <c r="X1850" s="62">
        <v>4.0</v>
      </c>
    </row>
    <row r="1851">
      <c r="A1851" s="4" t="s">
        <v>4473</v>
      </c>
      <c r="B1851" s="4" t="s">
        <v>398</v>
      </c>
      <c r="C1851" s="4">
        <v>37.0</v>
      </c>
      <c r="D1851" s="4" t="s">
        <v>4417</v>
      </c>
      <c r="E1851" s="4" t="s">
        <v>4270</v>
      </c>
      <c r="F1851" s="54" t="s">
        <v>449</v>
      </c>
      <c r="G1851" s="4">
        <v>20.7</v>
      </c>
      <c r="H1851" s="4">
        <v>20.99</v>
      </c>
      <c r="I1851" s="4">
        <v>21.12</v>
      </c>
      <c r="J1851" s="4">
        <v>21.14</v>
      </c>
      <c r="X1851" s="62">
        <v>4.0</v>
      </c>
    </row>
    <row r="1852">
      <c r="A1852" s="4" t="s">
        <v>4474</v>
      </c>
      <c r="B1852" s="4" t="s">
        <v>398</v>
      </c>
      <c r="C1852" s="4">
        <v>38.0</v>
      </c>
      <c r="D1852" s="4" t="s">
        <v>4419</v>
      </c>
      <c r="E1852" s="4" t="s">
        <v>4270</v>
      </c>
      <c r="F1852" s="54" t="s">
        <v>449</v>
      </c>
      <c r="G1852" s="4">
        <v>20.7</v>
      </c>
      <c r="H1852" s="4">
        <v>20.67</v>
      </c>
      <c r="I1852" s="4">
        <v>21.06</v>
      </c>
      <c r="J1852" s="4">
        <v>20.67</v>
      </c>
      <c r="X1852" s="62">
        <v>4.0</v>
      </c>
    </row>
    <row r="1853">
      <c r="A1853" s="4" t="s">
        <v>4475</v>
      </c>
      <c r="B1853" s="4" t="s">
        <v>398</v>
      </c>
      <c r="C1853" s="4">
        <v>39.0</v>
      </c>
      <c r="D1853" s="4" t="s">
        <v>4378</v>
      </c>
      <c r="E1853" s="4" t="s">
        <v>1088</v>
      </c>
      <c r="F1853" s="54" t="s">
        <v>534</v>
      </c>
      <c r="G1853" s="4">
        <v>3.58</v>
      </c>
      <c r="H1853" s="4">
        <v>3.52</v>
      </c>
      <c r="I1853" s="4">
        <v>3.54</v>
      </c>
      <c r="J1853" s="4">
        <v>3.56</v>
      </c>
      <c r="X1853" s="62">
        <v>8.0</v>
      </c>
    </row>
    <row r="1854">
      <c r="A1854" s="4" t="s">
        <v>4476</v>
      </c>
      <c r="B1854" s="4" t="s">
        <v>398</v>
      </c>
      <c r="C1854" s="4">
        <v>40.0</v>
      </c>
      <c r="D1854" s="4" t="s">
        <v>4378</v>
      </c>
      <c r="E1854" s="4" t="s">
        <v>4270</v>
      </c>
      <c r="F1854" s="54" t="s">
        <v>534</v>
      </c>
      <c r="G1854" s="4">
        <v>15.98</v>
      </c>
      <c r="H1854" s="4">
        <v>15.51</v>
      </c>
      <c r="I1854" s="4">
        <v>15.59</v>
      </c>
      <c r="J1854" s="4">
        <v>15.46</v>
      </c>
      <c r="X1854" s="62">
        <v>8.0</v>
      </c>
    </row>
    <row r="1855">
      <c r="A1855" s="4" t="s">
        <v>4477</v>
      </c>
      <c r="B1855" s="4" t="s">
        <v>398</v>
      </c>
      <c r="C1855" s="4">
        <v>41.0</v>
      </c>
      <c r="D1855" s="4" t="s">
        <v>4378</v>
      </c>
      <c r="E1855" s="4" t="s">
        <v>3816</v>
      </c>
      <c r="F1855" s="54" t="s">
        <v>534</v>
      </c>
      <c r="G1855" s="4">
        <v>16.03</v>
      </c>
      <c r="H1855" s="4">
        <v>16.44</v>
      </c>
      <c r="I1855" s="4">
        <v>15.48</v>
      </c>
      <c r="J1855" s="4">
        <v>16.03</v>
      </c>
      <c r="X1855" s="62">
        <v>8.0</v>
      </c>
    </row>
    <row r="1856">
      <c r="A1856" s="4" t="s">
        <v>4478</v>
      </c>
      <c r="B1856" s="4" t="s">
        <v>398</v>
      </c>
      <c r="C1856" s="4">
        <v>42.0</v>
      </c>
      <c r="D1856" s="4" t="s">
        <v>4382</v>
      </c>
      <c r="E1856" s="4" t="s">
        <v>1088</v>
      </c>
      <c r="F1856" s="54" t="s">
        <v>534</v>
      </c>
      <c r="G1856" s="4">
        <v>3.97</v>
      </c>
      <c r="H1856" s="4">
        <v>3.93</v>
      </c>
      <c r="I1856" s="4">
        <v>3.94</v>
      </c>
      <c r="J1856" s="4">
        <v>4.06</v>
      </c>
      <c r="X1856" s="62">
        <v>8.0</v>
      </c>
    </row>
    <row r="1857">
      <c r="A1857" s="4" t="s">
        <v>4479</v>
      </c>
      <c r="B1857" s="4" t="s">
        <v>398</v>
      </c>
      <c r="C1857" s="4">
        <v>43.0</v>
      </c>
      <c r="D1857" s="4" t="s">
        <v>4480</v>
      </c>
      <c r="E1857" s="4" t="s">
        <v>1088</v>
      </c>
      <c r="F1857" s="54" t="s">
        <v>534</v>
      </c>
      <c r="G1857" s="4">
        <v>3.94</v>
      </c>
      <c r="H1857" s="4">
        <v>3.86</v>
      </c>
      <c r="I1857" s="4">
        <v>3.92</v>
      </c>
      <c r="J1857" s="4">
        <v>4.11</v>
      </c>
      <c r="X1857" s="62">
        <v>8.0</v>
      </c>
    </row>
    <row r="1858">
      <c r="A1858" s="4" t="s">
        <v>4481</v>
      </c>
      <c r="B1858" s="4" t="s">
        <v>398</v>
      </c>
      <c r="C1858" s="4">
        <v>44.0</v>
      </c>
      <c r="D1858" s="4" t="s">
        <v>4382</v>
      </c>
      <c r="E1858" s="4" t="s">
        <v>4270</v>
      </c>
      <c r="F1858" s="54" t="s">
        <v>534</v>
      </c>
      <c r="G1858" s="4">
        <v>15.51</v>
      </c>
      <c r="H1858" s="4">
        <v>15.44</v>
      </c>
      <c r="I1858" s="4">
        <v>15.53</v>
      </c>
      <c r="J1858" s="4">
        <v>15.44</v>
      </c>
      <c r="X1858" s="62">
        <v>8.0</v>
      </c>
    </row>
    <row r="1859">
      <c r="A1859" s="4" t="s">
        <v>4482</v>
      </c>
      <c r="B1859" s="4" t="s">
        <v>398</v>
      </c>
      <c r="C1859" s="4">
        <v>45.0</v>
      </c>
      <c r="D1859" s="4" t="s">
        <v>4480</v>
      </c>
      <c r="E1859" s="4" t="s">
        <v>3816</v>
      </c>
      <c r="F1859" s="54" t="s">
        <v>534</v>
      </c>
      <c r="G1859" s="4">
        <v>15.96</v>
      </c>
      <c r="H1859" s="4">
        <v>16.44</v>
      </c>
      <c r="I1859" s="4">
        <v>16.03</v>
      </c>
      <c r="J1859" s="4">
        <v>16.06</v>
      </c>
      <c r="X1859" s="62">
        <v>8.0</v>
      </c>
    </row>
    <row r="1860">
      <c r="A1860" s="4" t="s">
        <v>4483</v>
      </c>
      <c r="B1860" s="4" t="s">
        <v>398</v>
      </c>
      <c r="C1860" s="4">
        <v>46.0</v>
      </c>
      <c r="D1860" s="4" t="s">
        <v>4386</v>
      </c>
      <c r="E1860" s="4" t="s">
        <v>1088</v>
      </c>
      <c r="F1860" s="54" t="s">
        <v>399</v>
      </c>
      <c r="G1860" s="4">
        <v>3.41</v>
      </c>
      <c r="H1860" s="4">
        <v>3.66</v>
      </c>
      <c r="I1860" s="4">
        <v>3.41</v>
      </c>
      <c r="J1860" s="4">
        <v>3.4</v>
      </c>
      <c r="X1860" s="62">
        <v>2.0</v>
      </c>
    </row>
    <row r="1861">
      <c r="A1861" s="4" t="s">
        <v>4484</v>
      </c>
      <c r="B1861" s="4" t="s">
        <v>398</v>
      </c>
      <c r="C1861" s="4">
        <v>47.0</v>
      </c>
      <c r="D1861" s="4" t="s">
        <v>4386</v>
      </c>
      <c r="E1861" s="4" t="s">
        <v>4270</v>
      </c>
      <c r="F1861" s="54" t="s">
        <v>399</v>
      </c>
      <c r="G1861" s="4">
        <v>19.53</v>
      </c>
      <c r="H1861" s="4">
        <v>19.1</v>
      </c>
      <c r="I1861" s="4">
        <v>19.56</v>
      </c>
      <c r="J1861" s="4">
        <v>19.51</v>
      </c>
      <c r="X1861" s="62">
        <v>2.0</v>
      </c>
    </row>
    <row r="1862">
      <c r="A1862" s="4" t="s">
        <v>4485</v>
      </c>
      <c r="B1862" s="4" t="s">
        <v>398</v>
      </c>
      <c r="C1862" s="4">
        <v>48.0</v>
      </c>
      <c r="D1862" s="4" t="s">
        <v>4405</v>
      </c>
      <c r="E1862" s="4" t="s">
        <v>1088</v>
      </c>
      <c r="F1862" s="54" t="s">
        <v>287</v>
      </c>
      <c r="G1862" s="4">
        <v>11.89</v>
      </c>
      <c r="H1862" s="4">
        <v>12.0</v>
      </c>
      <c r="I1862" s="4">
        <v>11.99</v>
      </c>
      <c r="J1862" s="4">
        <v>12.0</v>
      </c>
      <c r="X1862" s="62">
        <v>20.0</v>
      </c>
    </row>
    <row r="1863">
      <c r="A1863" s="4" t="s">
        <v>4486</v>
      </c>
      <c r="B1863" s="4" t="s">
        <v>398</v>
      </c>
      <c r="C1863" s="4">
        <v>49.0</v>
      </c>
      <c r="D1863" s="4" t="s">
        <v>4407</v>
      </c>
      <c r="E1863" s="4" t="s">
        <v>1088</v>
      </c>
      <c r="F1863" s="54" t="s">
        <v>287</v>
      </c>
      <c r="G1863" s="4">
        <v>11.81</v>
      </c>
      <c r="H1863" s="4">
        <v>12.36</v>
      </c>
      <c r="I1863" s="4">
        <v>12.0</v>
      </c>
      <c r="J1863" s="4">
        <v>12.01</v>
      </c>
      <c r="X1863" s="62">
        <v>20.0</v>
      </c>
    </row>
    <row r="1864">
      <c r="A1864" s="4" t="s">
        <v>4487</v>
      </c>
      <c r="B1864" s="4" t="s">
        <v>398</v>
      </c>
      <c r="C1864" s="4">
        <v>50.0</v>
      </c>
      <c r="D1864" s="4" t="s">
        <v>4405</v>
      </c>
      <c r="E1864" s="4" t="s">
        <v>4270</v>
      </c>
      <c r="F1864" s="54" t="s">
        <v>287</v>
      </c>
      <c r="G1864" s="4">
        <v>31.13</v>
      </c>
      <c r="H1864" s="4">
        <v>31.14</v>
      </c>
      <c r="I1864" s="4">
        <v>30.98</v>
      </c>
      <c r="J1864" s="4">
        <v>31.44</v>
      </c>
      <c r="X1864" s="62">
        <v>20.0</v>
      </c>
    </row>
    <row r="1865">
      <c r="A1865" s="4" t="s">
        <v>4488</v>
      </c>
      <c r="B1865" s="4" t="s">
        <v>398</v>
      </c>
      <c r="C1865" s="4">
        <v>51.0</v>
      </c>
      <c r="D1865" s="4" t="s">
        <v>4405</v>
      </c>
      <c r="E1865" s="4" t="s">
        <v>3816</v>
      </c>
      <c r="F1865" s="54" t="s">
        <v>287</v>
      </c>
      <c r="G1865" s="4">
        <v>31.99</v>
      </c>
      <c r="H1865" s="4">
        <v>32.01</v>
      </c>
      <c r="I1865" s="4">
        <v>31.99</v>
      </c>
      <c r="J1865" s="4">
        <v>32.52</v>
      </c>
      <c r="X1865" s="62">
        <v>20.0</v>
      </c>
    </row>
    <row r="1866">
      <c r="A1866" s="4" t="s">
        <v>4489</v>
      </c>
      <c r="B1866" s="4" t="s">
        <v>398</v>
      </c>
      <c r="C1866" s="4">
        <v>52.0</v>
      </c>
      <c r="D1866" s="4" t="s">
        <v>4389</v>
      </c>
      <c r="E1866" s="4" t="s">
        <v>1088</v>
      </c>
      <c r="F1866" s="54" t="s">
        <v>449</v>
      </c>
      <c r="G1866" s="4">
        <v>3.74</v>
      </c>
      <c r="H1866" s="4">
        <v>3.77</v>
      </c>
      <c r="I1866" s="4">
        <v>3.75</v>
      </c>
      <c r="J1866" s="4">
        <v>3.73</v>
      </c>
      <c r="X1866" s="62">
        <v>4.0</v>
      </c>
    </row>
    <row r="1867">
      <c r="A1867" s="4" t="s">
        <v>4490</v>
      </c>
      <c r="B1867" s="4" t="s">
        <v>398</v>
      </c>
      <c r="C1867" s="4">
        <v>53.0</v>
      </c>
      <c r="D1867" s="4" t="s">
        <v>4389</v>
      </c>
      <c r="E1867" s="4" t="s">
        <v>4270</v>
      </c>
      <c r="F1867" s="54" t="s">
        <v>449</v>
      </c>
      <c r="G1867" s="4">
        <v>20.69</v>
      </c>
      <c r="H1867" s="4">
        <v>20.32</v>
      </c>
      <c r="I1867" s="4">
        <v>20.43</v>
      </c>
      <c r="J1867" s="4">
        <v>20.83</v>
      </c>
      <c r="X1867" s="62">
        <v>4.0</v>
      </c>
    </row>
    <row r="1868">
      <c r="A1868" s="4" t="s">
        <v>4491</v>
      </c>
      <c r="B1868" s="4" t="s">
        <v>398</v>
      </c>
      <c r="C1868" s="4">
        <v>54.0</v>
      </c>
      <c r="D1868" s="4" t="s">
        <v>4423</v>
      </c>
      <c r="E1868" s="4" t="s">
        <v>1088</v>
      </c>
      <c r="F1868" s="54" t="s">
        <v>357</v>
      </c>
      <c r="G1868" s="4">
        <v>3.79</v>
      </c>
      <c r="H1868" s="4">
        <v>3.8</v>
      </c>
      <c r="I1868" s="4">
        <v>3.81</v>
      </c>
      <c r="J1868" s="4">
        <v>3.78</v>
      </c>
      <c r="X1868" s="62">
        <v>6.0</v>
      </c>
    </row>
    <row r="1869">
      <c r="A1869" s="4" t="s">
        <v>4492</v>
      </c>
      <c r="B1869" s="4" t="s">
        <v>398</v>
      </c>
      <c r="C1869" s="4">
        <v>55.0</v>
      </c>
      <c r="D1869" s="4" t="s">
        <v>4423</v>
      </c>
      <c r="E1869" s="4" t="s">
        <v>4270</v>
      </c>
      <c r="F1869" s="54" t="s">
        <v>449</v>
      </c>
      <c r="G1869" s="4">
        <v>22.54</v>
      </c>
      <c r="H1869" s="4">
        <v>22.61</v>
      </c>
      <c r="I1869" s="4">
        <v>22.57</v>
      </c>
      <c r="J1869" s="4">
        <v>22.58</v>
      </c>
      <c r="X1869" s="62">
        <v>4.0</v>
      </c>
    </row>
    <row r="1870">
      <c r="A1870" s="4" t="s">
        <v>4493</v>
      </c>
      <c r="B1870" s="4" t="s">
        <v>404</v>
      </c>
      <c r="C1870" s="4">
        <v>1.0</v>
      </c>
      <c r="D1870" s="4" t="s">
        <v>4392</v>
      </c>
      <c r="E1870" s="4" t="s">
        <v>1088</v>
      </c>
      <c r="F1870" s="54" t="s">
        <v>4261</v>
      </c>
      <c r="G1870" s="4">
        <v>31.25</v>
      </c>
      <c r="H1870" s="4">
        <v>29.82</v>
      </c>
      <c r="I1870" s="4">
        <v>31.01</v>
      </c>
      <c r="J1870" s="4">
        <v>30.79</v>
      </c>
      <c r="X1870" s="55" t="str">
        <f t="shared" ref="X1870:X2207" si="3">CALCULAR_NOMINAL_ASME(J1870,K1870:V1870)</f>
        <v>#NAME?</v>
      </c>
    </row>
    <row r="1871">
      <c r="A1871" s="4" t="s">
        <v>4494</v>
      </c>
      <c r="B1871" s="4" t="s">
        <v>404</v>
      </c>
      <c r="C1871" s="4">
        <v>2.0</v>
      </c>
      <c r="D1871" s="4" t="s">
        <v>4332</v>
      </c>
      <c r="E1871" s="4" t="s">
        <v>1088</v>
      </c>
      <c r="F1871" s="54" t="s">
        <v>4261</v>
      </c>
      <c r="G1871" s="4">
        <v>30.94</v>
      </c>
      <c r="H1871" s="4">
        <v>29.95</v>
      </c>
      <c r="I1871" s="4">
        <v>30.92</v>
      </c>
      <c r="J1871" s="4">
        <v>30.78</v>
      </c>
      <c r="X1871" s="55" t="str">
        <f t="shared" si="3"/>
        <v>#NAME?</v>
      </c>
    </row>
    <row r="1872">
      <c r="A1872" s="4" t="s">
        <v>4495</v>
      </c>
      <c r="B1872" s="4" t="s">
        <v>404</v>
      </c>
      <c r="C1872" s="4">
        <v>3.0</v>
      </c>
      <c r="D1872" s="4" t="s">
        <v>4496</v>
      </c>
      <c r="E1872" s="4" t="s">
        <v>1088</v>
      </c>
      <c r="F1872" s="54" t="s">
        <v>4261</v>
      </c>
      <c r="G1872" s="4">
        <v>6.09</v>
      </c>
      <c r="H1872" s="4">
        <v>6.08</v>
      </c>
      <c r="I1872" s="4">
        <v>6.04</v>
      </c>
      <c r="J1872" s="4">
        <v>6.06</v>
      </c>
      <c r="X1872" s="55" t="str">
        <f t="shared" si="3"/>
        <v>#NAME?</v>
      </c>
    </row>
    <row r="1873">
      <c r="A1873" s="4" t="s">
        <v>4497</v>
      </c>
      <c r="B1873" s="4" t="s">
        <v>404</v>
      </c>
      <c r="C1873" s="4">
        <v>4.0</v>
      </c>
      <c r="D1873" s="4" t="s">
        <v>4498</v>
      </c>
      <c r="E1873" s="4" t="s">
        <v>1088</v>
      </c>
      <c r="F1873" s="54" t="s">
        <v>4261</v>
      </c>
      <c r="G1873" s="4">
        <v>6.14</v>
      </c>
      <c r="H1873" s="4">
        <v>6.1</v>
      </c>
      <c r="I1873" s="4">
        <v>6.13</v>
      </c>
      <c r="J1873" s="4">
        <v>6.02</v>
      </c>
      <c r="X1873" s="55" t="str">
        <f t="shared" si="3"/>
        <v>#NAME?</v>
      </c>
    </row>
    <row r="1874">
      <c r="A1874" s="4" t="s">
        <v>4499</v>
      </c>
      <c r="B1874" s="4" t="s">
        <v>404</v>
      </c>
      <c r="C1874" s="4">
        <v>5.0</v>
      </c>
      <c r="D1874" s="4" t="s">
        <v>4500</v>
      </c>
      <c r="E1874" s="4" t="s">
        <v>1088</v>
      </c>
      <c r="F1874" s="54" t="s">
        <v>4261</v>
      </c>
      <c r="G1874" s="4">
        <v>6.15</v>
      </c>
      <c r="H1874" s="4">
        <v>6.14</v>
      </c>
      <c r="I1874" s="4">
        <v>6.11</v>
      </c>
      <c r="J1874" s="4">
        <v>6.06</v>
      </c>
      <c r="X1874" s="55" t="str">
        <f t="shared" si="3"/>
        <v>#NAME?</v>
      </c>
    </row>
    <row r="1875">
      <c r="A1875" s="4" t="s">
        <v>4501</v>
      </c>
      <c r="B1875" s="4" t="s">
        <v>404</v>
      </c>
      <c r="C1875" s="4">
        <v>6.0</v>
      </c>
      <c r="D1875" s="4" t="s">
        <v>4502</v>
      </c>
      <c r="E1875" s="4" t="s">
        <v>1088</v>
      </c>
      <c r="F1875" s="54" t="s">
        <v>4261</v>
      </c>
      <c r="G1875" s="4">
        <v>6.1</v>
      </c>
      <c r="H1875" s="4">
        <v>6.08</v>
      </c>
      <c r="I1875" s="4">
        <v>6.06</v>
      </c>
      <c r="J1875" s="4">
        <v>6.09</v>
      </c>
      <c r="X1875" s="55" t="str">
        <f t="shared" si="3"/>
        <v>#NAME?</v>
      </c>
    </row>
    <row r="1876">
      <c r="A1876" s="4" t="s">
        <v>4503</v>
      </c>
      <c r="B1876" s="4" t="s">
        <v>404</v>
      </c>
      <c r="C1876" s="4">
        <v>7.0</v>
      </c>
      <c r="D1876" s="4" t="s">
        <v>4338</v>
      </c>
      <c r="E1876" s="4" t="s">
        <v>1088</v>
      </c>
      <c r="F1876" s="54" t="s">
        <v>632</v>
      </c>
      <c r="G1876" s="4">
        <v>5.1</v>
      </c>
      <c r="H1876" s="4">
        <v>5.01</v>
      </c>
      <c r="I1876" s="4">
        <v>5.01</v>
      </c>
      <c r="J1876" s="4">
        <v>5.06</v>
      </c>
      <c r="X1876" s="55" t="str">
        <f t="shared" si="3"/>
        <v>#NAME?</v>
      </c>
    </row>
    <row r="1877">
      <c r="A1877" s="4" t="s">
        <v>4504</v>
      </c>
      <c r="B1877" s="4" t="s">
        <v>404</v>
      </c>
      <c r="C1877" s="4">
        <v>8.0</v>
      </c>
      <c r="D1877" s="4" t="s">
        <v>4340</v>
      </c>
      <c r="E1877" s="4" t="s">
        <v>1088</v>
      </c>
      <c r="F1877" s="54" t="s">
        <v>632</v>
      </c>
      <c r="G1877" s="4">
        <v>4.99</v>
      </c>
      <c r="H1877" s="4">
        <v>5.03</v>
      </c>
      <c r="I1877" s="4">
        <v>4.98</v>
      </c>
      <c r="J1877" s="4">
        <v>4.97</v>
      </c>
      <c r="X1877" s="55" t="str">
        <f t="shared" si="3"/>
        <v>#NAME?</v>
      </c>
    </row>
    <row r="1878">
      <c r="A1878" s="4" t="s">
        <v>4505</v>
      </c>
      <c r="B1878" s="4" t="s">
        <v>404</v>
      </c>
      <c r="C1878" s="4">
        <v>9.0</v>
      </c>
      <c r="D1878" s="4" t="s">
        <v>4338</v>
      </c>
      <c r="E1878" s="4" t="s">
        <v>4270</v>
      </c>
      <c r="F1878" s="54" t="s">
        <v>632</v>
      </c>
      <c r="G1878" s="4">
        <v>20.35</v>
      </c>
      <c r="H1878" s="4">
        <v>19.86</v>
      </c>
      <c r="I1878" s="4">
        <v>19.89</v>
      </c>
      <c r="J1878" s="4">
        <v>19.86</v>
      </c>
      <c r="X1878" s="55" t="str">
        <f t="shared" si="3"/>
        <v>#NAME?</v>
      </c>
    </row>
    <row r="1879">
      <c r="A1879" s="4" t="s">
        <v>4506</v>
      </c>
      <c r="B1879" s="4" t="s">
        <v>404</v>
      </c>
      <c r="C1879" s="4">
        <v>10.0</v>
      </c>
      <c r="D1879" s="4" t="s">
        <v>4338</v>
      </c>
      <c r="E1879" s="4" t="s">
        <v>3816</v>
      </c>
      <c r="F1879" s="54" t="s">
        <v>632</v>
      </c>
      <c r="G1879" s="4">
        <v>24.48</v>
      </c>
      <c r="H1879" s="4">
        <v>24.45</v>
      </c>
      <c r="I1879" s="4">
        <v>24.47</v>
      </c>
      <c r="J1879" s="4">
        <v>24.51</v>
      </c>
      <c r="X1879" s="55" t="str">
        <f t="shared" si="3"/>
        <v>#NAME?</v>
      </c>
    </row>
    <row r="1880">
      <c r="A1880" s="4" t="s">
        <v>4507</v>
      </c>
      <c r="B1880" s="4" t="s">
        <v>404</v>
      </c>
      <c r="C1880" s="4">
        <v>11.0</v>
      </c>
      <c r="D1880" s="4" t="s">
        <v>4344</v>
      </c>
      <c r="E1880" s="4" t="s">
        <v>1088</v>
      </c>
      <c r="F1880" s="54" t="s">
        <v>357</v>
      </c>
      <c r="G1880" s="4">
        <v>4.0</v>
      </c>
      <c r="H1880" s="4">
        <v>3.93</v>
      </c>
      <c r="I1880" s="4">
        <v>4.01</v>
      </c>
      <c r="J1880" s="4">
        <v>3.92</v>
      </c>
      <c r="X1880" s="55" t="str">
        <f t="shared" si="3"/>
        <v>#NAME?</v>
      </c>
    </row>
    <row r="1881">
      <c r="A1881" s="4" t="s">
        <v>4508</v>
      </c>
      <c r="B1881" s="4" t="s">
        <v>404</v>
      </c>
      <c r="C1881" s="4">
        <v>12.0</v>
      </c>
      <c r="D1881" s="4" t="s">
        <v>4346</v>
      </c>
      <c r="E1881" s="4" t="s">
        <v>1088</v>
      </c>
      <c r="F1881" s="54" t="s">
        <v>357</v>
      </c>
      <c r="G1881" s="4">
        <v>3.99</v>
      </c>
      <c r="H1881" s="4">
        <v>3.98</v>
      </c>
      <c r="I1881" s="4">
        <v>3.86</v>
      </c>
      <c r="J1881" s="4">
        <v>3.91</v>
      </c>
      <c r="X1881" s="55" t="str">
        <f t="shared" si="3"/>
        <v>#NAME?</v>
      </c>
    </row>
    <row r="1882">
      <c r="A1882" s="4" t="s">
        <v>4509</v>
      </c>
      <c r="B1882" s="4" t="s">
        <v>404</v>
      </c>
      <c r="C1882" s="4">
        <v>13.0</v>
      </c>
      <c r="D1882" s="4" t="s">
        <v>4344</v>
      </c>
      <c r="E1882" s="4" t="s">
        <v>4270</v>
      </c>
      <c r="F1882" s="54" t="s">
        <v>357</v>
      </c>
      <c r="G1882" s="4">
        <v>22.62</v>
      </c>
      <c r="H1882" s="4">
        <v>22.63</v>
      </c>
      <c r="I1882" s="4">
        <v>22.61</v>
      </c>
      <c r="J1882" s="4">
        <v>22.58</v>
      </c>
      <c r="X1882" s="55" t="str">
        <f t="shared" si="3"/>
        <v>#NAME?</v>
      </c>
    </row>
    <row r="1883">
      <c r="A1883" s="4" t="s">
        <v>4510</v>
      </c>
      <c r="B1883" s="4" t="s">
        <v>404</v>
      </c>
      <c r="C1883" s="4">
        <v>14.0</v>
      </c>
      <c r="D1883" s="4" t="s">
        <v>4344</v>
      </c>
      <c r="E1883" s="4" t="s">
        <v>4270</v>
      </c>
      <c r="F1883" s="54" t="s">
        <v>357</v>
      </c>
      <c r="G1883" s="4">
        <v>22.6</v>
      </c>
      <c r="H1883" s="4">
        <v>22.59</v>
      </c>
      <c r="I1883" s="4">
        <v>22.61</v>
      </c>
      <c r="J1883" s="4">
        <v>22.58</v>
      </c>
      <c r="X1883" s="55" t="str">
        <f t="shared" si="3"/>
        <v>#NAME?</v>
      </c>
    </row>
    <row r="1884">
      <c r="A1884" s="4" t="s">
        <v>4511</v>
      </c>
      <c r="B1884" s="4" t="s">
        <v>404</v>
      </c>
      <c r="C1884" s="4">
        <v>15.0</v>
      </c>
      <c r="D1884" s="4" t="s">
        <v>4349</v>
      </c>
      <c r="E1884" s="4" t="s">
        <v>1088</v>
      </c>
      <c r="F1884" s="54" t="s">
        <v>632</v>
      </c>
      <c r="G1884" s="4">
        <v>5.11</v>
      </c>
      <c r="H1884" s="4">
        <v>5.07</v>
      </c>
      <c r="I1884" s="4">
        <v>5.0</v>
      </c>
      <c r="J1884" s="4">
        <v>5.09</v>
      </c>
      <c r="X1884" s="55" t="str">
        <f t="shared" si="3"/>
        <v>#NAME?</v>
      </c>
    </row>
    <row r="1885">
      <c r="A1885" s="4" t="s">
        <v>4512</v>
      </c>
      <c r="B1885" s="4" t="s">
        <v>404</v>
      </c>
      <c r="C1885" s="4">
        <v>16.0</v>
      </c>
      <c r="D1885" s="4" t="s">
        <v>4351</v>
      </c>
      <c r="E1885" s="4" t="s">
        <v>1088</v>
      </c>
      <c r="F1885" s="54" t="s">
        <v>632</v>
      </c>
      <c r="G1885" s="4">
        <v>5.06</v>
      </c>
      <c r="H1885" s="4">
        <v>5.07</v>
      </c>
      <c r="I1885" s="4">
        <v>5.08</v>
      </c>
      <c r="J1885" s="4">
        <v>4.87</v>
      </c>
      <c r="X1885" s="55" t="str">
        <f t="shared" si="3"/>
        <v>#NAME?</v>
      </c>
    </row>
    <row r="1886">
      <c r="A1886" s="4" t="s">
        <v>4513</v>
      </c>
      <c r="B1886" s="4" t="s">
        <v>404</v>
      </c>
      <c r="C1886" s="4">
        <v>17.0</v>
      </c>
      <c r="D1886" s="4" t="s">
        <v>4349</v>
      </c>
      <c r="E1886" s="4" t="s">
        <v>4270</v>
      </c>
      <c r="F1886" s="54" t="s">
        <v>632</v>
      </c>
      <c r="G1886" s="4">
        <v>19.63</v>
      </c>
      <c r="H1886" s="4">
        <v>20.09</v>
      </c>
      <c r="I1886" s="4">
        <v>19.6</v>
      </c>
      <c r="J1886" s="4">
        <v>20.02</v>
      </c>
      <c r="X1886" s="55" t="str">
        <f t="shared" si="3"/>
        <v>#NAME?</v>
      </c>
    </row>
    <row r="1887">
      <c r="A1887" s="4" t="s">
        <v>4514</v>
      </c>
      <c r="B1887" s="4" t="s">
        <v>404</v>
      </c>
      <c r="C1887" s="4">
        <v>18.0</v>
      </c>
      <c r="D1887" s="4" t="s">
        <v>4349</v>
      </c>
      <c r="E1887" s="4" t="s">
        <v>3816</v>
      </c>
      <c r="F1887" s="54" t="s">
        <v>632</v>
      </c>
      <c r="G1887" s="4">
        <v>24.32</v>
      </c>
      <c r="H1887" s="4">
        <v>24.35</v>
      </c>
      <c r="I1887" s="4">
        <v>24.33</v>
      </c>
      <c r="J1887" s="4">
        <v>24.31</v>
      </c>
      <c r="X1887" s="55" t="str">
        <f t="shared" si="3"/>
        <v>#NAME?</v>
      </c>
    </row>
    <row r="1888">
      <c r="A1888" s="4" t="s">
        <v>4515</v>
      </c>
      <c r="B1888" s="4" t="s">
        <v>404</v>
      </c>
      <c r="C1888" s="4">
        <v>19.0</v>
      </c>
      <c r="D1888" s="4" t="s">
        <v>4355</v>
      </c>
      <c r="E1888" s="4" t="s">
        <v>1088</v>
      </c>
      <c r="F1888" s="54" t="s">
        <v>632</v>
      </c>
      <c r="G1888" s="4">
        <v>4.97</v>
      </c>
      <c r="H1888" s="4">
        <v>5.05</v>
      </c>
      <c r="I1888" s="4">
        <v>4.99</v>
      </c>
      <c r="J1888" s="4">
        <v>4.95</v>
      </c>
      <c r="X1888" s="55" t="str">
        <f t="shared" si="3"/>
        <v>#NAME?</v>
      </c>
    </row>
    <row r="1889">
      <c r="A1889" s="4" t="s">
        <v>4516</v>
      </c>
      <c r="B1889" s="4" t="s">
        <v>404</v>
      </c>
      <c r="C1889" s="4">
        <v>20.0</v>
      </c>
      <c r="D1889" s="4" t="s">
        <v>4357</v>
      </c>
      <c r="E1889" s="4" t="s">
        <v>1088</v>
      </c>
      <c r="F1889" s="54" t="s">
        <v>632</v>
      </c>
      <c r="G1889" s="4">
        <v>5.0</v>
      </c>
      <c r="H1889" s="4">
        <v>5.05</v>
      </c>
      <c r="I1889" s="4">
        <v>4.96</v>
      </c>
      <c r="J1889" s="4">
        <v>5.09</v>
      </c>
      <c r="X1889" s="55" t="str">
        <f t="shared" si="3"/>
        <v>#NAME?</v>
      </c>
    </row>
    <row r="1890">
      <c r="A1890" s="4" t="s">
        <v>4517</v>
      </c>
      <c r="B1890" s="4" t="s">
        <v>404</v>
      </c>
      <c r="C1890" s="4">
        <v>21.0</v>
      </c>
      <c r="D1890" s="4" t="s">
        <v>4355</v>
      </c>
      <c r="E1890" s="4" t="s">
        <v>4270</v>
      </c>
      <c r="F1890" s="54" t="s">
        <v>632</v>
      </c>
      <c r="G1890" s="4">
        <v>19.52</v>
      </c>
      <c r="H1890" s="4">
        <v>19.56</v>
      </c>
      <c r="I1890" s="4">
        <v>19.57</v>
      </c>
      <c r="J1890" s="4">
        <v>19.59</v>
      </c>
      <c r="X1890" s="55" t="str">
        <f t="shared" si="3"/>
        <v>#NAME?</v>
      </c>
    </row>
    <row r="1891">
      <c r="A1891" s="4" t="s">
        <v>4518</v>
      </c>
      <c r="B1891" s="4" t="s">
        <v>404</v>
      </c>
      <c r="C1891" s="4">
        <v>22.0</v>
      </c>
      <c r="D1891" s="4" t="s">
        <v>4355</v>
      </c>
      <c r="E1891" s="4" t="s">
        <v>3816</v>
      </c>
      <c r="F1891" s="54" t="s">
        <v>632</v>
      </c>
      <c r="G1891" s="4">
        <v>24.59</v>
      </c>
      <c r="H1891" s="4">
        <v>24.56</v>
      </c>
      <c r="I1891" s="4">
        <v>24.54</v>
      </c>
      <c r="J1891" s="4">
        <v>24.53</v>
      </c>
      <c r="X1891" s="55" t="str">
        <f t="shared" si="3"/>
        <v>#NAME?</v>
      </c>
    </row>
    <row r="1892">
      <c r="A1892" s="4" t="s">
        <v>4519</v>
      </c>
      <c r="B1892" s="4" t="s">
        <v>404</v>
      </c>
      <c r="C1892" s="4">
        <v>23.0</v>
      </c>
      <c r="D1892" s="4" t="s">
        <v>4361</v>
      </c>
      <c r="E1892" s="4" t="s">
        <v>1088</v>
      </c>
      <c r="F1892" s="54" t="s">
        <v>405</v>
      </c>
      <c r="G1892" s="4">
        <v>3.82</v>
      </c>
      <c r="H1892" s="4">
        <v>4.05</v>
      </c>
      <c r="I1892" s="4">
        <v>3.88</v>
      </c>
      <c r="J1892" s="4">
        <v>3.76</v>
      </c>
      <c r="X1892" s="55" t="str">
        <f t="shared" si="3"/>
        <v>#NAME?</v>
      </c>
    </row>
    <row r="1893">
      <c r="A1893" s="4" t="s">
        <v>4520</v>
      </c>
      <c r="B1893" s="4" t="s">
        <v>404</v>
      </c>
      <c r="C1893" s="4">
        <v>24.0</v>
      </c>
      <c r="D1893" s="4" t="s">
        <v>4363</v>
      </c>
      <c r="E1893" s="4" t="s">
        <v>1088</v>
      </c>
      <c r="F1893" s="54" t="s">
        <v>405</v>
      </c>
      <c r="G1893" s="4">
        <v>3.88</v>
      </c>
      <c r="H1893" s="4">
        <v>3.81</v>
      </c>
      <c r="I1893" s="4">
        <v>3.9</v>
      </c>
      <c r="J1893" s="4">
        <v>3.73</v>
      </c>
      <c r="X1893" s="55" t="str">
        <f t="shared" si="3"/>
        <v>#NAME?</v>
      </c>
    </row>
    <row r="1894">
      <c r="A1894" s="4" t="s">
        <v>4521</v>
      </c>
      <c r="B1894" s="4" t="s">
        <v>404</v>
      </c>
      <c r="C1894" s="4">
        <v>25.0</v>
      </c>
      <c r="D1894" s="4" t="s">
        <v>4361</v>
      </c>
      <c r="E1894" s="4" t="s">
        <v>4270</v>
      </c>
      <c r="F1894" s="54" t="s">
        <v>405</v>
      </c>
      <c r="G1894" s="4">
        <v>19.18</v>
      </c>
      <c r="H1894" s="4">
        <v>18.76</v>
      </c>
      <c r="I1894" s="4">
        <v>19.21</v>
      </c>
      <c r="J1894" s="4">
        <v>18.71</v>
      </c>
      <c r="X1894" s="55" t="str">
        <f t="shared" si="3"/>
        <v>#NAME?</v>
      </c>
    </row>
    <row r="1895">
      <c r="A1895" s="4" t="s">
        <v>4522</v>
      </c>
      <c r="B1895" s="4" t="s">
        <v>404</v>
      </c>
      <c r="C1895" s="4">
        <v>26.0</v>
      </c>
      <c r="D1895" s="4" t="s">
        <v>4367</v>
      </c>
      <c r="E1895" s="4" t="s">
        <v>1088</v>
      </c>
      <c r="F1895" s="54" t="s">
        <v>632</v>
      </c>
      <c r="G1895" s="4">
        <v>5.11</v>
      </c>
      <c r="H1895" s="4">
        <v>5.06</v>
      </c>
      <c r="I1895" s="4">
        <v>5.0</v>
      </c>
      <c r="J1895" s="4">
        <v>5.08</v>
      </c>
      <c r="X1895" s="55" t="str">
        <f t="shared" si="3"/>
        <v>#NAME?</v>
      </c>
    </row>
    <row r="1896">
      <c r="A1896" s="4" t="s">
        <v>4523</v>
      </c>
      <c r="B1896" s="4" t="s">
        <v>404</v>
      </c>
      <c r="C1896" s="4">
        <v>27.0</v>
      </c>
      <c r="D1896" s="4" t="s">
        <v>4369</v>
      </c>
      <c r="E1896" s="4" t="s">
        <v>1088</v>
      </c>
      <c r="F1896" s="54" t="s">
        <v>632</v>
      </c>
      <c r="G1896" s="4">
        <v>5.09</v>
      </c>
      <c r="H1896" s="4">
        <v>5.09</v>
      </c>
      <c r="I1896" s="4">
        <v>5.02</v>
      </c>
      <c r="J1896" s="4">
        <v>4.98</v>
      </c>
      <c r="X1896" s="55" t="str">
        <f t="shared" si="3"/>
        <v>#NAME?</v>
      </c>
    </row>
    <row r="1897">
      <c r="A1897" s="4" t="s">
        <v>4524</v>
      </c>
      <c r="B1897" s="4" t="s">
        <v>404</v>
      </c>
      <c r="C1897" s="4">
        <v>28.0</v>
      </c>
      <c r="D1897" s="4" t="s">
        <v>4367</v>
      </c>
      <c r="E1897" s="4" t="s">
        <v>4270</v>
      </c>
      <c r="F1897" s="54" t="s">
        <v>632</v>
      </c>
      <c r="G1897" s="4">
        <v>20.02</v>
      </c>
      <c r="H1897" s="4">
        <v>20.03</v>
      </c>
      <c r="I1897" s="4">
        <v>19.65</v>
      </c>
      <c r="J1897" s="4">
        <v>19.73</v>
      </c>
      <c r="X1897" s="55" t="str">
        <f t="shared" si="3"/>
        <v>#NAME?</v>
      </c>
    </row>
    <row r="1898">
      <c r="A1898" s="4" t="s">
        <v>4525</v>
      </c>
      <c r="B1898" s="4" t="s">
        <v>404</v>
      </c>
      <c r="C1898" s="4">
        <v>29.0</v>
      </c>
      <c r="D1898" s="4" t="s">
        <v>4367</v>
      </c>
      <c r="E1898" s="4" t="s">
        <v>3816</v>
      </c>
      <c r="F1898" s="54" t="s">
        <v>632</v>
      </c>
      <c r="G1898" s="4">
        <v>24.36</v>
      </c>
      <c r="H1898" s="4">
        <v>24.31</v>
      </c>
      <c r="I1898" s="4">
        <v>24.35</v>
      </c>
      <c r="J1898" s="4">
        <v>24.34</v>
      </c>
      <c r="X1898" s="55" t="str">
        <f t="shared" si="3"/>
        <v>#NAME?</v>
      </c>
    </row>
    <row r="1899">
      <c r="A1899" s="4" t="s">
        <v>4526</v>
      </c>
      <c r="B1899" s="4" t="s">
        <v>404</v>
      </c>
      <c r="C1899" s="4">
        <v>30.0</v>
      </c>
      <c r="D1899" s="4" t="s">
        <v>4373</v>
      </c>
      <c r="E1899" s="4" t="s">
        <v>1088</v>
      </c>
      <c r="F1899" s="54" t="s">
        <v>405</v>
      </c>
      <c r="G1899" s="4">
        <v>3.87</v>
      </c>
      <c r="H1899" s="4">
        <v>3.95</v>
      </c>
      <c r="I1899" s="4">
        <v>3.85</v>
      </c>
      <c r="J1899" s="4">
        <v>3.83</v>
      </c>
      <c r="X1899" s="55" t="str">
        <f t="shared" si="3"/>
        <v>#NAME?</v>
      </c>
    </row>
    <row r="1900">
      <c r="A1900" s="4" t="s">
        <v>4527</v>
      </c>
      <c r="B1900" s="4" t="s">
        <v>404</v>
      </c>
      <c r="C1900" s="4">
        <v>31.0</v>
      </c>
      <c r="D1900" s="4" t="s">
        <v>4375</v>
      </c>
      <c r="E1900" s="4" t="s">
        <v>1088</v>
      </c>
      <c r="F1900" s="54" t="s">
        <v>405</v>
      </c>
      <c r="G1900" s="4">
        <v>3.87</v>
      </c>
      <c r="H1900" s="4">
        <v>3.96</v>
      </c>
      <c r="I1900" s="4">
        <v>3.85</v>
      </c>
      <c r="J1900" s="4">
        <v>3.86</v>
      </c>
      <c r="X1900" s="55" t="str">
        <f t="shared" si="3"/>
        <v>#NAME?</v>
      </c>
    </row>
    <row r="1901">
      <c r="A1901" s="4" t="s">
        <v>4528</v>
      </c>
      <c r="B1901" s="4" t="s">
        <v>404</v>
      </c>
      <c r="C1901" s="4">
        <v>32.0</v>
      </c>
      <c r="D1901" s="4" t="s">
        <v>4373</v>
      </c>
      <c r="E1901" s="4" t="s">
        <v>4270</v>
      </c>
      <c r="F1901" s="54" t="s">
        <v>405</v>
      </c>
      <c r="G1901" s="4">
        <v>18.72</v>
      </c>
      <c r="H1901" s="4">
        <v>18.24</v>
      </c>
      <c r="I1901" s="4">
        <v>18.19</v>
      </c>
      <c r="J1901" s="4">
        <v>18.15</v>
      </c>
      <c r="X1901" s="55" t="str">
        <f t="shared" si="3"/>
        <v>#NAME?</v>
      </c>
    </row>
    <row r="1902">
      <c r="A1902" s="4" t="s">
        <v>4529</v>
      </c>
      <c r="B1902" s="4" t="s">
        <v>404</v>
      </c>
      <c r="C1902" s="4">
        <v>33.0</v>
      </c>
      <c r="D1902" s="4" t="s">
        <v>4411</v>
      </c>
      <c r="E1902" s="4" t="s">
        <v>1088</v>
      </c>
      <c r="F1902" s="54" t="s">
        <v>449</v>
      </c>
      <c r="G1902" s="4">
        <v>3.84</v>
      </c>
      <c r="H1902" s="4">
        <v>3.85</v>
      </c>
      <c r="I1902" s="4">
        <v>3.77</v>
      </c>
      <c r="J1902" s="4">
        <v>3.88</v>
      </c>
      <c r="X1902" s="55" t="str">
        <f t="shared" si="3"/>
        <v>#NAME?</v>
      </c>
    </row>
    <row r="1903">
      <c r="A1903" s="4" t="s">
        <v>4530</v>
      </c>
      <c r="B1903" s="4" t="s">
        <v>404</v>
      </c>
      <c r="C1903" s="4">
        <v>34.0</v>
      </c>
      <c r="D1903" s="4" t="s">
        <v>4413</v>
      </c>
      <c r="E1903" s="4" t="s">
        <v>1088</v>
      </c>
      <c r="F1903" s="54" t="s">
        <v>449</v>
      </c>
      <c r="G1903" s="4">
        <v>3.79</v>
      </c>
      <c r="H1903" s="4">
        <v>3.86</v>
      </c>
      <c r="I1903" s="4">
        <v>3.77</v>
      </c>
      <c r="J1903" s="4">
        <v>3.8</v>
      </c>
      <c r="X1903" s="55" t="str">
        <f t="shared" si="3"/>
        <v>#NAME?</v>
      </c>
    </row>
    <row r="1904">
      <c r="A1904" s="4" t="s">
        <v>4531</v>
      </c>
      <c r="B1904" s="4" t="s">
        <v>404</v>
      </c>
      <c r="C1904" s="4">
        <v>35.0</v>
      </c>
      <c r="D1904" s="4" t="s">
        <v>4411</v>
      </c>
      <c r="E1904" s="4" t="s">
        <v>4270</v>
      </c>
      <c r="F1904" s="54" t="s">
        <v>449</v>
      </c>
      <c r="G1904" s="4">
        <v>15.64</v>
      </c>
      <c r="H1904" s="4">
        <v>15.66</v>
      </c>
      <c r="I1904" s="4">
        <v>15.6</v>
      </c>
      <c r="J1904" s="4">
        <v>16.08</v>
      </c>
      <c r="X1904" s="55" t="str">
        <f t="shared" si="3"/>
        <v>#NAME?</v>
      </c>
    </row>
    <row r="1905">
      <c r="A1905" s="4" t="s">
        <v>4532</v>
      </c>
      <c r="B1905" s="4" t="s">
        <v>404</v>
      </c>
      <c r="C1905" s="4">
        <v>36.0</v>
      </c>
      <c r="D1905" s="4" t="s">
        <v>4411</v>
      </c>
      <c r="E1905" s="4" t="s">
        <v>4270</v>
      </c>
      <c r="F1905" s="54" t="s">
        <v>449</v>
      </c>
      <c r="G1905" s="4">
        <v>15.45</v>
      </c>
      <c r="H1905" s="4">
        <v>15.52</v>
      </c>
      <c r="I1905" s="4">
        <v>15.46</v>
      </c>
      <c r="J1905" s="4">
        <v>15.41</v>
      </c>
      <c r="X1905" s="55" t="str">
        <f t="shared" si="3"/>
        <v>#NAME?</v>
      </c>
    </row>
    <row r="1906">
      <c r="A1906" s="4" t="s">
        <v>4533</v>
      </c>
      <c r="B1906" s="4" t="s">
        <v>404</v>
      </c>
      <c r="C1906" s="4">
        <v>37.0</v>
      </c>
      <c r="D1906" s="4" t="s">
        <v>4417</v>
      </c>
      <c r="E1906" s="4" t="s">
        <v>1088</v>
      </c>
      <c r="F1906" s="54" t="s">
        <v>449</v>
      </c>
      <c r="G1906" s="4">
        <v>2.85</v>
      </c>
      <c r="H1906" s="4">
        <v>2.88</v>
      </c>
      <c r="I1906" s="4">
        <v>2.86</v>
      </c>
      <c r="J1906" s="4">
        <v>2.86</v>
      </c>
      <c r="X1906" s="55" t="str">
        <f t="shared" si="3"/>
        <v>#NAME?</v>
      </c>
    </row>
    <row r="1907">
      <c r="A1907" s="4" t="s">
        <v>4534</v>
      </c>
      <c r="B1907" s="4" t="s">
        <v>404</v>
      </c>
      <c r="C1907" s="4">
        <v>38.0</v>
      </c>
      <c r="D1907" s="4" t="s">
        <v>4419</v>
      </c>
      <c r="E1907" s="4" t="s">
        <v>1088</v>
      </c>
      <c r="F1907" s="54" t="s">
        <v>449</v>
      </c>
      <c r="G1907" s="4">
        <v>2.99</v>
      </c>
      <c r="H1907" s="4">
        <v>2.84</v>
      </c>
      <c r="I1907" s="4">
        <v>2.85</v>
      </c>
      <c r="X1907" s="55" t="str">
        <f t="shared" si="3"/>
        <v>#NAME?</v>
      </c>
    </row>
    <row r="1908">
      <c r="A1908" s="4" t="s">
        <v>4535</v>
      </c>
      <c r="B1908" s="4" t="s">
        <v>404</v>
      </c>
      <c r="C1908" s="4">
        <v>39.0</v>
      </c>
      <c r="D1908" s="4" t="s">
        <v>4417</v>
      </c>
      <c r="E1908" s="4" t="s">
        <v>4270</v>
      </c>
      <c r="F1908" s="54" t="s">
        <v>449</v>
      </c>
      <c r="G1908" s="4">
        <v>20.71</v>
      </c>
      <c r="H1908" s="4">
        <v>20.72</v>
      </c>
      <c r="I1908" s="4">
        <v>20.76</v>
      </c>
      <c r="J1908" s="4">
        <v>20.7</v>
      </c>
      <c r="X1908" s="55" t="str">
        <f t="shared" si="3"/>
        <v>#NAME?</v>
      </c>
    </row>
    <row r="1909">
      <c r="A1909" s="4" t="s">
        <v>4536</v>
      </c>
      <c r="B1909" s="4" t="s">
        <v>404</v>
      </c>
      <c r="C1909" s="4">
        <v>40.0</v>
      </c>
      <c r="D1909" s="4" t="s">
        <v>4417</v>
      </c>
      <c r="E1909" s="4" t="s">
        <v>4270</v>
      </c>
      <c r="F1909" s="54" t="s">
        <v>449</v>
      </c>
      <c r="G1909" s="4">
        <v>20.72</v>
      </c>
      <c r="H1909" s="4">
        <v>20.69</v>
      </c>
      <c r="I1909" s="4">
        <v>20.7</v>
      </c>
      <c r="J1909" s="4">
        <v>20.75</v>
      </c>
      <c r="X1909" s="55" t="str">
        <f t="shared" si="3"/>
        <v>#NAME?</v>
      </c>
    </row>
    <row r="1910">
      <c r="A1910" s="4" t="s">
        <v>4537</v>
      </c>
      <c r="B1910" s="4" t="s">
        <v>404</v>
      </c>
      <c r="C1910" s="4">
        <v>41.0</v>
      </c>
      <c r="D1910" s="4" t="s">
        <v>4378</v>
      </c>
      <c r="E1910" s="4" t="s">
        <v>1088</v>
      </c>
      <c r="F1910" s="54" t="s">
        <v>534</v>
      </c>
      <c r="G1910" s="4">
        <v>3.52</v>
      </c>
      <c r="H1910" s="4">
        <v>3.49</v>
      </c>
      <c r="I1910" s="4">
        <v>3.51</v>
      </c>
      <c r="J1910" s="4">
        <v>3.43</v>
      </c>
      <c r="X1910" s="55" t="str">
        <f t="shared" si="3"/>
        <v>#NAME?</v>
      </c>
    </row>
    <row r="1911">
      <c r="A1911" s="4" t="s">
        <v>4538</v>
      </c>
      <c r="B1911" s="4" t="s">
        <v>404</v>
      </c>
      <c r="C1911" s="4">
        <v>42.0</v>
      </c>
      <c r="D1911" s="4" t="s">
        <v>4539</v>
      </c>
      <c r="E1911" s="4" t="s">
        <v>1088</v>
      </c>
      <c r="F1911" s="54" t="s">
        <v>534</v>
      </c>
      <c r="G1911" s="4">
        <v>3.59</v>
      </c>
      <c r="H1911" s="4">
        <v>3.51</v>
      </c>
      <c r="I1911" s="4">
        <v>3.5</v>
      </c>
      <c r="J1911" s="4">
        <v>3.55</v>
      </c>
      <c r="X1911" s="55" t="str">
        <f t="shared" si="3"/>
        <v>#NAME?</v>
      </c>
    </row>
    <row r="1912">
      <c r="A1912" s="4" t="s">
        <v>4540</v>
      </c>
      <c r="B1912" s="4" t="s">
        <v>404</v>
      </c>
      <c r="C1912" s="4">
        <v>43.0</v>
      </c>
      <c r="D1912" s="4" t="s">
        <v>4378</v>
      </c>
      <c r="E1912" s="4" t="s">
        <v>4270</v>
      </c>
      <c r="F1912" s="54" t="s">
        <v>534</v>
      </c>
      <c r="G1912" s="4">
        <v>15.86</v>
      </c>
      <c r="H1912" s="4">
        <v>15.75</v>
      </c>
      <c r="I1912" s="4">
        <v>15.74</v>
      </c>
      <c r="J1912" s="4">
        <v>15.74</v>
      </c>
      <c r="X1912" s="55" t="str">
        <f t="shared" si="3"/>
        <v>#NAME?</v>
      </c>
    </row>
    <row r="1913">
      <c r="A1913" s="4" t="s">
        <v>4541</v>
      </c>
      <c r="B1913" s="4" t="s">
        <v>404</v>
      </c>
      <c r="C1913" s="4">
        <v>44.0</v>
      </c>
      <c r="D1913" s="4" t="s">
        <v>4378</v>
      </c>
      <c r="E1913" s="4" t="s">
        <v>3816</v>
      </c>
      <c r="F1913" s="54" t="s">
        <v>534</v>
      </c>
      <c r="G1913" s="4">
        <v>16.04</v>
      </c>
      <c r="H1913" s="4">
        <v>16.04</v>
      </c>
      <c r="I1913" s="4">
        <v>16.09</v>
      </c>
      <c r="J1913" s="4">
        <v>16.61</v>
      </c>
      <c r="X1913" s="55" t="str">
        <f t="shared" si="3"/>
        <v>#NAME?</v>
      </c>
    </row>
    <row r="1914">
      <c r="A1914" s="4" t="s">
        <v>4542</v>
      </c>
      <c r="B1914" s="4" t="s">
        <v>404</v>
      </c>
      <c r="C1914" s="4">
        <v>45.0</v>
      </c>
      <c r="D1914" s="4" t="s">
        <v>4382</v>
      </c>
      <c r="E1914" s="4" t="s">
        <v>1088</v>
      </c>
      <c r="F1914" s="54" t="s">
        <v>534</v>
      </c>
      <c r="G1914" s="4">
        <v>3.93</v>
      </c>
      <c r="H1914" s="4">
        <v>3.96</v>
      </c>
      <c r="I1914" s="4">
        <v>3.87</v>
      </c>
      <c r="J1914" s="4">
        <v>4.07</v>
      </c>
      <c r="X1914" s="55" t="str">
        <f t="shared" si="3"/>
        <v>#NAME?</v>
      </c>
    </row>
    <row r="1915">
      <c r="A1915" s="4" t="s">
        <v>4543</v>
      </c>
      <c r="B1915" s="4" t="s">
        <v>404</v>
      </c>
      <c r="C1915" s="4">
        <v>46.0</v>
      </c>
      <c r="D1915" s="4" t="s">
        <v>4480</v>
      </c>
      <c r="E1915" s="4" t="s">
        <v>1088</v>
      </c>
      <c r="F1915" s="54" t="s">
        <v>534</v>
      </c>
      <c r="G1915" s="4">
        <v>3.92</v>
      </c>
      <c r="H1915" s="4">
        <v>3.9</v>
      </c>
      <c r="I1915" s="4">
        <v>3.84</v>
      </c>
      <c r="J1915" s="4">
        <v>4.05</v>
      </c>
      <c r="X1915" s="55" t="str">
        <f t="shared" si="3"/>
        <v>#NAME?</v>
      </c>
    </row>
    <row r="1916">
      <c r="A1916" s="4" t="s">
        <v>4544</v>
      </c>
      <c r="B1916" s="4" t="s">
        <v>404</v>
      </c>
      <c r="C1916" s="4">
        <v>47.0</v>
      </c>
      <c r="D1916" s="4" t="s">
        <v>4382</v>
      </c>
      <c r="E1916" s="4" t="s">
        <v>4270</v>
      </c>
      <c r="F1916" s="54" t="s">
        <v>534</v>
      </c>
      <c r="G1916" s="4">
        <v>15.46</v>
      </c>
      <c r="H1916" s="4">
        <v>16.12</v>
      </c>
      <c r="I1916" s="4">
        <v>15.45</v>
      </c>
      <c r="J1916" s="4">
        <v>15.41</v>
      </c>
      <c r="X1916" s="55" t="str">
        <f t="shared" si="3"/>
        <v>#NAME?</v>
      </c>
    </row>
    <row r="1917">
      <c r="A1917" s="4" t="s">
        <v>4545</v>
      </c>
      <c r="B1917" s="4" t="s">
        <v>404</v>
      </c>
      <c r="C1917" s="4">
        <v>48.0</v>
      </c>
      <c r="D1917" s="4" t="s">
        <v>4382</v>
      </c>
      <c r="E1917" s="4" t="s">
        <v>3816</v>
      </c>
      <c r="F1917" s="54" t="s">
        <v>534</v>
      </c>
      <c r="G1917" s="4">
        <v>16.03</v>
      </c>
      <c r="H1917" s="4">
        <v>16.08</v>
      </c>
      <c r="I1917" s="4">
        <v>16.08</v>
      </c>
      <c r="J1917" s="4">
        <v>16.47</v>
      </c>
      <c r="X1917" s="55" t="str">
        <f t="shared" si="3"/>
        <v>#NAME?</v>
      </c>
    </row>
    <row r="1918">
      <c r="A1918" s="4" t="s">
        <v>4546</v>
      </c>
      <c r="B1918" s="4" t="s">
        <v>404</v>
      </c>
      <c r="C1918" s="4">
        <v>49.0</v>
      </c>
      <c r="D1918" s="4" t="s">
        <v>4386</v>
      </c>
      <c r="E1918" s="4" t="s">
        <v>1088</v>
      </c>
      <c r="F1918" s="54" t="s">
        <v>399</v>
      </c>
      <c r="G1918" s="4">
        <v>3.41</v>
      </c>
      <c r="H1918" s="4">
        <v>3.66</v>
      </c>
      <c r="I1918" s="4">
        <v>3.41</v>
      </c>
      <c r="J1918" s="4">
        <v>3.4</v>
      </c>
      <c r="X1918" s="55" t="str">
        <f t="shared" si="3"/>
        <v>#NAME?</v>
      </c>
    </row>
    <row r="1919">
      <c r="A1919" s="4" t="s">
        <v>4547</v>
      </c>
      <c r="B1919" s="4" t="s">
        <v>404</v>
      </c>
      <c r="C1919" s="4">
        <v>50.0</v>
      </c>
      <c r="D1919" s="4" t="s">
        <v>4386</v>
      </c>
      <c r="E1919" s="4" t="s">
        <v>4270</v>
      </c>
      <c r="F1919" s="54" t="s">
        <v>399</v>
      </c>
      <c r="G1919" s="4">
        <v>19.53</v>
      </c>
      <c r="H1919" s="4">
        <v>19.1</v>
      </c>
      <c r="I1919" s="4">
        <v>19.56</v>
      </c>
      <c r="J1919" s="4">
        <v>19.51</v>
      </c>
      <c r="X1919" s="55" t="str">
        <f t="shared" si="3"/>
        <v>#NAME?</v>
      </c>
    </row>
    <row r="1920">
      <c r="A1920" s="4" t="s">
        <v>4548</v>
      </c>
      <c r="B1920" s="4" t="s">
        <v>404</v>
      </c>
      <c r="C1920" s="4">
        <v>51.0</v>
      </c>
      <c r="D1920" s="4" t="s">
        <v>4405</v>
      </c>
      <c r="E1920" s="4" t="s">
        <v>1088</v>
      </c>
      <c r="F1920" s="54" t="s">
        <v>287</v>
      </c>
      <c r="G1920" s="4">
        <v>11.96</v>
      </c>
      <c r="H1920" s="4">
        <v>11.92</v>
      </c>
      <c r="I1920" s="4">
        <v>11.94</v>
      </c>
      <c r="J1920" s="4">
        <v>11.92</v>
      </c>
      <c r="X1920" s="55" t="str">
        <f t="shared" si="3"/>
        <v>#NAME?</v>
      </c>
    </row>
    <row r="1921">
      <c r="A1921" s="4" t="s">
        <v>4549</v>
      </c>
      <c r="B1921" s="4" t="s">
        <v>404</v>
      </c>
      <c r="C1921" s="4">
        <v>52.0</v>
      </c>
      <c r="D1921" s="4" t="s">
        <v>4407</v>
      </c>
      <c r="E1921" s="4" t="s">
        <v>1088</v>
      </c>
      <c r="F1921" s="54" t="s">
        <v>287</v>
      </c>
      <c r="G1921" s="4">
        <v>11.91</v>
      </c>
      <c r="H1921" s="4">
        <v>11.93</v>
      </c>
      <c r="I1921" s="4">
        <v>11.94</v>
      </c>
      <c r="J1921" s="4">
        <v>11.91</v>
      </c>
      <c r="X1921" s="55" t="str">
        <f t="shared" si="3"/>
        <v>#NAME?</v>
      </c>
    </row>
    <row r="1922">
      <c r="A1922" s="4" t="s">
        <v>4550</v>
      </c>
      <c r="B1922" s="4" t="s">
        <v>404</v>
      </c>
      <c r="C1922" s="4">
        <v>53.0</v>
      </c>
      <c r="D1922" s="4" t="s">
        <v>4405</v>
      </c>
      <c r="E1922" s="4" t="s">
        <v>4270</v>
      </c>
      <c r="F1922" s="54" t="s">
        <v>287</v>
      </c>
      <c r="G1922" s="4">
        <v>31.52</v>
      </c>
      <c r="H1922" s="4">
        <v>31.56</v>
      </c>
      <c r="I1922" s="4">
        <v>31.51</v>
      </c>
      <c r="J1922" s="4">
        <v>31.11</v>
      </c>
      <c r="X1922" s="55" t="str">
        <f t="shared" si="3"/>
        <v>#NAME?</v>
      </c>
    </row>
    <row r="1923">
      <c r="A1923" s="4" t="s">
        <v>4551</v>
      </c>
      <c r="B1923" s="4" t="s">
        <v>404</v>
      </c>
      <c r="C1923" s="4">
        <v>54.0</v>
      </c>
      <c r="D1923" s="4" t="s">
        <v>4405</v>
      </c>
      <c r="E1923" s="4" t="s">
        <v>3816</v>
      </c>
      <c r="F1923" s="54" t="s">
        <v>287</v>
      </c>
      <c r="G1923" s="4">
        <v>32.05</v>
      </c>
      <c r="H1923" s="4">
        <v>32.11</v>
      </c>
      <c r="I1923" s="4">
        <v>33.57</v>
      </c>
      <c r="J1923" s="4">
        <v>32.08</v>
      </c>
      <c r="X1923" s="55" t="str">
        <f t="shared" si="3"/>
        <v>#NAME?</v>
      </c>
    </row>
    <row r="1924">
      <c r="A1924" s="4" t="s">
        <v>4552</v>
      </c>
      <c r="B1924" s="4" t="s">
        <v>404</v>
      </c>
      <c r="C1924" s="4">
        <v>55.0</v>
      </c>
      <c r="D1924" s="4" t="s">
        <v>4389</v>
      </c>
      <c r="E1924" s="4" t="s">
        <v>1088</v>
      </c>
      <c r="F1924" s="54" t="s">
        <v>449</v>
      </c>
      <c r="G1924" s="4">
        <v>3.69</v>
      </c>
      <c r="H1924" s="4">
        <v>3.79</v>
      </c>
      <c r="I1924" s="4">
        <v>3.71</v>
      </c>
      <c r="J1924" s="4">
        <v>3.81</v>
      </c>
      <c r="X1924" s="55" t="str">
        <f t="shared" si="3"/>
        <v>#NAME?</v>
      </c>
    </row>
    <row r="1925">
      <c r="A1925" s="4" t="s">
        <v>4553</v>
      </c>
      <c r="B1925" s="4" t="s">
        <v>404</v>
      </c>
      <c r="C1925" s="4">
        <v>56.0</v>
      </c>
      <c r="D1925" s="4" t="s">
        <v>4389</v>
      </c>
      <c r="E1925" s="4" t="s">
        <v>4270</v>
      </c>
      <c r="F1925" s="54" t="s">
        <v>449</v>
      </c>
      <c r="G1925" s="4">
        <v>20.44</v>
      </c>
      <c r="H1925" s="4">
        <v>20.45</v>
      </c>
      <c r="I1925" s="4">
        <v>20.44</v>
      </c>
      <c r="J1925" s="4">
        <v>20.36</v>
      </c>
      <c r="X1925" s="55" t="str">
        <f t="shared" si="3"/>
        <v>#NAME?</v>
      </c>
    </row>
    <row r="1926">
      <c r="A1926" s="4" t="s">
        <v>4554</v>
      </c>
      <c r="B1926" s="4" t="s">
        <v>404</v>
      </c>
      <c r="C1926" s="4">
        <v>57.0</v>
      </c>
      <c r="D1926" s="4" t="s">
        <v>4423</v>
      </c>
      <c r="E1926" s="4" t="s">
        <v>1088</v>
      </c>
      <c r="F1926" s="54" t="s">
        <v>357</v>
      </c>
      <c r="G1926" s="4">
        <v>3.8</v>
      </c>
      <c r="H1926" s="4">
        <v>3.84</v>
      </c>
      <c r="I1926" s="4">
        <v>3.83</v>
      </c>
      <c r="J1926" s="4">
        <v>3.78</v>
      </c>
      <c r="X1926" s="55" t="str">
        <f t="shared" si="3"/>
        <v>#NAME?</v>
      </c>
    </row>
    <row r="1927">
      <c r="A1927" s="4" t="s">
        <v>4555</v>
      </c>
      <c r="B1927" s="4" t="s">
        <v>404</v>
      </c>
      <c r="C1927" s="4">
        <v>58.0</v>
      </c>
      <c r="D1927" s="4" t="s">
        <v>4423</v>
      </c>
      <c r="E1927" s="4" t="s">
        <v>4270</v>
      </c>
      <c r="F1927" s="54" t="s">
        <v>357</v>
      </c>
      <c r="G1927" s="4">
        <v>22.9</v>
      </c>
      <c r="H1927" s="4">
        <v>22.59</v>
      </c>
      <c r="I1927" s="4">
        <v>22.63</v>
      </c>
      <c r="J1927" s="4">
        <v>22.91</v>
      </c>
      <c r="X1927" s="55" t="str">
        <f t="shared" si="3"/>
        <v>#NAME?</v>
      </c>
    </row>
    <row r="1928">
      <c r="A1928" s="4" t="s">
        <v>4556</v>
      </c>
      <c r="B1928" s="4" t="s">
        <v>442</v>
      </c>
      <c r="C1928" s="4">
        <v>1.0</v>
      </c>
      <c r="D1928" s="4" t="s">
        <v>4411</v>
      </c>
      <c r="E1928" s="4" t="s">
        <v>1088</v>
      </c>
      <c r="F1928" s="54" t="s">
        <v>449</v>
      </c>
      <c r="G1928" s="4">
        <v>3.85</v>
      </c>
      <c r="H1928" s="4">
        <v>3.93</v>
      </c>
      <c r="I1928" s="4">
        <v>3.86</v>
      </c>
      <c r="J1928" s="4">
        <v>3.83</v>
      </c>
      <c r="X1928" s="55" t="str">
        <f t="shared" si="3"/>
        <v>#NAME?</v>
      </c>
    </row>
    <row r="1929">
      <c r="A1929" s="4" t="s">
        <v>4557</v>
      </c>
      <c r="B1929" s="4" t="s">
        <v>442</v>
      </c>
      <c r="C1929" s="4">
        <v>2.0</v>
      </c>
      <c r="D1929" s="4" t="s">
        <v>4413</v>
      </c>
      <c r="E1929" s="4" t="s">
        <v>1088</v>
      </c>
      <c r="F1929" s="54" t="s">
        <v>449</v>
      </c>
      <c r="G1929" s="4">
        <v>3.82</v>
      </c>
      <c r="H1929" s="4">
        <v>3.82</v>
      </c>
      <c r="I1929" s="4">
        <v>3.85</v>
      </c>
      <c r="J1929" s="4">
        <v>3.82</v>
      </c>
      <c r="X1929" s="55" t="str">
        <f t="shared" si="3"/>
        <v>#NAME?</v>
      </c>
    </row>
    <row r="1930">
      <c r="A1930" s="4" t="s">
        <v>4558</v>
      </c>
      <c r="B1930" s="4" t="s">
        <v>442</v>
      </c>
      <c r="C1930" s="4">
        <v>3.0</v>
      </c>
      <c r="D1930" s="4" t="s">
        <v>4411</v>
      </c>
      <c r="E1930" s="4" t="s">
        <v>4270</v>
      </c>
      <c r="F1930" s="54" t="s">
        <v>449</v>
      </c>
      <c r="G1930" s="4">
        <v>15.62</v>
      </c>
      <c r="H1930" s="4">
        <v>15.63</v>
      </c>
      <c r="I1930" s="4">
        <v>15.61</v>
      </c>
      <c r="J1930" s="4">
        <v>15.6</v>
      </c>
      <c r="X1930" s="55" t="str">
        <f t="shared" si="3"/>
        <v>#NAME?</v>
      </c>
    </row>
    <row r="1931">
      <c r="A1931" s="4" t="s">
        <v>4559</v>
      </c>
      <c r="B1931" s="4" t="s">
        <v>442</v>
      </c>
      <c r="C1931" s="4">
        <v>4.0</v>
      </c>
      <c r="D1931" s="4" t="s">
        <v>4411</v>
      </c>
      <c r="E1931" s="4" t="s">
        <v>4270</v>
      </c>
      <c r="F1931" s="54" t="s">
        <v>449</v>
      </c>
      <c r="G1931" s="4">
        <v>15.58</v>
      </c>
      <c r="H1931" s="4">
        <v>15.57</v>
      </c>
      <c r="I1931" s="4">
        <v>15.53</v>
      </c>
      <c r="J1931" s="4">
        <v>15.53</v>
      </c>
      <c r="X1931" s="55" t="str">
        <f t="shared" si="3"/>
        <v>#NAME?</v>
      </c>
    </row>
    <row r="1932">
      <c r="A1932" s="4" t="s">
        <v>4560</v>
      </c>
      <c r="B1932" s="4" t="s">
        <v>442</v>
      </c>
      <c r="C1932" s="4">
        <v>5.0</v>
      </c>
      <c r="D1932" s="4" t="s">
        <v>4417</v>
      </c>
      <c r="E1932" s="4" t="s">
        <v>1088</v>
      </c>
      <c r="F1932" s="54" t="s">
        <v>449</v>
      </c>
      <c r="G1932" s="4">
        <v>2.91</v>
      </c>
      <c r="H1932" s="4">
        <v>2.92</v>
      </c>
      <c r="I1932" s="4">
        <v>2.88</v>
      </c>
      <c r="J1932" s="4">
        <v>2.93</v>
      </c>
      <c r="X1932" s="55" t="str">
        <f t="shared" si="3"/>
        <v>#NAME?</v>
      </c>
    </row>
    <row r="1933">
      <c r="A1933" s="4" t="s">
        <v>4561</v>
      </c>
      <c r="B1933" s="4" t="s">
        <v>442</v>
      </c>
      <c r="C1933" s="4">
        <v>6.0</v>
      </c>
      <c r="D1933" s="4" t="s">
        <v>4419</v>
      </c>
      <c r="E1933" s="4" t="s">
        <v>1088</v>
      </c>
      <c r="F1933" s="54" t="s">
        <v>449</v>
      </c>
      <c r="G1933" s="4">
        <v>2.86</v>
      </c>
      <c r="H1933" s="4">
        <v>2.88</v>
      </c>
      <c r="I1933" s="4">
        <v>2.86</v>
      </c>
      <c r="J1933" s="4">
        <v>2.86</v>
      </c>
      <c r="X1933" s="55" t="str">
        <f t="shared" si="3"/>
        <v>#NAME?</v>
      </c>
    </row>
    <row r="1934">
      <c r="A1934" s="4" t="s">
        <v>4562</v>
      </c>
      <c r="B1934" s="4" t="s">
        <v>442</v>
      </c>
      <c r="C1934" s="4">
        <v>7.0</v>
      </c>
      <c r="D1934" s="4" t="s">
        <v>4417</v>
      </c>
      <c r="E1934" s="4" t="s">
        <v>4270</v>
      </c>
      <c r="F1934" s="54" t="s">
        <v>449</v>
      </c>
      <c r="G1934" s="4">
        <v>20.77</v>
      </c>
      <c r="H1934" s="4">
        <v>20.25</v>
      </c>
      <c r="I1934" s="4">
        <v>20.25</v>
      </c>
      <c r="J1934" s="4">
        <v>20.54</v>
      </c>
      <c r="X1934" s="55" t="str">
        <f t="shared" si="3"/>
        <v>#NAME?</v>
      </c>
    </row>
    <row r="1935">
      <c r="A1935" s="4" t="s">
        <v>4563</v>
      </c>
      <c r="B1935" s="4" t="s">
        <v>442</v>
      </c>
      <c r="C1935" s="4">
        <v>8.0</v>
      </c>
      <c r="D1935" s="4" t="s">
        <v>4417</v>
      </c>
      <c r="E1935" s="4" t="s">
        <v>4270</v>
      </c>
      <c r="F1935" s="54" t="s">
        <v>449</v>
      </c>
      <c r="G1935" s="4">
        <v>20.8</v>
      </c>
      <c r="H1935" s="4">
        <v>20.6</v>
      </c>
      <c r="I1935" s="4">
        <v>20.72</v>
      </c>
      <c r="J1935" s="4">
        <v>20.71</v>
      </c>
      <c r="X1935" s="55" t="str">
        <f t="shared" si="3"/>
        <v>#NAME?</v>
      </c>
    </row>
    <row r="1936">
      <c r="A1936" s="4" t="s">
        <v>4564</v>
      </c>
      <c r="B1936" s="4" t="s">
        <v>459</v>
      </c>
      <c r="C1936" s="4">
        <v>1.0</v>
      </c>
      <c r="D1936" s="54" t="s">
        <v>292</v>
      </c>
      <c r="E1936" s="4" t="s">
        <v>4260</v>
      </c>
      <c r="F1936" s="54" t="s">
        <v>4565</v>
      </c>
      <c r="G1936" s="4">
        <v>8.86</v>
      </c>
      <c r="H1936" s="4">
        <v>8.82</v>
      </c>
      <c r="I1936" s="4">
        <v>8.84</v>
      </c>
      <c r="J1936" s="4">
        <v>8.83</v>
      </c>
      <c r="K1936" s="4">
        <v>8.83</v>
      </c>
      <c r="L1936" s="4">
        <v>8.83</v>
      </c>
      <c r="M1936" s="4">
        <v>8.8</v>
      </c>
      <c r="N1936" s="4">
        <v>8.77</v>
      </c>
      <c r="X1936" s="55" t="str">
        <f t="shared" si="3"/>
        <v>#NAME?</v>
      </c>
    </row>
    <row r="1937">
      <c r="A1937" s="4" t="s">
        <v>4566</v>
      </c>
      <c r="B1937" s="4" t="s">
        <v>459</v>
      </c>
      <c r="C1937" s="4">
        <v>2.0</v>
      </c>
      <c r="D1937" s="54" t="s">
        <v>399</v>
      </c>
      <c r="E1937" s="4" t="s">
        <v>4260</v>
      </c>
      <c r="F1937" s="54" t="s">
        <v>4565</v>
      </c>
      <c r="G1937" s="4">
        <v>8.84</v>
      </c>
      <c r="H1937" s="4">
        <v>8.91</v>
      </c>
      <c r="I1937" s="4">
        <v>8.86</v>
      </c>
      <c r="J1937" s="4">
        <v>8.81</v>
      </c>
      <c r="K1937" s="4">
        <v>8.86</v>
      </c>
      <c r="L1937" s="4">
        <v>8.84</v>
      </c>
      <c r="M1937" s="4">
        <v>8.78</v>
      </c>
      <c r="N1937" s="4">
        <v>8.77</v>
      </c>
      <c r="X1937" s="55" t="str">
        <f t="shared" si="3"/>
        <v>#NAME?</v>
      </c>
    </row>
    <row r="1938">
      <c r="A1938" s="4" t="s">
        <v>4567</v>
      </c>
      <c r="B1938" s="4" t="s">
        <v>459</v>
      </c>
      <c r="C1938" s="4">
        <v>3.0</v>
      </c>
      <c r="D1938" s="54" t="s">
        <v>405</v>
      </c>
      <c r="E1938" s="4" t="s">
        <v>4260</v>
      </c>
      <c r="F1938" s="54" t="s">
        <v>4565</v>
      </c>
      <c r="G1938" s="4">
        <v>8.86</v>
      </c>
      <c r="H1938" s="4">
        <v>8.89</v>
      </c>
      <c r="I1938" s="4">
        <v>8.86</v>
      </c>
      <c r="J1938" s="4">
        <v>8.8</v>
      </c>
      <c r="K1938" s="4">
        <v>8.89</v>
      </c>
      <c r="L1938" s="4">
        <v>8.88</v>
      </c>
      <c r="M1938" s="4">
        <v>8.85</v>
      </c>
      <c r="N1938" s="4">
        <v>8.78</v>
      </c>
      <c r="X1938" s="55" t="str">
        <f t="shared" si="3"/>
        <v>#NAME?</v>
      </c>
    </row>
    <row r="1939">
      <c r="A1939" s="4" t="s">
        <v>4568</v>
      </c>
      <c r="B1939" s="4" t="s">
        <v>459</v>
      </c>
      <c r="C1939" s="4">
        <v>4.0</v>
      </c>
      <c r="D1939" s="54" t="s">
        <v>449</v>
      </c>
      <c r="E1939" s="4" t="s">
        <v>4260</v>
      </c>
      <c r="F1939" s="54" t="s">
        <v>4565</v>
      </c>
      <c r="G1939" s="4">
        <v>8.9</v>
      </c>
      <c r="H1939" s="4">
        <v>8.92</v>
      </c>
      <c r="I1939" s="4">
        <v>8.87</v>
      </c>
      <c r="J1939" s="4">
        <v>8.87</v>
      </c>
      <c r="K1939" s="4">
        <v>8.86</v>
      </c>
      <c r="L1939" s="4">
        <v>8.87</v>
      </c>
      <c r="M1939" s="4">
        <v>8.87</v>
      </c>
      <c r="N1939" s="4">
        <v>8.82</v>
      </c>
      <c r="X1939" s="55" t="str">
        <f t="shared" si="3"/>
        <v>#NAME?</v>
      </c>
    </row>
    <row r="1940">
      <c r="A1940" s="4" t="s">
        <v>4569</v>
      </c>
      <c r="B1940" s="4" t="s">
        <v>459</v>
      </c>
      <c r="C1940" s="4">
        <v>5.0</v>
      </c>
      <c r="D1940" s="54" t="s">
        <v>443</v>
      </c>
      <c r="E1940" s="4" t="s">
        <v>4260</v>
      </c>
      <c r="F1940" s="54" t="s">
        <v>4565</v>
      </c>
      <c r="G1940" s="4">
        <v>8.95</v>
      </c>
      <c r="H1940" s="4">
        <v>8.91</v>
      </c>
      <c r="I1940" s="4">
        <v>8.91</v>
      </c>
      <c r="J1940" s="4">
        <v>8.95</v>
      </c>
      <c r="K1940" s="4">
        <v>8.91</v>
      </c>
      <c r="L1940" s="4">
        <v>8.9</v>
      </c>
      <c r="M1940" s="4">
        <v>8.9</v>
      </c>
      <c r="N1940" s="4">
        <v>8.86</v>
      </c>
      <c r="X1940" s="55" t="str">
        <f t="shared" si="3"/>
        <v>#NAME?</v>
      </c>
    </row>
    <row r="1941">
      <c r="A1941" s="4" t="s">
        <v>4570</v>
      </c>
      <c r="B1941" s="4" t="s">
        <v>404</v>
      </c>
      <c r="C1941" s="4">
        <v>1.0</v>
      </c>
      <c r="D1941" s="4" t="s">
        <v>4334</v>
      </c>
      <c r="E1941" s="4" t="s">
        <v>1088</v>
      </c>
      <c r="F1941" s="54" t="s">
        <v>4261</v>
      </c>
      <c r="G1941" s="4">
        <v>39.46</v>
      </c>
      <c r="H1941" s="4">
        <v>39.52</v>
      </c>
      <c r="I1941" s="4">
        <v>39.48</v>
      </c>
      <c r="J1941" s="4">
        <v>39.37</v>
      </c>
      <c r="X1941" s="55" t="str">
        <f t="shared" si="3"/>
        <v>#NAME?</v>
      </c>
    </row>
    <row r="1942">
      <c r="A1942" s="4" t="s">
        <v>4571</v>
      </c>
      <c r="B1942" s="4" t="s">
        <v>404</v>
      </c>
      <c r="C1942" s="4">
        <v>2.0</v>
      </c>
      <c r="D1942" s="4" t="s">
        <v>4572</v>
      </c>
      <c r="E1942" s="4" t="s">
        <v>1088</v>
      </c>
      <c r="F1942" s="54" t="s">
        <v>4261</v>
      </c>
      <c r="G1942" s="4">
        <v>40.05</v>
      </c>
      <c r="H1942" s="4">
        <v>39.8</v>
      </c>
      <c r="I1942" s="4">
        <v>39.67</v>
      </c>
      <c r="J1942" s="4">
        <v>39.59</v>
      </c>
      <c r="X1942" s="55" t="str">
        <f t="shared" si="3"/>
        <v>#NAME?</v>
      </c>
    </row>
    <row r="1943">
      <c r="A1943" s="4" t="s">
        <v>4573</v>
      </c>
      <c r="B1943" s="4" t="s">
        <v>448</v>
      </c>
      <c r="C1943" s="4">
        <v>1.0</v>
      </c>
      <c r="D1943" s="4" t="s">
        <v>4389</v>
      </c>
      <c r="E1943" s="4" t="s">
        <v>1088</v>
      </c>
      <c r="F1943" s="54" t="s">
        <v>449</v>
      </c>
      <c r="G1943" s="4">
        <v>3.7</v>
      </c>
      <c r="H1943" s="4">
        <v>3.73</v>
      </c>
      <c r="I1943" s="4">
        <v>3.97</v>
      </c>
      <c r="J1943" s="4">
        <v>3.92</v>
      </c>
      <c r="X1943" s="55" t="str">
        <f t="shared" si="3"/>
        <v>#NAME?</v>
      </c>
    </row>
    <row r="1944">
      <c r="A1944" s="4" t="s">
        <v>4574</v>
      </c>
      <c r="B1944" s="4" t="s">
        <v>448</v>
      </c>
      <c r="C1944" s="4">
        <v>2.0</v>
      </c>
      <c r="D1944" s="4" t="s">
        <v>4389</v>
      </c>
      <c r="E1944" s="4" t="s">
        <v>4270</v>
      </c>
      <c r="F1944" s="54" t="s">
        <v>449</v>
      </c>
      <c r="G1944" s="4">
        <v>20.31</v>
      </c>
      <c r="H1944" s="4">
        <v>20.26</v>
      </c>
      <c r="I1944" s="4">
        <v>20.3</v>
      </c>
      <c r="J1944" s="4">
        <v>20.31</v>
      </c>
      <c r="X1944" s="55" t="str">
        <f t="shared" si="3"/>
        <v>#NAME?</v>
      </c>
    </row>
    <row r="1945">
      <c r="A1945" s="4" t="s">
        <v>4575</v>
      </c>
      <c r="B1945" s="4" t="s">
        <v>448</v>
      </c>
      <c r="C1945" s="4">
        <v>3.0</v>
      </c>
      <c r="D1945" s="4" t="s">
        <v>4576</v>
      </c>
      <c r="E1945" s="4" t="s">
        <v>1088</v>
      </c>
      <c r="F1945" s="54" t="s">
        <v>357</v>
      </c>
      <c r="G1945" s="4">
        <v>3.85</v>
      </c>
      <c r="H1945" s="4">
        <v>3.84</v>
      </c>
      <c r="I1945" s="4">
        <v>3.81</v>
      </c>
      <c r="J1945" s="4">
        <v>3.82</v>
      </c>
      <c r="X1945" s="55" t="str">
        <f t="shared" si="3"/>
        <v>#NAME?</v>
      </c>
    </row>
    <row r="1946">
      <c r="A1946" s="4" t="s">
        <v>4577</v>
      </c>
      <c r="B1946" s="4" t="s">
        <v>448</v>
      </c>
      <c r="C1946" s="4">
        <v>4.0</v>
      </c>
      <c r="D1946" s="4" t="s">
        <v>4578</v>
      </c>
      <c r="E1946" s="4" t="s">
        <v>4270</v>
      </c>
      <c r="F1946" s="54" t="s">
        <v>357</v>
      </c>
      <c r="G1946" s="4">
        <v>22.7</v>
      </c>
      <c r="H1946" s="4">
        <v>22.6</v>
      </c>
      <c r="I1946" s="4">
        <v>22.63</v>
      </c>
      <c r="J1946" s="4">
        <v>22.64</v>
      </c>
      <c r="X1946" s="55" t="str">
        <f t="shared" si="3"/>
        <v>#NAME?</v>
      </c>
    </row>
    <row r="1947">
      <c r="A1947" s="4" t="s">
        <v>4579</v>
      </c>
      <c r="B1947" s="4" t="s">
        <v>448</v>
      </c>
      <c r="C1947" s="4">
        <v>5.0</v>
      </c>
      <c r="D1947" s="4" t="s">
        <v>4411</v>
      </c>
      <c r="E1947" s="4" t="s">
        <v>1088</v>
      </c>
      <c r="F1947" s="54" t="s">
        <v>449</v>
      </c>
      <c r="G1947" s="4">
        <v>3.87</v>
      </c>
      <c r="H1947" s="4">
        <v>3.86</v>
      </c>
      <c r="I1947" s="4">
        <v>3.78</v>
      </c>
      <c r="J1947" s="4">
        <v>3.78</v>
      </c>
      <c r="X1947" s="55" t="str">
        <f t="shared" si="3"/>
        <v>#NAME?</v>
      </c>
    </row>
    <row r="1948">
      <c r="A1948" s="4" t="s">
        <v>4580</v>
      </c>
      <c r="B1948" s="4" t="s">
        <v>448</v>
      </c>
      <c r="C1948" s="4">
        <v>6.0</v>
      </c>
      <c r="D1948" s="4" t="s">
        <v>4413</v>
      </c>
      <c r="E1948" s="4" t="s">
        <v>1088</v>
      </c>
      <c r="F1948" s="54" t="s">
        <v>449</v>
      </c>
      <c r="G1948" s="4">
        <v>3.77</v>
      </c>
      <c r="H1948" s="4">
        <v>3.8</v>
      </c>
      <c r="I1948" s="4">
        <v>3.78</v>
      </c>
      <c r="J1948" s="4">
        <v>3.78</v>
      </c>
      <c r="X1948" s="55" t="str">
        <f t="shared" si="3"/>
        <v>#NAME?</v>
      </c>
    </row>
    <row r="1949">
      <c r="A1949" s="4" t="s">
        <v>4581</v>
      </c>
      <c r="B1949" s="4" t="s">
        <v>448</v>
      </c>
      <c r="C1949" s="4">
        <v>7.0</v>
      </c>
      <c r="D1949" s="4" t="s">
        <v>4411</v>
      </c>
      <c r="E1949" s="4" t="s">
        <v>4270</v>
      </c>
      <c r="F1949" s="54" t="s">
        <v>449</v>
      </c>
      <c r="G1949" s="4">
        <v>15.99</v>
      </c>
      <c r="H1949" s="4">
        <v>16.19</v>
      </c>
      <c r="I1949" s="4">
        <v>15.63</v>
      </c>
      <c r="J1949" s="4">
        <v>15.64</v>
      </c>
      <c r="X1949" s="55" t="str">
        <f t="shared" si="3"/>
        <v>#NAME?</v>
      </c>
    </row>
    <row r="1950">
      <c r="A1950" s="4" t="s">
        <v>4582</v>
      </c>
      <c r="B1950" s="4" t="s">
        <v>448</v>
      </c>
      <c r="C1950" s="4">
        <v>8.0</v>
      </c>
      <c r="D1950" s="4" t="s">
        <v>4411</v>
      </c>
      <c r="E1950" s="4" t="s">
        <v>4270</v>
      </c>
      <c r="F1950" s="54" t="s">
        <v>449</v>
      </c>
      <c r="G1950" s="4">
        <v>15.4</v>
      </c>
      <c r="H1950" s="4">
        <v>15.94</v>
      </c>
      <c r="I1950" s="4">
        <v>15.98</v>
      </c>
      <c r="J1950" s="4">
        <v>15.5</v>
      </c>
      <c r="X1950" s="55" t="str">
        <f t="shared" si="3"/>
        <v>#NAME?</v>
      </c>
    </row>
    <row r="1951">
      <c r="A1951" s="4" t="s">
        <v>4583</v>
      </c>
      <c r="B1951" s="4" t="s">
        <v>448</v>
      </c>
      <c r="C1951" s="4">
        <v>9.0</v>
      </c>
      <c r="D1951" s="4" t="s">
        <v>4378</v>
      </c>
      <c r="E1951" s="4" t="s">
        <v>1088</v>
      </c>
      <c r="F1951" s="54" t="s">
        <v>534</v>
      </c>
      <c r="G1951" s="4">
        <v>3.52</v>
      </c>
      <c r="H1951" s="4">
        <v>3.49</v>
      </c>
      <c r="I1951" s="4">
        <v>3.47</v>
      </c>
      <c r="J1951" s="4">
        <v>3.47</v>
      </c>
      <c r="X1951" s="55" t="str">
        <f t="shared" si="3"/>
        <v>#NAME?</v>
      </c>
    </row>
    <row r="1952">
      <c r="A1952" s="4" t="s">
        <v>4584</v>
      </c>
      <c r="B1952" s="4" t="s">
        <v>448</v>
      </c>
      <c r="C1952" s="4">
        <v>10.0</v>
      </c>
      <c r="D1952" s="4" t="s">
        <v>4539</v>
      </c>
      <c r="E1952" s="4" t="s">
        <v>1088</v>
      </c>
      <c r="F1952" s="54" t="s">
        <v>534</v>
      </c>
      <c r="G1952" s="4">
        <v>3.58</v>
      </c>
      <c r="H1952" s="4">
        <v>3.53</v>
      </c>
      <c r="I1952" s="4">
        <v>3.5</v>
      </c>
      <c r="J1952" s="4">
        <v>3.51</v>
      </c>
      <c r="X1952" s="55" t="str">
        <f t="shared" si="3"/>
        <v>#NAME?</v>
      </c>
    </row>
    <row r="1953">
      <c r="A1953" s="4" t="s">
        <v>4585</v>
      </c>
      <c r="B1953" s="4" t="s">
        <v>448</v>
      </c>
      <c r="C1953" s="4">
        <v>11.0</v>
      </c>
      <c r="D1953" s="4" t="s">
        <v>4378</v>
      </c>
      <c r="E1953" s="4" t="s">
        <v>4270</v>
      </c>
      <c r="F1953" s="54" t="s">
        <v>534</v>
      </c>
      <c r="G1953" s="4">
        <v>15.86</v>
      </c>
      <c r="H1953" s="4">
        <v>15.75</v>
      </c>
      <c r="I1953" s="4">
        <v>15.74</v>
      </c>
      <c r="J1953" s="4">
        <v>15.74</v>
      </c>
      <c r="X1953" s="55" t="str">
        <f t="shared" si="3"/>
        <v>#NAME?</v>
      </c>
    </row>
    <row r="1954">
      <c r="A1954" s="4" t="s">
        <v>4586</v>
      </c>
      <c r="B1954" s="4" t="s">
        <v>448</v>
      </c>
      <c r="C1954" s="4">
        <v>12.0</v>
      </c>
      <c r="D1954" s="4" t="s">
        <v>4378</v>
      </c>
      <c r="E1954" s="4" t="s">
        <v>3816</v>
      </c>
      <c r="F1954" s="54" t="s">
        <v>534</v>
      </c>
      <c r="G1954" s="4">
        <v>16.04</v>
      </c>
      <c r="H1954" s="4">
        <v>16.04</v>
      </c>
      <c r="I1954" s="4">
        <v>16.09</v>
      </c>
      <c r="J1954" s="4">
        <v>16.61</v>
      </c>
      <c r="X1954" s="55" t="str">
        <f t="shared" si="3"/>
        <v>#NAME?</v>
      </c>
    </row>
    <row r="1955">
      <c r="A1955" s="4" t="s">
        <v>4587</v>
      </c>
      <c r="B1955" s="4" t="s">
        <v>448</v>
      </c>
      <c r="C1955" s="4">
        <v>13.0</v>
      </c>
      <c r="D1955" s="4" t="s">
        <v>4382</v>
      </c>
      <c r="E1955" s="4" t="s">
        <v>1088</v>
      </c>
      <c r="F1955" s="54" t="s">
        <v>534</v>
      </c>
      <c r="G1955" s="4">
        <v>3.93</v>
      </c>
      <c r="H1955" s="4">
        <v>3.92</v>
      </c>
      <c r="I1955" s="4">
        <v>3.91</v>
      </c>
      <c r="J1955" s="4">
        <v>3.96</v>
      </c>
      <c r="X1955" s="55" t="str">
        <f t="shared" si="3"/>
        <v>#NAME?</v>
      </c>
    </row>
    <row r="1956">
      <c r="A1956" s="4" t="s">
        <v>4588</v>
      </c>
      <c r="B1956" s="4" t="s">
        <v>448</v>
      </c>
      <c r="C1956" s="4">
        <v>14.0</v>
      </c>
      <c r="D1956" s="4" t="s">
        <v>4480</v>
      </c>
      <c r="E1956" s="4" t="s">
        <v>1088</v>
      </c>
      <c r="F1956" s="54" t="s">
        <v>534</v>
      </c>
      <c r="G1956" s="4">
        <v>3.95</v>
      </c>
      <c r="H1956" s="4">
        <v>3.92</v>
      </c>
      <c r="I1956" s="4">
        <v>3.93</v>
      </c>
      <c r="J1956" s="4">
        <v>3.93</v>
      </c>
      <c r="X1956" s="55" t="str">
        <f t="shared" si="3"/>
        <v>#NAME?</v>
      </c>
    </row>
    <row r="1957">
      <c r="A1957" s="4" t="s">
        <v>4589</v>
      </c>
      <c r="B1957" s="4" t="s">
        <v>448</v>
      </c>
      <c r="C1957" s="4">
        <v>15.0</v>
      </c>
      <c r="D1957" s="4" t="s">
        <v>4382</v>
      </c>
      <c r="E1957" s="4" t="s">
        <v>4270</v>
      </c>
      <c r="F1957" s="54" t="s">
        <v>534</v>
      </c>
      <c r="G1957" s="4">
        <v>15.34</v>
      </c>
      <c r="H1957" s="4">
        <v>15.43</v>
      </c>
      <c r="I1957" s="4">
        <v>15.56</v>
      </c>
      <c r="J1957" s="4">
        <v>15.33</v>
      </c>
      <c r="X1957" s="55" t="str">
        <f t="shared" si="3"/>
        <v>#NAME?</v>
      </c>
    </row>
    <row r="1958">
      <c r="A1958" s="4" t="s">
        <v>4590</v>
      </c>
      <c r="B1958" s="4" t="s">
        <v>448</v>
      </c>
      <c r="C1958" s="4">
        <v>16.0</v>
      </c>
      <c r="D1958" s="4" t="s">
        <v>4382</v>
      </c>
      <c r="E1958" s="4" t="s">
        <v>3816</v>
      </c>
      <c r="F1958" s="54" t="s">
        <v>534</v>
      </c>
      <c r="G1958" s="4">
        <v>16.08</v>
      </c>
      <c r="H1958" s="4">
        <v>16.54</v>
      </c>
      <c r="I1958" s="4">
        <v>16.09</v>
      </c>
      <c r="J1958" s="4">
        <v>16.08</v>
      </c>
      <c r="X1958" s="55" t="str">
        <f t="shared" si="3"/>
        <v>#NAME?</v>
      </c>
    </row>
    <row r="1959">
      <c r="A1959" s="4" t="s">
        <v>4591</v>
      </c>
      <c r="B1959" s="4" t="s">
        <v>448</v>
      </c>
      <c r="C1959" s="4">
        <v>17.0</v>
      </c>
      <c r="D1959" s="4" t="s">
        <v>4386</v>
      </c>
      <c r="E1959" s="4" t="s">
        <v>1088</v>
      </c>
      <c r="F1959" s="54" t="s">
        <v>399</v>
      </c>
      <c r="G1959" s="4">
        <v>3.56</v>
      </c>
      <c r="H1959" s="4">
        <v>3.51</v>
      </c>
      <c r="I1959" s="4">
        <v>3.56</v>
      </c>
      <c r="J1959" s="4">
        <v>3.52</v>
      </c>
      <c r="X1959" s="55" t="str">
        <f t="shared" si="3"/>
        <v>#NAME?</v>
      </c>
    </row>
    <row r="1960">
      <c r="A1960" s="4" t="s">
        <v>4592</v>
      </c>
      <c r="B1960" s="4" t="s">
        <v>448</v>
      </c>
      <c r="C1960" s="4">
        <v>18.0</v>
      </c>
      <c r="D1960" s="4" t="s">
        <v>4386</v>
      </c>
      <c r="E1960" s="4" t="s">
        <v>4270</v>
      </c>
      <c r="F1960" s="54" t="s">
        <v>399</v>
      </c>
      <c r="G1960" s="4">
        <v>19.04</v>
      </c>
      <c r="H1960" s="4">
        <v>18.58</v>
      </c>
      <c r="I1960" s="4">
        <v>18.58</v>
      </c>
      <c r="J1960" s="4">
        <v>19.1</v>
      </c>
      <c r="X1960" s="55" t="str">
        <f t="shared" si="3"/>
        <v>#NAME?</v>
      </c>
    </row>
    <row r="1961">
      <c r="A1961" s="4" t="s">
        <v>4593</v>
      </c>
      <c r="B1961" s="4" t="s">
        <v>448</v>
      </c>
      <c r="C1961" s="4">
        <v>19.0</v>
      </c>
      <c r="D1961" s="4" t="s">
        <v>4405</v>
      </c>
      <c r="E1961" s="4" t="s">
        <v>1088</v>
      </c>
      <c r="F1961" s="54" t="s">
        <v>287</v>
      </c>
      <c r="G1961" s="4">
        <v>11.96</v>
      </c>
      <c r="H1961" s="4">
        <v>11.94</v>
      </c>
      <c r="I1961" s="4">
        <v>11.94</v>
      </c>
      <c r="J1961" s="4">
        <v>11.96</v>
      </c>
      <c r="X1961" s="55" t="str">
        <f t="shared" si="3"/>
        <v>#NAME?</v>
      </c>
    </row>
    <row r="1962">
      <c r="A1962" s="4" t="s">
        <v>4594</v>
      </c>
      <c r="B1962" s="4" t="s">
        <v>448</v>
      </c>
      <c r="C1962" s="4">
        <v>20.0</v>
      </c>
      <c r="D1962" s="4" t="s">
        <v>4407</v>
      </c>
      <c r="E1962" s="4" t="s">
        <v>1088</v>
      </c>
      <c r="F1962" s="54" t="s">
        <v>287</v>
      </c>
      <c r="G1962" s="4">
        <v>11.97</v>
      </c>
      <c r="H1962" s="4">
        <v>11.96</v>
      </c>
      <c r="I1962" s="4">
        <v>11.91</v>
      </c>
      <c r="J1962" s="4">
        <v>11.95</v>
      </c>
      <c r="X1962" s="55" t="str">
        <f t="shared" si="3"/>
        <v>#NAME?</v>
      </c>
    </row>
    <row r="1963">
      <c r="A1963" s="4" t="s">
        <v>4595</v>
      </c>
      <c r="B1963" s="4" t="s">
        <v>448</v>
      </c>
      <c r="C1963" s="4">
        <v>21.0</v>
      </c>
      <c r="D1963" s="4" t="s">
        <v>4405</v>
      </c>
      <c r="E1963" s="4" t="s">
        <v>4270</v>
      </c>
      <c r="F1963" s="54" t="s">
        <v>287</v>
      </c>
      <c r="G1963" s="4">
        <v>31.16</v>
      </c>
      <c r="H1963" s="4">
        <v>31.65</v>
      </c>
      <c r="I1963" s="4">
        <v>31.18</v>
      </c>
      <c r="J1963" s="4">
        <v>31.15</v>
      </c>
      <c r="X1963" s="55" t="str">
        <f t="shared" si="3"/>
        <v>#NAME?</v>
      </c>
    </row>
    <row r="1964">
      <c r="A1964" s="4" t="s">
        <v>4596</v>
      </c>
      <c r="B1964" s="4" t="s">
        <v>448</v>
      </c>
      <c r="C1964" s="4">
        <v>22.0</v>
      </c>
      <c r="D1964" s="4" t="s">
        <v>4405</v>
      </c>
      <c r="E1964" s="4" t="s">
        <v>3816</v>
      </c>
      <c r="F1964" s="54" t="s">
        <v>546</v>
      </c>
      <c r="G1964" s="4">
        <v>32.66</v>
      </c>
      <c r="H1964" s="4">
        <v>33.14</v>
      </c>
      <c r="I1964" s="4">
        <v>33.15</v>
      </c>
      <c r="J1964" s="4">
        <v>33.09</v>
      </c>
      <c r="X1964" s="55" t="str">
        <f t="shared" si="3"/>
        <v>#NAME?</v>
      </c>
    </row>
    <row r="1965">
      <c r="A1965" s="4" t="s">
        <v>4597</v>
      </c>
      <c r="B1965" s="4" t="s">
        <v>448</v>
      </c>
      <c r="C1965" s="4">
        <v>23.0</v>
      </c>
      <c r="D1965" s="4" t="s">
        <v>4417</v>
      </c>
      <c r="E1965" s="4" t="s">
        <v>1088</v>
      </c>
      <c r="F1965" s="54" t="s">
        <v>449</v>
      </c>
      <c r="G1965" s="4">
        <v>2.86</v>
      </c>
      <c r="H1965" s="4">
        <v>2.84</v>
      </c>
      <c r="I1965" s="4">
        <v>2.88</v>
      </c>
      <c r="J1965" s="4">
        <v>2.84</v>
      </c>
      <c r="X1965" s="55" t="str">
        <f t="shared" si="3"/>
        <v>#NAME?</v>
      </c>
    </row>
    <row r="1966">
      <c r="A1966" s="4" t="s">
        <v>4598</v>
      </c>
      <c r="B1966" s="4" t="s">
        <v>448</v>
      </c>
      <c r="C1966" s="4">
        <v>24.0</v>
      </c>
      <c r="D1966" s="4" t="s">
        <v>4419</v>
      </c>
      <c r="E1966" s="4" t="s">
        <v>1088</v>
      </c>
      <c r="F1966" s="54" t="s">
        <v>449</v>
      </c>
      <c r="G1966" s="4">
        <v>2.89</v>
      </c>
      <c r="H1966" s="4">
        <v>2.84</v>
      </c>
      <c r="I1966" s="4">
        <v>2.83</v>
      </c>
      <c r="J1966" s="4">
        <v>2.82</v>
      </c>
      <c r="X1966" s="55" t="str">
        <f t="shared" si="3"/>
        <v>#NAME?</v>
      </c>
    </row>
    <row r="1967">
      <c r="A1967" s="4" t="s">
        <v>4599</v>
      </c>
      <c r="B1967" s="4" t="s">
        <v>448</v>
      </c>
      <c r="C1967" s="4">
        <v>25.0</v>
      </c>
      <c r="D1967" s="4" t="s">
        <v>4417</v>
      </c>
      <c r="E1967" s="4" t="s">
        <v>4270</v>
      </c>
      <c r="F1967" s="54" t="s">
        <v>449</v>
      </c>
      <c r="G1967" s="4">
        <v>20.75</v>
      </c>
      <c r="H1967" s="4">
        <v>20.78</v>
      </c>
      <c r="I1967" s="4">
        <v>21.03</v>
      </c>
      <c r="J1967" s="4">
        <v>20.77</v>
      </c>
      <c r="X1967" s="55" t="str">
        <f t="shared" si="3"/>
        <v>#NAME?</v>
      </c>
    </row>
    <row r="1968">
      <c r="A1968" s="4" t="s">
        <v>4600</v>
      </c>
      <c r="B1968" s="4" t="s">
        <v>448</v>
      </c>
      <c r="C1968" s="4">
        <v>26.0</v>
      </c>
      <c r="D1968" s="4" t="s">
        <v>4417</v>
      </c>
      <c r="E1968" s="4" t="s">
        <v>4270</v>
      </c>
      <c r="F1968" s="54" t="s">
        <v>449</v>
      </c>
      <c r="G1968" s="4">
        <v>20.76</v>
      </c>
      <c r="H1968" s="4">
        <v>20.78</v>
      </c>
      <c r="I1968" s="4">
        <v>20.76</v>
      </c>
      <c r="J1968" s="4">
        <v>20.74</v>
      </c>
      <c r="X1968" s="55" t="str">
        <f t="shared" si="3"/>
        <v>#NAME?</v>
      </c>
    </row>
    <row r="1969">
      <c r="A1969" s="4" t="s">
        <v>4601</v>
      </c>
      <c r="B1969" s="4" t="s">
        <v>459</v>
      </c>
      <c r="C1969" s="4">
        <v>1.0</v>
      </c>
      <c r="D1969" s="54" t="s">
        <v>357</v>
      </c>
      <c r="E1969" s="4" t="s">
        <v>4260</v>
      </c>
      <c r="F1969" s="54" t="s">
        <v>4565</v>
      </c>
      <c r="G1969" s="4">
        <v>8.9</v>
      </c>
      <c r="H1969" s="4">
        <v>9.01</v>
      </c>
      <c r="I1969" s="4">
        <v>9.0</v>
      </c>
      <c r="J1969" s="4">
        <v>9.02</v>
      </c>
      <c r="K1969" s="4">
        <v>9.0</v>
      </c>
      <c r="L1969" s="4">
        <v>9.02</v>
      </c>
      <c r="M1969" s="4">
        <v>8.99</v>
      </c>
      <c r="N1969" s="4">
        <v>8.95</v>
      </c>
      <c r="X1969" s="55" t="str">
        <f t="shared" si="3"/>
        <v>#NAME?</v>
      </c>
    </row>
    <row r="1970">
      <c r="A1970" s="4" t="s">
        <v>4602</v>
      </c>
      <c r="B1970" s="4" t="s">
        <v>459</v>
      </c>
      <c r="C1970" s="4">
        <v>2.0</v>
      </c>
      <c r="D1970" s="54" t="s">
        <v>529</v>
      </c>
      <c r="E1970" s="4" t="s">
        <v>4260</v>
      </c>
      <c r="F1970" s="54" t="s">
        <v>4565</v>
      </c>
      <c r="G1970" s="4">
        <v>9.01</v>
      </c>
      <c r="H1970" s="4">
        <v>9.04</v>
      </c>
      <c r="I1970" s="4">
        <v>9.02</v>
      </c>
      <c r="J1970" s="4">
        <v>9.05</v>
      </c>
      <c r="K1970" s="4">
        <v>9.01</v>
      </c>
      <c r="L1970" s="4">
        <v>8.99</v>
      </c>
      <c r="M1970" s="4">
        <v>8.96</v>
      </c>
      <c r="N1970" s="4">
        <v>8.96</v>
      </c>
      <c r="X1970" s="55" t="str">
        <f t="shared" si="3"/>
        <v>#NAME?</v>
      </c>
    </row>
    <row r="1971">
      <c r="A1971" s="4" t="s">
        <v>4603</v>
      </c>
      <c r="B1971" s="4" t="s">
        <v>459</v>
      </c>
      <c r="C1971" s="4">
        <v>3.0</v>
      </c>
      <c r="D1971" s="54" t="s">
        <v>534</v>
      </c>
      <c r="E1971" s="4" t="s">
        <v>4260</v>
      </c>
      <c r="F1971" s="54" t="s">
        <v>4565</v>
      </c>
      <c r="G1971" s="4">
        <v>9.01</v>
      </c>
      <c r="H1971" s="4">
        <v>9.05</v>
      </c>
      <c r="I1971" s="4">
        <v>9.04</v>
      </c>
      <c r="J1971" s="4">
        <v>9.04</v>
      </c>
      <c r="K1971" s="4">
        <v>9.01</v>
      </c>
      <c r="L1971" s="4">
        <v>8.99</v>
      </c>
      <c r="M1971" s="4">
        <v>9.01</v>
      </c>
      <c r="N1971" s="4">
        <v>8.95</v>
      </c>
      <c r="X1971" s="55" t="str">
        <f t="shared" si="3"/>
        <v>#NAME?</v>
      </c>
    </row>
    <row r="1972">
      <c r="A1972" s="4" t="s">
        <v>4604</v>
      </c>
      <c r="B1972" s="4" t="s">
        <v>459</v>
      </c>
      <c r="C1972" s="4">
        <v>4.0</v>
      </c>
      <c r="D1972" s="54" t="s">
        <v>540</v>
      </c>
      <c r="E1972" s="4" t="s">
        <v>4260</v>
      </c>
      <c r="F1972" s="54" t="s">
        <v>4565</v>
      </c>
      <c r="G1972" s="4">
        <v>8.98</v>
      </c>
      <c r="H1972" s="4">
        <v>9.03</v>
      </c>
      <c r="I1972" s="4">
        <v>9.02</v>
      </c>
      <c r="J1972" s="4">
        <v>9.06</v>
      </c>
      <c r="K1972" s="4">
        <v>9.01</v>
      </c>
      <c r="L1972" s="4">
        <v>9.02</v>
      </c>
      <c r="M1972" s="4">
        <v>8.97</v>
      </c>
      <c r="N1972" s="4">
        <v>8.96</v>
      </c>
      <c r="X1972" s="55" t="str">
        <f t="shared" si="3"/>
        <v>#NAME?</v>
      </c>
    </row>
    <row r="1973">
      <c r="A1973" s="4" t="s">
        <v>4605</v>
      </c>
      <c r="B1973" s="4" t="s">
        <v>459</v>
      </c>
      <c r="C1973" s="4">
        <v>5.0</v>
      </c>
      <c r="D1973" s="54" t="s">
        <v>546</v>
      </c>
      <c r="E1973" s="4" t="s">
        <v>4260</v>
      </c>
      <c r="F1973" s="54" t="s">
        <v>4565</v>
      </c>
      <c r="G1973" s="4">
        <v>9.03</v>
      </c>
      <c r="H1973" s="4">
        <v>9.08</v>
      </c>
      <c r="I1973" s="4">
        <v>9.1</v>
      </c>
      <c r="J1973" s="4">
        <v>9.09</v>
      </c>
      <c r="K1973" s="4">
        <v>9.06</v>
      </c>
      <c r="L1973" s="4">
        <v>9.08</v>
      </c>
      <c r="M1973" s="4">
        <v>8.98</v>
      </c>
      <c r="N1973" s="4">
        <v>9.0</v>
      </c>
      <c r="X1973" s="55" t="str">
        <f t="shared" si="3"/>
        <v>#NAME?</v>
      </c>
    </row>
    <row r="1974">
      <c r="A1974" s="4" t="s">
        <v>4606</v>
      </c>
      <c r="B1974" s="4" t="s">
        <v>459</v>
      </c>
      <c r="C1974" s="4">
        <v>6.0</v>
      </c>
      <c r="D1974" s="4" t="s">
        <v>4607</v>
      </c>
      <c r="E1974" s="4" t="s">
        <v>4264</v>
      </c>
      <c r="F1974" s="54" t="s">
        <v>4565</v>
      </c>
      <c r="G1974" s="4">
        <v>7.45</v>
      </c>
      <c r="H1974" s="4">
        <v>7.48</v>
      </c>
      <c r="I1974" s="4">
        <v>7.46</v>
      </c>
      <c r="J1974" s="4">
        <v>7.54</v>
      </c>
      <c r="K1974" s="4">
        <v>7.46</v>
      </c>
      <c r="L1974" s="4">
        <v>7.47</v>
      </c>
      <c r="M1974" s="4">
        <v>7.48</v>
      </c>
      <c r="N1974" s="4">
        <v>7.47</v>
      </c>
      <c r="X1974" s="55" t="str">
        <f t="shared" si="3"/>
        <v>#NAME?</v>
      </c>
    </row>
    <row r="1975">
      <c r="A1975" s="4" t="s">
        <v>4608</v>
      </c>
      <c r="B1975" s="4" t="s">
        <v>459</v>
      </c>
      <c r="C1975" s="4">
        <v>7.0</v>
      </c>
      <c r="D1975" s="4" t="s">
        <v>4609</v>
      </c>
      <c r="E1975" s="4" t="s">
        <v>4264</v>
      </c>
      <c r="F1975" s="54" t="s">
        <v>4565</v>
      </c>
      <c r="G1975" s="4">
        <v>7.6</v>
      </c>
      <c r="H1975" s="4">
        <v>7.61</v>
      </c>
      <c r="I1975" s="4">
        <v>7.69</v>
      </c>
      <c r="J1975" s="4">
        <v>7.66</v>
      </c>
      <c r="K1975" s="4">
        <v>7.66</v>
      </c>
      <c r="L1975" s="4">
        <v>7.55</v>
      </c>
      <c r="M1975" s="4">
        <v>7.67</v>
      </c>
      <c r="N1975" s="4">
        <v>7.72</v>
      </c>
      <c r="X1975" s="55" t="str">
        <f t="shared" si="3"/>
        <v>#NAME?</v>
      </c>
    </row>
    <row r="1976">
      <c r="A1976" s="4" t="s">
        <v>4610</v>
      </c>
      <c r="B1976" s="4" t="s">
        <v>459</v>
      </c>
      <c r="C1976" s="4">
        <v>8.0</v>
      </c>
      <c r="D1976" s="4" t="s">
        <v>4609</v>
      </c>
      <c r="E1976" s="4" t="s">
        <v>4264</v>
      </c>
      <c r="F1976" s="54" t="s">
        <v>4565</v>
      </c>
      <c r="G1976" s="4">
        <v>8.3</v>
      </c>
      <c r="H1976" s="4">
        <v>8.46</v>
      </c>
      <c r="I1976" s="4">
        <v>8.49</v>
      </c>
      <c r="J1976" s="4">
        <v>8.62</v>
      </c>
      <c r="K1976" s="4">
        <v>8.37</v>
      </c>
      <c r="L1976" s="4">
        <v>8.37</v>
      </c>
      <c r="M1976" s="4">
        <v>8.39</v>
      </c>
      <c r="N1976" s="4">
        <v>8.38</v>
      </c>
      <c r="X1976" s="55" t="str">
        <f t="shared" si="3"/>
        <v>#NAME?</v>
      </c>
    </row>
    <row r="1977">
      <c r="A1977" s="4" t="s">
        <v>4611</v>
      </c>
      <c r="B1977" s="4" t="s">
        <v>459</v>
      </c>
      <c r="C1977" s="4">
        <v>9.0</v>
      </c>
      <c r="D1977" s="4" t="s">
        <v>4612</v>
      </c>
      <c r="E1977" s="4" t="s">
        <v>4264</v>
      </c>
      <c r="F1977" s="54" t="s">
        <v>4565</v>
      </c>
      <c r="G1977" s="4">
        <v>7.89</v>
      </c>
      <c r="H1977" s="4">
        <v>7.69</v>
      </c>
      <c r="I1977" s="4">
        <v>7.63</v>
      </c>
      <c r="J1977" s="4">
        <v>7.36</v>
      </c>
      <c r="K1977" s="4">
        <v>7.99</v>
      </c>
      <c r="L1977" s="4">
        <v>7.82</v>
      </c>
      <c r="M1977" s="4">
        <v>7.89</v>
      </c>
      <c r="N1977" s="4">
        <v>7.87</v>
      </c>
      <c r="X1977" s="55" t="str">
        <f t="shared" si="3"/>
        <v>#NAME?</v>
      </c>
    </row>
    <row r="1978">
      <c r="A1978" s="4" t="s">
        <v>4613</v>
      </c>
      <c r="B1978" s="4" t="s">
        <v>459</v>
      </c>
      <c r="C1978" s="4">
        <v>10.0</v>
      </c>
      <c r="D1978" s="4" t="s">
        <v>4612</v>
      </c>
      <c r="E1978" s="4" t="s">
        <v>4264</v>
      </c>
      <c r="F1978" s="54" t="s">
        <v>4565</v>
      </c>
      <c r="G1978" s="4">
        <v>7.89</v>
      </c>
      <c r="H1978" s="4">
        <v>7.91</v>
      </c>
      <c r="I1978" s="4">
        <v>7.9</v>
      </c>
      <c r="J1978" s="4">
        <v>7.86</v>
      </c>
      <c r="K1978" s="4">
        <v>7.9</v>
      </c>
      <c r="L1978" s="4">
        <v>7.97</v>
      </c>
      <c r="M1978" s="4">
        <v>7.84</v>
      </c>
      <c r="N1978" s="4">
        <v>7.82</v>
      </c>
      <c r="X1978" s="55" t="str">
        <f t="shared" si="3"/>
        <v>#NAME?</v>
      </c>
    </row>
    <row r="1979">
      <c r="A1979" s="4" t="s">
        <v>4614</v>
      </c>
      <c r="B1979" s="4" t="s">
        <v>459</v>
      </c>
      <c r="C1979" s="4">
        <v>11.0</v>
      </c>
      <c r="D1979" s="4" t="s">
        <v>4612</v>
      </c>
      <c r="E1979" s="4" t="s">
        <v>4264</v>
      </c>
      <c r="F1979" s="54" t="s">
        <v>4565</v>
      </c>
      <c r="G1979" s="4">
        <v>8.82</v>
      </c>
      <c r="H1979" s="4">
        <v>8.86</v>
      </c>
      <c r="I1979" s="4">
        <v>8.81</v>
      </c>
      <c r="J1979" s="4">
        <v>8.79</v>
      </c>
      <c r="K1979" s="4">
        <v>8.64</v>
      </c>
      <c r="L1979" s="4">
        <v>8.73</v>
      </c>
      <c r="M1979" s="4">
        <v>8.67</v>
      </c>
      <c r="N1979" s="4">
        <v>8.68</v>
      </c>
      <c r="X1979" s="55" t="str">
        <f t="shared" si="3"/>
        <v>#NAME?</v>
      </c>
    </row>
    <row r="1980">
      <c r="A1980" s="4" t="s">
        <v>4615</v>
      </c>
      <c r="B1980" s="4" t="s">
        <v>459</v>
      </c>
      <c r="C1980" s="4">
        <v>12.0</v>
      </c>
      <c r="D1980" s="4" t="s">
        <v>4616</v>
      </c>
      <c r="E1980" s="4" t="s">
        <v>1088</v>
      </c>
      <c r="F1980" s="54" t="s">
        <v>399</v>
      </c>
      <c r="G1980" s="4">
        <v>3.88</v>
      </c>
      <c r="H1980" s="4">
        <v>3.83</v>
      </c>
      <c r="I1980" s="4">
        <v>3.8</v>
      </c>
      <c r="J1980" s="4">
        <v>3.87</v>
      </c>
      <c r="X1980" s="55" t="str">
        <f t="shared" si="3"/>
        <v>#NAME?</v>
      </c>
    </row>
    <row r="1981">
      <c r="A1981" s="4" t="s">
        <v>4617</v>
      </c>
      <c r="B1981" s="4" t="s">
        <v>459</v>
      </c>
      <c r="C1981" s="4">
        <v>13.0</v>
      </c>
      <c r="D1981" s="4" t="s">
        <v>4618</v>
      </c>
      <c r="E1981" s="4" t="s">
        <v>1088</v>
      </c>
      <c r="F1981" s="54" t="s">
        <v>3789</v>
      </c>
      <c r="G1981" s="4">
        <v>3.42</v>
      </c>
      <c r="H1981" s="4">
        <v>3.43</v>
      </c>
      <c r="I1981" s="4">
        <v>3.49</v>
      </c>
      <c r="J1981" s="4">
        <v>3.33</v>
      </c>
      <c r="X1981" s="55" t="str">
        <f t="shared" si="3"/>
        <v>#NAME?</v>
      </c>
    </row>
    <row r="1982">
      <c r="A1982" s="4" t="s">
        <v>4619</v>
      </c>
      <c r="B1982" s="4" t="s">
        <v>459</v>
      </c>
      <c r="C1982" s="4">
        <v>14.0</v>
      </c>
      <c r="D1982" s="4" t="s">
        <v>4620</v>
      </c>
      <c r="E1982" s="4" t="s">
        <v>1088</v>
      </c>
      <c r="F1982" s="54" t="s">
        <v>3789</v>
      </c>
      <c r="G1982" s="4">
        <v>3.94</v>
      </c>
      <c r="H1982" s="4">
        <v>3.94</v>
      </c>
      <c r="I1982" s="4">
        <v>4.17</v>
      </c>
      <c r="J1982" s="4">
        <v>3.99</v>
      </c>
      <c r="X1982" s="55" t="str">
        <f t="shared" si="3"/>
        <v>#NAME?</v>
      </c>
    </row>
    <row r="1983">
      <c r="A1983" s="4" t="s">
        <v>4621</v>
      </c>
      <c r="B1983" s="4" t="s">
        <v>459</v>
      </c>
      <c r="C1983" s="4">
        <v>15.0</v>
      </c>
      <c r="D1983" s="4" t="s">
        <v>4622</v>
      </c>
      <c r="E1983" s="4" t="s">
        <v>1088</v>
      </c>
      <c r="F1983" s="54" t="s">
        <v>292</v>
      </c>
      <c r="G1983" s="4">
        <v>3.43</v>
      </c>
      <c r="H1983" s="4">
        <v>3.31</v>
      </c>
      <c r="I1983" s="4">
        <v>3.47</v>
      </c>
      <c r="J1983" s="4">
        <v>3.2</v>
      </c>
      <c r="X1983" s="55" t="str">
        <f t="shared" si="3"/>
        <v>#NAME?</v>
      </c>
    </row>
    <row r="1984">
      <c r="A1984" s="4" t="s">
        <v>4623</v>
      </c>
      <c r="B1984" s="4" t="s">
        <v>459</v>
      </c>
      <c r="C1984" s="4">
        <v>16.0</v>
      </c>
      <c r="D1984" s="4" t="s">
        <v>4624</v>
      </c>
      <c r="E1984" s="4" t="s">
        <v>1088</v>
      </c>
      <c r="F1984" s="54" t="s">
        <v>292</v>
      </c>
      <c r="G1984" s="4">
        <v>2.54</v>
      </c>
      <c r="H1984" s="4">
        <v>2.89</v>
      </c>
      <c r="I1984" s="4">
        <v>2.83</v>
      </c>
      <c r="J1984" s="4">
        <v>2.64</v>
      </c>
      <c r="X1984" s="55" t="str">
        <f t="shared" si="3"/>
        <v>#NAME?</v>
      </c>
    </row>
    <row r="1985">
      <c r="A1985" s="4" t="s">
        <v>4625</v>
      </c>
      <c r="B1985" s="4" t="s">
        <v>454</v>
      </c>
      <c r="C1985" s="4">
        <v>1.0</v>
      </c>
      <c r="D1985" s="4" t="s">
        <v>4423</v>
      </c>
      <c r="E1985" s="4" t="s">
        <v>1088</v>
      </c>
      <c r="F1985" s="54" t="s">
        <v>357</v>
      </c>
      <c r="G1985" s="4">
        <v>3.81</v>
      </c>
      <c r="H1985" s="4">
        <v>3.81</v>
      </c>
      <c r="I1985" s="4">
        <v>3.84</v>
      </c>
      <c r="J1985" s="4">
        <v>3.86</v>
      </c>
      <c r="X1985" s="55" t="str">
        <f t="shared" si="3"/>
        <v>#NAME?</v>
      </c>
    </row>
    <row r="1986">
      <c r="A1986" s="4" t="s">
        <v>4626</v>
      </c>
      <c r="B1986" s="4" t="s">
        <v>454</v>
      </c>
      <c r="C1986" s="4">
        <v>2.0</v>
      </c>
      <c r="D1986" s="4" t="s">
        <v>4627</v>
      </c>
      <c r="E1986" s="4" t="s">
        <v>1088</v>
      </c>
      <c r="F1986" s="54" t="s">
        <v>357</v>
      </c>
      <c r="G1986" s="4">
        <v>3.86</v>
      </c>
      <c r="H1986" s="4">
        <v>3.78</v>
      </c>
      <c r="I1986" s="4">
        <v>3.8</v>
      </c>
      <c r="J1986" s="4">
        <v>3.76</v>
      </c>
      <c r="X1986" s="55" t="str">
        <f t="shared" si="3"/>
        <v>#NAME?</v>
      </c>
    </row>
    <row r="1987">
      <c r="A1987" s="4" t="s">
        <v>4628</v>
      </c>
      <c r="B1987" s="4" t="s">
        <v>454</v>
      </c>
      <c r="C1987" s="4">
        <v>3.0</v>
      </c>
      <c r="D1987" s="4" t="s">
        <v>4423</v>
      </c>
      <c r="E1987" s="4" t="s">
        <v>4270</v>
      </c>
      <c r="F1987" s="54" t="s">
        <v>357</v>
      </c>
      <c r="G1987" s="4">
        <v>22.68</v>
      </c>
      <c r="H1987" s="4">
        <v>22.61</v>
      </c>
      <c r="I1987" s="4">
        <v>23.16</v>
      </c>
      <c r="J1987" s="4">
        <v>22.64</v>
      </c>
      <c r="X1987" s="55" t="str">
        <f t="shared" si="3"/>
        <v>#NAME?</v>
      </c>
    </row>
    <row r="1988">
      <c r="A1988" s="4" t="s">
        <v>4629</v>
      </c>
      <c r="B1988" s="4" t="s">
        <v>454</v>
      </c>
      <c r="C1988" s="4">
        <v>4.0</v>
      </c>
      <c r="D1988" s="4" t="s">
        <v>4411</v>
      </c>
      <c r="E1988" s="4" t="s">
        <v>1088</v>
      </c>
      <c r="F1988" s="54" t="s">
        <v>449</v>
      </c>
      <c r="G1988" s="4">
        <v>3.84</v>
      </c>
      <c r="H1988" s="4">
        <v>3.76</v>
      </c>
      <c r="I1988" s="4">
        <v>3.83</v>
      </c>
      <c r="J1988" s="4">
        <v>3.83</v>
      </c>
      <c r="X1988" s="55" t="str">
        <f t="shared" si="3"/>
        <v>#NAME?</v>
      </c>
    </row>
    <row r="1989">
      <c r="A1989" s="4" t="s">
        <v>4630</v>
      </c>
      <c r="B1989" s="4" t="s">
        <v>454</v>
      </c>
      <c r="C1989" s="4">
        <v>5.0</v>
      </c>
      <c r="D1989" s="4" t="s">
        <v>4413</v>
      </c>
      <c r="E1989" s="4" t="s">
        <v>1088</v>
      </c>
      <c r="F1989" s="54" t="s">
        <v>449</v>
      </c>
      <c r="G1989" s="4">
        <v>3.83</v>
      </c>
      <c r="H1989" s="4">
        <v>3.83</v>
      </c>
      <c r="I1989" s="4">
        <v>3.86</v>
      </c>
      <c r="J1989" s="4">
        <v>3.84</v>
      </c>
      <c r="X1989" s="55" t="str">
        <f t="shared" si="3"/>
        <v>#NAME?</v>
      </c>
    </row>
    <row r="1990">
      <c r="A1990" s="4" t="s">
        <v>4631</v>
      </c>
      <c r="B1990" s="4" t="s">
        <v>454</v>
      </c>
      <c r="C1990" s="4">
        <v>6.0</v>
      </c>
      <c r="D1990" s="4" t="s">
        <v>4411</v>
      </c>
      <c r="E1990" s="4" t="s">
        <v>4270</v>
      </c>
      <c r="F1990" s="54" t="s">
        <v>449</v>
      </c>
      <c r="G1990" s="4">
        <v>15.63</v>
      </c>
      <c r="H1990" s="4">
        <v>15.61</v>
      </c>
      <c r="I1990" s="4">
        <v>15.59</v>
      </c>
      <c r="J1990" s="4">
        <v>15.6</v>
      </c>
      <c r="X1990" s="55" t="str">
        <f t="shared" si="3"/>
        <v>#NAME?</v>
      </c>
    </row>
    <row r="1991">
      <c r="A1991" s="4" t="s">
        <v>4632</v>
      </c>
      <c r="B1991" s="4" t="s">
        <v>454</v>
      </c>
      <c r="C1991" s="4">
        <v>7.0</v>
      </c>
      <c r="D1991" s="4" t="s">
        <v>4413</v>
      </c>
      <c r="E1991" s="4" t="s">
        <v>4270</v>
      </c>
      <c r="F1991" s="54" t="s">
        <v>449</v>
      </c>
      <c r="G1991" s="4">
        <v>15.54</v>
      </c>
      <c r="H1991" s="4">
        <v>15.54</v>
      </c>
      <c r="I1991" s="4">
        <v>15.53</v>
      </c>
      <c r="J1991" s="4">
        <v>15.53</v>
      </c>
      <c r="X1991" s="55" t="str">
        <f t="shared" si="3"/>
        <v>#NAME?</v>
      </c>
    </row>
    <row r="1992">
      <c r="A1992" s="4" t="s">
        <v>4633</v>
      </c>
      <c r="B1992" s="4" t="s">
        <v>454</v>
      </c>
      <c r="C1992" s="4">
        <v>8.0</v>
      </c>
      <c r="D1992" s="4" t="s">
        <v>4417</v>
      </c>
      <c r="E1992" s="4" t="s">
        <v>1088</v>
      </c>
      <c r="F1992" s="54" t="s">
        <v>449</v>
      </c>
      <c r="G1992" s="4">
        <v>2.89</v>
      </c>
      <c r="H1992" s="4">
        <v>2.92</v>
      </c>
      <c r="I1992" s="4">
        <v>2.88</v>
      </c>
      <c r="J1992" s="4">
        <v>2.88</v>
      </c>
      <c r="X1992" s="55" t="str">
        <f t="shared" si="3"/>
        <v>#NAME?</v>
      </c>
    </row>
    <row r="1993">
      <c r="A1993" s="4" t="s">
        <v>4634</v>
      </c>
      <c r="B1993" s="4" t="s">
        <v>454</v>
      </c>
      <c r="C1993" s="4">
        <v>9.0</v>
      </c>
      <c r="D1993" s="4" t="s">
        <v>4419</v>
      </c>
      <c r="E1993" s="4" t="s">
        <v>1088</v>
      </c>
      <c r="F1993" s="54" t="s">
        <v>449</v>
      </c>
      <c r="G1993" s="4">
        <v>2.89</v>
      </c>
      <c r="H1993" s="4">
        <v>2.89</v>
      </c>
      <c r="I1993" s="4">
        <v>2.87</v>
      </c>
      <c r="J1993" s="4">
        <v>2.86</v>
      </c>
      <c r="X1993" s="55" t="str">
        <f t="shared" si="3"/>
        <v>#NAME?</v>
      </c>
    </row>
    <row r="1994">
      <c r="A1994" s="4" t="s">
        <v>4635</v>
      </c>
      <c r="B1994" s="4" t="s">
        <v>454</v>
      </c>
      <c r="C1994" s="4">
        <v>10.0</v>
      </c>
      <c r="D1994" s="4" t="s">
        <v>4417</v>
      </c>
      <c r="E1994" s="4" t="s">
        <v>4270</v>
      </c>
      <c r="F1994" s="54" t="s">
        <v>449</v>
      </c>
      <c r="G1994" s="4">
        <v>21.04</v>
      </c>
      <c r="H1994" s="4">
        <v>20.25</v>
      </c>
      <c r="I1994" s="4">
        <v>20.25</v>
      </c>
      <c r="J1994" s="4">
        <v>20.28</v>
      </c>
      <c r="X1994" s="55" t="str">
        <f t="shared" si="3"/>
        <v>#NAME?</v>
      </c>
    </row>
    <row r="1995">
      <c r="A1995" s="4" t="s">
        <v>4636</v>
      </c>
      <c r="B1995" s="4" t="s">
        <v>454</v>
      </c>
      <c r="C1995" s="4">
        <v>11.0</v>
      </c>
      <c r="D1995" s="4" t="s">
        <v>4419</v>
      </c>
      <c r="E1995" s="4" t="s">
        <v>4270</v>
      </c>
      <c r="F1995" s="54" t="s">
        <v>449</v>
      </c>
      <c r="G1995" s="4">
        <v>20.28</v>
      </c>
      <c r="H1995" s="4">
        <v>20.26</v>
      </c>
      <c r="I1995" s="4">
        <v>20.71</v>
      </c>
      <c r="J1995" s="4">
        <v>20.42</v>
      </c>
      <c r="X1995" s="55" t="str">
        <f t="shared" si="3"/>
        <v>#NAME?</v>
      </c>
    </row>
    <row r="1996">
      <c r="A1996" s="4" t="s">
        <v>4637</v>
      </c>
      <c r="B1996" s="4" t="s">
        <v>475</v>
      </c>
      <c r="C1996" s="4">
        <v>1.0</v>
      </c>
      <c r="D1996" s="54" t="s">
        <v>443</v>
      </c>
      <c r="E1996" s="4" t="s">
        <v>1088</v>
      </c>
      <c r="F1996" s="54" t="s">
        <v>399</v>
      </c>
      <c r="G1996" s="4">
        <v>0.01</v>
      </c>
      <c r="X1996" s="55" t="str">
        <f t="shared" si="3"/>
        <v>#NAME?</v>
      </c>
    </row>
    <row r="1997">
      <c r="A1997" s="4" t="s">
        <v>4638</v>
      </c>
      <c r="B1997" s="4" t="s">
        <v>475</v>
      </c>
      <c r="C1997" s="4">
        <v>2.0</v>
      </c>
      <c r="D1997" s="54" t="s">
        <v>399</v>
      </c>
      <c r="E1997" s="4" t="s">
        <v>1088</v>
      </c>
      <c r="F1997" s="54" t="s">
        <v>4639</v>
      </c>
      <c r="G1997" s="4">
        <v>0.01</v>
      </c>
      <c r="X1997" s="55" t="str">
        <f t="shared" si="3"/>
        <v>#NAME?</v>
      </c>
    </row>
    <row r="1998">
      <c r="A1998" s="4" t="s">
        <v>4640</v>
      </c>
      <c r="B1998" s="4" t="s">
        <v>475</v>
      </c>
      <c r="C1998" s="4">
        <v>3.0</v>
      </c>
      <c r="D1998" s="54" t="s">
        <v>357</v>
      </c>
      <c r="E1998" s="4" t="s">
        <v>1088</v>
      </c>
      <c r="F1998" s="54" t="s">
        <v>287</v>
      </c>
      <c r="G1998" s="4">
        <v>0.01</v>
      </c>
      <c r="X1998" s="55" t="str">
        <f t="shared" si="3"/>
        <v>#NAME?</v>
      </c>
    </row>
    <row r="1999">
      <c r="A1999" s="4" t="s">
        <v>4641</v>
      </c>
      <c r="B1999" s="4" t="s">
        <v>475</v>
      </c>
      <c r="C1999" s="4">
        <v>4.0</v>
      </c>
      <c r="D1999" s="54" t="s">
        <v>449</v>
      </c>
      <c r="E1999" s="4" t="s">
        <v>1088</v>
      </c>
      <c r="F1999" s="54" t="s">
        <v>287</v>
      </c>
      <c r="G1999" s="4">
        <v>0.01</v>
      </c>
      <c r="X1999" s="55" t="str">
        <f t="shared" si="3"/>
        <v>#NAME?</v>
      </c>
    </row>
    <row r="2000">
      <c r="A2000" s="4" t="s">
        <v>4642</v>
      </c>
      <c r="B2000" s="4" t="s">
        <v>475</v>
      </c>
      <c r="C2000" s="4">
        <v>5.0</v>
      </c>
      <c r="D2000" s="54" t="s">
        <v>292</v>
      </c>
      <c r="E2000" s="4" t="s">
        <v>1088</v>
      </c>
      <c r="F2000" s="54" t="s">
        <v>995</v>
      </c>
      <c r="G2000" s="4">
        <v>0.01</v>
      </c>
      <c r="X2000" s="55" t="str">
        <f t="shared" si="3"/>
        <v>#NAME?</v>
      </c>
    </row>
    <row r="2001">
      <c r="A2001" s="4" t="s">
        <v>4643</v>
      </c>
      <c r="B2001" s="4" t="s">
        <v>475</v>
      </c>
      <c r="C2001" s="4">
        <v>6.0</v>
      </c>
      <c r="D2001" s="54" t="s">
        <v>534</v>
      </c>
      <c r="E2001" s="4" t="s">
        <v>1088</v>
      </c>
      <c r="F2001" s="54" t="s">
        <v>287</v>
      </c>
      <c r="G2001" s="4">
        <v>0.01</v>
      </c>
      <c r="X2001" s="55" t="str">
        <f t="shared" si="3"/>
        <v>#NAME?</v>
      </c>
    </row>
    <row r="2002">
      <c r="A2002" s="4" t="s">
        <v>4644</v>
      </c>
      <c r="B2002" s="4" t="s">
        <v>475</v>
      </c>
      <c r="C2002" s="4">
        <v>7.0</v>
      </c>
      <c r="D2002" s="54" t="s">
        <v>529</v>
      </c>
      <c r="E2002" s="4" t="s">
        <v>1088</v>
      </c>
      <c r="F2002" s="54" t="s">
        <v>287</v>
      </c>
      <c r="G2002" s="4">
        <v>0.01</v>
      </c>
      <c r="X2002" s="55" t="str">
        <f t="shared" si="3"/>
        <v>#NAME?</v>
      </c>
    </row>
    <row r="2003">
      <c r="A2003" s="4" t="s">
        <v>4645</v>
      </c>
      <c r="B2003" s="4" t="s">
        <v>475</v>
      </c>
      <c r="C2003" s="4">
        <v>8.0</v>
      </c>
      <c r="D2003" s="54" t="s">
        <v>540</v>
      </c>
      <c r="E2003" s="4" t="s">
        <v>1088</v>
      </c>
      <c r="F2003" s="54" t="s">
        <v>287</v>
      </c>
      <c r="G2003" s="4">
        <v>0.01</v>
      </c>
      <c r="X2003" s="55" t="str">
        <f t="shared" si="3"/>
        <v>#NAME?</v>
      </c>
    </row>
    <row r="2004">
      <c r="A2004" s="4" t="s">
        <v>4646</v>
      </c>
      <c r="B2004" s="4" t="s">
        <v>475</v>
      </c>
      <c r="C2004" s="4">
        <v>9.0</v>
      </c>
      <c r="D2004" s="54" t="s">
        <v>405</v>
      </c>
      <c r="E2004" s="4" t="s">
        <v>1088</v>
      </c>
      <c r="F2004" s="54" t="s">
        <v>546</v>
      </c>
      <c r="G2004" s="4">
        <v>0.01</v>
      </c>
      <c r="X2004" s="55" t="str">
        <f t="shared" si="3"/>
        <v>#NAME?</v>
      </c>
    </row>
    <row r="2005">
      <c r="A2005" s="4" t="s">
        <v>4647</v>
      </c>
      <c r="B2005" s="4" t="s">
        <v>491</v>
      </c>
      <c r="C2005" s="4">
        <v>1.0</v>
      </c>
      <c r="D2005" s="54" t="s">
        <v>292</v>
      </c>
      <c r="E2005" s="4" t="s">
        <v>4260</v>
      </c>
      <c r="F2005" s="54" t="s">
        <v>4565</v>
      </c>
      <c r="G2005" s="4">
        <v>8.75</v>
      </c>
      <c r="H2005" s="4">
        <v>8.74</v>
      </c>
      <c r="I2005" s="4">
        <v>8.76</v>
      </c>
      <c r="J2005" s="4">
        <v>8.72</v>
      </c>
      <c r="K2005" s="4">
        <v>8.79</v>
      </c>
      <c r="L2005" s="4">
        <v>8.79</v>
      </c>
      <c r="M2005" s="4">
        <v>8.75</v>
      </c>
      <c r="N2005" s="4">
        <v>8.73</v>
      </c>
      <c r="X2005" s="55" t="str">
        <f t="shared" si="3"/>
        <v>#NAME?</v>
      </c>
    </row>
    <row r="2006">
      <c r="A2006" s="4" t="s">
        <v>4648</v>
      </c>
      <c r="B2006" s="4" t="s">
        <v>491</v>
      </c>
      <c r="C2006" s="4">
        <v>2.0</v>
      </c>
      <c r="D2006" s="54" t="s">
        <v>399</v>
      </c>
      <c r="E2006" s="4" t="s">
        <v>4260</v>
      </c>
      <c r="F2006" s="54" t="s">
        <v>4565</v>
      </c>
      <c r="G2006" s="4">
        <v>8.77</v>
      </c>
      <c r="H2006" s="4">
        <v>8.77</v>
      </c>
      <c r="I2006" s="4">
        <v>8.72</v>
      </c>
      <c r="J2006" s="4">
        <v>8.74</v>
      </c>
      <c r="K2006" s="4">
        <v>8.76</v>
      </c>
      <c r="L2006" s="4">
        <v>8.75</v>
      </c>
      <c r="M2006" s="4">
        <v>8.71</v>
      </c>
      <c r="N2006" s="4">
        <v>8.71</v>
      </c>
      <c r="X2006" s="55" t="str">
        <f t="shared" si="3"/>
        <v>#NAME?</v>
      </c>
    </row>
    <row r="2007">
      <c r="A2007" s="4" t="s">
        <v>4649</v>
      </c>
      <c r="B2007" s="4" t="s">
        <v>491</v>
      </c>
      <c r="C2007" s="4">
        <v>3.0</v>
      </c>
      <c r="D2007" s="54" t="s">
        <v>443</v>
      </c>
      <c r="E2007" s="4" t="s">
        <v>4260</v>
      </c>
      <c r="F2007" s="54" t="s">
        <v>4565</v>
      </c>
      <c r="G2007" s="4">
        <v>8.88</v>
      </c>
      <c r="H2007" s="4">
        <v>8.99</v>
      </c>
      <c r="I2007" s="4">
        <v>8.85</v>
      </c>
      <c r="J2007" s="4">
        <v>8.85</v>
      </c>
      <c r="K2007" s="4">
        <v>8.86</v>
      </c>
      <c r="L2007" s="4">
        <v>8.82</v>
      </c>
      <c r="M2007" s="4">
        <v>8.81</v>
      </c>
      <c r="N2007" s="4">
        <v>8.82</v>
      </c>
      <c r="X2007" s="55" t="str">
        <f t="shared" si="3"/>
        <v>#NAME?</v>
      </c>
    </row>
    <row r="2008">
      <c r="A2008" s="4" t="s">
        <v>4650</v>
      </c>
      <c r="B2008" s="4" t="s">
        <v>491</v>
      </c>
      <c r="C2008" s="4">
        <v>4.0</v>
      </c>
      <c r="D2008" s="54" t="s">
        <v>405</v>
      </c>
      <c r="E2008" s="4" t="s">
        <v>4260</v>
      </c>
      <c r="F2008" s="54" t="s">
        <v>4565</v>
      </c>
      <c r="G2008" s="4">
        <v>8.83</v>
      </c>
      <c r="H2008" s="4">
        <v>8.84</v>
      </c>
      <c r="I2008" s="4">
        <v>8.78</v>
      </c>
      <c r="J2008" s="4">
        <v>8.78</v>
      </c>
      <c r="K2008" s="4">
        <v>8.81</v>
      </c>
      <c r="L2008" s="4">
        <v>8.8</v>
      </c>
      <c r="M2008" s="4">
        <v>8.74</v>
      </c>
      <c r="N2008" s="4">
        <v>8.77</v>
      </c>
      <c r="X2008" s="55" t="str">
        <f t="shared" si="3"/>
        <v>#NAME?</v>
      </c>
    </row>
    <row r="2009">
      <c r="A2009" s="4" t="s">
        <v>4651</v>
      </c>
      <c r="B2009" s="4" t="s">
        <v>491</v>
      </c>
      <c r="C2009" s="4">
        <v>5.0</v>
      </c>
      <c r="D2009" s="54" t="s">
        <v>449</v>
      </c>
      <c r="E2009" s="4" t="s">
        <v>4260</v>
      </c>
      <c r="F2009" s="54" t="s">
        <v>4565</v>
      </c>
      <c r="G2009" s="4">
        <v>8.85</v>
      </c>
      <c r="H2009" s="4">
        <v>8.87</v>
      </c>
      <c r="I2009" s="4">
        <v>8.83</v>
      </c>
      <c r="J2009" s="4">
        <v>9.09</v>
      </c>
      <c r="K2009" s="4">
        <v>8.84</v>
      </c>
      <c r="L2009" s="4">
        <v>8.8</v>
      </c>
      <c r="M2009" s="4">
        <v>8.79</v>
      </c>
      <c r="N2009" s="4">
        <v>8.82</v>
      </c>
      <c r="X2009" s="55" t="str">
        <f t="shared" si="3"/>
        <v>#NAME?</v>
      </c>
    </row>
    <row r="2010">
      <c r="A2010" s="4" t="s">
        <v>4652</v>
      </c>
      <c r="B2010" s="4" t="s">
        <v>491</v>
      </c>
      <c r="C2010" s="4">
        <v>6.0</v>
      </c>
      <c r="D2010" s="54" t="s">
        <v>534</v>
      </c>
      <c r="E2010" s="4" t="s">
        <v>4260</v>
      </c>
      <c r="F2010" s="54" t="s">
        <v>4565</v>
      </c>
      <c r="G2010" s="4">
        <v>8.84</v>
      </c>
      <c r="H2010" s="4">
        <v>8.85</v>
      </c>
      <c r="I2010" s="4">
        <v>8.82</v>
      </c>
      <c r="J2010" s="4">
        <v>8.82</v>
      </c>
      <c r="K2010" s="4">
        <v>8.8</v>
      </c>
      <c r="L2010" s="4">
        <v>8.77</v>
      </c>
      <c r="M2010" s="4">
        <v>8.73</v>
      </c>
      <c r="N2010" s="4">
        <v>8.71</v>
      </c>
      <c r="X2010" s="55" t="str">
        <f t="shared" si="3"/>
        <v>#NAME?</v>
      </c>
    </row>
    <row r="2011">
      <c r="A2011" s="4" t="s">
        <v>4653</v>
      </c>
      <c r="B2011" s="4" t="s">
        <v>491</v>
      </c>
      <c r="C2011" s="4">
        <v>7.0</v>
      </c>
      <c r="D2011" s="54" t="s">
        <v>529</v>
      </c>
      <c r="E2011" s="4" t="s">
        <v>4260</v>
      </c>
      <c r="F2011" s="54" t="s">
        <v>4565</v>
      </c>
      <c r="G2011" s="4">
        <v>8.86</v>
      </c>
      <c r="H2011" s="4">
        <v>8.88</v>
      </c>
      <c r="I2011" s="4">
        <v>8.86</v>
      </c>
      <c r="J2011" s="4">
        <v>8.85</v>
      </c>
      <c r="K2011" s="4">
        <v>8.84</v>
      </c>
      <c r="L2011" s="4">
        <v>8.83</v>
      </c>
      <c r="M2011" s="4">
        <v>8.8</v>
      </c>
      <c r="N2011" s="4">
        <v>8.78</v>
      </c>
      <c r="X2011" s="55" t="str">
        <f t="shared" si="3"/>
        <v>#NAME?</v>
      </c>
    </row>
    <row r="2012">
      <c r="A2012" s="54" t="s">
        <v>4654</v>
      </c>
      <c r="B2012" s="4" t="s">
        <v>491</v>
      </c>
      <c r="C2012" s="4">
        <v>8.0</v>
      </c>
      <c r="D2012" s="54" t="s">
        <v>540</v>
      </c>
      <c r="E2012" s="4" t="s">
        <v>4260</v>
      </c>
      <c r="F2012" s="54" t="s">
        <v>4565</v>
      </c>
      <c r="G2012" s="4">
        <v>8.77</v>
      </c>
      <c r="H2012" s="4">
        <v>8.72</v>
      </c>
      <c r="I2012" s="4">
        <v>8.75</v>
      </c>
      <c r="J2012" s="4">
        <v>8.74</v>
      </c>
      <c r="K2012" s="4">
        <v>8.72</v>
      </c>
      <c r="L2012" s="4">
        <v>8.7</v>
      </c>
      <c r="M2012" s="4">
        <v>8.67</v>
      </c>
      <c r="N2012" s="4">
        <v>8.69</v>
      </c>
      <c r="X2012" s="55" t="str">
        <f t="shared" si="3"/>
        <v>#NAME?</v>
      </c>
    </row>
    <row r="2013">
      <c r="A2013" s="4" t="s">
        <v>4655</v>
      </c>
      <c r="B2013" s="4" t="s">
        <v>491</v>
      </c>
      <c r="C2013" s="4">
        <v>9.0</v>
      </c>
      <c r="D2013" s="54" t="s">
        <v>357</v>
      </c>
      <c r="E2013" s="4" t="s">
        <v>4260</v>
      </c>
      <c r="F2013" s="54" t="s">
        <v>4565</v>
      </c>
      <c r="G2013" s="4">
        <v>8.89</v>
      </c>
      <c r="H2013" s="4">
        <v>8.91</v>
      </c>
      <c r="I2013" s="4">
        <v>8.92</v>
      </c>
      <c r="J2013" s="4">
        <v>8.87</v>
      </c>
      <c r="K2013" s="4">
        <v>8.86</v>
      </c>
      <c r="L2013" s="4">
        <v>8.84</v>
      </c>
      <c r="M2013" s="4">
        <v>8.83</v>
      </c>
      <c r="N2013" s="4">
        <v>8.84</v>
      </c>
      <c r="X2013" s="55" t="str">
        <f t="shared" si="3"/>
        <v>#NAME?</v>
      </c>
    </row>
    <row r="2014">
      <c r="A2014" s="4" t="s">
        <v>4656</v>
      </c>
      <c r="B2014" s="4" t="s">
        <v>491</v>
      </c>
      <c r="C2014" s="4">
        <v>10.0</v>
      </c>
      <c r="D2014" s="54" t="s">
        <v>546</v>
      </c>
      <c r="E2014" s="4" t="s">
        <v>4260</v>
      </c>
      <c r="F2014" s="54" t="s">
        <v>4565</v>
      </c>
      <c r="G2014" s="4">
        <v>8.71</v>
      </c>
      <c r="H2014" s="4">
        <v>8.76</v>
      </c>
      <c r="I2014" s="4">
        <v>8.7</v>
      </c>
      <c r="J2014" s="4">
        <v>8.74</v>
      </c>
      <c r="K2014" s="4">
        <v>8.74</v>
      </c>
      <c r="L2014" s="4">
        <v>8.7</v>
      </c>
      <c r="M2014" s="4">
        <v>8.66</v>
      </c>
      <c r="N2014" s="4">
        <v>8.69</v>
      </c>
      <c r="X2014" s="55" t="str">
        <f t="shared" si="3"/>
        <v>#NAME?</v>
      </c>
    </row>
    <row r="2015">
      <c r="A2015" s="4" t="s">
        <v>4657</v>
      </c>
      <c r="B2015" s="4" t="s">
        <v>491</v>
      </c>
      <c r="C2015" s="4">
        <v>11.0</v>
      </c>
      <c r="D2015" s="4" t="s">
        <v>4658</v>
      </c>
      <c r="E2015" s="4" t="s">
        <v>4264</v>
      </c>
      <c r="F2015" s="54" t="s">
        <v>4565</v>
      </c>
      <c r="G2015" s="4">
        <v>7.62</v>
      </c>
      <c r="H2015" s="4">
        <v>7.59</v>
      </c>
      <c r="I2015" s="4">
        <v>7.64</v>
      </c>
      <c r="J2015" s="4">
        <v>7.57</v>
      </c>
      <c r="K2015" s="4">
        <v>7.53</v>
      </c>
      <c r="L2015" s="4">
        <v>7.59</v>
      </c>
      <c r="M2015" s="4">
        <v>7.58</v>
      </c>
      <c r="N2015" s="4">
        <v>7.3</v>
      </c>
      <c r="X2015" s="55" t="str">
        <f t="shared" si="3"/>
        <v>#NAME?</v>
      </c>
    </row>
    <row r="2016">
      <c r="A2016" s="4" t="s">
        <v>4659</v>
      </c>
      <c r="B2016" s="4" t="s">
        <v>491</v>
      </c>
      <c r="C2016" s="4">
        <v>12.0</v>
      </c>
      <c r="D2016" s="4" t="s">
        <v>4658</v>
      </c>
      <c r="E2016" s="4" t="s">
        <v>4264</v>
      </c>
      <c r="F2016" s="54" t="s">
        <v>4565</v>
      </c>
      <c r="G2016" s="4">
        <v>7.86</v>
      </c>
      <c r="H2016" s="4">
        <v>7.71</v>
      </c>
      <c r="I2016" s="4">
        <v>7.71</v>
      </c>
      <c r="J2016" s="4">
        <v>7.73</v>
      </c>
      <c r="K2016" s="4">
        <v>7.79</v>
      </c>
      <c r="L2016" s="4">
        <v>7.78</v>
      </c>
      <c r="M2016" s="4">
        <v>7.8</v>
      </c>
      <c r="N2016" s="4">
        <v>7.6</v>
      </c>
      <c r="X2016" s="55" t="str">
        <f t="shared" si="3"/>
        <v>#NAME?</v>
      </c>
    </row>
    <row r="2017">
      <c r="A2017" s="4" t="s">
        <v>4660</v>
      </c>
      <c r="B2017" s="4" t="s">
        <v>491</v>
      </c>
      <c r="C2017" s="4">
        <v>13.0</v>
      </c>
      <c r="D2017" s="4" t="s">
        <v>4658</v>
      </c>
      <c r="E2017" s="4" t="s">
        <v>4264</v>
      </c>
      <c r="F2017" s="54" t="s">
        <v>4565</v>
      </c>
      <c r="G2017" s="4">
        <v>8.28</v>
      </c>
      <c r="H2017" s="4">
        <v>8.2</v>
      </c>
      <c r="I2017" s="4">
        <v>8.09</v>
      </c>
      <c r="J2017" s="4">
        <v>8.71</v>
      </c>
      <c r="K2017" s="4">
        <v>8.4</v>
      </c>
      <c r="L2017" s="4">
        <v>7.9</v>
      </c>
      <c r="M2017" s="4">
        <v>7.99</v>
      </c>
      <c r="N2017" s="4">
        <v>8.28</v>
      </c>
      <c r="X2017" s="55" t="str">
        <f t="shared" si="3"/>
        <v>#NAME?</v>
      </c>
    </row>
    <row r="2018">
      <c r="A2018" s="4" t="s">
        <v>4661</v>
      </c>
      <c r="B2018" s="4" t="s">
        <v>491</v>
      </c>
      <c r="C2018" s="4">
        <v>14.0</v>
      </c>
      <c r="D2018" s="4" t="s">
        <v>4662</v>
      </c>
      <c r="E2018" s="4" t="s">
        <v>4264</v>
      </c>
      <c r="F2018" s="54" t="s">
        <v>4565</v>
      </c>
      <c r="G2018" s="4">
        <v>7.69</v>
      </c>
      <c r="H2018" s="4">
        <v>7.63</v>
      </c>
      <c r="I2018" s="4">
        <v>7.65</v>
      </c>
      <c r="J2018" s="4">
        <v>7.65</v>
      </c>
      <c r="K2018" s="4">
        <v>7.56</v>
      </c>
      <c r="L2018" s="4">
        <v>7.78</v>
      </c>
      <c r="M2018" s="4">
        <v>7.63</v>
      </c>
      <c r="N2018" s="4">
        <v>7.72</v>
      </c>
      <c r="X2018" s="55" t="str">
        <f t="shared" si="3"/>
        <v>#NAME?</v>
      </c>
    </row>
    <row r="2019">
      <c r="A2019" s="4" t="s">
        <v>4663</v>
      </c>
      <c r="B2019" s="4" t="s">
        <v>491</v>
      </c>
      <c r="C2019" s="4">
        <v>15.0</v>
      </c>
      <c r="D2019" s="4" t="s">
        <v>4662</v>
      </c>
      <c r="E2019" s="4" t="s">
        <v>4264</v>
      </c>
      <c r="F2019" s="54" t="s">
        <v>4565</v>
      </c>
      <c r="G2019" s="4">
        <v>7.46</v>
      </c>
      <c r="H2019" s="4">
        <v>7.78</v>
      </c>
      <c r="I2019" s="4">
        <v>7.7</v>
      </c>
      <c r="J2019" s="4">
        <v>7.59</v>
      </c>
      <c r="K2019" s="4">
        <v>7.47</v>
      </c>
      <c r="L2019" s="4">
        <v>7.67</v>
      </c>
      <c r="M2019" s="4">
        <v>7.79</v>
      </c>
      <c r="N2019" s="4">
        <v>7.67</v>
      </c>
      <c r="X2019" s="55" t="str">
        <f t="shared" si="3"/>
        <v>#NAME?</v>
      </c>
    </row>
    <row r="2020">
      <c r="A2020" s="4" t="s">
        <v>4664</v>
      </c>
      <c r="B2020" s="4" t="s">
        <v>491</v>
      </c>
      <c r="C2020" s="4">
        <v>16.0</v>
      </c>
      <c r="D2020" s="4" t="s">
        <v>4662</v>
      </c>
      <c r="E2020" s="4" t="s">
        <v>4264</v>
      </c>
      <c r="F2020" s="54" t="s">
        <v>4565</v>
      </c>
      <c r="G2020" s="4">
        <v>8.72</v>
      </c>
      <c r="H2020" s="4">
        <v>8.83</v>
      </c>
      <c r="I2020" s="4">
        <v>8.75</v>
      </c>
      <c r="J2020" s="4">
        <v>8.97</v>
      </c>
      <c r="K2020" s="4">
        <v>8.72</v>
      </c>
      <c r="L2020" s="4">
        <v>8.73</v>
      </c>
      <c r="M2020" s="4">
        <v>8.72</v>
      </c>
      <c r="N2020" s="4">
        <v>8.77</v>
      </c>
      <c r="X2020" s="55" t="str">
        <f t="shared" si="3"/>
        <v>#NAME?</v>
      </c>
    </row>
    <row r="2021">
      <c r="A2021" s="4" t="s">
        <v>4665</v>
      </c>
      <c r="B2021" s="4" t="s">
        <v>491</v>
      </c>
      <c r="C2021" s="4">
        <v>17.0</v>
      </c>
      <c r="D2021" s="4" t="s">
        <v>4616</v>
      </c>
      <c r="E2021" s="4" t="s">
        <v>1088</v>
      </c>
      <c r="F2021" s="54" t="s">
        <v>399</v>
      </c>
      <c r="G2021" s="4">
        <v>4.03</v>
      </c>
      <c r="H2021" s="4">
        <v>4.0</v>
      </c>
      <c r="I2021" s="4">
        <v>4.22</v>
      </c>
      <c r="J2021" s="4">
        <v>3.92</v>
      </c>
      <c r="X2021" s="55" t="str">
        <f t="shared" si="3"/>
        <v>#NAME?</v>
      </c>
    </row>
    <row r="2022">
      <c r="A2022" s="4" t="s">
        <v>4666</v>
      </c>
      <c r="B2022" s="4" t="s">
        <v>491</v>
      </c>
      <c r="C2022" s="4">
        <v>18.0</v>
      </c>
      <c r="D2022" s="4" t="s">
        <v>4618</v>
      </c>
      <c r="E2022" s="4" t="s">
        <v>1088</v>
      </c>
      <c r="F2022" s="54" t="s">
        <v>3789</v>
      </c>
      <c r="G2022" s="4">
        <v>3.28</v>
      </c>
      <c r="H2022" s="4">
        <v>3.35</v>
      </c>
      <c r="I2022" s="4">
        <v>3.29</v>
      </c>
      <c r="J2022" s="4">
        <v>3.18</v>
      </c>
      <c r="X2022" s="55" t="str">
        <f t="shared" si="3"/>
        <v>#NAME?</v>
      </c>
    </row>
    <row r="2023">
      <c r="A2023" s="4" t="s">
        <v>4667</v>
      </c>
      <c r="B2023" s="4" t="s">
        <v>491</v>
      </c>
      <c r="C2023" s="4">
        <v>19.0</v>
      </c>
      <c r="D2023" s="4" t="s">
        <v>4620</v>
      </c>
      <c r="E2023" s="4" t="s">
        <v>1088</v>
      </c>
      <c r="F2023" s="54" t="s">
        <v>3789</v>
      </c>
      <c r="G2023" s="4">
        <v>3.89</v>
      </c>
      <c r="H2023" s="4">
        <v>4.11</v>
      </c>
      <c r="I2023" s="4">
        <v>4.0</v>
      </c>
      <c r="J2023" s="4">
        <v>3.86</v>
      </c>
      <c r="X2023" s="55" t="str">
        <f t="shared" si="3"/>
        <v>#NAME?</v>
      </c>
    </row>
    <row r="2024">
      <c r="A2024" s="4" t="s">
        <v>4668</v>
      </c>
      <c r="B2024" s="4" t="s">
        <v>491</v>
      </c>
      <c r="C2024" s="4">
        <v>20.0</v>
      </c>
      <c r="D2024" s="4" t="s">
        <v>4622</v>
      </c>
      <c r="E2024" s="4" t="s">
        <v>1088</v>
      </c>
      <c r="F2024" s="54" t="s">
        <v>292</v>
      </c>
      <c r="G2024" s="4">
        <v>3.18</v>
      </c>
      <c r="H2024" s="4">
        <v>3.54</v>
      </c>
      <c r="I2024" s="4">
        <v>3.44</v>
      </c>
      <c r="J2024" s="4">
        <v>3.37</v>
      </c>
      <c r="X2024" s="55" t="str">
        <f t="shared" si="3"/>
        <v>#NAME?</v>
      </c>
    </row>
    <row r="2025">
      <c r="A2025" s="4" t="s">
        <v>4669</v>
      </c>
      <c r="B2025" s="4" t="s">
        <v>491</v>
      </c>
      <c r="C2025" s="4">
        <v>21.0</v>
      </c>
      <c r="D2025" s="4" t="s">
        <v>4624</v>
      </c>
      <c r="E2025" s="4" t="s">
        <v>1088</v>
      </c>
      <c r="F2025" s="54" t="s">
        <v>292</v>
      </c>
      <c r="G2025" s="4">
        <v>2.94</v>
      </c>
      <c r="H2025" s="4">
        <v>2.91</v>
      </c>
      <c r="I2025" s="4">
        <v>2.86</v>
      </c>
      <c r="J2025" s="4">
        <v>2.92</v>
      </c>
      <c r="X2025" s="55" t="str">
        <f t="shared" si="3"/>
        <v>#NAME?</v>
      </c>
    </row>
    <row r="2026">
      <c r="A2026" s="4" t="s">
        <v>4670</v>
      </c>
      <c r="B2026" s="4" t="s">
        <v>454</v>
      </c>
      <c r="C2026" s="4">
        <v>1.0</v>
      </c>
      <c r="D2026" s="4" t="s">
        <v>4382</v>
      </c>
      <c r="E2026" s="4" t="s">
        <v>1088</v>
      </c>
      <c r="F2026" s="54" t="s">
        <v>534</v>
      </c>
      <c r="G2026" s="4">
        <v>3.95</v>
      </c>
      <c r="H2026" s="4">
        <v>3.87</v>
      </c>
      <c r="I2026" s="4">
        <v>3.93</v>
      </c>
      <c r="J2026" s="4">
        <v>3.82</v>
      </c>
      <c r="X2026" s="55" t="str">
        <f t="shared" si="3"/>
        <v>#NAME?</v>
      </c>
    </row>
    <row r="2027">
      <c r="A2027" s="4" t="s">
        <v>4671</v>
      </c>
      <c r="B2027" s="4" t="s">
        <v>454</v>
      </c>
      <c r="C2027" s="4">
        <v>2.0</v>
      </c>
      <c r="D2027" s="4" t="s">
        <v>4480</v>
      </c>
      <c r="E2027" s="4" t="s">
        <v>1088</v>
      </c>
      <c r="F2027" s="54" t="s">
        <v>534</v>
      </c>
      <c r="G2027" s="4">
        <v>3.95</v>
      </c>
      <c r="H2027" s="4">
        <v>3.9</v>
      </c>
      <c r="I2027" s="4">
        <v>4.01</v>
      </c>
      <c r="J2027" s="4">
        <v>3.96</v>
      </c>
      <c r="X2027" s="55" t="str">
        <f t="shared" si="3"/>
        <v>#NAME?</v>
      </c>
    </row>
    <row r="2028">
      <c r="A2028" s="4" t="s">
        <v>4672</v>
      </c>
      <c r="B2028" s="4" t="s">
        <v>454</v>
      </c>
      <c r="C2028" s="4">
        <v>3.0</v>
      </c>
      <c r="D2028" s="4" t="s">
        <v>4382</v>
      </c>
      <c r="E2028" s="4" t="s">
        <v>4270</v>
      </c>
      <c r="F2028" s="54" t="s">
        <v>534</v>
      </c>
      <c r="G2028" s="4">
        <v>16.05</v>
      </c>
      <c r="H2028" s="4">
        <v>16.04</v>
      </c>
      <c r="I2028" s="4">
        <v>16.09</v>
      </c>
      <c r="J2028" s="4">
        <v>16.07</v>
      </c>
      <c r="X2028" s="55" t="str">
        <f t="shared" si="3"/>
        <v>#NAME?</v>
      </c>
    </row>
    <row r="2029">
      <c r="A2029" s="4" t="s">
        <v>4673</v>
      </c>
      <c r="B2029" s="4" t="s">
        <v>454</v>
      </c>
      <c r="C2029" s="4">
        <v>4.0</v>
      </c>
      <c r="D2029" s="4" t="s">
        <v>4405</v>
      </c>
      <c r="E2029" s="4" t="s">
        <v>1088</v>
      </c>
      <c r="F2029" s="54" t="s">
        <v>287</v>
      </c>
      <c r="G2029" s="4">
        <v>11.93</v>
      </c>
      <c r="H2029" s="4">
        <v>11.93</v>
      </c>
      <c r="I2029" s="4">
        <v>11.95</v>
      </c>
      <c r="J2029" s="4">
        <v>11.96</v>
      </c>
      <c r="X2029" s="55" t="str">
        <f t="shared" si="3"/>
        <v>#NAME?</v>
      </c>
    </row>
    <row r="2030">
      <c r="A2030" s="4" t="s">
        <v>4674</v>
      </c>
      <c r="B2030" s="4" t="s">
        <v>454</v>
      </c>
      <c r="C2030" s="4">
        <v>5.0</v>
      </c>
      <c r="D2030" s="4" t="s">
        <v>4407</v>
      </c>
      <c r="E2030" s="4" t="s">
        <v>1088</v>
      </c>
      <c r="F2030" s="54" t="s">
        <v>287</v>
      </c>
      <c r="G2030" s="4">
        <v>11.99</v>
      </c>
      <c r="H2030" s="4">
        <v>11.99</v>
      </c>
      <c r="I2030" s="4">
        <v>11.97</v>
      </c>
      <c r="J2030" s="4">
        <v>11.96</v>
      </c>
      <c r="X2030" s="55" t="str">
        <f t="shared" si="3"/>
        <v>#NAME?</v>
      </c>
    </row>
    <row r="2031">
      <c r="A2031" s="4" t="s">
        <v>4675</v>
      </c>
      <c r="B2031" s="4" t="s">
        <v>454</v>
      </c>
      <c r="C2031" s="4">
        <v>6.0</v>
      </c>
      <c r="D2031" s="4" t="s">
        <v>4405</v>
      </c>
      <c r="E2031" s="4" t="s">
        <v>4270</v>
      </c>
      <c r="F2031" s="54" t="s">
        <v>287</v>
      </c>
      <c r="G2031" s="4">
        <v>31.22</v>
      </c>
      <c r="H2031" s="4">
        <v>30.84</v>
      </c>
      <c r="I2031" s="4">
        <v>30.84</v>
      </c>
      <c r="J2031" s="4">
        <v>31.39</v>
      </c>
      <c r="X2031" s="55" t="str">
        <f t="shared" si="3"/>
        <v>#NAME?</v>
      </c>
    </row>
    <row r="2032">
      <c r="A2032" s="4" t="s">
        <v>4676</v>
      </c>
      <c r="B2032" s="4" t="s">
        <v>454</v>
      </c>
      <c r="C2032" s="4">
        <v>7.0</v>
      </c>
      <c r="D2032" s="4" t="s">
        <v>4405</v>
      </c>
      <c r="E2032" s="4" t="s">
        <v>3816</v>
      </c>
      <c r="F2032" s="54" t="s">
        <v>287</v>
      </c>
      <c r="G2032" s="4">
        <v>32.13</v>
      </c>
      <c r="H2032" s="4">
        <v>33.15</v>
      </c>
      <c r="I2032" s="4">
        <v>32.71</v>
      </c>
      <c r="J2032" s="4">
        <v>32.1</v>
      </c>
      <c r="X2032" s="55" t="str">
        <f t="shared" si="3"/>
        <v>#NAME?</v>
      </c>
    </row>
    <row r="2033">
      <c r="A2033" s="54" t="s">
        <v>4677</v>
      </c>
      <c r="B2033" s="4" t="s">
        <v>454</v>
      </c>
      <c r="C2033" s="4">
        <v>8.0</v>
      </c>
      <c r="D2033" s="4" t="s">
        <v>4378</v>
      </c>
      <c r="E2033" s="4" t="s">
        <v>1088</v>
      </c>
      <c r="F2033" s="54" t="s">
        <v>534</v>
      </c>
      <c r="G2033" s="4">
        <v>4.01</v>
      </c>
      <c r="H2033" s="4">
        <v>4.02</v>
      </c>
      <c r="I2033" s="4">
        <v>4.02</v>
      </c>
      <c r="J2033" s="4">
        <v>4.01</v>
      </c>
      <c r="X2033" s="55" t="str">
        <f t="shared" si="3"/>
        <v>#NAME?</v>
      </c>
    </row>
    <row r="2034">
      <c r="A2034" s="4" t="s">
        <v>4678</v>
      </c>
      <c r="B2034" s="4" t="s">
        <v>454</v>
      </c>
      <c r="C2034" s="4">
        <v>9.0</v>
      </c>
      <c r="D2034" s="4" t="s">
        <v>4539</v>
      </c>
      <c r="E2034" s="4" t="s">
        <v>1088</v>
      </c>
      <c r="F2034" s="54" t="s">
        <v>534</v>
      </c>
      <c r="G2034" s="4">
        <v>4.01</v>
      </c>
      <c r="H2034" s="4">
        <v>3.98</v>
      </c>
      <c r="I2034" s="4">
        <v>4.01</v>
      </c>
      <c r="J2034" s="4">
        <v>3.98</v>
      </c>
      <c r="X2034" s="55" t="str">
        <f t="shared" si="3"/>
        <v>#NAME?</v>
      </c>
    </row>
    <row r="2035">
      <c r="A2035" s="4" t="s">
        <v>4679</v>
      </c>
      <c r="B2035" s="4" t="s">
        <v>454</v>
      </c>
      <c r="C2035" s="4">
        <v>10.0</v>
      </c>
      <c r="D2035" s="4" t="s">
        <v>4378</v>
      </c>
      <c r="E2035" s="4" t="s">
        <v>4270</v>
      </c>
      <c r="F2035" s="54" t="s">
        <v>534</v>
      </c>
      <c r="G2035" s="4">
        <v>16.1</v>
      </c>
      <c r="H2035" s="4">
        <v>16.1</v>
      </c>
      <c r="I2035" s="4">
        <v>16.11</v>
      </c>
      <c r="J2035" s="4">
        <v>16.11</v>
      </c>
      <c r="X2035" s="55" t="str">
        <f t="shared" si="3"/>
        <v>#NAME?</v>
      </c>
    </row>
    <row r="2036">
      <c r="A2036" s="4" t="s">
        <v>4680</v>
      </c>
      <c r="B2036" s="4" t="s">
        <v>454</v>
      </c>
      <c r="C2036" s="4">
        <v>11.0</v>
      </c>
      <c r="D2036" s="4" t="s">
        <v>4378</v>
      </c>
      <c r="E2036" s="4" t="s">
        <v>3816</v>
      </c>
      <c r="F2036" s="54" t="s">
        <v>534</v>
      </c>
      <c r="G2036" s="4">
        <v>16.01</v>
      </c>
      <c r="H2036" s="4">
        <v>15.97</v>
      </c>
      <c r="I2036" s="4">
        <v>16.02</v>
      </c>
      <c r="J2036" s="4">
        <v>16.05</v>
      </c>
      <c r="X2036" s="55" t="str">
        <f t="shared" si="3"/>
        <v>#NAME?</v>
      </c>
    </row>
    <row r="2037">
      <c r="A2037" s="4" t="s">
        <v>4681</v>
      </c>
      <c r="B2037" s="4" t="s">
        <v>448</v>
      </c>
      <c r="C2037" s="4">
        <v>1.0</v>
      </c>
      <c r="D2037" s="4" t="s">
        <v>4392</v>
      </c>
      <c r="E2037" s="4" t="s">
        <v>4264</v>
      </c>
      <c r="F2037" s="54" t="s">
        <v>4261</v>
      </c>
      <c r="G2037" s="4">
        <v>30.24</v>
      </c>
      <c r="H2037" s="4">
        <v>30.23</v>
      </c>
      <c r="I2037" s="4">
        <v>30.3</v>
      </c>
      <c r="J2037" s="4">
        <v>30.12</v>
      </c>
      <c r="X2037" s="55" t="str">
        <f t="shared" si="3"/>
        <v>#NAME?</v>
      </c>
    </row>
    <row r="2038">
      <c r="A2038" s="4" t="s">
        <v>4682</v>
      </c>
      <c r="B2038" s="4" t="s">
        <v>448</v>
      </c>
      <c r="C2038" s="4">
        <v>2.0</v>
      </c>
      <c r="D2038" s="4" t="s">
        <v>4332</v>
      </c>
      <c r="E2038" s="4" t="s">
        <v>4264</v>
      </c>
      <c r="F2038" s="54" t="s">
        <v>4261</v>
      </c>
      <c r="G2038" s="4">
        <v>30.17</v>
      </c>
      <c r="H2038" s="4">
        <v>30.19</v>
      </c>
      <c r="I2038" s="4">
        <v>30.29</v>
      </c>
      <c r="J2038" s="4">
        <v>30.18</v>
      </c>
      <c r="X2038" s="55" t="str">
        <f t="shared" si="3"/>
        <v>#NAME?</v>
      </c>
    </row>
    <row r="2039">
      <c r="A2039" s="4" t="s">
        <v>4683</v>
      </c>
      <c r="B2039" s="4" t="s">
        <v>448</v>
      </c>
      <c r="C2039" s="4">
        <v>3.0</v>
      </c>
      <c r="D2039" s="4" t="s">
        <v>4334</v>
      </c>
      <c r="E2039" s="4" t="s">
        <v>4264</v>
      </c>
      <c r="F2039" s="54" t="s">
        <v>4261</v>
      </c>
      <c r="G2039" s="4">
        <v>39.74</v>
      </c>
      <c r="H2039" s="4">
        <v>39.78</v>
      </c>
      <c r="I2039" s="4">
        <v>39.61</v>
      </c>
      <c r="J2039" s="4">
        <v>39.84</v>
      </c>
      <c r="X2039" s="55" t="str">
        <f t="shared" si="3"/>
        <v>#NAME?</v>
      </c>
    </row>
    <row r="2040">
      <c r="A2040" s="4" t="s">
        <v>4684</v>
      </c>
      <c r="B2040" s="4" t="s">
        <v>448</v>
      </c>
      <c r="C2040" s="4">
        <v>4.0</v>
      </c>
      <c r="D2040" s="4" t="s">
        <v>4396</v>
      </c>
      <c r="E2040" s="4" t="s">
        <v>4264</v>
      </c>
      <c r="F2040" s="54" t="s">
        <v>4261</v>
      </c>
      <c r="G2040" s="4">
        <v>39.77</v>
      </c>
      <c r="H2040" s="4">
        <v>39.75</v>
      </c>
      <c r="I2040" s="4">
        <v>39.61</v>
      </c>
      <c r="J2040" s="4">
        <v>39.61</v>
      </c>
      <c r="X2040" s="55" t="str">
        <f t="shared" si="3"/>
        <v>#NAME?</v>
      </c>
    </row>
    <row r="2041">
      <c r="A2041" s="4" t="s">
        <v>4685</v>
      </c>
      <c r="B2041" s="4" t="s">
        <v>448</v>
      </c>
      <c r="C2041" s="4">
        <v>5.0</v>
      </c>
      <c r="D2041" s="4" t="s">
        <v>4496</v>
      </c>
      <c r="E2041" s="4" t="s">
        <v>4260</v>
      </c>
      <c r="F2041" s="54" t="s">
        <v>4261</v>
      </c>
      <c r="G2041" s="4">
        <v>6.06</v>
      </c>
      <c r="H2041" s="4">
        <v>6.08</v>
      </c>
      <c r="I2041" s="4">
        <v>6.07</v>
      </c>
      <c r="J2041" s="4">
        <v>6.02</v>
      </c>
      <c r="X2041" s="55" t="str">
        <f t="shared" si="3"/>
        <v>#NAME?</v>
      </c>
    </row>
    <row r="2042">
      <c r="A2042" s="4" t="s">
        <v>4686</v>
      </c>
      <c r="B2042" s="4" t="s">
        <v>448</v>
      </c>
      <c r="C2042" s="4">
        <v>6.0</v>
      </c>
      <c r="D2042" s="4" t="s">
        <v>4498</v>
      </c>
      <c r="E2042" s="4" t="s">
        <v>4260</v>
      </c>
      <c r="F2042" s="54" t="s">
        <v>4261</v>
      </c>
      <c r="G2042" s="4">
        <v>6.07</v>
      </c>
      <c r="H2042" s="4">
        <v>6.07</v>
      </c>
      <c r="I2042" s="4">
        <v>6.09</v>
      </c>
      <c r="J2042" s="4">
        <v>6.04</v>
      </c>
      <c r="X2042" s="55" t="str">
        <f t="shared" si="3"/>
        <v>#NAME?</v>
      </c>
    </row>
    <row r="2043">
      <c r="A2043" s="4" t="s">
        <v>4687</v>
      </c>
      <c r="B2043" s="4" t="s">
        <v>448</v>
      </c>
      <c r="C2043" s="4">
        <v>7.0</v>
      </c>
      <c r="D2043" s="4" t="s">
        <v>4500</v>
      </c>
      <c r="E2043" s="4" t="s">
        <v>4260</v>
      </c>
      <c r="F2043" s="54" t="s">
        <v>4261</v>
      </c>
      <c r="G2043" s="4">
        <v>6.03</v>
      </c>
      <c r="H2043" s="4">
        <v>6.06</v>
      </c>
      <c r="I2043" s="4">
        <v>6.06</v>
      </c>
      <c r="J2043" s="4">
        <v>6.02</v>
      </c>
      <c r="X2043" s="55" t="str">
        <f t="shared" si="3"/>
        <v>#NAME?</v>
      </c>
    </row>
    <row r="2044">
      <c r="A2044" s="4" t="s">
        <v>4688</v>
      </c>
      <c r="B2044" s="4" t="s">
        <v>448</v>
      </c>
      <c r="C2044" s="4">
        <v>8.0</v>
      </c>
      <c r="D2044" s="4" t="s">
        <v>4502</v>
      </c>
      <c r="E2044" s="4" t="s">
        <v>4260</v>
      </c>
      <c r="F2044" s="54" t="s">
        <v>4261</v>
      </c>
      <c r="G2044" s="4">
        <v>6.0</v>
      </c>
      <c r="H2044" s="4">
        <v>5.99</v>
      </c>
      <c r="I2044" s="4">
        <v>6.03</v>
      </c>
      <c r="J2044" s="4">
        <v>5.98</v>
      </c>
      <c r="X2044" s="55" t="str">
        <f t="shared" si="3"/>
        <v>#NAME?</v>
      </c>
    </row>
    <row r="2045">
      <c r="A2045" s="4" t="s">
        <v>4689</v>
      </c>
      <c r="B2045" s="4" t="s">
        <v>448</v>
      </c>
      <c r="C2045" s="4">
        <v>9.0</v>
      </c>
      <c r="D2045" s="4" t="s">
        <v>4338</v>
      </c>
      <c r="E2045" s="4" t="s">
        <v>1088</v>
      </c>
      <c r="F2045" s="54" t="s">
        <v>632</v>
      </c>
      <c r="G2045" s="4">
        <v>5.05</v>
      </c>
      <c r="H2045" s="4">
        <v>5.08</v>
      </c>
      <c r="I2045" s="4">
        <v>5.07</v>
      </c>
      <c r="J2045" s="4">
        <v>5.05</v>
      </c>
      <c r="X2045" s="55" t="str">
        <f t="shared" si="3"/>
        <v>#NAME?</v>
      </c>
    </row>
    <row r="2046">
      <c r="A2046" s="4" t="s">
        <v>4690</v>
      </c>
      <c r="B2046" s="4" t="s">
        <v>448</v>
      </c>
      <c r="C2046" s="4">
        <v>10.0</v>
      </c>
      <c r="D2046" s="4" t="s">
        <v>4340</v>
      </c>
      <c r="E2046" s="4" t="s">
        <v>1088</v>
      </c>
      <c r="F2046" s="54" t="s">
        <v>632</v>
      </c>
      <c r="G2046" s="4">
        <v>5.44</v>
      </c>
      <c r="H2046" s="4">
        <v>5.05</v>
      </c>
      <c r="I2046" s="4">
        <v>5.05</v>
      </c>
      <c r="J2046" s="4">
        <v>5.03</v>
      </c>
      <c r="X2046" s="55" t="str">
        <f t="shared" si="3"/>
        <v>#NAME?</v>
      </c>
    </row>
    <row r="2047">
      <c r="A2047" s="4" t="s">
        <v>4691</v>
      </c>
      <c r="B2047" s="4" t="s">
        <v>448</v>
      </c>
      <c r="C2047" s="4">
        <v>11.0</v>
      </c>
      <c r="D2047" s="4" t="s">
        <v>4338</v>
      </c>
      <c r="E2047" s="4" t="s">
        <v>4270</v>
      </c>
      <c r="F2047" s="54" t="s">
        <v>632</v>
      </c>
      <c r="G2047" s="4">
        <v>19.58</v>
      </c>
      <c r="H2047" s="4">
        <v>19.97</v>
      </c>
      <c r="I2047" s="4">
        <v>19.93</v>
      </c>
      <c r="J2047" s="4">
        <v>19.52</v>
      </c>
      <c r="X2047" s="55" t="str">
        <f t="shared" si="3"/>
        <v>#NAME?</v>
      </c>
    </row>
    <row r="2048">
      <c r="A2048" s="4" t="s">
        <v>4692</v>
      </c>
      <c r="B2048" s="4" t="s">
        <v>448</v>
      </c>
      <c r="C2048" s="4">
        <v>12.0</v>
      </c>
      <c r="D2048" s="4" t="s">
        <v>4338</v>
      </c>
      <c r="E2048" s="4" t="s">
        <v>3816</v>
      </c>
      <c r="F2048" s="54" t="s">
        <v>632</v>
      </c>
      <c r="G2048" s="4">
        <v>24.45</v>
      </c>
      <c r="H2048" s="4">
        <v>24.44</v>
      </c>
      <c r="I2048" s="4">
        <v>24.46</v>
      </c>
      <c r="J2048" s="4">
        <v>24.45</v>
      </c>
      <c r="X2048" s="55" t="str">
        <f t="shared" si="3"/>
        <v>#NAME?</v>
      </c>
    </row>
    <row r="2049">
      <c r="A2049" s="4" t="s">
        <v>4693</v>
      </c>
      <c r="B2049" s="4" t="s">
        <v>448</v>
      </c>
      <c r="C2049" s="4">
        <v>13.0</v>
      </c>
      <c r="D2049" s="4" t="s">
        <v>4344</v>
      </c>
      <c r="E2049" s="4" t="s">
        <v>1088</v>
      </c>
      <c r="F2049" s="54" t="s">
        <v>357</v>
      </c>
      <c r="G2049" s="4">
        <v>3.97</v>
      </c>
      <c r="H2049" s="4">
        <v>3.89</v>
      </c>
      <c r="I2049" s="4">
        <v>3.82</v>
      </c>
      <c r="J2049" s="4">
        <v>3.94</v>
      </c>
      <c r="X2049" s="55" t="str">
        <f t="shared" si="3"/>
        <v>#NAME?</v>
      </c>
    </row>
    <row r="2050">
      <c r="A2050" s="4" t="s">
        <v>4694</v>
      </c>
      <c r="B2050" s="4" t="s">
        <v>448</v>
      </c>
      <c r="C2050" s="4">
        <v>14.0</v>
      </c>
      <c r="D2050" s="4" t="s">
        <v>4346</v>
      </c>
      <c r="E2050" s="4" t="s">
        <v>1088</v>
      </c>
      <c r="F2050" s="54" t="s">
        <v>357</v>
      </c>
      <c r="G2050" s="4">
        <v>3.73</v>
      </c>
      <c r="H2050" s="4">
        <v>3.84</v>
      </c>
      <c r="I2050" s="4">
        <v>3.94</v>
      </c>
      <c r="J2050" s="4">
        <v>3.89</v>
      </c>
      <c r="X2050" s="55" t="str">
        <f t="shared" si="3"/>
        <v>#NAME?</v>
      </c>
    </row>
    <row r="2051">
      <c r="A2051" s="4" t="s">
        <v>4695</v>
      </c>
      <c r="B2051" s="4" t="s">
        <v>448</v>
      </c>
      <c r="C2051" s="4">
        <v>15.0</v>
      </c>
      <c r="D2051" s="4" t="s">
        <v>4344</v>
      </c>
      <c r="E2051" s="4" t="s">
        <v>4270</v>
      </c>
      <c r="F2051" s="54" t="s">
        <v>357</v>
      </c>
      <c r="G2051" s="4">
        <v>22.54</v>
      </c>
      <c r="H2051" s="4">
        <v>22.5</v>
      </c>
      <c r="I2051" s="4">
        <v>22.5</v>
      </c>
      <c r="J2051" s="4">
        <v>22.52</v>
      </c>
      <c r="X2051" s="55" t="str">
        <f t="shared" si="3"/>
        <v>#NAME?</v>
      </c>
    </row>
    <row r="2052">
      <c r="A2052" s="4" t="s">
        <v>4696</v>
      </c>
      <c r="B2052" s="4" t="s">
        <v>448</v>
      </c>
      <c r="C2052" s="4">
        <v>16.0</v>
      </c>
      <c r="D2052" s="4" t="s">
        <v>4346</v>
      </c>
      <c r="E2052" s="4" t="s">
        <v>4270</v>
      </c>
      <c r="F2052" s="54" t="s">
        <v>357</v>
      </c>
      <c r="G2052" s="4">
        <v>22.54</v>
      </c>
      <c r="H2052" s="4">
        <v>22.53</v>
      </c>
      <c r="I2052" s="4">
        <v>23.03</v>
      </c>
      <c r="J2052" s="4">
        <v>22.55</v>
      </c>
      <c r="X2052" s="55" t="str">
        <f t="shared" si="3"/>
        <v>#NAME?</v>
      </c>
    </row>
    <row r="2053">
      <c r="A2053" s="4" t="s">
        <v>4697</v>
      </c>
      <c r="B2053" s="4" t="s">
        <v>448</v>
      </c>
      <c r="C2053" s="4">
        <v>17.0</v>
      </c>
      <c r="D2053" s="4" t="s">
        <v>4349</v>
      </c>
      <c r="E2053" s="4" t="s">
        <v>1088</v>
      </c>
      <c r="F2053" s="54" t="s">
        <v>632</v>
      </c>
      <c r="G2053" s="4">
        <v>4.95</v>
      </c>
      <c r="H2053" s="4">
        <v>4.98</v>
      </c>
      <c r="I2053" s="4">
        <v>4.98</v>
      </c>
      <c r="J2053" s="4">
        <v>4.97</v>
      </c>
      <c r="X2053" s="55" t="str">
        <f t="shared" si="3"/>
        <v>#NAME?</v>
      </c>
    </row>
    <row r="2054">
      <c r="A2054" s="4" t="s">
        <v>4698</v>
      </c>
      <c r="B2054" s="4" t="s">
        <v>448</v>
      </c>
      <c r="C2054" s="4">
        <v>18.0</v>
      </c>
      <c r="D2054" s="4" t="s">
        <v>4351</v>
      </c>
      <c r="E2054" s="4" t="s">
        <v>1088</v>
      </c>
      <c r="F2054" s="54" t="s">
        <v>632</v>
      </c>
      <c r="G2054" s="4">
        <v>4.98</v>
      </c>
      <c r="H2054" s="4">
        <v>4.98</v>
      </c>
      <c r="I2054" s="4">
        <v>4.99</v>
      </c>
      <c r="J2054" s="4">
        <v>4.93</v>
      </c>
      <c r="X2054" s="55" t="str">
        <f t="shared" si="3"/>
        <v>#NAME?</v>
      </c>
    </row>
    <row r="2055">
      <c r="A2055" s="4" t="s">
        <v>4699</v>
      </c>
      <c r="B2055" s="4" t="s">
        <v>448</v>
      </c>
      <c r="C2055" s="4">
        <v>19.0</v>
      </c>
      <c r="D2055" s="4" t="s">
        <v>4349</v>
      </c>
      <c r="E2055" s="4" t="s">
        <v>4270</v>
      </c>
      <c r="F2055" s="54" t="s">
        <v>632</v>
      </c>
      <c r="G2055" s="4">
        <v>19.61</v>
      </c>
      <c r="H2055" s="4">
        <v>20.01</v>
      </c>
      <c r="I2055" s="4">
        <v>19.98</v>
      </c>
      <c r="J2055" s="4">
        <v>19.62</v>
      </c>
      <c r="X2055" s="55" t="str">
        <f t="shared" si="3"/>
        <v>#NAME?</v>
      </c>
    </row>
    <row r="2056">
      <c r="A2056" s="4" t="s">
        <v>4700</v>
      </c>
      <c r="B2056" s="4" t="s">
        <v>448</v>
      </c>
      <c r="C2056" s="4">
        <v>20.0</v>
      </c>
      <c r="D2056" s="4" t="s">
        <v>4349</v>
      </c>
      <c r="E2056" s="4" t="s">
        <v>3816</v>
      </c>
      <c r="F2056" s="54" t="s">
        <v>632</v>
      </c>
      <c r="G2056" s="4">
        <v>24.43</v>
      </c>
      <c r="H2056" s="4">
        <v>24.41</v>
      </c>
      <c r="I2056" s="4">
        <v>24.43</v>
      </c>
      <c r="J2056" s="4">
        <v>24.42</v>
      </c>
      <c r="X2056" s="55" t="str">
        <f t="shared" si="3"/>
        <v>#NAME?</v>
      </c>
    </row>
    <row r="2057">
      <c r="A2057" s="4" t="s">
        <v>4701</v>
      </c>
      <c r="B2057" s="4" t="s">
        <v>448</v>
      </c>
      <c r="C2057" s="4">
        <v>21.0</v>
      </c>
      <c r="D2057" s="4" t="s">
        <v>4355</v>
      </c>
      <c r="E2057" s="4" t="s">
        <v>1088</v>
      </c>
      <c r="F2057" s="54" t="s">
        <v>632</v>
      </c>
      <c r="G2057" s="4">
        <v>5.01</v>
      </c>
      <c r="H2057" s="4">
        <v>5.09</v>
      </c>
      <c r="I2057" s="4">
        <v>5.1</v>
      </c>
      <c r="J2057" s="4">
        <v>5.11</v>
      </c>
      <c r="X2057" s="55" t="str">
        <f t="shared" si="3"/>
        <v>#NAME?</v>
      </c>
    </row>
    <row r="2058">
      <c r="A2058" s="4" t="s">
        <v>4702</v>
      </c>
      <c r="B2058" s="4" t="s">
        <v>448</v>
      </c>
      <c r="C2058" s="4">
        <v>22.0</v>
      </c>
      <c r="D2058" s="4" t="s">
        <v>4357</v>
      </c>
      <c r="E2058" s="4" t="s">
        <v>1088</v>
      </c>
      <c r="F2058" s="54" t="s">
        <v>632</v>
      </c>
      <c r="G2058" s="4">
        <v>4.97</v>
      </c>
      <c r="H2058" s="4">
        <v>5.09</v>
      </c>
      <c r="I2058" s="4">
        <v>5.06</v>
      </c>
      <c r="J2058" s="4">
        <v>5.08</v>
      </c>
      <c r="X2058" s="55" t="str">
        <f t="shared" si="3"/>
        <v>#NAME?</v>
      </c>
    </row>
    <row r="2059">
      <c r="A2059" s="4" t="s">
        <v>4703</v>
      </c>
      <c r="B2059" s="4" t="s">
        <v>448</v>
      </c>
      <c r="C2059" s="4">
        <v>23.0</v>
      </c>
      <c r="D2059" s="4" t="s">
        <v>4355</v>
      </c>
      <c r="E2059" s="4" t="s">
        <v>4270</v>
      </c>
      <c r="F2059" s="54" t="s">
        <v>632</v>
      </c>
      <c r="G2059" s="4">
        <v>19.66</v>
      </c>
      <c r="H2059" s="4">
        <v>20.18</v>
      </c>
      <c r="I2059" s="4">
        <v>20.18</v>
      </c>
      <c r="J2059" s="4">
        <v>19.77</v>
      </c>
      <c r="X2059" s="55" t="str">
        <f t="shared" si="3"/>
        <v>#NAME?</v>
      </c>
    </row>
    <row r="2060">
      <c r="A2060" s="4" t="s">
        <v>4704</v>
      </c>
      <c r="B2060" s="4" t="s">
        <v>448</v>
      </c>
      <c r="C2060" s="4">
        <v>24.0</v>
      </c>
      <c r="D2060" s="4" t="s">
        <v>4355</v>
      </c>
      <c r="E2060" s="4" t="s">
        <v>3816</v>
      </c>
      <c r="F2060" s="54" t="s">
        <v>632</v>
      </c>
      <c r="G2060" s="4">
        <v>24.52</v>
      </c>
      <c r="H2060" s="4">
        <v>24.44</v>
      </c>
      <c r="I2060" s="4">
        <v>24.49</v>
      </c>
      <c r="J2060" s="4">
        <v>24.49</v>
      </c>
      <c r="X2060" s="55" t="str">
        <f t="shared" si="3"/>
        <v>#NAME?</v>
      </c>
    </row>
    <row r="2061">
      <c r="A2061" s="4" t="s">
        <v>4705</v>
      </c>
      <c r="B2061" s="4" t="s">
        <v>448</v>
      </c>
      <c r="C2061" s="4">
        <v>25.0</v>
      </c>
      <c r="D2061" s="4" t="s">
        <v>4361</v>
      </c>
      <c r="E2061" s="4" t="s">
        <v>1088</v>
      </c>
      <c r="F2061" s="54" t="s">
        <v>405</v>
      </c>
      <c r="G2061" s="4">
        <v>3.8</v>
      </c>
      <c r="H2061" s="4">
        <v>3.82</v>
      </c>
      <c r="I2061" s="4">
        <v>3.91</v>
      </c>
      <c r="J2061" s="4">
        <v>3.92</v>
      </c>
      <c r="X2061" s="55" t="str">
        <f t="shared" si="3"/>
        <v>#NAME?</v>
      </c>
    </row>
    <row r="2062">
      <c r="A2062" s="4" t="s">
        <v>4706</v>
      </c>
      <c r="B2062" s="4" t="s">
        <v>448</v>
      </c>
      <c r="C2062" s="4">
        <v>26.0</v>
      </c>
      <c r="D2062" s="4" t="s">
        <v>4363</v>
      </c>
      <c r="E2062" s="4" t="s">
        <v>1088</v>
      </c>
      <c r="F2062" s="54" t="s">
        <v>405</v>
      </c>
      <c r="G2062" s="4">
        <v>3.85</v>
      </c>
      <c r="H2062" s="4">
        <v>3.82</v>
      </c>
      <c r="I2062" s="4">
        <v>3.8</v>
      </c>
      <c r="J2062" s="4">
        <v>3.79</v>
      </c>
      <c r="X2062" s="55" t="str">
        <f t="shared" si="3"/>
        <v>#NAME?</v>
      </c>
    </row>
    <row r="2063">
      <c r="A2063" s="4" t="s">
        <v>4707</v>
      </c>
      <c r="B2063" s="4" t="s">
        <v>448</v>
      </c>
      <c r="C2063" s="4">
        <v>27.0</v>
      </c>
      <c r="D2063" s="4" t="s">
        <v>4361</v>
      </c>
      <c r="E2063" s="4" t="s">
        <v>4270</v>
      </c>
      <c r="F2063" s="54" t="s">
        <v>405</v>
      </c>
      <c r="G2063" s="4">
        <v>20.51</v>
      </c>
      <c r="H2063" s="4">
        <v>20.96</v>
      </c>
      <c r="I2063" s="4">
        <v>20.87</v>
      </c>
      <c r="J2063" s="4">
        <v>20.51</v>
      </c>
      <c r="X2063" s="55" t="str">
        <f t="shared" si="3"/>
        <v>#NAME?</v>
      </c>
    </row>
    <row r="2064">
      <c r="A2064" s="4" t="s">
        <v>4708</v>
      </c>
      <c r="B2064" s="4" t="s">
        <v>448</v>
      </c>
      <c r="C2064" s="4">
        <v>28.0</v>
      </c>
      <c r="D2064" s="4" t="s">
        <v>4367</v>
      </c>
      <c r="E2064" s="4" t="s">
        <v>1088</v>
      </c>
      <c r="F2064" s="54" t="s">
        <v>632</v>
      </c>
      <c r="G2064" s="4">
        <v>4.96</v>
      </c>
      <c r="H2064" s="4">
        <v>4.99</v>
      </c>
      <c r="I2064" s="4">
        <v>4.97</v>
      </c>
      <c r="J2064" s="4">
        <v>4.95</v>
      </c>
      <c r="X2064" s="55" t="str">
        <f t="shared" si="3"/>
        <v>#NAME?</v>
      </c>
    </row>
    <row r="2065">
      <c r="A2065" s="4" t="s">
        <v>4709</v>
      </c>
      <c r="B2065" s="4" t="s">
        <v>448</v>
      </c>
      <c r="C2065" s="4">
        <v>29.0</v>
      </c>
      <c r="D2065" s="4" t="s">
        <v>4369</v>
      </c>
      <c r="E2065" s="4" t="s">
        <v>1088</v>
      </c>
      <c r="F2065" s="54" t="s">
        <v>632</v>
      </c>
      <c r="G2065" s="4">
        <v>4.96</v>
      </c>
      <c r="H2065" s="4">
        <v>4.95</v>
      </c>
      <c r="I2065" s="4">
        <v>4.95</v>
      </c>
      <c r="J2065" s="4">
        <v>4.95</v>
      </c>
      <c r="X2065" s="55" t="str">
        <f t="shared" si="3"/>
        <v>#NAME?</v>
      </c>
    </row>
    <row r="2066">
      <c r="A2066" s="4" t="s">
        <v>4710</v>
      </c>
      <c r="B2066" s="4" t="s">
        <v>448</v>
      </c>
      <c r="C2066" s="4">
        <v>30.0</v>
      </c>
      <c r="D2066" s="4" t="s">
        <v>4367</v>
      </c>
      <c r="E2066" s="4" t="s">
        <v>4270</v>
      </c>
      <c r="F2066" s="54" t="s">
        <v>632</v>
      </c>
      <c r="G2066" s="4">
        <v>19.53</v>
      </c>
      <c r="H2066" s="4">
        <v>19.62</v>
      </c>
      <c r="I2066" s="4">
        <v>19.8</v>
      </c>
      <c r="J2066" s="4">
        <v>19.98</v>
      </c>
      <c r="X2066" s="55" t="str">
        <f t="shared" si="3"/>
        <v>#NAME?</v>
      </c>
    </row>
    <row r="2067">
      <c r="A2067" s="4" t="s">
        <v>4711</v>
      </c>
      <c r="B2067" s="4" t="s">
        <v>448</v>
      </c>
      <c r="C2067" s="4">
        <v>31.0</v>
      </c>
      <c r="D2067" s="4" t="s">
        <v>4367</v>
      </c>
      <c r="E2067" s="4" t="s">
        <v>3816</v>
      </c>
      <c r="F2067" s="54" t="s">
        <v>632</v>
      </c>
      <c r="G2067" s="4">
        <v>24.54</v>
      </c>
      <c r="H2067" s="4">
        <v>24.51</v>
      </c>
      <c r="I2067" s="4">
        <v>24.56</v>
      </c>
      <c r="J2067" s="4">
        <v>24.51</v>
      </c>
      <c r="X2067" s="55" t="str">
        <f t="shared" si="3"/>
        <v>#NAME?</v>
      </c>
    </row>
    <row r="2068">
      <c r="A2068" s="4" t="s">
        <v>4712</v>
      </c>
      <c r="B2068" s="4" t="s">
        <v>448</v>
      </c>
      <c r="C2068" s="4">
        <v>32.0</v>
      </c>
      <c r="D2068" s="4" t="s">
        <v>4373</v>
      </c>
      <c r="E2068" s="4" t="s">
        <v>1088</v>
      </c>
      <c r="F2068" s="54" t="s">
        <v>405</v>
      </c>
      <c r="G2068" s="4">
        <v>3.86</v>
      </c>
      <c r="H2068" s="4">
        <v>3.59</v>
      </c>
      <c r="I2068" s="4">
        <v>3.82</v>
      </c>
      <c r="J2068" s="4">
        <v>3.79</v>
      </c>
      <c r="X2068" s="55" t="str">
        <f t="shared" si="3"/>
        <v>#NAME?</v>
      </c>
    </row>
    <row r="2069">
      <c r="A2069" s="4" t="s">
        <v>4713</v>
      </c>
      <c r="B2069" s="4" t="s">
        <v>448</v>
      </c>
      <c r="C2069" s="4">
        <v>33.0</v>
      </c>
      <c r="D2069" s="4" t="s">
        <v>4375</v>
      </c>
      <c r="E2069" s="4" t="s">
        <v>1088</v>
      </c>
      <c r="F2069" s="54" t="s">
        <v>405</v>
      </c>
      <c r="G2069" s="4">
        <v>3.81</v>
      </c>
      <c r="H2069" s="4">
        <v>3.76</v>
      </c>
      <c r="I2069" s="4">
        <v>3.8</v>
      </c>
      <c r="J2069" s="4">
        <v>3.79</v>
      </c>
      <c r="X2069" s="55" t="str">
        <f t="shared" si="3"/>
        <v>#NAME?</v>
      </c>
    </row>
    <row r="2070">
      <c r="A2070" s="4" t="s">
        <v>4714</v>
      </c>
      <c r="B2070" s="4" t="s">
        <v>448</v>
      </c>
      <c r="C2070" s="4">
        <v>34.0</v>
      </c>
      <c r="D2070" s="4" t="s">
        <v>4373</v>
      </c>
      <c r="E2070" s="4" t="s">
        <v>4270</v>
      </c>
      <c r="F2070" s="54" t="s">
        <v>405</v>
      </c>
      <c r="G2070" s="4">
        <v>20.16</v>
      </c>
      <c r="H2070" s="4">
        <v>20.65</v>
      </c>
      <c r="I2070" s="4">
        <v>20.72</v>
      </c>
      <c r="J2070" s="4">
        <v>20.14</v>
      </c>
      <c r="X2070" s="55" t="str">
        <f t="shared" si="3"/>
        <v>#NAME?</v>
      </c>
    </row>
    <row r="2071">
      <c r="A2071" s="4" t="s">
        <v>4715</v>
      </c>
      <c r="B2071" s="4" t="s">
        <v>552</v>
      </c>
      <c r="C2071" s="4">
        <v>1.0</v>
      </c>
      <c r="D2071" s="4" t="s">
        <v>4716</v>
      </c>
      <c r="E2071" s="4" t="s">
        <v>4260</v>
      </c>
      <c r="F2071" s="54" t="s">
        <v>546</v>
      </c>
      <c r="G2071" s="4">
        <v>9.23</v>
      </c>
      <c r="H2071" s="4">
        <v>9.26</v>
      </c>
      <c r="I2071" s="4">
        <v>9.17</v>
      </c>
      <c r="J2071" s="4">
        <v>9.08</v>
      </c>
      <c r="K2071" s="4">
        <v>9.2</v>
      </c>
      <c r="L2071" s="4">
        <v>9.19</v>
      </c>
      <c r="M2071" s="4">
        <v>9.22</v>
      </c>
      <c r="N2071" s="4">
        <v>9.18</v>
      </c>
      <c r="O2071" s="4">
        <v>9.18</v>
      </c>
      <c r="P2071" s="4">
        <v>9.24</v>
      </c>
      <c r="Q2071" s="4">
        <v>9.2</v>
      </c>
      <c r="R2071" s="4">
        <v>9.25</v>
      </c>
      <c r="S2071" s="4">
        <v>9.2</v>
      </c>
      <c r="T2071" s="4">
        <v>9.26</v>
      </c>
      <c r="U2071" s="4">
        <v>9.25</v>
      </c>
      <c r="V2071" s="4">
        <v>9.26</v>
      </c>
      <c r="W2071" s="4"/>
      <c r="X2071" s="55" t="str">
        <f t="shared" si="3"/>
        <v>#NAME?</v>
      </c>
    </row>
    <row r="2072">
      <c r="A2072" s="4" t="s">
        <v>4717</v>
      </c>
      <c r="B2072" s="4" t="s">
        <v>552</v>
      </c>
      <c r="C2072" s="4">
        <v>2.0</v>
      </c>
      <c r="D2072" s="4" t="s">
        <v>4718</v>
      </c>
      <c r="E2072" s="4" t="s">
        <v>4260</v>
      </c>
      <c r="F2072" s="54" t="s">
        <v>534</v>
      </c>
      <c r="G2072" s="4">
        <v>8.14</v>
      </c>
      <c r="H2072" s="4">
        <v>8.13</v>
      </c>
      <c r="I2072" s="4">
        <v>8.12</v>
      </c>
      <c r="J2072" s="4">
        <v>8.15</v>
      </c>
      <c r="K2072" s="4">
        <v>8.12</v>
      </c>
      <c r="L2072" s="4">
        <v>8.16</v>
      </c>
      <c r="M2072" s="4">
        <v>8.14</v>
      </c>
      <c r="N2072" s="4">
        <v>8.13</v>
      </c>
      <c r="O2072" s="4">
        <v>8.15</v>
      </c>
      <c r="P2072" s="4">
        <v>8.1</v>
      </c>
      <c r="Q2072" s="4">
        <v>8.12</v>
      </c>
      <c r="R2072" s="4">
        <v>8.11</v>
      </c>
      <c r="S2072" s="4">
        <v>8.17</v>
      </c>
      <c r="T2072" s="4">
        <v>8.15</v>
      </c>
      <c r="U2072" s="4">
        <v>8.09</v>
      </c>
      <c r="V2072" s="4">
        <v>8.16</v>
      </c>
      <c r="W2072" s="4"/>
      <c r="X2072" s="55" t="str">
        <f t="shared" si="3"/>
        <v>#NAME?</v>
      </c>
    </row>
    <row r="2073">
      <c r="A2073" s="4" t="s">
        <v>4719</v>
      </c>
      <c r="B2073" s="4" t="s">
        <v>552</v>
      </c>
      <c r="C2073" s="4">
        <v>3.0</v>
      </c>
      <c r="D2073" s="4" t="s">
        <v>4720</v>
      </c>
      <c r="E2073" s="4" t="s">
        <v>1088</v>
      </c>
      <c r="F2073" s="54" t="s">
        <v>357</v>
      </c>
      <c r="G2073" s="4">
        <v>9.17</v>
      </c>
      <c r="H2073" s="4">
        <v>9.2</v>
      </c>
      <c r="I2073" s="4">
        <v>9.18</v>
      </c>
      <c r="J2073" s="4">
        <v>9.16</v>
      </c>
      <c r="X2073" s="55" t="str">
        <f t="shared" si="3"/>
        <v>#NAME?</v>
      </c>
    </row>
    <row r="2074">
      <c r="A2074" s="4" t="s">
        <v>4721</v>
      </c>
      <c r="B2074" s="4" t="s">
        <v>552</v>
      </c>
      <c r="C2074" s="4">
        <v>4.0</v>
      </c>
      <c r="D2074" s="54" t="s">
        <v>529</v>
      </c>
      <c r="E2074" s="4" t="s">
        <v>1098</v>
      </c>
      <c r="F2074" s="54" t="s">
        <v>357</v>
      </c>
      <c r="G2074" s="4">
        <v>9.27</v>
      </c>
      <c r="H2074" s="4">
        <v>9.39</v>
      </c>
      <c r="I2074" s="4">
        <v>9.29</v>
      </c>
      <c r="J2074" s="4">
        <v>9.33</v>
      </c>
      <c r="K2074" s="4">
        <v>9.38</v>
      </c>
      <c r="L2074" s="4">
        <v>9.45</v>
      </c>
      <c r="M2074" s="4">
        <v>9.29</v>
      </c>
      <c r="N2074" s="4">
        <v>9.25</v>
      </c>
      <c r="O2074" s="4">
        <v>9.32</v>
      </c>
      <c r="P2074" s="4">
        <v>9.26</v>
      </c>
      <c r="Q2074" s="4">
        <v>9.14</v>
      </c>
      <c r="R2074" s="4">
        <v>9.16</v>
      </c>
      <c r="X2074" s="55" t="str">
        <f t="shared" si="3"/>
        <v>#NAME?</v>
      </c>
    </row>
    <row r="2075">
      <c r="A2075" s="4" t="s">
        <v>4722</v>
      </c>
      <c r="B2075" s="4" t="s">
        <v>552</v>
      </c>
      <c r="C2075" s="4">
        <v>5.0</v>
      </c>
      <c r="D2075" s="4" t="s">
        <v>4723</v>
      </c>
      <c r="E2075" s="4" t="s">
        <v>1088</v>
      </c>
      <c r="F2075" s="54" t="s">
        <v>4252</v>
      </c>
      <c r="G2075" s="4">
        <v>3.74</v>
      </c>
      <c r="H2075" s="4">
        <v>3.8</v>
      </c>
      <c r="I2075" s="4">
        <v>3.71</v>
      </c>
      <c r="J2075" s="4">
        <v>3.89</v>
      </c>
      <c r="X2075" s="55" t="str">
        <f t="shared" si="3"/>
        <v>#NAME?</v>
      </c>
    </row>
    <row r="2076">
      <c r="A2076" s="4" t="s">
        <v>4724</v>
      </c>
      <c r="B2076" s="4" t="s">
        <v>552</v>
      </c>
      <c r="C2076" s="4">
        <v>6.0</v>
      </c>
      <c r="D2076" s="4" t="s">
        <v>4725</v>
      </c>
      <c r="E2076" s="4" t="s">
        <v>1088</v>
      </c>
      <c r="F2076" s="54" t="s">
        <v>3812</v>
      </c>
      <c r="G2076" s="4">
        <v>3.61</v>
      </c>
      <c r="H2076" s="4">
        <v>3.55</v>
      </c>
      <c r="I2076" s="4">
        <v>3.66</v>
      </c>
      <c r="J2076" s="4">
        <v>3.63</v>
      </c>
      <c r="X2076" s="55" t="str">
        <f t="shared" si="3"/>
        <v>#NAME?</v>
      </c>
    </row>
    <row r="2077">
      <c r="A2077" s="4" t="s">
        <v>4726</v>
      </c>
      <c r="B2077" s="4" t="s">
        <v>552</v>
      </c>
      <c r="C2077" s="4">
        <v>7.0</v>
      </c>
      <c r="D2077" s="4" t="s">
        <v>4727</v>
      </c>
      <c r="E2077" s="4" t="s">
        <v>1088</v>
      </c>
      <c r="F2077" s="54" t="s">
        <v>4252</v>
      </c>
      <c r="G2077" s="4">
        <v>3.49</v>
      </c>
      <c r="H2077" s="4">
        <v>3.55</v>
      </c>
      <c r="I2077" s="4">
        <v>3.51</v>
      </c>
      <c r="J2077" s="4">
        <v>3.57</v>
      </c>
      <c r="X2077" s="55" t="str">
        <f t="shared" si="3"/>
        <v>#NAME?</v>
      </c>
    </row>
    <row r="2078">
      <c r="A2078" s="4" t="s">
        <v>4728</v>
      </c>
      <c r="B2078" s="4" t="s">
        <v>552</v>
      </c>
      <c r="C2078" s="4">
        <v>8.0</v>
      </c>
      <c r="D2078" s="4" t="s">
        <v>4729</v>
      </c>
      <c r="E2078" s="4" t="s">
        <v>1088</v>
      </c>
      <c r="F2078" s="54" t="s">
        <v>405</v>
      </c>
      <c r="G2078" s="4">
        <v>6.78</v>
      </c>
      <c r="H2078" s="4">
        <v>6.61</v>
      </c>
      <c r="I2078" s="4">
        <v>6.69</v>
      </c>
      <c r="J2078" s="4">
        <v>6.75</v>
      </c>
      <c r="X2078" s="55" t="str">
        <f t="shared" si="3"/>
        <v>#NAME?</v>
      </c>
    </row>
    <row r="2079">
      <c r="A2079" s="4" t="s">
        <v>4730</v>
      </c>
      <c r="B2079" s="4" t="s">
        <v>552</v>
      </c>
      <c r="C2079" s="4">
        <v>9.0</v>
      </c>
      <c r="D2079" s="54" t="s">
        <v>573</v>
      </c>
      <c r="E2079" s="4" t="s">
        <v>1098</v>
      </c>
      <c r="F2079" s="54" t="s">
        <v>405</v>
      </c>
      <c r="G2079" s="4">
        <v>6.78</v>
      </c>
      <c r="H2079" s="4">
        <v>6.95</v>
      </c>
      <c r="I2079" s="4">
        <v>6.84</v>
      </c>
      <c r="J2079" s="4">
        <v>6.9</v>
      </c>
      <c r="K2079" s="4">
        <v>6.81</v>
      </c>
      <c r="L2079" s="4">
        <v>6.88</v>
      </c>
      <c r="M2079" s="4">
        <v>6.96</v>
      </c>
      <c r="N2079" s="4">
        <v>7.02</v>
      </c>
      <c r="O2079" s="4">
        <v>6.83</v>
      </c>
      <c r="P2079" s="4">
        <v>6.75</v>
      </c>
      <c r="Q2079" s="4">
        <v>6.86</v>
      </c>
      <c r="R2079" s="4">
        <v>6.9</v>
      </c>
      <c r="X2079" s="55" t="str">
        <f t="shared" si="3"/>
        <v>#NAME?</v>
      </c>
    </row>
    <row r="2080">
      <c r="A2080" s="4" t="s">
        <v>4731</v>
      </c>
      <c r="B2080" s="4" t="s">
        <v>454</v>
      </c>
      <c r="C2080" s="4">
        <v>1.0</v>
      </c>
      <c r="D2080" s="4" t="s">
        <v>4392</v>
      </c>
      <c r="E2080" s="4" t="s">
        <v>4264</v>
      </c>
      <c r="F2080" s="54" t="s">
        <v>4261</v>
      </c>
      <c r="G2080" s="4">
        <v>30.34</v>
      </c>
      <c r="H2080" s="4">
        <v>30.37</v>
      </c>
      <c r="I2080" s="4">
        <v>30.22</v>
      </c>
      <c r="J2080" s="4">
        <v>30.46</v>
      </c>
      <c r="X2080" s="55" t="str">
        <f t="shared" si="3"/>
        <v>#NAME?</v>
      </c>
    </row>
    <row r="2081">
      <c r="A2081" s="54" t="s">
        <v>4732</v>
      </c>
      <c r="B2081" s="4" t="s">
        <v>454</v>
      </c>
      <c r="C2081" s="4">
        <v>2.0</v>
      </c>
      <c r="D2081" s="4" t="s">
        <v>4332</v>
      </c>
      <c r="E2081" s="4" t="s">
        <v>4264</v>
      </c>
      <c r="F2081" s="54" t="s">
        <v>4261</v>
      </c>
      <c r="G2081" s="4">
        <v>30.36</v>
      </c>
      <c r="H2081" s="4">
        <v>30.8</v>
      </c>
      <c r="I2081" s="4">
        <v>30.28</v>
      </c>
      <c r="J2081" s="4">
        <v>30.43</v>
      </c>
      <c r="X2081" s="55" t="str">
        <f t="shared" si="3"/>
        <v>#NAME?</v>
      </c>
    </row>
    <row r="2082">
      <c r="A2082" s="4" t="s">
        <v>4733</v>
      </c>
      <c r="B2082" s="4" t="s">
        <v>454</v>
      </c>
      <c r="C2082" s="4">
        <v>3.0</v>
      </c>
      <c r="D2082" s="4" t="s">
        <v>4334</v>
      </c>
      <c r="E2082" s="4" t="s">
        <v>4264</v>
      </c>
      <c r="F2082" s="54" t="s">
        <v>4261</v>
      </c>
      <c r="G2082" s="4">
        <v>39.66</v>
      </c>
      <c r="H2082" s="4">
        <v>39.77</v>
      </c>
      <c r="I2082" s="4">
        <v>39.67</v>
      </c>
      <c r="J2082" s="4">
        <v>39.67</v>
      </c>
      <c r="X2082" s="55" t="str">
        <f t="shared" si="3"/>
        <v>#NAME?</v>
      </c>
    </row>
    <row r="2083">
      <c r="A2083" s="4" t="s">
        <v>4734</v>
      </c>
      <c r="B2083" s="4" t="s">
        <v>454</v>
      </c>
      <c r="C2083" s="4">
        <v>4.0</v>
      </c>
      <c r="D2083" s="4" t="s">
        <v>4396</v>
      </c>
      <c r="E2083" s="4" t="s">
        <v>4264</v>
      </c>
      <c r="F2083" s="54" t="s">
        <v>4261</v>
      </c>
      <c r="G2083" s="4">
        <v>39.74</v>
      </c>
      <c r="H2083" s="4">
        <v>39.76</v>
      </c>
      <c r="I2083" s="4">
        <v>39.7</v>
      </c>
      <c r="J2083" s="4">
        <v>39.66</v>
      </c>
      <c r="X2083" s="55" t="str">
        <f t="shared" si="3"/>
        <v>#NAME?</v>
      </c>
    </row>
    <row r="2084">
      <c r="A2084" s="4" t="s">
        <v>4735</v>
      </c>
      <c r="B2084" s="4" t="s">
        <v>552</v>
      </c>
      <c r="C2084" s="4">
        <v>1.0</v>
      </c>
      <c r="D2084" s="54" t="s">
        <v>405</v>
      </c>
      <c r="E2084" s="4" t="s">
        <v>1251</v>
      </c>
      <c r="F2084" s="54" t="s">
        <v>546</v>
      </c>
      <c r="G2084" s="4">
        <v>12.39</v>
      </c>
      <c r="H2084" s="4">
        <v>12.35</v>
      </c>
      <c r="I2084" s="4">
        <v>12.25</v>
      </c>
      <c r="J2084" s="4">
        <v>12.3</v>
      </c>
      <c r="X2084" s="55" t="str">
        <f t="shared" si="3"/>
        <v>#NAME?</v>
      </c>
    </row>
    <row r="2085">
      <c r="A2085" s="4" t="s">
        <v>4736</v>
      </c>
      <c r="B2085" s="4" t="s">
        <v>552</v>
      </c>
      <c r="C2085" s="4">
        <v>2.0</v>
      </c>
      <c r="D2085" s="54" t="s">
        <v>405</v>
      </c>
      <c r="E2085" s="4" t="s">
        <v>1251</v>
      </c>
      <c r="F2085" s="54" t="s">
        <v>534</v>
      </c>
      <c r="G2085" s="4">
        <v>10.05</v>
      </c>
      <c r="H2085" s="4">
        <v>10.12</v>
      </c>
      <c r="I2085" s="4">
        <v>10.09</v>
      </c>
      <c r="J2085" s="4">
        <v>10.11</v>
      </c>
      <c r="X2085" s="55" t="str">
        <f t="shared" si="3"/>
        <v>#NAME?</v>
      </c>
    </row>
    <row r="2086">
      <c r="A2086" s="4" t="s">
        <v>4737</v>
      </c>
      <c r="B2086" s="4" t="s">
        <v>454</v>
      </c>
      <c r="C2086" s="4">
        <v>1.0</v>
      </c>
      <c r="D2086" s="4" t="s">
        <v>4496</v>
      </c>
      <c r="E2086" s="4" t="s">
        <v>4260</v>
      </c>
      <c r="F2086" s="54" t="s">
        <v>4261</v>
      </c>
      <c r="G2086" s="4">
        <v>6.17</v>
      </c>
      <c r="H2086" s="4">
        <v>6.13</v>
      </c>
      <c r="I2086" s="4">
        <v>6.14</v>
      </c>
      <c r="J2086" s="4">
        <v>6.11</v>
      </c>
      <c r="X2086" s="55" t="str">
        <f t="shared" si="3"/>
        <v>#NAME?</v>
      </c>
    </row>
    <row r="2087">
      <c r="A2087" s="4" t="s">
        <v>4738</v>
      </c>
      <c r="B2087" s="4" t="s">
        <v>454</v>
      </c>
      <c r="C2087" s="4">
        <v>2.0</v>
      </c>
      <c r="D2087" s="4" t="s">
        <v>4498</v>
      </c>
      <c r="E2087" s="4" t="s">
        <v>4260</v>
      </c>
      <c r="F2087" s="54" t="s">
        <v>4261</v>
      </c>
      <c r="G2087" s="4">
        <v>6.2</v>
      </c>
      <c r="H2087" s="4">
        <v>6.18</v>
      </c>
      <c r="I2087" s="4">
        <v>6.24</v>
      </c>
      <c r="J2087" s="4">
        <v>6.16</v>
      </c>
      <c r="X2087" s="55" t="str">
        <f t="shared" si="3"/>
        <v>#NAME?</v>
      </c>
    </row>
    <row r="2088">
      <c r="A2088" s="4" t="s">
        <v>4739</v>
      </c>
      <c r="B2088" s="4" t="s">
        <v>454</v>
      </c>
      <c r="C2088" s="4">
        <v>3.0</v>
      </c>
      <c r="D2088" s="4" t="s">
        <v>4500</v>
      </c>
      <c r="E2088" s="4" t="s">
        <v>4260</v>
      </c>
      <c r="F2088" s="54" t="s">
        <v>4261</v>
      </c>
      <c r="G2088" s="4">
        <v>6.21</v>
      </c>
      <c r="H2088" s="4">
        <v>6.2</v>
      </c>
      <c r="I2088" s="4">
        <v>6.2</v>
      </c>
      <c r="J2088" s="4">
        <v>6.01</v>
      </c>
      <c r="X2088" s="55" t="str">
        <f t="shared" si="3"/>
        <v>#NAME?</v>
      </c>
    </row>
    <row r="2089">
      <c r="A2089" s="4" t="s">
        <v>4740</v>
      </c>
      <c r="B2089" s="4" t="s">
        <v>454</v>
      </c>
      <c r="C2089" s="4">
        <v>4.0</v>
      </c>
      <c r="D2089" s="4" t="s">
        <v>4502</v>
      </c>
      <c r="E2089" s="4" t="s">
        <v>4260</v>
      </c>
      <c r="F2089" s="54" t="s">
        <v>4261</v>
      </c>
      <c r="G2089" s="4">
        <v>6.21</v>
      </c>
      <c r="H2089" s="4">
        <v>6.21</v>
      </c>
      <c r="I2089" s="4">
        <v>6.25</v>
      </c>
      <c r="J2089" s="4">
        <v>6.11</v>
      </c>
      <c r="X2089" s="55" t="str">
        <f t="shared" si="3"/>
        <v>#NAME?</v>
      </c>
    </row>
    <row r="2090">
      <c r="A2090" s="4" t="s">
        <v>4741</v>
      </c>
      <c r="B2090" s="4" t="s">
        <v>454</v>
      </c>
      <c r="C2090" s="4">
        <v>5.0</v>
      </c>
      <c r="D2090" s="4" t="s">
        <v>4338</v>
      </c>
      <c r="E2090" s="4" t="s">
        <v>1088</v>
      </c>
      <c r="F2090" s="54" t="s">
        <v>632</v>
      </c>
      <c r="G2090" s="4">
        <v>5.17</v>
      </c>
      <c r="H2090" s="4">
        <v>5.04</v>
      </c>
      <c r="I2090" s="4">
        <v>5.05</v>
      </c>
      <c r="J2090" s="4">
        <v>5.03</v>
      </c>
      <c r="X2090" s="55" t="str">
        <f t="shared" si="3"/>
        <v>#NAME?</v>
      </c>
    </row>
    <row r="2091">
      <c r="A2091" s="4" t="s">
        <v>4742</v>
      </c>
      <c r="B2091" s="4" t="s">
        <v>454</v>
      </c>
      <c r="C2091" s="4">
        <v>6.0</v>
      </c>
      <c r="D2091" s="4" t="s">
        <v>4340</v>
      </c>
      <c r="E2091" s="4" t="s">
        <v>1088</v>
      </c>
      <c r="F2091" s="54" t="s">
        <v>632</v>
      </c>
      <c r="G2091" s="4">
        <v>5.03</v>
      </c>
      <c r="H2091" s="4">
        <v>5.08</v>
      </c>
      <c r="I2091" s="4">
        <v>5.07</v>
      </c>
      <c r="J2091" s="4">
        <v>5.04</v>
      </c>
      <c r="X2091" s="55" t="str">
        <f t="shared" si="3"/>
        <v>#NAME?</v>
      </c>
    </row>
    <row r="2092">
      <c r="A2092" s="4" t="s">
        <v>4743</v>
      </c>
      <c r="B2092" s="4" t="s">
        <v>454</v>
      </c>
      <c r="C2092" s="4">
        <v>7.0</v>
      </c>
      <c r="D2092" s="4" t="s">
        <v>4338</v>
      </c>
      <c r="E2092" s="4" t="s">
        <v>4270</v>
      </c>
      <c r="F2092" s="54" t="s">
        <v>632</v>
      </c>
      <c r="G2092" s="4">
        <v>20.05</v>
      </c>
      <c r="H2092" s="4">
        <v>19.6</v>
      </c>
      <c r="I2092" s="4">
        <v>20.04</v>
      </c>
      <c r="J2092" s="4">
        <v>19.56</v>
      </c>
      <c r="X2092" s="55" t="str">
        <f t="shared" si="3"/>
        <v>#NAME?</v>
      </c>
    </row>
    <row r="2093">
      <c r="A2093" s="4" t="s">
        <v>4744</v>
      </c>
      <c r="B2093" s="4" t="s">
        <v>454</v>
      </c>
      <c r="C2093" s="4">
        <v>8.0</v>
      </c>
      <c r="D2093" s="4" t="s">
        <v>4338</v>
      </c>
      <c r="E2093" s="4" t="s">
        <v>3816</v>
      </c>
      <c r="F2093" s="54" t="s">
        <v>632</v>
      </c>
      <c r="G2093" s="4">
        <v>24.52</v>
      </c>
      <c r="H2093" s="4">
        <v>24.49</v>
      </c>
      <c r="I2093" s="4">
        <v>24.51</v>
      </c>
      <c r="J2093" s="4">
        <v>24.51</v>
      </c>
      <c r="X2093" s="55" t="str">
        <f t="shared" si="3"/>
        <v>#NAME?</v>
      </c>
    </row>
    <row r="2094">
      <c r="A2094" s="4" t="s">
        <v>4745</v>
      </c>
      <c r="B2094" s="4" t="s">
        <v>454</v>
      </c>
      <c r="C2094" s="4">
        <v>9.0</v>
      </c>
      <c r="D2094" s="4" t="s">
        <v>4344</v>
      </c>
      <c r="E2094" s="4" t="s">
        <v>1088</v>
      </c>
      <c r="F2094" s="54" t="s">
        <v>357</v>
      </c>
      <c r="G2094" s="4">
        <v>3.77</v>
      </c>
      <c r="H2094" s="4">
        <v>3.74</v>
      </c>
      <c r="I2094" s="4">
        <v>3.81</v>
      </c>
      <c r="J2094" s="4">
        <v>3.77</v>
      </c>
      <c r="X2094" s="55" t="str">
        <f t="shared" si="3"/>
        <v>#NAME?</v>
      </c>
    </row>
    <row r="2095">
      <c r="A2095" s="4" t="s">
        <v>4746</v>
      </c>
      <c r="B2095" s="4" t="s">
        <v>454</v>
      </c>
      <c r="C2095" s="4">
        <v>10.0</v>
      </c>
      <c r="D2095" s="4" t="s">
        <v>4346</v>
      </c>
      <c r="E2095" s="4" t="s">
        <v>1088</v>
      </c>
      <c r="F2095" s="54" t="s">
        <v>357</v>
      </c>
      <c r="G2095" s="4">
        <v>3.78</v>
      </c>
      <c r="H2095" s="4">
        <v>3.75</v>
      </c>
      <c r="I2095" s="4">
        <v>3.82</v>
      </c>
      <c r="J2095" s="4">
        <v>3.76</v>
      </c>
      <c r="X2095" s="55" t="str">
        <f t="shared" si="3"/>
        <v>#NAME?</v>
      </c>
    </row>
    <row r="2096">
      <c r="A2096" s="4" t="s">
        <v>4747</v>
      </c>
      <c r="B2096" s="4" t="s">
        <v>454</v>
      </c>
      <c r="C2096" s="4">
        <v>11.0</v>
      </c>
      <c r="D2096" s="4" t="s">
        <v>4344</v>
      </c>
      <c r="E2096" s="4" t="s">
        <v>4270</v>
      </c>
      <c r="F2096" s="54" t="s">
        <v>357</v>
      </c>
      <c r="G2096" s="4">
        <v>22.51</v>
      </c>
      <c r="H2096" s="4">
        <v>22.53</v>
      </c>
      <c r="I2096" s="4">
        <v>22.55</v>
      </c>
      <c r="J2096" s="4">
        <v>22.48</v>
      </c>
      <c r="X2096" s="55" t="str">
        <f t="shared" si="3"/>
        <v>#NAME?</v>
      </c>
    </row>
    <row r="2097">
      <c r="A2097" s="4" t="s">
        <v>4748</v>
      </c>
      <c r="B2097" s="4" t="s">
        <v>454</v>
      </c>
      <c r="C2097" s="4">
        <v>12.0</v>
      </c>
      <c r="D2097" s="4" t="s">
        <v>4346</v>
      </c>
      <c r="E2097" s="4" t="s">
        <v>4270</v>
      </c>
      <c r="F2097" s="54" t="s">
        <v>357</v>
      </c>
      <c r="G2097" s="4">
        <v>22.53</v>
      </c>
      <c r="H2097" s="4">
        <v>22.5</v>
      </c>
      <c r="I2097" s="4">
        <v>22.48</v>
      </c>
      <c r="J2097" s="4">
        <v>23.02</v>
      </c>
      <c r="X2097" s="55" t="str">
        <f t="shared" si="3"/>
        <v>#NAME?</v>
      </c>
    </row>
    <row r="2098">
      <c r="A2098" s="4" t="s">
        <v>4749</v>
      </c>
      <c r="B2098" s="4" t="s">
        <v>454</v>
      </c>
      <c r="C2098" s="4">
        <v>13.0</v>
      </c>
      <c r="D2098" s="4" t="s">
        <v>4349</v>
      </c>
      <c r="E2098" s="4" t="s">
        <v>1088</v>
      </c>
      <c r="F2098" s="54" t="s">
        <v>632</v>
      </c>
      <c r="G2098" s="4">
        <v>5.0</v>
      </c>
      <c r="H2098" s="4">
        <v>5.02</v>
      </c>
      <c r="I2098" s="4">
        <v>5.01</v>
      </c>
      <c r="J2098" s="4">
        <v>5.03</v>
      </c>
      <c r="X2098" s="55" t="str">
        <f t="shared" si="3"/>
        <v>#NAME?</v>
      </c>
    </row>
    <row r="2099">
      <c r="A2099" s="4" t="s">
        <v>4750</v>
      </c>
      <c r="B2099" s="4" t="s">
        <v>454</v>
      </c>
      <c r="C2099" s="4">
        <v>14.0</v>
      </c>
      <c r="D2099" s="4" t="s">
        <v>4351</v>
      </c>
      <c r="E2099" s="4" t="s">
        <v>1088</v>
      </c>
      <c r="F2099" s="54" t="s">
        <v>632</v>
      </c>
      <c r="G2099" s="4">
        <v>4.99</v>
      </c>
      <c r="H2099" s="4">
        <v>5.0</v>
      </c>
      <c r="I2099" s="4">
        <v>5.02</v>
      </c>
      <c r="J2099" s="4">
        <v>5.03</v>
      </c>
      <c r="X2099" s="55" t="str">
        <f t="shared" si="3"/>
        <v>#NAME?</v>
      </c>
    </row>
    <row r="2100">
      <c r="A2100" s="4" t="s">
        <v>4751</v>
      </c>
      <c r="B2100" s="4" t="s">
        <v>454</v>
      </c>
      <c r="C2100" s="4">
        <v>15.0</v>
      </c>
      <c r="D2100" s="4" t="s">
        <v>4349</v>
      </c>
      <c r="E2100" s="4" t="s">
        <v>4270</v>
      </c>
      <c r="F2100" s="54" t="s">
        <v>632</v>
      </c>
      <c r="G2100" s="4">
        <v>19.55</v>
      </c>
      <c r="H2100" s="4">
        <v>19.51</v>
      </c>
      <c r="I2100" s="4">
        <v>19.45</v>
      </c>
      <c r="J2100" s="4">
        <v>19.48</v>
      </c>
      <c r="X2100" s="55" t="str">
        <f t="shared" si="3"/>
        <v>#NAME?</v>
      </c>
    </row>
    <row r="2101">
      <c r="A2101" s="4" t="s">
        <v>4752</v>
      </c>
      <c r="B2101" s="4" t="s">
        <v>454</v>
      </c>
      <c r="C2101" s="4">
        <v>16.0</v>
      </c>
      <c r="D2101" s="4" t="s">
        <v>4349</v>
      </c>
      <c r="E2101" s="4" t="s">
        <v>3816</v>
      </c>
      <c r="F2101" s="54" t="s">
        <v>632</v>
      </c>
      <c r="G2101" s="4">
        <v>24.57</v>
      </c>
      <c r="H2101" s="4">
        <v>24.57</v>
      </c>
      <c r="I2101" s="4">
        <v>24.55</v>
      </c>
      <c r="J2101" s="4">
        <v>24.56</v>
      </c>
      <c r="X2101" s="55" t="str">
        <f t="shared" si="3"/>
        <v>#NAME?</v>
      </c>
    </row>
    <row r="2102">
      <c r="A2102" s="4" t="s">
        <v>4753</v>
      </c>
      <c r="B2102" s="4" t="s">
        <v>454</v>
      </c>
      <c r="C2102" s="4">
        <v>17.0</v>
      </c>
      <c r="D2102" s="4" t="s">
        <v>4355</v>
      </c>
      <c r="E2102" s="4" t="s">
        <v>1088</v>
      </c>
      <c r="F2102" s="54" t="s">
        <v>632</v>
      </c>
      <c r="G2102" s="4">
        <v>5.25</v>
      </c>
      <c r="H2102" s="4">
        <v>5.03</v>
      </c>
      <c r="I2102" s="4">
        <v>5.04</v>
      </c>
      <c r="J2102" s="4">
        <v>5.0</v>
      </c>
      <c r="X2102" s="55" t="str">
        <f t="shared" si="3"/>
        <v>#NAME?</v>
      </c>
    </row>
    <row r="2103">
      <c r="A2103" s="4" t="s">
        <v>4754</v>
      </c>
      <c r="B2103" s="4" t="s">
        <v>454</v>
      </c>
      <c r="C2103" s="4">
        <v>18.0</v>
      </c>
      <c r="D2103" s="4" t="s">
        <v>4357</v>
      </c>
      <c r="E2103" s="4" t="s">
        <v>1088</v>
      </c>
      <c r="F2103" s="54" t="s">
        <v>632</v>
      </c>
      <c r="G2103" s="4">
        <v>5.05</v>
      </c>
      <c r="H2103" s="4">
        <v>5.05</v>
      </c>
      <c r="I2103" s="4">
        <v>5.05</v>
      </c>
      <c r="J2103" s="4">
        <v>4.99</v>
      </c>
      <c r="X2103" s="55" t="str">
        <f t="shared" si="3"/>
        <v>#NAME?</v>
      </c>
    </row>
    <row r="2104">
      <c r="A2104" s="4" t="s">
        <v>4755</v>
      </c>
      <c r="B2104" s="4" t="s">
        <v>454</v>
      </c>
      <c r="C2104" s="4">
        <v>19.0</v>
      </c>
      <c r="D2104" s="4" t="s">
        <v>4355</v>
      </c>
      <c r="E2104" s="4" t="s">
        <v>4270</v>
      </c>
      <c r="F2104" s="54" t="s">
        <v>632</v>
      </c>
      <c r="G2104" s="4">
        <v>19.94</v>
      </c>
      <c r="H2104" s="4">
        <v>19.45</v>
      </c>
      <c r="I2104" s="4">
        <v>19.47</v>
      </c>
      <c r="J2104" s="4">
        <v>19.97</v>
      </c>
      <c r="X2104" s="55" t="str">
        <f t="shared" si="3"/>
        <v>#NAME?</v>
      </c>
    </row>
    <row r="2105">
      <c r="A2105" s="4" t="s">
        <v>4756</v>
      </c>
      <c r="B2105" s="4" t="s">
        <v>454</v>
      </c>
      <c r="C2105" s="4">
        <v>20.0</v>
      </c>
      <c r="D2105" s="4" t="s">
        <v>4355</v>
      </c>
      <c r="E2105" s="4" t="s">
        <v>3816</v>
      </c>
      <c r="F2105" s="54" t="s">
        <v>632</v>
      </c>
      <c r="G2105" s="4">
        <v>24.48</v>
      </c>
      <c r="H2105" s="4">
        <v>24.47</v>
      </c>
      <c r="I2105" s="4">
        <v>24.47</v>
      </c>
      <c r="J2105" s="4">
        <v>24.47</v>
      </c>
      <c r="X2105" s="55" t="str">
        <f t="shared" si="3"/>
        <v>#NAME?</v>
      </c>
    </row>
    <row r="2106">
      <c r="A2106" s="4" t="s">
        <v>4757</v>
      </c>
      <c r="B2106" s="4" t="s">
        <v>454</v>
      </c>
      <c r="C2106" s="4">
        <v>21.0</v>
      </c>
      <c r="D2106" s="4" t="s">
        <v>4361</v>
      </c>
      <c r="E2106" s="4" t="s">
        <v>1088</v>
      </c>
      <c r="F2106" s="54" t="s">
        <v>405</v>
      </c>
      <c r="G2106" s="4">
        <v>3.83</v>
      </c>
      <c r="H2106" s="4">
        <v>3.82</v>
      </c>
      <c r="I2106" s="4">
        <v>3.83</v>
      </c>
      <c r="J2106" s="4">
        <v>3.79</v>
      </c>
      <c r="X2106" s="55" t="str">
        <f t="shared" si="3"/>
        <v>#NAME?</v>
      </c>
    </row>
    <row r="2107">
      <c r="A2107" s="4" t="s">
        <v>4758</v>
      </c>
      <c r="B2107" s="4" t="s">
        <v>454</v>
      </c>
      <c r="C2107" s="4">
        <v>22.0</v>
      </c>
      <c r="D2107" s="4" t="s">
        <v>4363</v>
      </c>
      <c r="E2107" s="4" t="s">
        <v>1088</v>
      </c>
      <c r="F2107" s="54" t="s">
        <v>405</v>
      </c>
      <c r="G2107" s="4">
        <v>3.79</v>
      </c>
      <c r="H2107" s="4">
        <v>3.82</v>
      </c>
      <c r="I2107" s="4">
        <v>3.81</v>
      </c>
      <c r="J2107" s="4">
        <v>3.79</v>
      </c>
      <c r="X2107" s="55" t="str">
        <f t="shared" si="3"/>
        <v>#NAME?</v>
      </c>
    </row>
    <row r="2108">
      <c r="A2108" s="4" t="s">
        <v>4759</v>
      </c>
      <c r="B2108" s="4" t="s">
        <v>454</v>
      </c>
      <c r="C2108" s="4">
        <v>23.0</v>
      </c>
      <c r="D2108" s="4" t="s">
        <v>4361</v>
      </c>
      <c r="E2108" s="4" t="s">
        <v>4270</v>
      </c>
      <c r="F2108" s="54" t="s">
        <v>405</v>
      </c>
      <c r="G2108" s="4">
        <v>20.9</v>
      </c>
      <c r="H2108" s="4">
        <v>21.07</v>
      </c>
      <c r="I2108" s="4">
        <v>20.61</v>
      </c>
      <c r="J2108" s="4">
        <v>21.04</v>
      </c>
      <c r="X2108" s="55" t="str">
        <f t="shared" si="3"/>
        <v>#NAME?</v>
      </c>
    </row>
    <row r="2109">
      <c r="A2109" s="4" t="s">
        <v>4760</v>
      </c>
      <c r="B2109" s="4" t="s">
        <v>454</v>
      </c>
      <c r="C2109" s="4">
        <v>24.0</v>
      </c>
      <c r="D2109" s="4" t="s">
        <v>4367</v>
      </c>
      <c r="E2109" s="4" t="s">
        <v>1088</v>
      </c>
      <c r="F2109" s="54" t="s">
        <v>632</v>
      </c>
      <c r="G2109" s="4">
        <v>5.05</v>
      </c>
      <c r="H2109" s="4">
        <v>5.09</v>
      </c>
      <c r="I2109" s="4">
        <v>5.11</v>
      </c>
      <c r="J2109" s="4">
        <v>5.08</v>
      </c>
      <c r="X2109" s="55" t="str">
        <f t="shared" si="3"/>
        <v>#NAME?</v>
      </c>
    </row>
    <row r="2110">
      <c r="A2110" s="4" t="s">
        <v>4761</v>
      </c>
      <c r="B2110" s="4" t="s">
        <v>454</v>
      </c>
      <c r="C2110" s="4">
        <v>25.0</v>
      </c>
      <c r="D2110" s="4" t="s">
        <v>4369</v>
      </c>
      <c r="E2110" s="4" t="s">
        <v>1088</v>
      </c>
      <c r="F2110" s="54" t="s">
        <v>632</v>
      </c>
      <c r="G2110" s="4">
        <v>5.07</v>
      </c>
      <c r="H2110" s="4">
        <v>5.07</v>
      </c>
      <c r="I2110" s="4">
        <v>5.1</v>
      </c>
      <c r="J2110" s="4">
        <v>5.07</v>
      </c>
      <c r="X2110" s="55" t="str">
        <f t="shared" si="3"/>
        <v>#NAME?</v>
      </c>
    </row>
    <row r="2111">
      <c r="A2111" s="4" t="s">
        <v>4762</v>
      </c>
      <c r="B2111" s="4" t="s">
        <v>454</v>
      </c>
      <c r="C2111" s="4">
        <v>26.0</v>
      </c>
      <c r="D2111" s="4" t="s">
        <v>4367</v>
      </c>
      <c r="E2111" s="4" t="s">
        <v>4270</v>
      </c>
      <c r="F2111" s="54" t="s">
        <v>632</v>
      </c>
      <c r="G2111" s="4">
        <v>19.48</v>
      </c>
      <c r="H2111" s="4">
        <v>19.6</v>
      </c>
      <c r="I2111" s="4">
        <v>19.75</v>
      </c>
      <c r="J2111" s="4">
        <v>20.41</v>
      </c>
      <c r="X2111" s="55" t="str">
        <f t="shared" si="3"/>
        <v>#NAME?</v>
      </c>
    </row>
    <row r="2112">
      <c r="A2112" s="4" t="s">
        <v>4763</v>
      </c>
      <c r="B2112" s="4" t="s">
        <v>454</v>
      </c>
      <c r="C2112" s="4">
        <v>27.0</v>
      </c>
      <c r="D2112" s="4" t="s">
        <v>4367</v>
      </c>
      <c r="E2112" s="4" t="s">
        <v>3816</v>
      </c>
      <c r="F2112" s="54" t="s">
        <v>632</v>
      </c>
      <c r="G2112" s="4">
        <v>24.58</v>
      </c>
      <c r="H2112" s="4">
        <v>24.56</v>
      </c>
      <c r="I2112" s="4">
        <v>24.6</v>
      </c>
      <c r="J2112" s="4">
        <v>24.59</v>
      </c>
      <c r="X2112" s="55" t="str">
        <f t="shared" si="3"/>
        <v>#NAME?</v>
      </c>
    </row>
    <row r="2113">
      <c r="A2113" s="4" t="s">
        <v>4764</v>
      </c>
      <c r="B2113" s="4" t="s">
        <v>454</v>
      </c>
      <c r="C2113" s="4">
        <v>28.0</v>
      </c>
      <c r="D2113" s="4" t="s">
        <v>4373</v>
      </c>
      <c r="E2113" s="4" t="s">
        <v>1088</v>
      </c>
      <c r="F2113" s="54" t="s">
        <v>405</v>
      </c>
      <c r="G2113" s="4">
        <v>3.83</v>
      </c>
      <c r="H2113" s="4">
        <v>3.79</v>
      </c>
      <c r="I2113" s="4">
        <v>3.76</v>
      </c>
      <c r="J2113" s="4">
        <v>3.73</v>
      </c>
      <c r="X2113" s="55" t="str">
        <f t="shared" si="3"/>
        <v>#NAME?</v>
      </c>
    </row>
    <row r="2114">
      <c r="A2114" s="4" t="s">
        <v>4765</v>
      </c>
      <c r="B2114" s="4" t="s">
        <v>454</v>
      </c>
      <c r="C2114" s="4">
        <v>29.0</v>
      </c>
      <c r="D2114" s="4" t="s">
        <v>4375</v>
      </c>
      <c r="E2114" s="4" t="s">
        <v>1088</v>
      </c>
      <c r="F2114" s="54" t="s">
        <v>405</v>
      </c>
      <c r="G2114" s="4">
        <v>3.74</v>
      </c>
      <c r="H2114" s="4">
        <v>3.8</v>
      </c>
      <c r="I2114" s="4">
        <v>3.8</v>
      </c>
      <c r="J2114" s="4">
        <v>3.75</v>
      </c>
      <c r="X2114" s="55" t="str">
        <f t="shared" si="3"/>
        <v>#NAME?</v>
      </c>
    </row>
    <row r="2115">
      <c r="A2115" s="4" t="s">
        <v>4766</v>
      </c>
      <c r="B2115" s="4" t="s">
        <v>454</v>
      </c>
      <c r="C2115" s="4">
        <v>30.0</v>
      </c>
      <c r="D2115" s="4" t="s">
        <v>4373</v>
      </c>
      <c r="E2115" s="4" t="s">
        <v>4270</v>
      </c>
      <c r="F2115" s="54" t="s">
        <v>405</v>
      </c>
      <c r="G2115" s="4">
        <v>20.93</v>
      </c>
      <c r="H2115" s="4">
        <v>20.59</v>
      </c>
      <c r="I2115" s="4">
        <v>20.42</v>
      </c>
      <c r="J2115" s="4">
        <v>21.11</v>
      </c>
      <c r="X2115" s="55" t="str">
        <f t="shared" si="3"/>
        <v>#NAME?</v>
      </c>
    </row>
    <row r="2116">
      <c r="A2116" s="4" t="s">
        <v>4767</v>
      </c>
      <c r="B2116" s="4" t="s">
        <v>454</v>
      </c>
      <c r="C2116" s="4">
        <v>31.0</v>
      </c>
      <c r="D2116" s="4" t="s">
        <v>4386</v>
      </c>
      <c r="E2116" s="4" t="s">
        <v>1088</v>
      </c>
      <c r="F2116" s="54" t="s">
        <v>399</v>
      </c>
      <c r="G2116" s="4">
        <v>3.39</v>
      </c>
      <c r="H2116" s="4">
        <v>3.29</v>
      </c>
      <c r="I2116" s="4">
        <v>3.55</v>
      </c>
      <c r="J2116" s="4">
        <v>3.6</v>
      </c>
      <c r="X2116" s="55" t="str">
        <f t="shared" si="3"/>
        <v>#NAME?</v>
      </c>
    </row>
    <row r="2117">
      <c r="A2117" s="4" t="s">
        <v>4768</v>
      </c>
      <c r="B2117" s="4" t="s">
        <v>454</v>
      </c>
      <c r="C2117" s="4">
        <v>32.0</v>
      </c>
      <c r="D2117" s="4" t="s">
        <v>4769</v>
      </c>
      <c r="E2117" s="4" t="s">
        <v>1088</v>
      </c>
      <c r="F2117" s="54" t="s">
        <v>399</v>
      </c>
      <c r="G2117" s="4">
        <v>3.6</v>
      </c>
      <c r="H2117" s="4">
        <v>3.34</v>
      </c>
      <c r="I2117" s="4">
        <v>3.69</v>
      </c>
      <c r="J2117" s="4">
        <v>3.41</v>
      </c>
      <c r="X2117" s="55" t="str">
        <f t="shared" si="3"/>
        <v>#NAME?</v>
      </c>
    </row>
    <row r="2118">
      <c r="A2118" s="4" t="s">
        <v>4770</v>
      </c>
      <c r="B2118" s="4" t="s">
        <v>454</v>
      </c>
      <c r="C2118" s="4">
        <v>33.0</v>
      </c>
      <c r="D2118" s="4" t="s">
        <v>4386</v>
      </c>
      <c r="E2118" s="4" t="s">
        <v>4270</v>
      </c>
      <c r="F2118" s="54" t="s">
        <v>399</v>
      </c>
      <c r="G2118" s="4">
        <v>18.97</v>
      </c>
      <c r="H2118" s="4">
        <v>18.53</v>
      </c>
      <c r="I2118" s="4">
        <v>18.53</v>
      </c>
      <c r="J2118" s="4">
        <v>18.86</v>
      </c>
      <c r="X2118" s="55" t="str">
        <f t="shared" si="3"/>
        <v>#NAME?</v>
      </c>
    </row>
    <row r="2119">
      <c r="A2119" s="4" t="s">
        <v>4771</v>
      </c>
      <c r="B2119" s="4" t="s">
        <v>442</v>
      </c>
      <c r="C2119" s="4">
        <v>1.0</v>
      </c>
      <c r="D2119" s="4" t="s">
        <v>4392</v>
      </c>
      <c r="E2119" s="4" t="s">
        <v>4264</v>
      </c>
      <c r="F2119" s="54" t="s">
        <v>4261</v>
      </c>
      <c r="G2119" s="4">
        <v>30.34</v>
      </c>
      <c r="H2119" s="4">
        <v>30.44</v>
      </c>
      <c r="I2119" s="4">
        <v>30.22</v>
      </c>
      <c r="J2119" s="4">
        <v>30.44</v>
      </c>
      <c r="X2119" s="55" t="str">
        <f t="shared" si="3"/>
        <v>#NAME?</v>
      </c>
    </row>
    <row r="2120">
      <c r="A2120" s="4" t="s">
        <v>4772</v>
      </c>
      <c r="B2120" s="4" t="s">
        <v>442</v>
      </c>
      <c r="C2120" s="4">
        <v>2.0</v>
      </c>
      <c r="D2120" s="4" t="s">
        <v>4332</v>
      </c>
      <c r="E2120" s="4" t="s">
        <v>4264</v>
      </c>
      <c r="F2120" s="54" t="s">
        <v>4261</v>
      </c>
      <c r="G2120" s="4">
        <v>30.41</v>
      </c>
      <c r="H2120" s="4">
        <v>30.31</v>
      </c>
      <c r="I2120" s="4">
        <v>30.17</v>
      </c>
      <c r="J2120" s="4">
        <v>30.43</v>
      </c>
      <c r="X2120" s="55" t="str">
        <f t="shared" si="3"/>
        <v>#NAME?</v>
      </c>
    </row>
    <row r="2121">
      <c r="A2121" s="4" t="s">
        <v>4773</v>
      </c>
      <c r="B2121" s="4" t="s">
        <v>442</v>
      </c>
      <c r="C2121" s="4">
        <v>3.0</v>
      </c>
      <c r="D2121" s="4" t="s">
        <v>4334</v>
      </c>
      <c r="E2121" s="4" t="s">
        <v>4264</v>
      </c>
      <c r="F2121" s="54" t="s">
        <v>4261</v>
      </c>
      <c r="G2121" s="4">
        <v>39.85</v>
      </c>
      <c r="H2121" s="4">
        <v>40.0</v>
      </c>
      <c r="I2121" s="4">
        <v>39.85</v>
      </c>
      <c r="J2121" s="4">
        <v>39.91</v>
      </c>
      <c r="X2121" s="55" t="str">
        <f t="shared" si="3"/>
        <v>#NAME?</v>
      </c>
    </row>
    <row r="2122">
      <c r="A2122" s="4" t="s">
        <v>4774</v>
      </c>
      <c r="B2122" s="4" t="s">
        <v>442</v>
      </c>
      <c r="C2122" s="4">
        <v>4.0</v>
      </c>
      <c r="D2122" s="4" t="s">
        <v>4396</v>
      </c>
      <c r="E2122" s="4" t="s">
        <v>4264</v>
      </c>
      <c r="F2122" s="54" t="s">
        <v>4261</v>
      </c>
      <c r="G2122" s="4">
        <v>40.53</v>
      </c>
      <c r="H2122" s="4">
        <v>39.86</v>
      </c>
      <c r="I2122" s="4">
        <v>39.79</v>
      </c>
      <c r="J2122" s="4">
        <v>39.9</v>
      </c>
      <c r="X2122" s="55" t="str">
        <f t="shared" si="3"/>
        <v>#NAME?</v>
      </c>
    </row>
    <row r="2123">
      <c r="A2123" s="4" t="s">
        <v>4775</v>
      </c>
      <c r="B2123" s="4" t="s">
        <v>442</v>
      </c>
      <c r="C2123" s="4">
        <v>5.0</v>
      </c>
      <c r="D2123" s="4" t="s">
        <v>4496</v>
      </c>
      <c r="E2123" s="4" t="s">
        <v>4260</v>
      </c>
      <c r="F2123" s="54" t="s">
        <v>4261</v>
      </c>
      <c r="G2123" s="4">
        <v>6.22</v>
      </c>
      <c r="H2123" s="4">
        <v>6.2</v>
      </c>
      <c r="I2123" s="4">
        <v>6.18</v>
      </c>
      <c r="J2123" s="4">
        <v>6.19</v>
      </c>
      <c r="X2123" s="55" t="str">
        <f t="shared" si="3"/>
        <v>#NAME?</v>
      </c>
    </row>
    <row r="2124">
      <c r="A2124" s="4" t="s">
        <v>4776</v>
      </c>
      <c r="B2124" s="4" t="s">
        <v>442</v>
      </c>
      <c r="C2124" s="4">
        <v>6.0</v>
      </c>
      <c r="D2124" s="4" t="s">
        <v>4498</v>
      </c>
      <c r="E2124" s="4" t="s">
        <v>4260</v>
      </c>
      <c r="F2124" s="54" t="s">
        <v>4261</v>
      </c>
      <c r="G2124" s="4">
        <v>6.19</v>
      </c>
      <c r="H2124" s="4">
        <v>6.21</v>
      </c>
      <c r="I2124" s="4">
        <v>6.22</v>
      </c>
      <c r="J2124" s="4">
        <v>6.19</v>
      </c>
      <c r="X2124" s="55" t="str">
        <f t="shared" si="3"/>
        <v>#NAME?</v>
      </c>
    </row>
    <row r="2125">
      <c r="A2125" s="4" t="s">
        <v>4777</v>
      </c>
      <c r="B2125" s="4" t="s">
        <v>442</v>
      </c>
      <c r="C2125" s="4">
        <v>7.0</v>
      </c>
      <c r="D2125" s="4" t="s">
        <v>4500</v>
      </c>
      <c r="E2125" s="4" t="s">
        <v>4260</v>
      </c>
      <c r="F2125" s="54" t="s">
        <v>4261</v>
      </c>
      <c r="G2125" s="4">
        <v>6.21</v>
      </c>
      <c r="H2125" s="4">
        <v>6.2</v>
      </c>
      <c r="I2125" s="4">
        <v>6.15</v>
      </c>
      <c r="J2125" s="4">
        <v>6.2</v>
      </c>
      <c r="X2125" s="55" t="str">
        <f t="shared" si="3"/>
        <v>#NAME?</v>
      </c>
    </row>
    <row r="2126">
      <c r="A2126" s="4" t="s">
        <v>4778</v>
      </c>
      <c r="B2126" s="4" t="s">
        <v>442</v>
      </c>
      <c r="C2126" s="4">
        <v>8.0</v>
      </c>
      <c r="D2126" s="4" t="s">
        <v>4502</v>
      </c>
      <c r="E2126" s="4" t="s">
        <v>4260</v>
      </c>
      <c r="F2126" s="54" t="s">
        <v>4261</v>
      </c>
      <c r="G2126" s="4">
        <v>6.18</v>
      </c>
      <c r="H2126" s="4">
        <v>6.17</v>
      </c>
      <c r="I2126" s="4">
        <v>6.17</v>
      </c>
      <c r="J2126" s="4">
        <v>6.17</v>
      </c>
      <c r="X2126" s="55" t="str">
        <f t="shared" si="3"/>
        <v>#NAME?</v>
      </c>
    </row>
    <row r="2127">
      <c r="A2127" s="4" t="s">
        <v>4779</v>
      </c>
      <c r="B2127" s="4" t="s">
        <v>442</v>
      </c>
      <c r="C2127" s="4">
        <v>9.0</v>
      </c>
      <c r="D2127" s="4" t="s">
        <v>4338</v>
      </c>
      <c r="E2127" s="4" t="s">
        <v>1088</v>
      </c>
      <c r="F2127" s="54" t="s">
        <v>632</v>
      </c>
      <c r="G2127" s="4">
        <v>5.04</v>
      </c>
      <c r="H2127" s="4">
        <v>5.04</v>
      </c>
      <c r="I2127" s="4">
        <v>5.1</v>
      </c>
      <c r="J2127" s="4">
        <v>5.79</v>
      </c>
      <c r="X2127" s="55" t="str">
        <f t="shared" si="3"/>
        <v>#NAME?</v>
      </c>
    </row>
    <row r="2128">
      <c r="A2128" s="4" t="s">
        <v>4780</v>
      </c>
      <c r="B2128" s="4" t="s">
        <v>442</v>
      </c>
      <c r="C2128" s="4">
        <v>10.0</v>
      </c>
      <c r="D2128" s="4" t="s">
        <v>4340</v>
      </c>
      <c r="E2128" s="4" t="s">
        <v>1088</v>
      </c>
      <c r="F2128" s="54" t="s">
        <v>632</v>
      </c>
      <c r="G2128" s="4">
        <v>5.76</v>
      </c>
      <c r="H2128" s="4">
        <v>5.1</v>
      </c>
      <c r="I2128" s="4">
        <v>4.92</v>
      </c>
      <c r="J2128" s="4">
        <v>5.1</v>
      </c>
      <c r="X2128" s="55" t="str">
        <f t="shared" si="3"/>
        <v>#NAME?</v>
      </c>
    </row>
    <row r="2129">
      <c r="A2129" s="4" t="s">
        <v>4781</v>
      </c>
      <c r="B2129" s="4" t="s">
        <v>442</v>
      </c>
      <c r="C2129" s="4">
        <v>11.0</v>
      </c>
      <c r="D2129" s="4" t="s">
        <v>4338</v>
      </c>
      <c r="E2129" s="4" t="s">
        <v>4270</v>
      </c>
      <c r="F2129" s="54" t="s">
        <v>632</v>
      </c>
      <c r="G2129" s="4">
        <v>19.88</v>
      </c>
      <c r="H2129" s="4">
        <v>19.83</v>
      </c>
      <c r="I2129" s="4">
        <v>19.79</v>
      </c>
      <c r="J2129" s="4">
        <v>20.33</v>
      </c>
      <c r="X2129" s="55" t="str">
        <f t="shared" si="3"/>
        <v>#NAME?</v>
      </c>
    </row>
    <row r="2130">
      <c r="A2130" s="4" t="s">
        <v>4782</v>
      </c>
      <c r="B2130" s="4" t="s">
        <v>442</v>
      </c>
      <c r="C2130" s="4">
        <v>12.0</v>
      </c>
      <c r="D2130" s="4" t="s">
        <v>4344</v>
      </c>
      <c r="E2130" s="4" t="s">
        <v>1088</v>
      </c>
      <c r="F2130" s="54" t="s">
        <v>357</v>
      </c>
      <c r="G2130" s="4">
        <v>3.83</v>
      </c>
      <c r="H2130" s="4">
        <v>4.33</v>
      </c>
      <c r="I2130" s="4">
        <v>3.95</v>
      </c>
      <c r="J2130" s="4">
        <v>4.0</v>
      </c>
      <c r="X2130" s="55" t="str">
        <f t="shared" si="3"/>
        <v>#NAME?</v>
      </c>
    </row>
    <row r="2131">
      <c r="A2131" s="4" t="s">
        <v>4783</v>
      </c>
      <c r="B2131" s="4" t="s">
        <v>442</v>
      </c>
      <c r="C2131" s="4">
        <v>13.0</v>
      </c>
      <c r="D2131" s="4" t="s">
        <v>4346</v>
      </c>
      <c r="E2131" s="4" t="s">
        <v>1088</v>
      </c>
      <c r="F2131" s="54" t="s">
        <v>357</v>
      </c>
      <c r="G2131" s="4">
        <v>4.04</v>
      </c>
      <c r="H2131" s="4">
        <v>3.94</v>
      </c>
      <c r="I2131" s="4">
        <v>4.01</v>
      </c>
      <c r="J2131" s="4">
        <v>4.37</v>
      </c>
      <c r="X2131" s="55" t="str">
        <f t="shared" si="3"/>
        <v>#NAME?</v>
      </c>
    </row>
    <row r="2132">
      <c r="A2132" s="4" t="s">
        <v>4784</v>
      </c>
      <c r="B2132" s="4" t="s">
        <v>442</v>
      </c>
      <c r="C2132" s="4">
        <v>14.0</v>
      </c>
      <c r="D2132" s="4" t="s">
        <v>4344</v>
      </c>
      <c r="E2132" s="4" t="s">
        <v>4270</v>
      </c>
      <c r="F2132" s="54" t="s">
        <v>357</v>
      </c>
      <c r="G2132" s="4">
        <v>22.55</v>
      </c>
      <c r="H2132" s="4">
        <v>22.58</v>
      </c>
      <c r="I2132" s="4">
        <v>22.54</v>
      </c>
      <c r="J2132" s="4">
        <v>22.6</v>
      </c>
      <c r="X2132" s="55" t="str">
        <f t="shared" si="3"/>
        <v>#NAME?</v>
      </c>
    </row>
    <row r="2133">
      <c r="A2133" s="4" t="s">
        <v>4785</v>
      </c>
      <c r="B2133" s="4" t="s">
        <v>442</v>
      </c>
      <c r="C2133" s="4">
        <v>15.0</v>
      </c>
      <c r="D2133" s="4" t="s">
        <v>4349</v>
      </c>
      <c r="E2133" s="4" t="s">
        <v>1088</v>
      </c>
      <c r="F2133" s="54" t="s">
        <v>632</v>
      </c>
      <c r="G2133" s="4">
        <v>4.98</v>
      </c>
      <c r="H2133" s="4">
        <v>5.31</v>
      </c>
      <c r="I2133" s="4">
        <v>5.0</v>
      </c>
      <c r="J2133" s="4">
        <v>4.98</v>
      </c>
      <c r="X2133" s="55" t="str">
        <f t="shared" si="3"/>
        <v>#NAME?</v>
      </c>
    </row>
    <row r="2134">
      <c r="A2134" s="4" t="s">
        <v>4786</v>
      </c>
      <c r="B2134" s="4" t="s">
        <v>442</v>
      </c>
      <c r="C2134" s="4">
        <v>16.0</v>
      </c>
      <c r="D2134" s="4" t="s">
        <v>4351</v>
      </c>
      <c r="E2134" s="4" t="s">
        <v>1088</v>
      </c>
      <c r="F2134" s="54" t="s">
        <v>632</v>
      </c>
      <c r="G2134" s="4">
        <v>5.03</v>
      </c>
      <c r="H2134" s="4">
        <v>5.04</v>
      </c>
      <c r="I2134" s="4">
        <v>4.93</v>
      </c>
      <c r="J2134" s="4">
        <v>4.98</v>
      </c>
      <c r="X2134" s="55" t="str">
        <f t="shared" si="3"/>
        <v>#NAME?</v>
      </c>
    </row>
    <row r="2135">
      <c r="A2135" s="4" t="s">
        <v>4787</v>
      </c>
      <c r="B2135" s="4" t="s">
        <v>442</v>
      </c>
      <c r="C2135" s="4">
        <v>17.0</v>
      </c>
      <c r="D2135" s="4" t="s">
        <v>4349</v>
      </c>
      <c r="E2135" s="4" t="s">
        <v>4270</v>
      </c>
      <c r="F2135" s="54" t="s">
        <v>632</v>
      </c>
      <c r="G2135" s="4">
        <v>19.56</v>
      </c>
      <c r="H2135" s="4">
        <v>19.59</v>
      </c>
      <c r="I2135" s="4">
        <v>19.61</v>
      </c>
      <c r="J2135" s="4">
        <v>19.54</v>
      </c>
      <c r="X2135" s="55" t="str">
        <f t="shared" si="3"/>
        <v>#NAME?</v>
      </c>
    </row>
    <row r="2136">
      <c r="A2136" s="4" t="s">
        <v>4788</v>
      </c>
      <c r="B2136" s="4" t="s">
        <v>442</v>
      </c>
      <c r="C2136" s="4">
        <v>18.0</v>
      </c>
      <c r="D2136" s="4" t="s">
        <v>4361</v>
      </c>
      <c r="E2136" s="4" t="s">
        <v>1088</v>
      </c>
      <c r="F2136" s="54" t="s">
        <v>405</v>
      </c>
      <c r="G2136" s="4">
        <v>3.89</v>
      </c>
      <c r="H2136" s="4">
        <v>4.14</v>
      </c>
      <c r="I2136" s="4">
        <v>3.85</v>
      </c>
      <c r="J2136" s="4">
        <v>3.8</v>
      </c>
      <c r="X2136" s="55" t="str">
        <f t="shared" si="3"/>
        <v>#NAME?</v>
      </c>
    </row>
    <row r="2137">
      <c r="A2137" s="4" t="s">
        <v>4789</v>
      </c>
      <c r="B2137" s="4" t="s">
        <v>442</v>
      </c>
      <c r="C2137" s="4">
        <v>19.0</v>
      </c>
      <c r="D2137" s="4" t="s">
        <v>4363</v>
      </c>
      <c r="E2137" s="4" t="s">
        <v>1088</v>
      </c>
      <c r="F2137" s="54" t="s">
        <v>405</v>
      </c>
      <c r="G2137" s="4">
        <v>3.76</v>
      </c>
      <c r="H2137" s="4">
        <v>4.22</v>
      </c>
      <c r="I2137" s="4">
        <v>3.84</v>
      </c>
      <c r="J2137" s="4">
        <v>3.85</v>
      </c>
      <c r="X2137" s="55" t="str">
        <f t="shared" si="3"/>
        <v>#NAME?</v>
      </c>
    </row>
    <row r="2138">
      <c r="A2138" s="4" t="s">
        <v>4790</v>
      </c>
      <c r="B2138" s="4" t="s">
        <v>442</v>
      </c>
      <c r="C2138" s="4">
        <v>20.0</v>
      </c>
      <c r="D2138" s="4" t="s">
        <v>4361</v>
      </c>
      <c r="E2138" s="4" t="s">
        <v>4270</v>
      </c>
      <c r="F2138" s="54" t="s">
        <v>405</v>
      </c>
      <c r="G2138" s="4">
        <v>21.03</v>
      </c>
      <c r="H2138" s="4">
        <v>20.95</v>
      </c>
      <c r="I2138" s="4">
        <v>21.12</v>
      </c>
      <c r="J2138" s="4">
        <v>20.61</v>
      </c>
      <c r="X2138" s="55" t="str">
        <f t="shared" si="3"/>
        <v>#NAME?</v>
      </c>
    </row>
    <row r="2139">
      <c r="A2139" s="4" t="s">
        <v>4791</v>
      </c>
      <c r="B2139" s="4" t="s">
        <v>442</v>
      </c>
      <c r="C2139" s="4">
        <v>21.0</v>
      </c>
      <c r="D2139" s="4" t="s">
        <v>4367</v>
      </c>
      <c r="E2139" s="4" t="s">
        <v>1088</v>
      </c>
      <c r="F2139" s="54" t="s">
        <v>632</v>
      </c>
      <c r="G2139" s="4">
        <v>5.02</v>
      </c>
      <c r="H2139" s="4">
        <v>5.02</v>
      </c>
      <c r="I2139" s="4">
        <v>5.0</v>
      </c>
      <c r="J2139" s="4">
        <v>4.97</v>
      </c>
      <c r="X2139" s="55" t="str">
        <f t="shared" si="3"/>
        <v>#NAME?</v>
      </c>
    </row>
    <row r="2140">
      <c r="A2140" s="4" t="s">
        <v>4792</v>
      </c>
      <c r="B2140" s="4" t="s">
        <v>442</v>
      </c>
      <c r="C2140" s="4">
        <v>22.0</v>
      </c>
      <c r="D2140" s="4" t="s">
        <v>4369</v>
      </c>
      <c r="E2140" s="4" t="s">
        <v>1088</v>
      </c>
      <c r="F2140" s="54" t="s">
        <v>632</v>
      </c>
      <c r="G2140" s="4">
        <v>4.99</v>
      </c>
      <c r="H2140" s="4">
        <v>4.99</v>
      </c>
      <c r="I2140" s="4">
        <v>5.0</v>
      </c>
      <c r="J2140" s="4">
        <v>5.03</v>
      </c>
      <c r="X2140" s="55" t="str">
        <f t="shared" si="3"/>
        <v>#NAME?</v>
      </c>
    </row>
    <row r="2141">
      <c r="A2141" s="4" t="s">
        <v>4793</v>
      </c>
      <c r="B2141" s="4" t="s">
        <v>442</v>
      </c>
      <c r="C2141" s="4">
        <v>23.0</v>
      </c>
      <c r="D2141" s="4" t="s">
        <v>4367</v>
      </c>
      <c r="E2141" s="4" t="s">
        <v>4270</v>
      </c>
      <c r="F2141" s="54" t="s">
        <v>632</v>
      </c>
      <c r="G2141" s="4">
        <v>19.62</v>
      </c>
      <c r="H2141" s="4">
        <v>19.62</v>
      </c>
      <c r="I2141" s="4">
        <v>19.55</v>
      </c>
      <c r="J2141" s="4">
        <v>19.62</v>
      </c>
      <c r="X2141" s="55" t="str">
        <f t="shared" si="3"/>
        <v>#NAME?</v>
      </c>
    </row>
    <row r="2142">
      <c r="A2142" s="4" t="s">
        <v>4794</v>
      </c>
      <c r="B2142" s="4" t="s">
        <v>442</v>
      </c>
      <c r="C2142" s="4">
        <v>24.0</v>
      </c>
      <c r="D2142" s="4" t="s">
        <v>4355</v>
      </c>
      <c r="E2142" s="4" t="s">
        <v>1088</v>
      </c>
      <c r="F2142" s="54" t="s">
        <v>632</v>
      </c>
      <c r="G2142" s="4">
        <v>4.93</v>
      </c>
      <c r="H2142" s="4">
        <v>4.93</v>
      </c>
      <c r="I2142" s="4">
        <v>4.97</v>
      </c>
      <c r="J2142" s="4">
        <v>5.64</v>
      </c>
      <c r="X2142" s="55" t="str">
        <f t="shared" si="3"/>
        <v>#NAME?</v>
      </c>
    </row>
    <row r="2143">
      <c r="A2143" s="4" t="s">
        <v>4795</v>
      </c>
      <c r="B2143" s="4" t="s">
        <v>442</v>
      </c>
      <c r="C2143" s="4">
        <v>25.0</v>
      </c>
      <c r="D2143" s="4" t="s">
        <v>4357</v>
      </c>
      <c r="E2143" s="4" t="s">
        <v>1088</v>
      </c>
      <c r="F2143" s="54" t="s">
        <v>632</v>
      </c>
      <c r="G2143" s="4">
        <v>4.96</v>
      </c>
      <c r="H2143" s="4">
        <v>4.99</v>
      </c>
      <c r="I2143" s="4">
        <v>4.96</v>
      </c>
      <c r="J2143" s="4">
        <v>5.63</v>
      </c>
      <c r="X2143" s="55" t="str">
        <f t="shared" si="3"/>
        <v>#NAME?</v>
      </c>
    </row>
    <row r="2144">
      <c r="A2144" s="4" t="s">
        <v>4796</v>
      </c>
      <c r="B2144" s="4" t="s">
        <v>442</v>
      </c>
      <c r="C2144" s="4">
        <v>26.0</v>
      </c>
      <c r="D2144" s="4" t="s">
        <v>4355</v>
      </c>
      <c r="E2144" s="4" t="s">
        <v>4270</v>
      </c>
      <c r="F2144" s="54" t="s">
        <v>632</v>
      </c>
      <c r="G2144" s="4">
        <v>19.56</v>
      </c>
      <c r="H2144" s="4">
        <v>19.5</v>
      </c>
      <c r="I2144" s="4">
        <v>19.53</v>
      </c>
      <c r="J2144" s="4">
        <v>19.55</v>
      </c>
      <c r="X2144" s="55" t="str">
        <f t="shared" si="3"/>
        <v>#NAME?</v>
      </c>
    </row>
    <row r="2145">
      <c r="A2145" s="4" t="s">
        <v>4797</v>
      </c>
      <c r="B2145" s="4" t="s">
        <v>442</v>
      </c>
      <c r="C2145" s="4">
        <v>27.0</v>
      </c>
      <c r="D2145" s="4" t="s">
        <v>4373</v>
      </c>
      <c r="E2145" s="4" t="s">
        <v>1088</v>
      </c>
      <c r="F2145" s="54" t="s">
        <v>405</v>
      </c>
      <c r="G2145" s="4">
        <v>3.81</v>
      </c>
      <c r="H2145" s="4">
        <v>3.85</v>
      </c>
      <c r="I2145" s="4">
        <v>4.18</v>
      </c>
      <c r="J2145" s="4">
        <v>3.98</v>
      </c>
      <c r="X2145" s="55" t="str">
        <f t="shared" si="3"/>
        <v>#NAME?</v>
      </c>
    </row>
    <row r="2146">
      <c r="A2146" s="4" t="s">
        <v>4798</v>
      </c>
      <c r="B2146" s="4" t="s">
        <v>442</v>
      </c>
      <c r="C2146" s="4">
        <v>28.0</v>
      </c>
      <c r="D2146" s="4" t="s">
        <v>4375</v>
      </c>
      <c r="E2146" s="4" t="s">
        <v>1088</v>
      </c>
      <c r="F2146" s="54" t="s">
        <v>405</v>
      </c>
      <c r="G2146" s="4">
        <v>4.22</v>
      </c>
      <c r="H2146" s="4">
        <v>3.9</v>
      </c>
      <c r="I2146" s="4">
        <v>3.81</v>
      </c>
      <c r="J2146" s="4">
        <v>4.19</v>
      </c>
      <c r="X2146" s="55" t="str">
        <f t="shared" si="3"/>
        <v>#NAME?</v>
      </c>
    </row>
    <row r="2147">
      <c r="A2147" s="4" t="s">
        <v>4799</v>
      </c>
      <c r="B2147" s="4" t="s">
        <v>442</v>
      </c>
      <c r="C2147" s="4">
        <v>29.0</v>
      </c>
      <c r="D2147" s="4" t="s">
        <v>4373</v>
      </c>
      <c r="E2147" s="4" t="s">
        <v>4270</v>
      </c>
      <c r="F2147" s="54" t="s">
        <v>405</v>
      </c>
      <c r="G2147" s="4">
        <v>21.09</v>
      </c>
      <c r="H2147" s="4">
        <v>20.93</v>
      </c>
      <c r="I2147" s="4">
        <v>20.64</v>
      </c>
      <c r="J2147" s="4">
        <v>20.64</v>
      </c>
      <c r="X2147" s="55" t="str">
        <f t="shared" si="3"/>
        <v>#NAME?</v>
      </c>
    </row>
    <row r="2148">
      <c r="A2148" s="4" t="s">
        <v>4800</v>
      </c>
      <c r="B2148" s="4" t="s">
        <v>442</v>
      </c>
      <c r="C2148" s="4">
        <v>30.0</v>
      </c>
      <c r="D2148" s="4" t="s">
        <v>4378</v>
      </c>
      <c r="E2148" s="4" t="s">
        <v>1088</v>
      </c>
      <c r="F2148" s="54" t="s">
        <v>534</v>
      </c>
      <c r="G2148" s="4">
        <v>3.99</v>
      </c>
      <c r="H2148" s="4">
        <v>3.91</v>
      </c>
      <c r="I2148" s="4">
        <v>4.04</v>
      </c>
      <c r="J2148" s="4">
        <v>4.09</v>
      </c>
      <c r="X2148" s="55" t="str">
        <f t="shared" si="3"/>
        <v>#NAME?</v>
      </c>
    </row>
    <row r="2149">
      <c r="A2149" s="4" t="s">
        <v>4801</v>
      </c>
      <c r="B2149" s="4" t="s">
        <v>442</v>
      </c>
      <c r="C2149" s="4">
        <v>31.0</v>
      </c>
      <c r="D2149" s="4" t="s">
        <v>4539</v>
      </c>
      <c r="E2149" s="4" t="s">
        <v>1088</v>
      </c>
      <c r="F2149" s="54" t="s">
        <v>534</v>
      </c>
      <c r="G2149" s="4">
        <v>4.1</v>
      </c>
      <c r="H2149" s="4">
        <v>3.89</v>
      </c>
      <c r="I2149" s="4">
        <v>3.95</v>
      </c>
      <c r="J2149" s="4">
        <v>4.05</v>
      </c>
      <c r="X2149" s="55" t="str">
        <f t="shared" si="3"/>
        <v>#NAME?</v>
      </c>
    </row>
    <row r="2150">
      <c r="A2150" s="4" t="s">
        <v>4802</v>
      </c>
      <c r="B2150" s="4" t="s">
        <v>442</v>
      </c>
      <c r="C2150" s="4">
        <v>32.0</v>
      </c>
      <c r="D2150" s="4" t="s">
        <v>4378</v>
      </c>
      <c r="E2150" s="4" t="s">
        <v>4270</v>
      </c>
      <c r="F2150" s="54" t="s">
        <v>534</v>
      </c>
      <c r="G2150" s="4">
        <v>16.03</v>
      </c>
      <c r="H2150" s="4">
        <v>16.0</v>
      </c>
      <c r="I2150" s="4">
        <v>16.1</v>
      </c>
      <c r="J2150" s="4">
        <v>15.97</v>
      </c>
      <c r="X2150" s="55" t="str">
        <f t="shared" si="3"/>
        <v>#NAME?</v>
      </c>
    </row>
    <row r="2151">
      <c r="A2151" s="4" t="s">
        <v>4803</v>
      </c>
      <c r="B2151" s="4" t="s">
        <v>442</v>
      </c>
      <c r="C2151" s="4">
        <v>33.0</v>
      </c>
      <c r="D2151" s="4" t="s">
        <v>4382</v>
      </c>
      <c r="E2151" s="4" t="s">
        <v>1088</v>
      </c>
      <c r="F2151" s="54" t="s">
        <v>534</v>
      </c>
      <c r="G2151" s="4">
        <v>3.95</v>
      </c>
      <c r="H2151" s="4">
        <v>4.02</v>
      </c>
      <c r="I2151" s="4">
        <v>4.13</v>
      </c>
      <c r="J2151" s="4">
        <v>3.95</v>
      </c>
      <c r="X2151" s="55" t="str">
        <f t="shared" si="3"/>
        <v>#NAME?</v>
      </c>
    </row>
    <row r="2152">
      <c r="A2152" s="4" t="s">
        <v>4804</v>
      </c>
      <c r="B2152" s="4" t="s">
        <v>442</v>
      </c>
      <c r="C2152" s="4">
        <v>34.0</v>
      </c>
      <c r="D2152" s="4" t="s">
        <v>4480</v>
      </c>
      <c r="E2152" s="4" t="s">
        <v>1088</v>
      </c>
      <c r="F2152" s="54" t="s">
        <v>534</v>
      </c>
      <c r="G2152" s="4">
        <v>4.01</v>
      </c>
      <c r="H2152" s="4">
        <v>4.01</v>
      </c>
      <c r="I2152" s="4">
        <v>3.97</v>
      </c>
      <c r="J2152" s="4">
        <v>4.09</v>
      </c>
      <c r="X2152" s="55" t="str">
        <f t="shared" si="3"/>
        <v>#NAME?</v>
      </c>
    </row>
    <row r="2153">
      <c r="A2153" s="4" t="s">
        <v>4805</v>
      </c>
      <c r="B2153" s="4" t="s">
        <v>442</v>
      </c>
      <c r="C2153" s="4">
        <v>35.0</v>
      </c>
      <c r="D2153" s="4" t="s">
        <v>4382</v>
      </c>
      <c r="E2153" s="4" t="s">
        <v>4270</v>
      </c>
      <c r="F2153" s="54" t="s">
        <v>534</v>
      </c>
      <c r="G2153" s="4">
        <v>16.16</v>
      </c>
      <c r="H2153" s="4">
        <v>16.13</v>
      </c>
      <c r="I2153" s="4">
        <v>16.15</v>
      </c>
      <c r="J2153" s="4">
        <v>16.2</v>
      </c>
      <c r="X2153" s="55" t="str">
        <f t="shared" si="3"/>
        <v>#NAME?</v>
      </c>
    </row>
    <row r="2154">
      <c r="A2154" s="4" t="s">
        <v>4806</v>
      </c>
      <c r="B2154" s="4" t="s">
        <v>442</v>
      </c>
      <c r="C2154" s="4">
        <v>36.0</v>
      </c>
      <c r="D2154" s="4" t="s">
        <v>4386</v>
      </c>
      <c r="E2154" s="4" t="s">
        <v>1088</v>
      </c>
      <c r="F2154" s="54" t="s">
        <v>399</v>
      </c>
      <c r="G2154" s="4">
        <v>3.42</v>
      </c>
      <c r="H2154" s="4">
        <v>3.61</v>
      </c>
      <c r="I2154" s="4">
        <v>3.59</v>
      </c>
      <c r="J2154" s="4">
        <v>3.46</v>
      </c>
      <c r="X2154" s="55" t="str">
        <f t="shared" si="3"/>
        <v>#NAME?</v>
      </c>
    </row>
    <row r="2155">
      <c r="A2155" s="4" t="s">
        <v>4807</v>
      </c>
      <c r="B2155" s="4" t="s">
        <v>442</v>
      </c>
      <c r="C2155" s="4">
        <v>37.0</v>
      </c>
      <c r="D2155" s="4" t="s">
        <v>4386</v>
      </c>
      <c r="E2155" s="4" t="s">
        <v>4270</v>
      </c>
      <c r="F2155" s="54" t="s">
        <v>399</v>
      </c>
      <c r="G2155" s="4">
        <v>18.5</v>
      </c>
      <c r="H2155" s="4">
        <v>18.51</v>
      </c>
      <c r="I2155" s="4">
        <v>18.48</v>
      </c>
      <c r="J2155" s="4">
        <v>18.43</v>
      </c>
      <c r="X2155" s="55" t="str">
        <f t="shared" si="3"/>
        <v>#NAME?</v>
      </c>
    </row>
    <row r="2156">
      <c r="A2156" s="4" t="s">
        <v>4808</v>
      </c>
      <c r="B2156" s="4" t="s">
        <v>442</v>
      </c>
      <c r="C2156" s="4">
        <v>38.0</v>
      </c>
      <c r="D2156" s="4" t="s">
        <v>4405</v>
      </c>
      <c r="E2156" s="4" t="s">
        <v>1088</v>
      </c>
      <c r="F2156" s="54" t="s">
        <v>287</v>
      </c>
      <c r="G2156" s="4">
        <v>11.94</v>
      </c>
      <c r="H2156" s="4">
        <v>12.02</v>
      </c>
      <c r="I2156" s="4">
        <v>11.99</v>
      </c>
      <c r="J2156" s="4">
        <v>12.0</v>
      </c>
      <c r="X2156" s="55" t="str">
        <f t="shared" si="3"/>
        <v>#NAME?</v>
      </c>
    </row>
    <row r="2157">
      <c r="A2157" s="4" t="s">
        <v>4809</v>
      </c>
      <c r="B2157" s="4" t="s">
        <v>442</v>
      </c>
      <c r="C2157" s="4">
        <v>39.0</v>
      </c>
      <c r="D2157" s="4" t="s">
        <v>4407</v>
      </c>
      <c r="E2157" s="4" t="s">
        <v>1088</v>
      </c>
      <c r="F2157" s="54" t="s">
        <v>287</v>
      </c>
      <c r="G2157" s="4">
        <v>11.94</v>
      </c>
      <c r="H2157" s="4">
        <v>11.96</v>
      </c>
      <c r="I2157" s="4">
        <v>11.98</v>
      </c>
      <c r="J2157" s="4">
        <v>12.01</v>
      </c>
      <c r="X2157" s="55" t="str">
        <f t="shared" si="3"/>
        <v>#NAME?</v>
      </c>
    </row>
    <row r="2158">
      <c r="A2158" s="4" t="s">
        <v>4810</v>
      </c>
      <c r="B2158" s="4" t="s">
        <v>442</v>
      </c>
      <c r="C2158" s="4">
        <v>40.0</v>
      </c>
      <c r="D2158" s="4" t="s">
        <v>4405</v>
      </c>
      <c r="E2158" s="4" t="s">
        <v>4270</v>
      </c>
      <c r="F2158" s="54" t="s">
        <v>287</v>
      </c>
      <c r="G2158" s="4">
        <v>31.04</v>
      </c>
      <c r="H2158" s="4">
        <v>30.97</v>
      </c>
      <c r="I2158" s="4">
        <v>30.98</v>
      </c>
      <c r="J2158" s="4">
        <v>30.97</v>
      </c>
      <c r="X2158" s="55" t="str">
        <f t="shared" si="3"/>
        <v>#NAME?</v>
      </c>
    </row>
    <row r="2159">
      <c r="A2159" s="4" t="s">
        <v>4811</v>
      </c>
      <c r="B2159" s="4" t="s">
        <v>442</v>
      </c>
      <c r="C2159" s="4">
        <v>41.0</v>
      </c>
      <c r="D2159" s="4" t="s">
        <v>4405</v>
      </c>
      <c r="E2159" s="4" t="s">
        <v>3816</v>
      </c>
      <c r="F2159" s="54" t="s">
        <v>287</v>
      </c>
      <c r="G2159" s="4">
        <v>32.5</v>
      </c>
      <c r="H2159" s="4">
        <v>32.93</v>
      </c>
      <c r="I2159" s="4">
        <v>33.41</v>
      </c>
      <c r="J2159" s="4">
        <v>32.92</v>
      </c>
      <c r="X2159" s="55" t="str">
        <f t="shared" si="3"/>
        <v>#NAME?</v>
      </c>
    </row>
    <row r="2160">
      <c r="A2160" s="4" t="s">
        <v>4812</v>
      </c>
      <c r="B2160" s="4" t="s">
        <v>442</v>
      </c>
      <c r="C2160" s="4">
        <v>42.0</v>
      </c>
      <c r="D2160" s="4" t="s">
        <v>4389</v>
      </c>
      <c r="E2160" s="4" t="s">
        <v>1088</v>
      </c>
      <c r="F2160" s="54" t="s">
        <v>449</v>
      </c>
      <c r="G2160" s="4">
        <v>3.9</v>
      </c>
      <c r="H2160" s="4">
        <v>3.92</v>
      </c>
      <c r="I2160" s="4">
        <v>3.94</v>
      </c>
      <c r="J2160" s="4">
        <v>3.93</v>
      </c>
      <c r="X2160" s="55" t="str">
        <f t="shared" si="3"/>
        <v>#NAME?</v>
      </c>
    </row>
    <row r="2161">
      <c r="A2161" s="4" t="s">
        <v>4813</v>
      </c>
      <c r="B2161" s="4" t="s">
        <v>442</v>
      </c>
      <c r="C2161" s="4">
        <v>43.0</v>
      </c>
      <c r="D2161" s="4" t="s">
        <v>4389</v>
      </c>
      <c r="E2161" s="4" t="s">
        <v>4270</v>
      </c>
      <c r="F2161" s="54" t="s">
        <v>449</v>
      </c>
      <c r="G2161" s="4">
        <v>20.39</v>
      </c>
      <c r="H2161" s="4">
        <v>20.3</v>
      </c>
      <c r="I2161" s="4">
        <v>20.3</v>
      </c>
      <c r="J2161" s="4">
        <v>20.38</v>
      </c>
      <c r="X2161" s="55" t="str">
        <f t="shared" si="3"/>
        <v>#NAME?</v>
      </c>
    </row>
    <row r="2162">
      <c r="A2162" s="4" t="s">
        <v>4814</v>
      </c>
      <c r="B2162" s="4" t="s">
        <v>442</v>
      </c>
      <c r="C2162" s="4">
        <v>44.0</v>
      </c>
      <c r="D2162" s="4" t="s">
        <v>4423</v>
      </c>
      <c r="E2162" s="4" t="s">
        <v>1088</v>
      </c>
      <c r="F2162" s="54" t="s">
        <v>357</v>
      </c>
      <c r="G2162" s="4">
        <v>3.75</v>
      </c>
      <c r="H2162" s="4">
        <v>3.79</v>
      </c>
      <c r="I2162" s="4">
        <v>3.82</v>
      </c>
      <c r="J2162" s="4">
        <v>4.47</v>
      </c>
      <c r="X2162" s="55" t="str">
        <f t="shared" si="3"/>
        <v>#NAME?</v>
      </c>
    </row>
    <row r="2163">
      <c r="A2163" s="4" t="s">
        <v>4815</v>
      </c>
      <c r="B2163" s="4" t="s">
        <v>442</v>
      </c>
      <c r="C2163" s="4">
        <v>45.0</v>
      </c>
      <c r="D2163" s="4" t="s">
        <v>4627</v>
      </c>
      <c r="E2163" s="4" t="s">
        <v>1088</v>
      </c>
      <c r="F2163" s="54" t="s">
        <v>357</v>
      </c>
      <c r="G2163" s="4">
        <v>3.86</v>
      </c>
      <c r="H2163" s="4">
        <v>3.74</v>
      </c>
      <c r="I2163" s="4">
        <v>3.78</v>
      </c>
      <c r="J2163" s="4">
        <v>3.82</v>
      </c>
      <c r="X2163" s="55" t="str">
        <f t="shared" si="3"/>
        <v>#NAME?</v>
      </c>
    </row>
    <row r="2164">
      <c r="A2164" s="4" t="s">
        <v>4816</v>
      </c>
      <c r="B2164" s="4" t="s">
        <v>442</v>
      </c>
      <c r="C2164" s="4">
        <v>46.0</v>
      </c>
      <c r="D2164" s="4" t="s">
        <v>4423</v>
      </c>
      <c r="E2164" s="4" t="s">
        <v>4270</v>
      </c>
      <c r="F2164" s="54" t="s">
        <v>357</v>
      </c>
      <c r="G2164" s="4">
        <v>23.09</v>
      </c>
      <c r="H2164" s="4">
        <v>23.22</v>
      </c>
      <c r="I2164" s="4">
        <v>23.06</v>
      </c>
      <c r="J2164" s="4">
        <v>22.8</v>
      </c>
      <c r="X2164" s="55" t="str">
        <f t="shared" si="3"/>
        <v>#NAME?</v>
      </c>
    </row>
    <row r="2165">
      <c r="A2165" s="4" t="s">
        <v>4817</v>
      </c>
      <c r="B2165" s="4" t="s">
        <v>390</v>
      </c>
      <c r="C2165" s="4">
        <v>1.0</v>
      </c>
      <c r="D2165" s="4" t="s">
        <v>4338</v>
      </c>
      <c r="E2165" s="4" t="s">
        <v>1088</v>
      </c>
      <c r="F2165" s="54" t="s">
        <v>632</v>
      </c>
      <c r="G2165" s="4">
        <v>5.04</v>
      </c>
      <c r="H2165" s="4">
        <v>5.04</v>
      </c>
      <c r="I2165" s="4">
        <v>5.1</v>
      </c>
      <c r="J2165" s="4">
        <v>5.79</v>
      </c>
      <c r="X2165" s="55" t="str">
        <f t="shared" si="3"/>
        <v>#NAME?</v>
      </c>
    </row>
    <row r="2166">
      <c r="A2166" s="4" t="s">
        <v>4818</v>
      </c>
      <c r="B2166" s="4" t="s">
        <v>390</v>
      </c>
      <c r="C2166" s="4">
        <v>2.0</v>
      </c>
      <c r="D2166" s="4" t="s">
        <v>4340</v>
      </c>
      <c r="E2166" s="4" t="s">
        <v>1088</v>
      </c>
      <c r="F2166" s="54" t="s">
        <v>632</v>
      </c>
      <c r="G2166" s="4">
        <v>5.76</v>
      </c>
      <c r="H2166" s="4">
        <v>5.1</v>
      </c>
      <c r="I2166" s="4">
        <v>4.92</v>
      </c>
      <c r="J2166" s="4">
        <v>5.1</v>
      </c>
      <c r="X2166" s="55" t="str">
        <f t="shared" si="3"/>
        <v>#NAME?</v>
      </c>
    </row>
    <row r="2167">
      <c r="A2167" s="4" t="s">
        <v>4819</v>
      </c>
      <c r="B2167" s="4" t="s">
        <v>390</v>
      </c>
      <c r="C2167" s="4">
        <v>3.0</v>
      </c>
      <c r="D2167" s="4" t="s">
        <v>4338</v>
      </c>
      <c r="E2167" s="4" t="s">
        <v>4270</v>
      </c>
      <c r="F2167" s="54" t="s">
        <v>632</v>
      </c>
      <c r="G2167" s="4">
        <v>19.88</v>
      </c>
      <c r="H2167" s="4">
        <v>19.83</v>
      </c>
      <c r="I2167" s="4">
        <v>19.79</v>
      </c>
      <c r="J2167" s="4">
        <v>20.33</v>
      </c>
      <c r="X2167" s="55" t="str">
        <f t="shared" si="3"/>
        <v>#NAME?</v>
      </c>
    </row>
    <row r="2168">
      <c r="A2168" s="4" t="s">
        <v>4820</v>
      </c>
      <c r="B2168" s="4" t="s">
        <v>390</v>
      </c>
      <c r="C2168" s="4">
        <v>4.0</v>
      </c>
      <c r="D2168" s="4" t="s">
        <v>4344</v>
      </c>
      <c r="E2168" s="4" t="s">
        <v>1088</v>
      </c>
      <c r="F2168" s="54" t="s">
        <v>357</v>
      </c>
      <c r="G2168" s="4">
        <v>3.83</v>
      </c>
      <c r="H2168" s="4">
        <v>4.33</v>
      </c>
      <c r="I2168" s="4">
        <v>3.95</v>
      </c>
      <c r="J2168" s="4">
        <v>4.0</v>
      </c>
      <c r="X2168" s="55" t="str">
        <f t="shared" si="3"/>
        <v>#NAME?</v>
      </c>
    </row>
    <row r="2169">
      <c r="A2169" s="4" t="s">
        <v>4821</v>
      </c>
      <c r="B2169" s="4" t="s">
        <v>390</v>
      </c>
      <c r="C2169" s="4">
        <v>5.0</v>
      </c>
      <c r="D2169" s="4" t="s">
        <v>4346</v>
      </c>
      <c r="E2169" s="4" t="s">
        <v>1088</v>
      </c>
      <c r="F2169" s="54" t="s">
        <v>357</v>
      </c>
      <c r="G2169" s="4">
        <v>4.04</v>
      </c>
      <c r="H2169" s="4">
        <v>3.94</v>
      </c>
      <c r="I2169" s="4">
        <v>4.01</v>
      </c>
      <c r="J2169" s="4">
        <v>4.37</v>
      </c>
      <c r="X2169" s="55" t="str">
        <f t="shared" si="3"/>
        <v>#NAME?</v>
      </c>
    </row>
    <row r="2170">
      <c r="A2170" s="4" t="s">
        <v>4822</v>
      </c>
      <c r="B2170" s="4" t="s">
        <v>390</v>
      </c>
      <c r="C2170" s="4">
        <v>6.0</v>
      </c>
      <c r="D2170" s="4" t="s">
        <v>4344</v>
      </c>
      <c r="E2170" s="4" t="s">
        <v>4270</v>
      </c>
      <c r="F2170" s="54" t="s">
        <v>357</v>
      </c>
      <c r="G2170" s="4">
        <v>22.55</v>
      </c>
      <c r="H2170" s="4">
        <v>22.58</v>
      </c>
      <c r="I2170" s="4">
        <v>22.54</v>
      </c>
      <c r="J2170" s="4">
        <v>22.6</v>
      </c>
      <c r="X2170" s="55" t="str">
        <f t="shared" si="3"/>
        <v>#NAME?</v>
      </c>
    </row>
    <row r="2171">
      <c r="A2171" s="4" t="s">
        <v>4823</v>
      </c>
      <c r="B2171" s="4" t="s">
        <v>390</v>
      </c>
      <c r="C2171" s="4">
        <v>7.0</v>
      </c>
      <c r="D2171" s="4" t="s">
        <v>4349</v>
      </c>
      <c r="E2171" s="4" t="s">
        <v>1088</v>
      </c>
      <c r="F2171" s="54" t="s">
        <v>632</v>
      </c>
      <c r="G2171" s="4">
        <v>4.98</v>
      </c>
      <c r="H2171" s="4">
        <v>5.31</v>
      </c>
      <c r="I2171" s="4">
        <v>5.0</v>
      </c>
      <c r="J2171" s="4">
        <v>4.98</v>
      </c>
      <c r="X2171" s="55" t="str">
        <f t="shared" si="3"/>
        <v>#NAME?</v>
      </c>
    </row>
    <row r="2172">
      <c r="A2172" s="4" t="s">
        <v>4824</v>
      </c>
      <c r="B2172" s="4" t="s">
        <v>390</v>
      </c>
      <c r="C2172" s="4">
        <v>8.0</v>
      </c>
      <c r="D2172" s="4" t="s">
        <v>4351</v>
      </c>
      <c r="E2172" s="4" t="s">
        <v>1088</v>
      </c>
      <c r="F2172" s="54" t="s">
        <v>632</v>
      </c>
      <c r="G2172" s="4">
        <v>5.03</v>
      </c>
      <c r="H2172" s="4">
        <v>5.04</v>
      </c>
      <c r="I2172" s="4">
        <v>4.93</v>
      </c>
      <c r="J2172" s="4">
        <v>4.98</v>
      </c>
      <c r="X2172" s="55" t="str">
        <f t="shared" si="3"/>
        <v>#NAME?</v>
      </c>
    </row>
    <row r="2173">
      <c r="A2173" s="4" t="s">
        <v>4825</v>
      </c>
      <c r="B2173" s="4" t="s">
        <v>595</v>
      </c>
      <c r="C2173" s="4">
        <v>1.0</v>
      </c>
      <c r="D2173" s="4" t="s">
        <v>4826</v>
      </c>
      <c r="E2173" s="4" t="s">
        <v>4260</v>
      </c>
      <c r="F2173" s="54" t="s">
        <v>274</v>
      </c>
      <c r="G2173" s="4">
        <v>12.48</v>
      </c>
      <c r="H2173" s="4">
        <v>12.14</v>
      </c>
      <c r="I2173" s="4">
        <v>12.32</v>
      </c>
      <c r="J2173" s="4">
        <v>12.36</v>
      </c>
      <c r="K2173" s="4">
        <v>11.98</v>
      </c>
      <c r="L2173" s="4">
        <v>12.02</v>
      </c>
      <c r="M2173" s="4">
        <v>11.86</v>
      </c>
      <c r="N2173" s="4">
        <v>11.96</v>
      </c>
      <c r="O2173" s="4">
        <v>12.0</v>
      </c>
      <c r="P2173" s="4">
        <v>12.2</v>
      </c>
      <c r="Q2173" s="4">
        <v>12.13</v>
      </c>
      <c r="R2173" s="4">
        <v>12.08</v>
      </c>
      <c r="S2173" s="4">
        <v>11.96</v>
      </c>
      <c r="T2173" s="4">
        <v>12.25</v>
      </c>
      <c r="U2173" s="4">
        <v>12.3</v>
      </c>
      <c r="V2173" s="4">
        <v>12.48</v>
      </c>
      <c r="W2173" s="4"/>
      <c r="X2173" s="55" t="str">
        <f t="shared" si="3"/>
        <v>#NAME?</v>
      </c>
    </row>
    <row r="2174">
      <c r="A2174" s="4" t="s">
        <v>4827</v>
      </c>
      <c r="B2174" s="4" t="s">
        <v>595</v>
      </c>
      <c r="C2174" s="4">
        <v>2.0</v>
      </c>
      <c r="D2174" s="4" t="s">
        <v>4828</v>
      </c>
      <c r="E2174" s="4" t="s">
        <v>4260</v>
      </c>
      <c r="F2174" s="54" t="s">
        <v>611</v>
      </c>
      <c r="G2174" s="4">
        <v>10.12</v>
      </c>
      <c r="H2174" s="4">
        <v>10.05</v>
      </c>
      <c r="I2174" s="4">
        <v>10.16</v>
      </c>
      <c r="J2174" s="4">
        <v>10.09</v>
      </c>
      <c r="K2174" s="4">
        <v>10.1</v>
      </c>
      <c r="L2174" s="4">
        <v>10.28</v>
      </c>
      <c r="M2174" s="4">
        <v>10.2</v>
      </c>
      <c r="N2174" s="4">
        <v>10.15</v>
      </c>
      <c r="O2174" s="4">
        <v>10.02</v>
      </c>
      <c r="P2174" s="4">
        <v>10.16</v>
      </c>
      <c r="Q2174" s="4">
        <v>10.09</v>
      </c>
      <c r="R2174" s="4">
        <v>10.29</v>
      </c>
      <c r="S2174" s="4">
        <v>9.72</v>
      </c>
      <c r="T2174" s="4">
        <v>9.85</v>
      </c>
      <c r="U2174" s="4">
        <v>9.94</v>
      </c>
      <c r="V2174" s="4">
        <v>9.89</v>
      </c>
      <c r="W2174" s="4"/>
      <c r="X2174" s="55" t="str">
        <f t="shared" si="3"/>
        <v>#NAME?</v>
      </c>
    </row>
    <row r="2175">
      <c r="A2175" s="4" t="s">
        <v>4829</v>
      </c>
      <c r="B2175" s="4" t="s">
        <v>595</v>
      </c>
      <c r="C2175" s="4">
        <v>3.0</v>
      </c>
      <c r="D2175" s="4" t="s">
        <v>4830</v>
      </c>
      <c r="E2175" s="4" t="s">
        <v>1088</v>
      </c>
      <c r="F2175" s="54" t="s">
        <v>399</v>
      </c>
      <c r="G2175" s="4">
        <v>9.48</v>
      </c>
      <c r="H2175" s="4">
        <v>9.52</v>
      </c>
      <c r="I2175" s="4">
        <v>9.5</v>
      </c>
      <c r="J2175" s="4">
        <v>9.58</v>
      </c>
      <c r="X2175" s="55" t="str">
        <f t="shared" si="3"/>
        <v>#NAME?</v>
      </c>
    </row>
    <row r="2176">
      <c r="A2176" s="4" t="s">
        <v>4831</v>
      </c>
      <c r="B2176" s="4" t="s">
        <v>595</v>
      </c>
      <c r="C2176" s="4">
        <v>4.0</v>
      </c>
      <c r="D2176" s="4" t="s">
        <v>4723</v>
      </c>
      <c r="E2176" s="4" t="s">
        <v>1088</v>
      </c>
      <c r="F2176" s="54" t="s">
        <v>4252</v>
      </c>
      <c r="G2176" s="4">
        <v>3.68</v>
      </c>
      <c r="H2176" s="4">
        <v>3.74</v>
      </c>
      <c r="I2176" s="4">
        <v>3.8</v>
      </c>
      <c r="J2176" s="4">
        <v>3.78</v>
      </c>
      <c r="X2176" s="55" t="str">
        <f t="shared" si="3"/>
        <v>#NAME?</v>
      </c>
    </row>
    <row r="2177">
      <c r="A2177" s="4" t="s">
        <v>4832</v>
      </c>
      <c r="B2177" s="4" t="s">
        <v>595</v>
      </c>
      <c r="C2177" s="4">
        <v>5.0</v>
      </c>
      <c r="D2177" s="4" t="s">
        <v>4833</v>
      </c>
      <c r="E2177" s="4" t="s">
        <v>1088</v>
      </c>
      <c r="F2177" s="54" t="s">
        <v>534</v>
      </c>
      <c r="G2177" s="4">
        <v>7.78</v>
      </c>
      <c r="H2177" s="4">
        <v>7.82</v>
      </c>
      <c r="I2177" s="4">
        <v>7.75</v>
      </c>
      <c r="J2177" s="4">
        <v>7.86</v>
      </c>
      <c r="X2177" s="55" t="str">
        <f t="shared" si="3"/>
        <v>#NAME?</v>
      </c>
    </row>
    <row r="2178">
      <c r="A2178" s="4" t="s">
        <v>4834</v>
      </c>
      <c r="B2178" s="4" t="s">
        <v>595</v>
      </c>
      <c r="C2178" s="4">
        <v>6.0</v>
      </c>
      <c r="D2178" s="54" t="s">
        <v>632</v>
      </c>
      <c r="E2178" s="4" t="s">
        <v>1098</v>
      </c>
      <c r="F2178" s="54" t="s">
        <v>534</v>
      </c>
      <c r="G2178" s="4">
        <v>7.96</v>
      </c>
      <c r="H2178" s="4">
        <v>8.05</v>
      </c>
      <c r="I2178" s="4">
        <v>7.91</v>
      </c>
      <c r="J2178" s="4">
        <v>8.01</v>
      </c>
      <c r="K2178" s="4">
        <v>7.89</v>
      </c>
      <c r="L2178" s="4">
        <v>7.95</v>
      </c>
      <c r="M2178" s="4">
        <v>8.03</v>
      </c>
      <c r="N2178" s="4">
        <v>7.99</v>
      </c>
      <c r="O2178" s="4">
        <v>7.93</v>
      </c>
      <c r="P2178" s="4">
        <v>7.9</v>
      </c>
      <c r="Q2178" s="4">
        <v>7.94</v>
      </c>
      <c r="R2178" s="4">
        <v>7.96</v>
      </c>
      <c r="X2178" s="55" t="str">
        <f t="shared" si="3"/>
        <v>#NAME?</v>
      </c>
    </row>
    <row r="2179">
      <c r="A2179" s="4" t="s">
        <v>4835</v>
      </c>
      <c r="B2179" s="4" t="s">
        <v>595</v>
      </c>
      <c r="C2179" s="4">
        <v>7.0</v>
      </c>
      <c r="D2179" s="4" t="s">
        <v>4836</v>
      </c>
      <c r="E2179" s="4" t="s">
        <v>1088</v>
      </c>
      <c r="F2179" s="54" t="s">
        <v>399</v>
      </c>
      <c r="G2179" s="4">
        <v>4.89</v>
      </c>
      <c r="H2179" s="4">
        <v>4.96</v>
      </c>
      <c r="I2179" s="4">
        <v>5.01</v>
      </c>
      <c r="J2179" s="4">
        <v>4.98</v>
      </c>
      <c r="X2179" s="55" t="str">
        <f t="shared" si="3"/>
        <v>#NAME?</v>
      </c>
    </row>
    <row r="2180">
      <c r="A2180" s="4" t="s">
        <v>4837</v>
      </c>
      <c r="B2180" s="4" t="s">
        <v>595</v>
      </c>
      <c r="C2180" s="4">
        <v>8.0</v>
      </c>
      <c r="D2180" s="54" t="s">
        <v>4838</v>
      </c>
      <c r="E2180" s="4" t="s">
        <v>1098</v>
      </c>
      <c r="F2180" s="54" t="s">
        <v>399</v>
      </c>
      <c r="G2180" s="4">
        <v>5.21</v>
      </c>
      <c r="H2180" s="4">
        <v>5.32</v>
      </c>
      <c r="I2180" s="4">
        <v>5.27</v>
      </c>
      <c r="J2180" s="4">
        <v>5.29</v>
      </c>
      <c r="K2180" s="4">
        <v>5.35</v>
      </c>
      <c r="L2180" s="4">
        <v>5.29</v>
      </c>
      <c r="M2180" s="4">
        <v>5.18</v>
      </c>
      <c r="N2180" s="4">
        <v>5.25</v>
      </c>
      <c r="O2180" s="4">
        <v>5.28</v>
      </c>
      <c r="P2180" s="4">
        <v>5.3</v>
      </c>
      <c r="Q2180" s="4">
        <v>5.34</v>
      </c>
      <c r="R2180" s="4">
        <v>5.32</v>
      </c>
      <c r="X2180" s="55" t="str">
        <f t="shared" si="3"/>
        <v>#NAME?</v>
      </c>
    </row>
    <row r="2181">
      <c r="A2181" s="4" t="s">
        <v>4839</v>
      </c>
      <c r="B2181" s="4" t="s">
        <v>595</v>
      </c>
      <c r="C2181" s="4">
        <v>9.0</v>
      </c>
      <c r="D2181" s="4" t="s">
        <v>4840</v>
      </c>
      <c r="E2181" s="4" t="s">
        <v>1088</v>
      </c>
      <c r="F2181" s="54" t="s">
        <v>3812</v>
      </c>
      <c r="G2181" s="4">
        <v>3.61</v>
      </c>
      <c r="H2181" s="4">
        <v>3.64</v>
      </c>
      <c r="I2181" s="4">
        <v>3.7</v>
      </c>
      <c r="J2181" s="4">
        <v>3.68</v>
      </c>
      <c r="X2181" s="55" t="str">
        <f t="shared" si="3"/>
        <v>#NAME?</v>
      </c>
    </row>
    <row r="2182">
      <c r="A2182" s="4" t="s">
        <v>4841</v>
      </c>
      <c r="B2182" s="4" t="s">
        <v>595</v>
      </c>
      <c r="C2182" s="4">
        <v>10.0</v>
      </c>
      <c r="D2182" s="4" t="s">
        <v>4842</v>
      </c>
      <c r="E2182" s="4" t="s">
        <v>1088</v>
      </c>
      <c r="F2182" s="54" t="s">
        <v>4252</v>
      </c>
      <c r="G2182" s="4">
        <v>3.76</v>
      </c>
      <c r="H2182" s="4">
        <v>3.84</v>
      </c>
      <c r="I2182" s="4">
        <v>3.79</v>
      </c>
      <c r="J2182" s="4">
        <v>3.82</v>
      </c>
      <c r="X2182" s="55" t="str">
        <f t="shared" si="3"/>
        <v>#NAME?</v>
      </c>
    </row>
    <row r="2183">
      <c r="A2183" s="4" t="s">
        <v>4843</v>
      </c>
      <c r="B2183" s="4" t="s">
        <v>390</v>
      </c>
      <c r="C2183" s="4">
        <v>1.0</v>
      </c>
      <c r="D2183" s="4" t="s">
        <v>4349</v>
      </c>
      <c r="E2183" s="4" t="s">
        <v>4270</v>
      </c>
      <c r="F2183" s="54" t="s">
        <v>632</v>
      </c>
      <c r="G2183" s="4">
        <v>19.56</v>
      </c>
      <c r="H2183" s="4">
        <v>19.59</v>
      </c>
      <c r="I2183" s="4">
        <v>19.61</v>
      </c>
      <c r="J2183" s="4">
        <v>19.54</v>
      </c>
      <c r="X2183" s="55" t="str">
        <f t="shared" si="3"/>
        <v>#NAME?</v>
      </c>
    </row>
    <row r="2184">
      <c r="A2184" s="4" t="s">
        <v>4844</v>
      </c>
      <c r="B2184" s="4" t="s">
        <v>390</v>
      </c>
      <c r="C2184" s="4">
        <v>2.0</v>
      </c>
      <c r="D2184" s="4" t="s">
        <v>4355</v>
      </c>
      <c r="E2184" s="4" t="s">
        <v>1088</v>
      </c>
      <c r="F2184" s="54" t="s">
        <v>632</v>
      </c>
      <c r="G2184" s="4">
        <v>4.93</v>
      </c>
      <c r="H2184" s="4">
        <v>4.97</v>
      </c>
      <c r="I2184" s="4">
        <v>4.97</v>
      </c>
      <c r="J2184" s="4">
        <v>5.64</v>
      </c>
      <c r="X2184" s="55" t="str">
        <f t="shared" si="3"/>
        <v>#NAME?</v>
      </c>
    </row>
    <row r="2185">
      <c r="A2185" s="4" t="s">
        <v>4845</v>
      </c>
      <c r="B2185" s="4" t="s">
        <v>390</v>
      </c>
      <c r="C2185" s="4">
        <v>3.0</v>
      </c>
      <c r="D2185" s="4" t="s">
        <v>4357</v>
      </c>
      <c r="E2185" s="4" t="s">
        <v>1088</v>
      </c>
      <c r="F2185" s="54" t="s">
        <v>632</v>
      </c>
      <c r="G2185" s="4">
        <v>4.96</v>
      </c>
      <c r="H2185" s="4">
        <v>4.99</v>
      </c>
      <c r="I2185" s="4">
        <v>4.96</v>
      </c>
      <c r="J2185" s="4">
        <v>5.63</v>
      </c>
      <c r="X2185" s="55" t="str">
        <f t="shared" si="3"/>
        <v>#NAME?</v>
      </c>
    </row>
    <row r="2186">
      <c r="A2186" s="4" t="s">
        <v>4846</v>
      </c>
      <c r="B2186" s="4" t="s">
        <v>390</v>
      </c>
      <c r="C2186" s="4">
        <v>4.0</v>
      </c>
      <c r="D2186" s="4" t="s">
        <v>4355</v>
      </c>
      <c r="E2186" s="4" t="s">
        <v>4270</v>
      </c>
      <c r="F2186" s="54" t="s">
        <v>632</v>
      </c>
      <c r="G2186" s="4">
        <v>19.56</v>
      </c>
      <c r="H2186" s="4">
        <v>19.5</v>
      </c>
      <c r="I2186" s="4">
        <v>19.53</v>
      </c>
      <c r="J2186" s="4">
        <v>19.55</v>
      </c>
      <c r="X2186" s="55" t="str">
        <f t="shared" si="3"/>
        <v>#NAME?</v>
      </c>
    </row>
    <row r="2187">
      <c r="A2187" s="4" t="s">
        <v>4847</v>
      </c>
      <c r="B2187" s="4" t="s">
        <v>390</v>
      </c>
      <c r="C2187" s="4">
        <v>5.0</v>
      </c>
      <c r="D2187" s="4" t="s">
        <v>4361</v>
      </c>
      <c r="E2187" s="4" t="s">
        <v>1088</v>
      </c>
      <c r="F2187" s="54" t="s">
        <v>405</v>
      </c>
      <c r="G2187" s="4">
        <v>3.89</v>
      </c>
      <c r="H2187" s="4">
        <v>4.14</v>
      </c>
      <c r="I2187" s="4">
        <v>3.85</v>
      </c>
      <c r="J2187" s="4">
        <v>3.8</v>
      </c>
      <c r="X2187" s="55" t="str">
        <f t="shared" si="3"/>
        <v>#NAME?</v>
      </c>
    </row>
    <row r="2188">
      <c r="A2188" s="4" t="s">
        <v>4848</v>
      </c>
      <c r="B2188" s="4" t="s">
        <v>390</v>
      </c>
      <c r="C2188" s="4">
        <v>6.0</v>
      </c>
      <c r="D2188" s="4" t="s">
        <v>4363</v>
      </c>
      <c r="E2188" s="4" t="s">
        <v>1088</v>
      </c>
      <c r="F2188" s="54" t="s">
        <v>405</v>
      </c>
      <c r="G2188" s="4">
        <v>3.76</v>
      </c>
      <c r="H2188" s="4">
        <v>4.22</v>
      </c>
      <c r="I2188" s="4">
        <v>3.84</v>
      </c>
      <c r="J2188" s="4">
        <v>3.85</v>
      </c>
      <c r="X2188" s="55" t="str">
        <f t="shared" si="3"/>
        <v>#NAME?</v>
      </c>
    </row>
    <row r="2189">
      <c r="A2189" s="54" t="s">
        <v>4849</v>
      </c>
      <c r="B2189" s="4" t="s">
        <v>390</v>
      </c>
      <c r="C2189" s="4">
        <v>7.0</v>
      </c>
      <c r="D2189" s="4" t="s">
        <v>4361</v>
      </c>
      <c r="E2189" s="4" t="s">
        <v>4270</v>
      </c>
      <c r="F2189" s="54" t="s">
        <v>405</v>
      </c>
      <c r="G2189" s="4">
        <v>21.03</v>
      </c>
      <c r="H2189" s="4">
        <v>20.95</v>
      </c>
      <c r="I2189" s="4">
        <v>21.12</v>
      </c>
      <c r="J2189" s="4">
        <v>20.61</v>
      </c>
      <c r="X2189" s="55" t="str">
        <f t="shared" si="3"/>
        <v>#NAME?</v>
      </c>
    </row>
    <row r="2190">
      <c r="A2190" s="4" t="s">
        <v>4850</v>
      </c>
      <c r="B2190" s="4" t="s">
        <v>390</v>
      </c>
      <c r="C2190" s="4">
        <v>8.0</v>
      </c>
      <c r="D2190" s="4" t="s">
        <v>4367</v>
      </c>
      <c r="E2190" s="4" t="s">
        <v>1088</v>
      </c>
      <c r="F2190" s="54" t="s">
        <v>632</v>
      </c>
      <c r="G2190" s="4">
        <v>5.02</v>
      </c>
      <c r="H2190" s="4">
        <v>5.02</v>
      </c>
      <c r="I2190" s="4">
        <v>5.0</v>
      </c>
      <c r="J2190" s="4">
        <v>4.97</v>
      </c>
      <c r="X2190" s="55" t="str">
        <f t="shared" si="3"/>
        <v>#NAME?</v>
      </c>
    </row>
    <row r="2191">
      <c r="A2191" s="4" t="s">
        <v>4851</v>
      </c>
      <c r="B2191" s="4" t="s">
        <v>390</v>
      </c>
      <c r="C2191" s="4">
        <v>9.0</v>
      </c>
      <c r="D2191" s="4" t="s">
        <v>4369</v>
      </c>
      <c r="E2191" s="4" t="s">
        <v>1088</v>
      </c>
      <c r="F2191" s="54" t="s">
        <v>632</v>
      </c>
      <c r="G2191" s="4">
        <v>4.99</v>
      </c>
      <c r="H2191" s="4">
        <v>4.99</v>
      </c>
      <c r="I2191" s="4">
        <v>5.0</v>
      </c>
      <c r="J2191" s="4">
        <v>5.03</v>
      </c>
      <c r="X2191" s="55" t="str">
        <f t="shared" si="3"/>
        <v>#NAME?</v>
      </c>
    </row>
    <row r="2192">
      <c r="A2192" s="4" t="s">
        <v>4852</v>
      </c>
      <c r="B2192" s="4" t="s">
        <v>390</v>
      </c>
      <c r="C2192" s="4">
        <v>10.0</v>
      </c>
      <c r="D2192" s="4" t="s">
        <v>4367</v>
      </c>
      <c r="E2192" s="4" t="s">
        <v>4270</v>
      </c>
      <c r="F2192" s="54" t="s">
        <v>632</v>
      </c>
      <c r="G2192" s="4">
        <v>19.62</v>
      </c>
      <c r="H2192" s="4">
        <v>19.62</v>
      </c>
      <c r="I2192" s="4">
        <v>19.55</v>
      </c>
      <c r="J2192" s="4">
        <v>19.62</v>
      </c>
      <c r="X2192" s="55" t="str">
        <f t="shared" si="3"/>
        <v>#NAME?</v>
      </c>
    </row>
    <row r="2193">
      <c r="A2193" s="4" t="s">
        <v>4853</v>
      </c>
      <c r="B2193" s="4" t="s">
        <v>390</v>
      </c>
      <c r="C2193" s="4">
        <v>11.0</v>
      </c>
      <c r="D2193" s="4" t="s">
        <v>4373</v>
      </c>
      <c r="E2193" s="4" t="s">
        <v>1088</v>
      </c>
      <c r="F2193" s="54" t="s">
        <v>405</v>
      </c>
      <c r="G2193" s="4">
        <v>3.81</v>
      </c>
      <c r="H2193" s="4">
        <v>3.85</v>
      </c>
      <c r="I2193" s="4">
        <v>4.18</v>
      </c>
      <c r="J2193" s="4">
        <v>3.98</v>
      </c>
      <c r="X2193" s="55" t="str">
        <f t="shared" si="3"/>
        <v>#NAME?</v>
      </c>
    </row>
    <row r="2194">
      <c r="A2194" s="4" t="s">
        <v>4854</v>
      </c>
      <c r="B2194" s="4" t="s">
        <v>390</v>
      </c>
      <c r="C2194" s="4">
        <v>12.0</v>
      </c>
      <c r="D2194" s="4" t="s">
        <v>4375</v>
      </c>
      <c r="E2194" s="4" t="s">
        <v>1088</v>
      </c>
      <c r="F2194" s="54" t="s">
        <v>405</v>
      </c>
      <c r="G2194" s="4">
        <v>4.22</v>
      </c>
      <c r="H2194" s="4">
        <v>3.9</v>
      </c>
      <c r="I2194" s="4">
        <v>3.81</v>
      </c>
      <c r="J2194" s="4">
        <v>4.19</v>
      </c>
      <c r="X2194" s="55" t="str">
        <f t="shared" si="3"/>
        <v>#NAME?</v>
      </c>
    </row>
    <row r="2195">
      <c r="A2195" s="4" t="s">
        <v>4855</v>
      </c>
      <c r="B2195" s="4" t="s">
        <v>390</v>
      </c>
      <c r="C2195" s="4">
        <v>13.0</v>
      </c>
      <c r="D2195" s="4" t="s">
        <v>4373</v>
      </c>
      <c r="E2195" s="4" t="s">
        <v>4270</v>
      </c>
      <c r="F2195" s="54" t="s">
        <v>632</v>
      </c>
      <c r="G2195" s="4">
        <v>21.09</v>
      </c>
      <c r="H2195" s="4">
        <v>20.93</v>
      </c>
      <c r="I2195" s="4">
        <v>20.64</v>
      </c>
      <c r="J2195" s="4">
        <v>20.64</v>
      </c>
      <c r="X2195" s="55" t="str">
        <f t="shared" si="3"/>
        <v>#NAME?</v>
      </c>
    </row>
    <row r="2196">
      <c r="A2196" s="4" t="s">
        <v>4856</v>
      </c>
      <c r="B2196" s="4" t="s">
        <v>390</v>
      </c>
      <c r="C2196" s="4">
        <v>14.0</v>
      </c>
      <c r="D2196" s="4" t="s">
        <v>4378</v>
      </c>
      <c r="E2196" s="4" t="s">
        <v>1088</v>
      </c>
      <c r="F2196" s="54" t="s">
        <v>534</v>
      </c>
      <c r="G2196" s="4">
        <v>3.99</v>
      </c>
      <c r="H2196" s="4">
        <v>3.91</v>
      </c>
      <c r="I2196" s="4">
        <v>4.04</v>
      </c>
      <c r="J2196" s="4">
        <v>4.09</v>
      </c>
      <c r="X2196" s="55" t="str">
        <f t="shared" si="3"/>
        <v>#NAME?</v>
      </c>
    </row>
    <row r="2197">
      <c r="A2197" s="4" t="s">
        <v>4857</v>
      </c>
      <c r="B2197" s="4" t="s">
        <v>390</v>
      </c>
      <c r="C2197" s="4">
        <v>15.0</v>
      </c>
      <c r="D2197" s="4" t="s">
        <v>4539</v>
      </c>
      <c r="E2197" s="4" t="s">
        <v>1088</v>
      </c>
      <c r="F2197" s="54" t="s">
        <v>534</v>
      </c>
      <c r="G2197" s="4">
        <v>4.1</v>
      </c>
      <c r="H2197" s="4">
        <v>3.89</v>
      </c>
      <c r="I2197" s="4">
        <v>3.95</v>
      </c>
      <c r="J2197" s="4">
        <v>4.05</v>
      </c>
      <c r="X2197" s="55" t="str">
        <f t="shared" si="3"/>
        <v>#NAME?</v>
      </c>
    </row>
    <row r="2198">
      <c r="A2198" s="4" t="s">
        <v>4858</v>
      </c>
      <c r="B2198" s="4" t="s">
        <v>390</v>
      </c>
      <c r="C2198" s="4">
        <v>16.0</v>
      </c>
      <c r="D2198" s="4" t="s">
        <v>4378</v>
      </c>
      <c r="E2198" s="4" t="s">
        <v>4270</v>
      </c>
      <c r="F2198" s="54" t="s">
        <v>534</v>
      </c>
      <c r="G2198" s="4">
        <v>16.03</v>
      </c>
      <c r="H2198" s="4">
        <v>16.0</v>
      </c>
      <c r="I2198" s="4">
        <v>16.1</v>
      </c>
      <c r="J2198" s="4">
        <v>15.97</v>
      </c>
      <c r="X2198" s="55" t="str">
        <f t="shared" si="3"/>
        <v>#NAME?</v>
      </c>
    </row>
    <row r="2199">
      <c r="A2199" s="54" t="s">
        <v>4859</v>
      </c>
      <c r="B2199" s="4" t="s">
        <v>390</v>
      </c>
      <c r="C2199" s="4">
        <v>17.0</v>
      </c>
      <c r="D2199" s="4" t="s">
        <v>4382</v>
      </c>
      <c r="E2199" s="4" t="s">
        <v>1088</v>
      </c>
      <c r="F2199" s="54" t="s">
        <v>534</v>
      </c>
      <c r="G2199" s="4">
        <v>3.95</v>
      </c>
      <c r="H2199" s="4">
        <v>4.02</v>
      </c>
      <c r="I2199" s="4">
        <v>4.13</v>
      </c>
      <c r="J2199" s="4">
        <v>3.95</v>
      </c>
      <c r="X2199" s="55" t="str">
        <f t="shared" si="3"/>
        <v>#NAME?</v>
      </c>
    </row>
    <row r="2200">
      <c r="A2200" s="4" t="s">
        <v>4860</v>
      </c>
      <c r="B2200" s="4" t="s">
        <v>390</v>
      </c>
      <c r="C2200" s="4">
        <v>18.0</v>
      </c>
      <c r="D2200" s="4" t="s">
        <v>4480</v>
      </c>
      <c r="E2200" s="4" t="s">
        <v>1088</v>
      </c>
      <c r="F2200" s="54" t="s">
        <v>534</v>
      </c>
      <c r="G2200" s="4">
        <v>4.01</v>
      </c>
      <c r="H2200" s="4">
        <v>4.01</v>
      </c>
      <c r="I2200" s="4">
        <v>3.97</v>
      </c>
      <c r="J2200" s="4">
        <v>4.09</v>
      </c>
      <c r="X2200" s="55" t="str">
        <f t="shared" si="3"/>
        <v>#NAME?</v>
      </c>
    </row>
    <row r="2201">
      <c r="A2201" s="4" t="s">
        <v>4861</v>
      </c>
      <c r="B2201" s="4" t="s">
        <v>390</v>
      </c>
      <c r="C2201" s="4">
        <v>19.0</v>
      </c>
      <c r="D2201" s="4" t="s">
        <v>4382</v>
      </c>
      <c r="E2201" s="4" t="s">
        <v>4270</v>
      </c>
      <c r="F2201" s="54" t="s">
        <v>534</v>
      </c>
      <c r="G2201" s="4">
        <v>16.16</v>
      </c>
      <c r="H2201" s="4">
        <v>16.13</v>
      </c>
      <c r="I2201" s="4">
        <v>16.15</v>
      </c>
      <c r="J2201" s="4">
        <v>16.2</v>
      </c>
      <c r="X2201" s="55" t="str">
        <f t="shared" si="3"/>
        <v>#NAME?</v>
      </c>
    </row>
    <row r="2202">
      <c r="A2202" s="4" t="s">
        <v>4862</v>
      </c>
      <c r="B2202" s="4" t="s">
        <v>390</v>
      </c>
      <c r="C2202" s="4">
        <v>20.0</v>
      </c>
      <c r="D2202" s="4" t="s">
        <v>4386</v>
      </c>
      <c r="E2202" s="4" t="s">
        <v>1088</v>
      </c>
      <c r="F2202" s="54" t="s">
        <v>399</v>
      </c>
      <c r="G2202" s="4">
        <v>3.42</v>
      </c>
      <c r="H2202" s="4">
        <v>3.61</v>
      </c>
      <c r="I2202" s="4">
        <v>3.59</v>
      </c>
      <c r="J2202" s="4">
        <v>3.46</v>
      </c>
      <c r="X2202" s="55" t="str">
        <f t="shared" si="3"/>
        <v>#NAME?</v>
      </c>
    </row>
    <row r="2203">
      <c r="A2203" s="4" t="s">
        <v>4863</v>
      </c>
      <c r="B2203" s="4" t="s">
        <v>390</v>
      </c>
      <c r="C2203" s="4">
        <v>21.0</v>
      </c>
      <c r="D2203" s="4" t="s">
        <v>4386</v>
      </c>
      <c r="E2203" s="4" t="s">
        <v>4270</v>
      </c>
      <c r="F2203" s="54" t="s">
        <v>399</v>
      </c>
      <c r="G2203" s="4">
        <v>18.5</v>
      </c>
      <c r="H2203" s="4">
        <v>18.51</v>
      </c>
      <c r="I2203" s="4">
        <v>18.48</v>
      </c>
      <c r="J2203" s="4">
        <v>18.43</v>
      </c>
      <c r="X2203" s="55" t="str">
        <f t="shared" si="3"/>
        <v>#NAME?</v>
      </c>
    </row>
    <row r="2204">
      <c r="A2204" s="4" t="s">
        <v>4864</v>
      </c>
      <c r="B2204" s="4" t="s">
        <v>390</v>
      </c>
      <c r="C2204" s="4">
        <v>22.0</v>
      </c>
      <c r="D2204" s="4" t="s">
        <v>4405</v>
      </c>
      <c r="E2204" s="4" t="s">
        <v>1088</v>
      </c>
      <c r="F2204" s="54" t="s">
        <v>287</v>
      </c>
      <c r="G2204" s="4">
        <v>11.94</v>
      </c>
      <c r="H2204" s="4">
        <v>12.02</v>
      </c>
      <c r="I2204" s="4">
        <v>11.99</v>
      </c>
      <c r="J2204" s="4">
        <v>12.0</v>
      </c>
      <c r="X2204" s="55" t="str">
        <f t="shared" si="3"/>
        <v>#NAME?</v>
      </c>
    </row>
    <row r="2205">
      <c r="A2205" s="4" t="s">
        <v>4865</v>
      </c>
      <c r="B2205" s="4" t="s">
        <v>390</v>
      </c>
      <c r="C2205" s="4">
        <v>23.0</v>
      </c>
      <c r="D2205" s="4" t="s">
        <v>4407</v>
      </c>
      <c r="E2205" s="4" t="s">
        <v>1088</v>
      </c>
      <c r="F2205" s="54" t="s">
        <v>287</v>
      </c>
      <c r="G2205" s="4">
        <v>11.94</v>
      </c>
      <c r="H2205" s="4">
        <v>11.96</v>
      </c>
      <c r="I2205" s="4">
        <v>11.98</v>
      </c>
      <c r="J2205" s="4">
        <v>12.01</v>
      </c>
      <c r="X2205" s="55" t="str">
        <f t="shared" si="3"/>
        <v>#NAME?</v>
      </c>
    </row>
    <row r="2206">
      <c r="A2206" s="4" t="s">
        <v>4866</v>
      </c>
      <c r="B2206" s="4" t="s">
        <v>390</v>
      </c>
      <c r="C2206" s="4">
        <v>24.0</v>
      </c>
      <c r="D2206" s="4" t="s">
        <v>4405</v>
      </c>
      <c r="E2206" s="4" t="s">
        <v>4270</v>
      </c>
      <c r="F2206" s="54" t="s">
        <v>287</v>
      </c>
      <c r="G2206" s="4">
        <v>31.04</v>
      </c>
      <c r="H2206" s="4">
        <v>30.97</v>
      </c>
      <c r="I2206" s="4">
        <v>30.98</v>
      </c>
      <c r="J2206" s="4">
        <v>30.97</v>
      </c>
      <c r="X2206" s="55" t="str">
        <f t="shared" si="3"/>
        <v>#NAME?</v>
      </c>
    </row>
    <row r="2207">
      <c r="A2207" s="4" t="s">
        <v>4867</v>
      </c>
      <c r="B2207" s="4" t="s">
        <v>390</v>
      </c>
      <c r="C2207" s="4">
        <v>25.0</v>
      </c>
      <c r="D2207" s="4" t="s">
        <v>4407</v>
      </c>
      <c r="E2207" s="4" t="s">
        <v>3816</v>
      </c>
      <c r="F2207" s="54" t="s">
        <v>287</v>
      </c>
      <c r="G2207" s="4">
        <v>32.5</v>
      </c>
      <c r="H2207" s="4">
        <v>32.93</v>
      </c>
      <c r="I2207" s="4">
        <v>33.41</v>
      </c>
      <c r="J2207" s="4">
        <v>32.92</v>
      </c>
      <c r="X2207" s="55" t="str">
        <f t="shared" si="3"/>
        <v>#NAME?</v>
      </c>
    </row>
    <row r="2208">
      <c r="A2208" s="63" t="s">
        <v>4868</v>
      </c>
      <c r="B2208" s="63" t="s">
        <v>475</v>
      </c>
      <c r="C2208" s="4">
        <v>1.0</v>
      </c>
      <c r="D2208" s="64">
        <v>1.0</v>
      </c>
      <c r="E2208" s="63" t="s">
        <v>1088</v>
      </c>
      <c r="F2208" s="64">
        <v>30.0</v>
      </c>
      <c r="G2208" s="64">
        <v>6.7564</v>
      </c>
      <c r="H2208" s="64">
        <v>6.096</v>
      </c>
      <c r="I2208" s="64">
        <v>6.2484</v>
      </c>
      <c r="J2208" s="64">
        <v>6.5024</v>
      </c>
      <c r="K2208" s="65"/>
      <c r="L2208" s="65"/>
      <c r="M2208" s="65"/>
      <c r="N2208" s="65"/>
      <c r="O2208" s="65"/>
      <c r="P2208" s="65"/>
      <c r="Q2208" s="65"/>
      <c r="R2208" s="65"/>
      <c r="S2208" s="65"/>
      <c r="T2208" s="65"/>
      <c r="U2208" s="65"/>
      <c r="V2208" s="65"/>
      <c r="W2208" s="65"/>
      <c r="X2208" s="66"/>
    </row>
    <row r="2209">
      <c r="A2209" s="63" t="s">
        <v>4869</v>
      </c>
      <c r="B2209" s="63" t="s">
        <v>475</v>
      </c>
      <c r="C2209" s="4">
        <v>2.0</v>
      </c>
      <c r="D2209" s="64">
        <v>2.0</v>
      </c>
      <c r="E2209" s="63" t="s">
        <v>1088</v>
      </c>
      <c r="F2209" s="64">
        <v>52.0</v>
      </c>
      <c r="G2209" s="64">
        <v>11.303</v>
      </c>
      <c r="H2209" s="64">
        <v>11.1252</v>
      </c>
      <c r="I2209" s="64">
        <v>11.557</v>
      </c>
      <c r="J2209" s="64">
        <v>11.6332</v>
      </c>
      <c r="K2209" s="64">
        <v>11.7348</v>
      </c>
      <c r="L2209" s="64">
        <v>10.8966</v>
      </c>
      <c r="M2209" s="64">
        <v>10.1092</v>
      </c>
      <c r="N2209" s="64">
        <v>11.0744</v>
      </c>
      <c r="O2209" s="65"/>
      <c r="P2209" s="65"/>
      <c r="Q2209" s="65"/>
      <c r="R2209" s="65"/>
      <c r="S2209" s="65"/>
      <c r="T2209" s="65"/>
      <c r="U2209" s="65"/>
      <c r="V2209" s="65"/>
      <c r="W2209" s="65"/>
      <c r="X2209" s="66"/>
    </row>
    <row r="2210">
      <c r="A2210" s="63" t="s">
        <v>4870</v>
      </c>
      <c r="B2210" s="63" t="s">
        <v>475</v>
      </c>
      <c r="C2210" s="4">
        <v>3.0</v>
      </c>
      <c r="D2210" s="64">
        <v>3.0</v>
      </c>
      <c r="E2210" s="63" t="s">
        <v>1088</v>
      </c>
      <c r="F2210" s="64">
        <v>20.0</v>
      </c>
      <c r="G2210" s="65"/>
      <c r="H2210" s="65"/>
      <c r="I2210" s="65"/>
      <c r="J2210" s="65"/>
      <c r="K2210" s="65"/>
      <c r="L2210" s="65"/>
      <c r="M2210" s="65"/>
      <c r="N2210" s="65"/>
      <c r="O2210" s="65"/>
      <c r="P2210" s="65"/>
      <c r="Q2210" s="65"/>
      <c r="R2210" s="65"/>
      <c r="S2210" s="65"/>
      <c r="T2210" s="65"/>
      <c r="U2210" s="65"/>
      <c r="V2210" s="65"/>
      <c r="W2210" s="65"/>
      <c r="X2210" s="66"/>
    </row>
    <row r="2211">
      <c r="A2211" s="63" t="s">
        <v>4871</v>
      </c>
      <c r="B2211" s="63" t="s">
        <v>475</v>
      </c>
      <c r="C2211" s="4">
        <v>4.0</v>
      </c>
      <c r="D2211" s="64">
        <v>4.0</v>
      </c>
      <c r="E2211" s="63" t="s">
        <v>1088</v>
      </c>
      <c r="F2211" s="64">
        <v>20.0</v>
      </c>
      <c r="G2211" s="64">
        <v>5.9182</v>
      </c>
      <c r="H2211" s="64">
        <v>6.0452</v>
      </c>
      <c r="I2211" s="64">
        <v>5.588</v>
      </c>
      <c r="J2211" s="64">
        <v>6.2738</v>
      </c>
      <c r="K2211" s="65"/>
      <c r="L2211" s="65"/>
      <c r="M2211" s="65"/>
      <c r="N2211" s="65"/>
      <c r="O2211" s="65"/>
      <c r="P2211" s="65"/>
      <c r="Q2211" s="65"/>
      <c r="R2211" s="65"/>
      <c r="S2211" s="65"/>
      <c r="T2211" s="65"/>
      <c r="U2211" s="65"/>
      <c r="V2211" s="65"/>
      <c r="W2211" s="65"/>
      <c r="X2211" s="67">
        <v>6.35</v>
      </c>
    </row>
    <row r="2212">
      <c r="A2212" s="63" t="s">
        <v>4872</v>
      </c>
      <c r="B2212" s="63" t="s">
        <v>475</v>
      </c>
      <c r="C2212" s="4">
        <v>5.0</v>
      </c>
      <c r="D2212" s="64">
        <v>5.0</v>
      </c>
      <c r="E2212" s="63" t="s">
        <v>1088</v>
      </c>
      <c r="F2212" s="68" t="s">
        <v>4054</v>
      </c>
      <c r="G2212" s="64">
        <v>11.2776</v>
      </c>
      <c r="H2212" s="64">
        <v>11.0998</v>
      </c>
      <c r="I2212" s="64">
        <v>11.9634</v>
      </c>
      <c r="J2212" s="64">
        <v>11.7643</v>
      </c>
      <c r="K2212" s="65"/>
      <c r="L2212" s="65"/>
      <c r="M2212" s="65"/>
      <c r="N2212" s="65"/>
      <c r="O2212" s="65"/>
      <c r="P2212" s="65"/>
      <c r="Q2212" s="65"/>
      <c r="R2212" s="65"/>
      <c r="S2212" s="65"/>
      <c r="T2212" s="65"/>
      <c r="U2212" s="65"/>
      <c r="V2212" s="65"/>
      <c r="W2212" s="65"/>
      <c r="X2212" s="66"/>
    </row>
    <row r="2213">
      <c r="A2213" s="63" t="s">
        <v>4873</v>
      </c>
      <c r="B2213" s="63" t="s">
        <v>475</v>
      </c>
      <c r="C2213" s="4">
        <v>6.0</v>
      </c>
      <c r="D2213" s="64">
        <v>6.0</v>
      </c>
      <c r="E2213" s="63" t="s">
        <v>1088</v>
      </c>
      <c r="F2213" s="64">
        <v>20.0</v>
      </c>
      <c r="G2213" s="64">
        <v>12.065</v>
      </c>
      <c r="H2213" s="64">
        <v>13.7668</v>
      </c>
      <c r="I2213" s="64">
        <v>13.7668</v>
      </c>
      <c r="J2213" s="64">
        <v>12.319</v>
      </c>
      <c r="K2213" s="65"/>
      <c r="L2213" s="65"/>
      <c r="M2213" s="65"/>
      <c r="N2213" s="65"/>
      <c r="O2213" s="65"/>
      <c r="P2213" s="65"/>
      <c r="Q2213" s="65"/>
      <c r="R2213" s="65"/>
      <c r="S2213" s="65"/>
      <c r="T2213" s="65"/>
      <c r="U2213" s="65"/>
      <c r="V2213" s="65"/>
      <c r="W2213" s="65"/>
      <c r="X2213" s="67">
        <v>14.27</v>
      </c>
    </row>
    <row r="2214">
      <c r="A2214" s="63" t="s">
        <v>4874</v>
      </c>
      <c r="B2214" s="63" t="s">
        <v>475</v>
      </c>
      <c r="C2214" s="4">
        <v>7.0</v>
      </c>
      <c r="D2214" s="64">
        <v>7.0</v>
      </c>
      <c r="E2214" s="63" t="s">
        <v>1088</v>
      </c>
      <c r="F2214" s="64">
        <v>20.0</v>
      </c>
      <c r="G2214" s="64">
        <v>8.3312</v>
      </c>
      <c r="H2214" s="64">
        <v>8.5852</v>
      </c>
      <c r="I2214" s="64">
        <v>9.4488</v>
      </c>
      <c r="J2214" s="64">
        <v>8.7376</v>
      </c>
      <c r="K2214" s="65"/>
      <c r="L2214" s="65"/>
      <c r="M2214" s="65"/>
      <c r="N2214" s="65"/>
      <c r="O2214" s="65"/>
      <c r="P2214" s="65"/>
      <c r="Q2214" s="65"/>
      <c r="R2214" s="65"/>
      <c r="S2214" s="65"/>
      <c r="T2214" s="65"/>
      <c r="U2214" s="65"/>
      <c r="V2214" s="65"/>
      <c r="W2214" s="65"/>
      <c r="X2214" s="67">
        <v>9.53</v>
      </c>
    </row>
    <row r="2215">
      <c r="A2215" s="63" t="s">
        <v>4875</v>
      </c>
      <c r="B2215" s="63" t="s">
        <v>475</v>
      </c>
      <c r="C2215" s="4">
        <v>8.0</v>
      </c>
      <c r="D2215" s="64">
        <v>8.0</v>
      </c>
      <c r="E2215" s="63" t="s">
        <v>1088</v>
      </c>
      <c r="F2215" s="64">
        <v>20.0</v>
      </c>
      <c r="G2215" s="64">
        <v>10.5664</v>
      </c>
      <c r="H2215" s="64">
        <v>11.049</v>
      </c>
      <c r="I2215" s="64">
        <v>11.9634</v>
      </c>
      <c r="J2215" s="64">
        <v>10.0584</v>
      </c>
      <c r="K2215" s="65"/>
      <c r="L2215" s="65"/>
      <c r="M2215" s="65"/>
      <c r="N2215" s="65"/>
      <c r="O2215" s="65"/>
      <c r="P2215" s="65"/>
      <c r="Q2215" s="65"/>
      <c r="R2215" s="65"/>
      <c r="S2215" s="65"/>
      <c r="T2215" s="65"/>
      <c r="U2215" s="65"/>
      <c r="V2215" s="65"/>
      <c r="W2215" s="65"/>
      <c r="X2215" s="67">
        <v>11.91</v>
      </c>
    </row>
    <row r="2216">
      <c r="A2216" s="63" t="s">
        <v>4876</v>
      </c>
      <c r="B2216" s="63" t="s">
        <v>475</v>
      </c>
      <c r="C2216" s="4">
        <v>9.0</v>
      </c>
      <c r="D2216" s="64">
        <v>9.0</v>
      </c>
      <c r="E2216" s="63" t="s">
        <v>1088</v>
      </c>
      <c r="F2216" s="64">
        <v>20.0</v>
      </c>
      <c r="G2216" s="64">
        <v>11.7348</v>
      </c>
      <c r="H2216" s="64">
        <v>10.8966</v>
      </c>
      <c r="I2216" s="64">
        <v>10.1092</v>
      </c>
      <c r="J2216" s="64">
        <v>11.0744</v>
      </c>
      <c r="K2216" s="65"/>
      <c r="L2216" s="65"/>
      <c r="M2216" s="65"/>
      <c r="N2216" s="65"/>
      <c r="O2216" s="65"/>
      <c r="P2216" s="65"/>
      <c r="Q2216" s="65"/>
      <c r="R2216" s="65"/>
      <c r="S2216" s="65"/>
      <c r="T2216" s="65"/>
      <c r="U2216" s="65"/>
      <c r="V2216" s="65"/>
      <c r="W2216" s="65"/>
      <c r="X2216" s="67">
        <v>11.91</v>
      </c>
    </row>
    <row r="2217">
      <c r="A2217" s="63" t="s">
        <v>4877</v>
      </c>
      <c r="B2217" s="63" t="s">
        <v>475</v>
      </c>
      <c r="C2217" s="4">
        <v>10.0</v>
      </c>
      <c r="D2217" s="64">
        <v>9.1</v>
      </c>
      <c r="E2217" s="63" t="s">
        <v>1088</v>
      </c>
      <c r="F2217" s="68" t="s">
        <v>4878</v>
      </c>
      <c r="G2217" s="64">
        <v>7.4676</v>
      </c>
      <c r="H2217" s="64">
        <v>8.255</v>
      </c>
      <c r="I2217" s="64">
        <v>8.4074</v>
      </c>
      <c r="J2217" s="64">
        <v>7.8994</v>
      </c>
      <c r="K2217" s="65"/>
      <c r="L2217" s="65"/>
      <c r="M2217" s="65"/>
      <c r="N2217" s="65"/>
      <c r="O2217" s="65"/>
      <c r="P2217" s="65"/>
      <c r="Q2217" s="65"/>
      <c r="R2217" s="65"/>
      <c r="S2217" s="65"/>
      <c r="T2217" s="65"/>
      <c r="U2217" s="65"/>
      <c r="V2217" s="65"/>
      <c r="W2217" s="65"/>
      <c r="X2217" s="66"/>
    </row>
    <row r="2218">
      <c r="A2218" s="63" t="s">
        <v>4879</v>
      </c>
      <c r="B2218" s="63" t="s">
        <v>475</v>
      </c>
      <c r="C2218" s="4">
        <v>11.0</v>
      </c>
      <c r="D2218" s="64">
        <v>10.0</v>
      </c>
      <c r="E2218" s="63" t="s">
        <v>1088</v>
      </c>
      <c r="F2218" s="64">
        <v>52.0</v>
      </c>
      <c r="G2218" s="64">
        <v>15.621</v>
      </c>
      <c r="H2218" s="64">
        <v>12.827</v>
      </c>
      <c r="I2218" s="64">
        <v>14.2748</v>
      </c>
      <c r="J2218" s="64">
        <v>13.6144</v>
      </c>
      <c r="K2218" s="65"/>
      <c r="L2218" s="65"/>
      <c r="M2218" s="65"/>
      <c r="N2218" s="65"/>
      <c r="O2218" s="65"/>
      <c r="P2218" s="65"/>
      <c r="Q2218" s="65"/>
      <c r="R2218" s="65"/>
      <c r="S2218" s="65"/>
      <c r="T2218" s="65"/>
      <c r="U2218" s="65"/>
      <c r="V2218" s="65"/>
      <c r="W2218" s="65"/>
      <c r="X2218" s="66"/>
    </row>
    <row r="2219">
      <c r="A2219" s="63" t="s">
        <v>4880</v>
      </c>
      <c r="B2219" s="63" t="s">
        <v>475</v>
      </c>
      <c r="C2219" s="4">
        <v>12.0</v>
      </c>
      <c r="D2219" s="64">
        <v>11.0</v>
      </c>
      <c r="E2219" s="63" t="s">
        <v>1251</v>
      </c>
      <c r="F2219" s="64">
        <v>52.0</v>
      </c>
      <c r="G2219" s="64">
        <v>9.779</v>
      </c>
      <c r="H2219" s="64">
        <v>8.8646</v>
      </c>
      <c r="I2219" s="64">
        <v>9.4488</v>
      </c>
      <c r="J2219" s="64">
        <v>10.0584</v>
      </c>
      <c r="K2219" s="65"/>
      <c r="L2219" s="65"/>
      <c r="M2219" s="65"/>
      <c r="N2219" s="65"/>
      <c r="O2219" s="65"/>
      <c r="P2219" s="65"/>
      <c r="Q2219" s="65"/>
      <c r="R2219" s="65"/>
      <c r="S2219" s="65"/>
      <c r="T2219" s="65"/>
      <c r="U2219" s="65"/>
      <c r="V2219" s="65"/>
      <c r="W2219" s="65"/>
      <c r="X2219" s="66"/>
    </row>
    <row r="2220">
      <c r="A2220" s="63" t="s">
        <v>4881</v>
      </c>
      <c r="B2220" s="63" t="s">
        <v>475</v>
      </c>
      <c r="C2220" s="4">
        <v>13.0</v>
      </c>
      <c r="D2220" s="64">
        <v>12.0</v>
      </c>
      <c r="E2220" s="63" t="s">
        <v>1251</v>
      </c>
      <c r="F2220" s="64">
        <v>32.0</v>
      </c>
      <c r="G2220" s="64">
        <v>8.2042</v>
      </c>
      <c r="H2220" s="64">
        <v>8.5852</v>
      </c>
      <c r="I2220" s="64">
        <v>8.4836</v>
      </c>
      <c r="J2220" s="64">
        <v>8.5852</v>
      </c>
      <c r="K2220" s="65"/>
      <c r="L2220" s="65"/>
      <c r="M2220" s="65"/>
      <c r="N2220" s="65"/>
      <c r="O2220" s="65"/>
      <c r="P2220" s="65"/>
      <c r="Q2220" s="65"/>
      <c r="R2220" s="65"/>
      <c r="S2220" s="65"/>
      <c r="T2220" s="65"/>
      <c r="U2220" s="65"/>
      <c r="V2220" s="65"/>
      <c r="W2220" s="65"/>
      <c r="X2220" s="66"/>
    </row>
    <row r="2221">
      <c r="A2221" s="63" t="s">
        <v>4882</v>
      </c>
      <c r="B2221" s="63" t="s">
        <v>475</v>
      </c>
      <c r="C2221" s="4">
        <v>14.0</v>
      </c>
      <c r="D2221" s="64">
        <v>13.0</v>
      </c>
      <c r="E2221" s="63" t="s">
        <v>1098</v>
      </c>
      <c r="F2221" s="64">
        <v>32.0</v>
      </c>
      <c r="G2221" s="64">
        <v>6.9596</v>
      </c>
      <c r="H2221" s="64">
        <v>7.0104</v>
      </c>
      <c r="I2221" s="64">
        <v>6.9596</v>
      </c>
      <c r="J2221" s="64">
        <v>7.3914</v>
      </c>
      <c r="K2221" s="65"/>
      <c r="L2221" s="65"/>
      <c r="M2221" s="65"/>
      <c r="N2221" s="65"/>
      <c r="O2221" s="65"/>
      <c r="P2221" s="65"/>
      <c r="Q2221" s="65"/>
      <c r="R2221" s="65"/>
      <c r="S2221" s="65"/>
      <c r="T2221" s="65"/>
      <c r="U2221" s="65"/>
      <c r="V2221" s="65"/>
      <c r="W2221" s="65"/>
      <c r="X2221" s="66"/>
    </row>
    <row r="2222">
      <c r="A2222" s="63" t="s">
        <v>4883</v>
      </c>
      <c r="B2222" s="63" t="s">
        <v>429</v>
      </c>
      <c r="C2222" s="4">
        <v>1.0</v>
      </c>
      <c r="D2222" s="64">
        <v>1.0</v>
      </c>
      <c r="E2222" s="63" t="s">
        <v>4884</v>
      </c>
      <c r="F2222" s="65"/>
      <c r="G2222" s="64">
        <v>4.41</v>
      </c>
      <c r="H2222" s="64">
        <v>4.37</v>
      </c>
      <c r="I2222" s="64">
        <v>5.75</v>
      </c>
      <c r="J2222" s="64">
        <v>4.83</v>
      </c>
      <c r="K2222" s="65"/>
      <c r="L2222" s="65"/>
      <c r="M2222" s="65"/>
      <c r="N2222" s="65"/>
      <c r="O2222" s="65"/>
      <c r="P2222" s="65"/>
      <c r="Q2222" s="65"/>
      <c r="R2222" s="65"/>
      <c r="S2222" s="65"/>
      <c r="T2222" s="65"/>
      <c r="U2222" s="65"/>
      <c r="V2222" s="65"/>
      <c r="W2222" s="65"/>
      <c r="X2222" s="66"/>
    </row>
    <row r="2223">
      <c r="A2223" s="63" t="s">
        <v>4885</v>
      </c>
      <c r="B2223" s="63" t="s">
        <v>429</v>
      </c>
      <c r="C2223" s="4">
        <v>2.0</v>
      </c>
      <c r="D2223" s="64">
        <v>1.0</v>
      </c>
      <c r="E2223" s="63" t="s">
        <v>4884</v>
      </c>
      <c r="F2223" s="65"/>
      <c r="G2223" s="64">
        <v>5.82</v>
      </c>
      <c r="H2223" s="64">
        <v>5.55</v>
      </c>
      <c r="I2223" s="64">
        <v>5.92</v>
      </c>
      <c r="J2223" s="64">
        <v>6.64</v>
      </c>
      <c r="K2223" s="65"/>
      <c r="L2223" s="65"/>
      <c r="M2223" s="65"/>
      <c r="N2223" s="65"/>
      <c r="O2223" s="65"/>
      <c r="P2223" s="65"/>
      <c r="Q2223" s="65"/>
      <c r="R2223" s="65"/>
      <c r="S2223" s="65"/>
      <c r="T2223" s="65"/>
      <c r="U2223" s="65"/>
      <c r="V2223" s="65"/>
      <c r="W2223" s="65"/>
      <c r="X2223" s="66"/>
    </row>
    <row r="2224">
      <c r="A2224" s="63" t="s">
        <v>4886</v>
      </c>
      <c r="B2224" s="63" t="s">
        <v>429</v>
      </c>
      <c r="C2224" s="4">
        <v>3.0</v>
      </c>
      <c r="D2224" s="64">
        <v>1.0</v>
      </c>
      <c r="E2224" s="63" t="s">
        <v>4884</v>
      </c>
      <c r="F2224" s="65"/>
      <c r="G2224" s="64">
        <v>5.5</v>
      </c>
      <c r="H2224" s="64">
        <v>5.4</v>
      </c>
      <c r="I2224" s="64">
        <v>5.15</v>
      </c>
      <c r="J2224" s="64">
        <v>5.92</v>
      </c>
      <c r="K2224" s="65"/>
      <c r="L2224" s="65"/>
      <c r="M2224" s="65"/>
      <c r="N2224" s="65"/>
      <c r="O2224" s="65"/>
      <c r="P2224" s="65"/>
      <c r="Q2224" s="65"/>
      <c r="R2224" s="65"/>
      <c r="S2224" s="65"/>
      <c r="T2224" s="65"/>
      <c r="U2224" s="65"/>
      <c r="V2224" s="65"/>
      <c r="W2224" s="65"/>
      <c r="X2224" s="66"/>
    </row>
    <row r="2225">
      <c r="A2225" s="63" t="s">
        <v>4887</v>
      </c>
      <c r="B2225" s="63" t="s">
        <v>429</v>
      </c>
      <c r="C2225" s="4">
        <v>4.0</v>
      </c>
      <c r="D2225" s="64">
        <v>1.0</v>
      </c>
      <c r="E2225" s="63" t="s">
        <v>4884</v>
      </c>
      <c r="F2225" s="65"/>
      <c r="G2225" s="64">
        <v>6.66</v>
      </c>
      <c r="H2225" s="64">
        <v>5.59</v>
      </c>
      <c r="I2225" s="64">
        <v>6.35</v>
      </c>
      <c r="J2225" s="64">
        <v>6.05</v>
      </c>
      <c r="K2225" s="65"/>
      <c r="L2225" s="65"/>
      <c r="M2225" s="65"/>
      <c r="N2225" s="65"/>
      <c r="O2225" s="65"/>
      <c r="P2225" s="65"/>
      <c r="Q2225" s="65"/>
      <c r="R2225" s="65"/>
      <c r="S2225" s="65"/>
      <c r="T2225" s="65"/>
      <c r="U2225" s="65"/>
      <c r="V2225" s="65"/>
      <c r="W2225" s="65"/>
      <c r="X2225" s="66"/>
    </row>
    <row r="2226">
      <c r="A2226" s="63" t="s">
        <v>4888</v>
      </c>
      <c r="B2226" s="63" t="s">
        <v>429</v>
      </c>
      <c r="C2226" s="4">
        <v>5.0</v>
      </c>
      <c r="D2226" s="64">
        <v>2.0</v>
      </c>
      <c r="E2226" s="63" t="s">
        <v>4884</v>
      </c>
      <c r="F2226" s="65"/>
      <c r="G2226" s="64">
        <v>2.69</v>
      </c>
      <c r="H2226" s="64">
        <v>2.57</v>
      </c>
      <c r="I2226" s="64">
        <v>1.65</v>
      </c>
      <c r="J2226" s="64">
        <v>2.75</v>
      </c>
      <c r="K2226" s="65"/>
      <c r="L2226" s="65"/>
      <c r="M2226" s="65"/>
      <c r="N2226" s="65"/>
      <c r="O2226" s="65"/>
      <c r="P2226" s="65"/>
      <c r="Q2226" s="65"/>
      <c r="R2226" s="65"/>
      <c r="S2226" s="65"/>
      <c r="T2226" s="65"/>
      <c r="U2226" s="65"/>
      <c r="V2226" s="65"/>
      <c r="W2226" s="65"/>
      <c r="X2226" s="66"/>
    </row>
    <row r="2227">
      <c r="A2227" s="63" t="s">
        <v>4889</v>
      </c>
      <c r="B2227" s="63" t="s">
        <v>429</v>
      </c>
      <c r="C2227" s="4">
        <v>6.0</v>
      </c>
      <c r="D2227" s="64">
        <v>3.0</v>
      </c>
      <c r="E2227" s="63" t="s">
        <v>4884</v>
      </c>
      <c r="F2227" s="65"/>
      <c r="G2227" s="64">
        <v>2.15</v>
      </c>
      <c r="H2227" s="64">
        <v>1.93</v>
      </c>
      <c r="I2227" s="64">
        <v>2.41</v>
      </c>
      <c r="J2227" s="64">
        <v>2.33</v>
      </c>
      <c r="K2227" s="65"/>
      <c r="L2227" s="65"/>
      <c r="M2227" s="65"/>
      <c r="N2227" s="65"/>
      <c r="O2227" s="65"/>
      <c r="P2227" s="65"/>
      <c r="Q2227" s="65"/>
      <c r="R2227" s="65"/>
      <c r="S2227" s="65"/>
      <c r="T2227" s="65"/>
      <c r="U2227" s="65"/>
      <c r="V2227" s="65"/>
      <c r="W2227" s="65"/>
      <c r="X2227" s="66"/>
    </row>
    <row r="2228">
      <c r="A2228" s="63" t="s">
        <v>4890</v>
      </c>
      <c r="B2228" s="63" t="s">
        <v>429</v>
      </c>
      <c r="C2228" s="4">
        <v>7.0</v>
      </c>
      <c r="D2228" s="64">
        <v>4.0</v>
      </c>
      <c r="E2228" s="63" t="s">
        <v>4891</v>
      </c>
      <c r="F2228" s="65"/>
      <c r="G2228" s="64">
        <v>6.64</v>
      </c>
      <c r="H2228" s="64">
        <v>6.09</v>
      </c>
      <c r="I2228" s="64">
        <v>6.87</v>
      </c>
      <c r="J2228" s="64">
        <v>7.43</v>
      </c>
      <c r="K2228" s="65"/>
      <c r="L2228" s="65"/>
      <c r="M2228" s="65"/>
      <c r="N2228" s="65"/>
      <c r="O2228" s="65"/>
      <c r="P2228" s="65"/>
      <c r="Q2228" s="65"/>
      <c r="R2228" s="65"/>
      <c r="S2228" s="65"/>
      <c r="T2228" s="65"/>
      <c r="U2228" s="65"/>
      <c r="V2228" s="65"/>
      <c r="W2228" s="65"/>
      <c r="X2228" s="66"/>
    </row>
    <row r="2229">
      <c r="A2229" s="63" t="s">
        <v>4892</v>
      </c>
      <c r="B2229" s="63" t="s">
        <v>429</v>
      </c>
      <c r="C2229" s="4">
        <v>8.0</v>
      </c>
      <c r="D2229" s="64">
        <v>5.0</v>
      </c>
      <c r="E2229" s="63" t="s">
        <v>4884</v>
      </c>
      <c r="F2229" s="65"/>
      <c r="G2229" s="64">
        <v>2.36</v>
      </c>
      <c r="H2229" s="64">
        <v>3.36</v>
      </c>
      <c r="I2229" s="64">
        <v>2.32</v>
      </c>
      <c r="J2229" s="64">
        <v>2.36</v>
      </c>
      <c r="K2229" s="65"/>
      <c r="L2229" s="65"/>
      <c r="M2229" s="65"/>
      <c r="N2229" s="65"/>
      <c r="O2229" s="65"/>
      <c r="P2229" s="65"/>
      <c r="Q2229" s="65"/>
      <c r="R2229" s="65"/>
      <c r="S2229" s="65"/>
      <c r="T2229" s="65"/>
      <c r="U2229" s="65"/>
      <c r="V2229" s="65"/>
      <c r="W2229" s="65"/>
      <c r="X2229" s="66"/>
    </row>
    <row r="2230">
      <c r="A2230" s="63" t="s">
        <v>4893</v>
      </c>
      <c r="B2230" s="63" t="s">
        <v>438</v>
      </c>
      <c r="C2230" s="4">
        <v>1.0</v>
      </c>
      <c r="D2230" s="64">
        <v>1.0</v>
      </c>
      <c r="E2230" s="63" t="s">
        <v>4884</v>
      </c>
      <c r="F2230" s="65"/>
      <c r="G2230" s="64">
        <v>3.0</v>
      </c>
      <c r="H2230" s="64">
        <v>3.05</v>
      </c>
      <c r="I2230" s="64">
        <v>3.09</v>
      </c>
      <c r="J2230" s="64">
        <v>3.08</v>
      </c>
      <c r="K2230" s="65"/>
      <c r="L2230" s="65"/>
      <c r="M2230" s="65"/>
      <c r="N2230" s="65"/>
      <c r="O2230" s="65"/>
      <c r="P2230" s="65"/>
      <c r="Q2230" s="65"/>
      <c r="R2230" s="65"/>
      <c r="S2230" s="65"/>
      <c r="T2230" s="65"/>
      <c r="U2230" s="65"/>
      <c r="V2230" s="65"/>
      <c r="W2230" s="65"/>
      <c r="X2230" s="66"/>
    </row>
    <row r="2231">
      <c r="A2231" s="63" t="s">
        <v>4894</v>
      </c>
      <c r="B2231" s="63" t="s">
        <v>438</v>
      </c>
      <c r="C2231" s="4">
        <v>2.0</v>
      </c>
      <c r="D2231" s="64">
        <v>2.0</v>
      </c>
      <c r="E2231" s="63" t="s">
        <v>4891</v>
      </c>
      <c r="F2231" s="65"/>
      <c r="G2231" s="64">
        <v>5.68</v>
      </c>
      <c r="H2231" s="64">
        <v>5.24</v>
      </c>
      <c r="I2231" s="64">
        <v>5.09</v>
      </c>
      <c r="J2231" s="64">
        <v>4.71</v>
      </c>
      <c r="K2231" s="65"/>
      <c r="L2231" s="65"/>
      <c r="M2231" s="65"/>
      <c r="N2231" s="65"/>
      <c r="O2231" s="65"/>
      <c r="P2231" s="65"/>
      <c r="Q2231" s="65"/>
      <c r="R2231" s="65"/>
      <c r="S2231" s="65"/>
      <c r="T2231" s="65"/>
      <c r="U2231" s="65"/>
      <c r="V2231" s="65"/>
      <c r="W2231" s="65"/>
      <c r="X2231" s="66"/>
    </row>
    <row r="2232">
      <c r="A2232" s="63" t="s">
        <v>4895</v>
      </c>
      <c r="B2232" s="63" t="s">
        <v>438</v>
      </c>
      <c r="C2232" s="4">
        <v>3.0</v>
      </c>
      <c r="D2232" s="64">
        <v>3.0</v>
      </c>
      <c r="E2232" s="63" t="s">
        <v>4884</v>
      </c>
      <c r="F2232" s="65"/>
      <c r="G2232" s="64">
        <v>5.77</v>
      </c>
      <c r="H2232" s="64">
        <v>5.46</v>
      </c>
      <c r="I2232" s="64">
        <v>5.13</v>
      </c>
      <c r="J2232" s="64">
        <v>5.87</v>
      </c>
      <c r="K2232" s="65"/>
      <c r="L2232" s="65"/>
      <c r="M2232" s="65"/>
      <c r="N2232" s="65"/>
      <c r="O2232" s="65"/>
      <c r="P2232" s="65"/>
      <c r="Q2232" s="65"/>
      <c r="R2232" s="65"/>
      <c r="S2232" s="65"/>
      <c r="T2232" s="65"/>
      <c r="U2232" s="65"/>
      <c r="V2232" s="65"/>
      <c r="W2232" s="65"/>
      <c r="X2232" s="66"/>
    </row>
    <row r="2233">
      <c r="A2233" s="63" t="s">
        <v>4896</v>
      </c>
      <c r="B2233" s="63" t="s">
        <v>438</v>
      </c>
      <c r="C2233" s="4">
        <v>4.0</v>
      </c>
      <c r="D2233" s="64">
        <v>4.0</v>
      </c>
      <c r="E2233" s="63" t="s">
        <v>4884</v>
      </c>
      <c r="F2233" s="65"/>
      <c r="G2233" s="64">
        <v>1.55</v>
      </c>
      <c r="H2233" s="64">
        <v>1.74</v>
      </c>
      <c r="I2233" s="64">
        <v>2.02</v>
      </c>
      <c r="J2233" s="64">
        <v>2.0</v>
      </c>
      <c r="K2233" s="65"/>
      <c r="L2233" s="65"/>
      <c r="M2233" s="65"/>
      <c r="N2233" s="65"/>
      <c r="O2233" s="65"/>
      <c r="P2233" s="65"/>
      <c r="Q2233" s="65"/>
      <c r="R2233" s="65"/>
      <c r="S2233" s="65"/>
      <c r="T2233" s="65"/>
      <c r="U2233" s="65"/>
      <c r="V2233" s="65"/>
      <c r="W2233" s="65"/>
      <c r="X2233" s="66"/>
    </row>
    <row r="2234">
      <c r="A2234" s="63" t="s">
        <v>4897</v>
      </c>
      <c r="B2234" s="63" t="s">
        <v>438</v>
      </c>
      <c r="C2234" s="4">
        <v>5.0</v>
      </c>
      <c r="D2234" s="64">
        <v>5.0</v>
      </c>
      <c r="E2234" s="63" t="s">
        <v>4884</v>
      </c>
      <c r="F2234" s="69"/>
      <c r="G2234" s="64">
        <v>5.07</v>
      </c>
      <c r="H2234" s="64">
        <v>5.94</v>
      </c>
      <c r="I2234" s="64">
        <v>4.35</v>
      </c>
      <c r="J2234" s="64">
        <v>5.5</v>
      </c>
      <c r="K2234" s="69"/>
      <c r="L2234" s="69"/>
      <c r="M2234" s="69"/>
      <c r="N2234" s="69"/>
      <c r="O2234" s="69"/>
      <c r="P2234" s="69"/>
      <c r="Q2234" s="69"/>
      <c r="R2234" s="69"/>
      <c r="S2234" s="69"/>
      <c r="T2234" s="69"/>
      <c r="U2234" s="69"/>
      <c r="V2234" s="69"/>
      <c r="W2234" s="69"/>
      <c r="X2234" s="66"/>
    </row>
    <row r="2235">
      <c r="A2235" s="63" t="s">
        <v>4898</v>
      </c>
      <c r="B2235" s="63" t="s">
        <v>438</v>
      </c>
      <c r="C2235" s="4">
        <v>6.0</v>
      </c>
      <c r="D2235" s="64">
        <v>5.0</v>
      </c>
      <c r="E2235" s="63" t="s">
        <v>4884</v>
      </c>
      <c r="F2235" s="69"/>
      <c r="G2235" s="64">
        <v>6.21</v>
      </c>
      <c r="H2235" s="64">
        <v>4.99</v>
      </c>
      <c r="I2235" s="64">
        <v>4.62</v>
      </c>
      <c r="J2235" s="64">
        <v>6.22</v>
      </c>
      <c r="K2235" s="69"/>
      <c r="L2235" s="69"/>
      <c r="M2235" s="69"/>
      <c r="N2235" s="69"/>
      <c r="O2235" s="69"/>
      <c r="P2235" s="69"/>
      <c r="Q2235" s="69"/>
      <c r="R2235" s="69"/>
      <c r="S2235" s="69"/>
      <c r="T2235" s="69"/>
      <c r="U2235" s="69"/>
      <c r="V2235" s="69"/>
      <c r="W2235" s="69"/>
      <c r="X2235" s="66"/>
    </row>
    <row r="2236">
      <c r="A2236" s="63" t="s">
        <v>4899</v>
      </c>
      <c r="B2236" s="63" t="s">
        <v>438</v>
      </c>
      <c r="C2236" s="4">
        <v>7.0</v>
      </c>
      <c r="D2236" s="64">
        <v>5.0</v>
      </c>
      <c r="E2236" s="63" t="s">
        <v>4884</v>
      </c>
      <c r="F2236" s="69"/>
      <c r="G2236" s="64">
        <v>5.56</v>
      </c>
      <c r="H2236" s="64">
        <v>6.18</v>
      </c>
      <c r="I2236" s="64">
        <v>5.85</v>
      </c>
      <c r="J2236" s="64">
        <v>5.68</v>
      </c>
      <c r="K2236" s="69"/>
      <c r="L2236" s="69"/>
      <c r="M2236" s="69"/>
      <c r="N2236" s="69"/>
      <c r="O2236" s="69"/>
      <c r="P2236" s="69"/>
      <c r="Q2236" s="69"/>
      <c r="R2236" s="69"/>
      <c r="S2236" s="69"/>
      <c r="T2236" s="69"/>
      <c r="U2236" s="69"/>
      <c r="V2236" s="65"/>
      <c r="W2236" s="65"/>
      <c r="X2236" s="66"/>
    </row>
    <row r="2237">
      <c r="A2237" s="63" t="s">
        <v>4900</v>
      </c>
      <c r="B2237" s="63" t="s">
        <v>438</v>
      </c>
      <c r="C2237" s="4">
        <v>8.0</v>
      </c>
      <c r="D2237" s="64">
        <v>5.0</v>
      </c>
      <c r="E2237" s="63" t="s">
        <v>4884</v>
      </c>
      <c r="F2237" s="69"/>
      <c r="G2237" s="64">
        <v>5.66</v>
      </c>
      <c r="H2237" s="64">
        <v>4.68</v>
      </c>
      <c r="I2237" s="64">
        <v>5.57</v>
      </c>
      <c r="J2237" s="64">
        <v>6.31</v>
      </c>
      <c r="K2237" s="69"/>
      <c r="L2237" s="69"/>
      <c r="M2237" s="69"/>
      <c r="N2237" s="69"/>
      <c r="O2237" s="69"/>
      <c r="P2237" s="69"/>
      <c r="Q2237" s="69"/>
      <c r="R2237" s="69"/>
      <c r="S2237" s="69"/>
      <c r="T2237" s="69"/>
      <c r="U2237" s="69"/>
      <c r="V2237" s="69"/>
      <c r="W2237" s="69"/>
      <c r="X2237" s="66"/>
    </row>
    <row r="2238">
      <c r="A2238" s="63" t="s">
        <v>4901</v>
      </c>
      <c r="B2238" s="63" t="s">
        <v>438</v>
      </c>
      <c r="C2238" s="4">
        <v>9.0</v>
      </c>
      <c r="D2238" s="64">
        <v>6.0</v>
      </c>
      <c r="E2238" s="63" t="s">
        <v>4884</v>
      </c>
      <c r="F2238" s="65"/>
      <c r="G2238" s="64">
        <v>1.55</v>
      </c>
      <c r="H2238" s="64">
        <v>2.15</v>
      </c>
      <c r="I2238" s="64">
        <v>1.94</v>
      </c>
      <c r="J2238" s="64">
        <v>1.36</v>
      </c>
      <c r="K2238" s="69"/>
      <c r="L2238" s="69"/>
      <c r="M2238" s="69"/>
      <c r="N2238" s="69"/>
      <c r="O2238" s="69"/>
      <c r="P2238" s="69"/>
      <c r="Q2238" s="69"/>
      <c r="R2238" s="69"/>
      <c r="S2238" s="69"/>
      <c r="T2238" s="69"/>
      <c r="U2238" s="69"/>
      <c r="V2238" s="69"/>
      <c r="W2238" s="69"/>
      <c r="X2238" s="66"/>
    </row>
    <row r="2239">
      <c r="A2239" s="63" t="s">
        <v>4902</v>
      </c>
      <c r="B2239" s="63" t="s">
        <v>411</v>
      </c>
      <c r="C2239" s="4">
        <v>1.0</v>
      </c>
      <c r="D2239" s="64">
        <v>1.0</v>
      </c>
      <c r="E2239" s="63" t="s">
        <v>4884</v>
      </c>
      <c r="F2239" s="64">
        <v>16.0</v>
      </c>
      <c r="G2239" s="64">
        <v>11.1</v>
      </c>
      <c r="H2239" s="64">
        <v>11.23</v>
      </c>
      <c r="I2239" s="64">
        <v>10.94</v>
      </c>
      <c r="J2239" s="64">
        <v>10.31</v>
      </c>
      <c r="K2239" s="69"/>
      <c r="L2239" s="69"/>
      <c r="M2239" s="69"/>
      <c r="N2239" s="69"/>
      <c r="O2239" s="69"/>
      <c r="P2239" s="69"/>
      <c r="Q2239" s="69"/>
      <c r="R2239" s="69"/>
      <c r="S2239" s="69"/>
      <c r="T2239" s="69"/>
      <c r="U2239" s="69"/>
      <c r="V2239" s="65"/>
      <c r="W2239" s="65"/>
      <c r="X2239" s="67">
        <v>11.13</v>
      </c>
    </row>
    <row r="2240">
      <c r="A2240" s="63" t="s">
        <v>4903</v>
      </c>
      <c r="B2240" s="63" t="s">
        <v>411</v>
      </c>
      <c r="C2240" s="4">
        <v>2.0</v>
      </c>
      <c r="D2240" s="64">
        <v>2.0</v>
      </c>
      <c r="E2240" s="63" t="s">
        <v>4891</v>
      </c>
      <c r="F2240" s="64">
        <v>16.0</v>
      </c>
      <c r="G2240" s="64">
        <v>6.23</v>
      </c>
      <c r="H2240" s="64">
        <v>6.69</v>
      </c>
      <c r="I2240" s="64">
        <v>7.52</v>
      </c>
      <c r="J2240" s="64">
        <v>7.66</v>
      </c>
      <c r="K2240" s="69"/>
      <c r="L2240" s="69"/>
      <c r="M2240" s="69"/>
      <c r="N2240" s="69"/>
      <c r="O2240" s="69"/>
      <c r="P2240" s="69"/>
      <c r="Q2240" s="69"/>
      <c r="R2240" s="69"/>
      <c r="S2240" s="69"/>
      <c r="T2240" s="69"/>
      <c r="U2240" s="69"/>
      <c r="V2240" s="69"/>
      <c r="W2240" s="69"/>
      <c r="X2240" s="67">
        <v>7.92</v>
      </c>
    </row>
    <row r="2241">
      <c r="A2241" s="63" t="s">
        <v>4904</v>
      </c>
      <c r="B2241" s="63" t="s">
        <v>411</v>
      </c>
      <c r="C2241" s="4">
        <v>3.0</v>
      </c>
      <c r="D2241" s="64">
        <v>3.0</v>
      </c>
      <c r="E2241" s="63" t="s">
        <v>4884</v>
      </c>
      <c r="F2241" s="64">
        <v>16.0</v>
      </c>
      <c r="G2241" s="64">
        <v>6.03</v>
      </c>
      <c r="H2241" s="64">
        <v>4.64</v>
      </c>
      <c r="I2241" s="64">
        <v>5.97</v>
      </c>
      <c r="J2241" s="64">
        <v>5.03</v>
      </c>
      <c r="K2241" s="69"/>
      <c r="L2241" s="69"/>
      <c r="M2241" s="69"/>
      <c r="N2241" s="69"/>
      <c r="O2241" s="69"/>
      <c r="P2241" s="69"/>
      <c r="Q2241" s="69"/>
      <c r="R2241" s="69"/>
      <c r="S2241" s="69"/>
      <c r="T2241" s="69"/>
      <c r="U2241" s="69"/>
      <c r="V2241" s="69"/>
      <c r="W2241" s="69"/>
      <c r="X2241" s="67">
        <v>6.35</v>
      </c>
    </row>
    <row r="2242">
      <c r="A2242" s="63" t="s">
        <v>4905</v>
      </c>
      <c r="B2242" s="63" t="s">
        <v>411</v>
      </c>
      <c r="C2242" s="4">
        <v>4.0</v>
      </c>
      <c r="D2242" s="64">
        <v>4.0</v>
      </c>
      <c r="E2242" s="63" t="s">
        <v>4884</v>
      </c>
      <c r="F2242" s="64">
        <v>16.0</v>
      </c>
      <c r="G2242" s="64">
        <v>1.58</v>
      </c>
      <c r="H2242" s="64">
        <v>1.1</v>
      </c>
      <c r="I2242" s="64">
        <v>1.87</v>
      </c>
      <c r="J2242" s="64">
        <v>1.69</v>
      </c>
      <c r="K2242" s="69"/>
      <c r="L2242" s="69"/>
      <c r="M2242" s="69"/>
      <c r="N2242" s="69"/>
      <c r="O2242" s="69"/>
      <c r="P2242" s="69"/>
      <c r="Q2242" s="69"/>
      <c r="R2242" s="69"/>
      <c r="S2242" s="69"/>
      <c r="T2242" s="69"/>
      <c r="U2242" s="69"/>
      <c r="V2242" s="65"/>
      <c r="W2242" s="65"/>
      <c r="X2242" s="66"/>
    </row>
    <row r="2243">
      <c r="A2243" s="63" t="s">
        <v>4906</v>
      </c>
      <c r="B2243" s="63" t="s">
        <v>411</v>
      </c>
      <c r="C2243" s="4">
        <v>5.0</v>
      </c>
      <c r="D2243" s="64">
        <v>5.0</v>
      </c>
      <c r="E2243" s="63" t="s">
        <v>4884</v>
      </c>
      <c r="F2243" s="64">
        <v>16.0</v>
      </c>
      <c r="G2243" s="64">
        <v>4.63</v>
      </c>
      <c r="H2243" s="64">
        <v>4.36</v>
      </c>
      <c r="I2243" s="64">
        <v>5.93</v>
      </c>
      <c r="J2243" s="64">
        <v>4.04</v>
      </c>
      <c r="K2243" s="69"/>
      <c r="L2243" s="69"/>
      <c r="M2243" s="69"/>
      <c r="N2243" s="69"/>
      <c r="O2243" s="69"/>
      <c r="P2243" s="69"/>
      <c r="Q2243" s="69"/>
      <c r="R2243" s="69"/>
      <c r="S2243" s="69"/>
      <c r="T2243" s="69"/>
      <c r="U2243" s="69"/>
      <c r="V2243" s="69"/>
      <c r="W2243" s="69"/>
      <c r="X2243" s="67">
        <v>6.35</v>
      </c>
    </row>
    <row r="2244">
      <c r="A2244" s="63" t="s">
        <v>4907</v>
      </c>
      <c r="B2244" s="63" t="s">
        <v>411</v>
      </c>
      <c r="C2244" s="4">
        <v>6.0</v>
      </c>
      <c r="D2244" s="64">
        <v>5.0</v>
      </c>
      <c r="E2244" s="63" t="s">
        <v>4884</v>
      </c>
      <c r="F2244" s="64">
        <v>16.0</v>
      </c>
      <c r="G2244" s="64">
        <v>4.61</v>
      </c>
      <c r="H2244" s="64">
        <v>5.21</v>
      </c>
      <c r="I2244" s="64">
        <v>4.48</v>
      </c>
      <c r="J2244" s="64">
        <v>3.84</v>
      </c>
      <c r="K2244" s="69"/>
      <c r="L2244" s="69"/>
      <c r="M2244" s="69"/>
      <c r="N2244" s="69"/>
      <c r="O2244" s="69"/>
      <c r="P2244" s="69"/>
      <c r="Q2244" s="69"/>
      <c r="R2244" s="69"/>
      <c r="S2244" s="69"/>
      <c r="T2244" s="69"/>
      <c r="U2244" s="69"/>
      <c r="V2244" s="69"/>
      <c r="W2244" s="69"/>
      <c r="X2244" s="67">
        <v>5.16</v>
      </c>
    </row>
    <row r="2245">
      <c r="A2245" s="63" t="s">
        <v>4908</v>
      </c>
      <c r="B2245" s="63" t="s">
        <v>411</v>
      </c>
      <c r="C2245" s="4">
        <v>7.0</v>
      </c>
      <c r="D2245" s="64">
        <v>5.0</v>
      </c>
      <c r="E2245" s="63" t="s">
        <v>4884</v>
      </c>
      <c r="F2245" s="64">
        <v>16.0</v>
      </c>
      <c r="G2245" s="64">
        <v>3.74</v>
      </c>
      <c r="H2245" s="64">
        <v>3.99</v>
      </c>
      <c r="I2245" s="64">
        <v>4.36</v>
      </c>
      <c r="J2245" s="64">
        <v>4.13</v>
      </c>
      <c r="K2245" s="69"/>
      <c r="L2245" s="69"/>
      <c r="M2245" s="69"/>
      <c r="N2245" s="69"/>
      <c r="O2245" s="69"/>
      <c r="P2245" s="69"/>
      <c r="Q2245" s="69"/>
      <c r="R2245" s="69"/>
      <c r="S2245" s="69"/>
      <c r="T2245" s="69"/>
      <c r="U2245" s="69"/>
      <c r="V2245" s="65"/>
      <c r="W2245" s="65"/>
      <c r="X2245" s="67">
        <v>4.19</v>
      </c>
    </row>
    <row r="2246">
      <c r="A2246" s="63" t="s">
        <v>4909</v>
      </c>
      <c r="B2246" s="63" t="s">
        <v>411</v>
      </c>
      <c r="C2246" s="4">
        <v>8.0</v>
      </c>
      <c r="D2246" s="64">
        <v>6.0</v>
      </c>
      <c r="E2246" s="63" t="s">
        <v>4884</v>
      </c>
      <c r="F2246" s="64">
        <v>16.0</v>
      </c>
      <c r="G2246" s="64">
        <v>2.49</v>
      </c>
      <c r="H2246" s="64">
        <v>1.61</v>
      </c>
      <c r="I2246" s="64">
        <v>2.27</v>
      </c>
      <c r="J2246" s="64">
        <v>1.45</v>
      </c>
      <c r="K2246" s="69"/>
      <c r="L2246" s="69"/>
      <c r="M2246" s="69"/>
      <c r="N2246" s="69"/>
      <c r="O2246" s="69"/>
      <c r="P2246" s="69"/>
      <c r="Q2246" s="69"/>
      <c r="R2246" s="69"/>
      <c r="S2246" s="69"/>
      <c r="T2246" s="69"/>
      <c r="U2246" s="69"/>
      <c r="V2246" s="69"/>
      <c r="W2246" s="69"/>
      <c r="X2246" s="66"/>
    </row>
    <row r="2247">
      <c r="A2247" s="63" t="s">
        <v>4910</v>
      </c>
      <c r="B2247" s="63" t="s">
        <v>520</v>
      </c>
      <c r="C2247" s="4">
        <v>1.0</v>
      </c>
      <c r="D2247" s="64">
        <v>1.0</v>
      </c>
      <c r="E2247" s="63" t="s">
        <v>1088</v>
      </c>
      <c r="F2247" s="64">
        <v>8.0</v>
      </c>
      <c r="G2247" s="69"/>
      <c r="H2247" s="69"/>
      <c r="I2247" s="69"/>
      <c r="J2247" s="69"/>
      <c r="K2247" s="69"/>
      <c r="L2247" s="69"/>
      <c r="M2247" s="69"/>
      <c r="N2247" s="69"/>
      <c r="O2247" s="69"/>
      <c r="P2247" s="69"/>
      <c r="Q2247" s="69"/>
      <c r="R2247" s="69"/>
      <c r="S2247" s="69"/>
      <c r="T2247" s="69"/>
      <c r="U2247" s="69"/>
      <c r="V2247" s="69"/>
      <c r="W2247" s="69"/>
      <c r="X2247" s="66"/>
    </row>
    <row r="2248">
      <c r="A2248" s="63" t="s">
        <v>4911</v>
      </c>
      <c r="B2248" s="63" t="s">
        <v>520</v>
      </c>
      <c r="C2248" s="4">
        <v>2.0</v>
      </c>
      <c r="D2248" s="64">
        <v>2.0</v>
      </c>
      <c r="E2248" s="63" t="s">
        <v>1251</v>
      </c>
      <c r="F2248" s="64">
        <v>8.0</v>
      </c>
      <c r="G2248" s="64">
        <v>10.4</v>
      </c>
      <c r="H2248" s="64">
        <v>9.55</v>
      </c>
      <c r="I2248" s="64">
        <v>9.26</v>
      </c>
      <c r="J2248" s="64">
        <v>9.6</v>
      </c>
      <c r="K2248" s="69"/>
      <c r="L2248" s="69"/>
      <c r="M2248" s="69"/>
      <c r="N2248" s="69"/>
      <c r="O2248" s="69"/>
      <c r="P2248" s="69"/>
      <c r="Q2248" s="69"/>
      <c r="R2248" s="69"/>
      <c r="S2248" s="69"/>
      <c r="T2248" s="69"/>
      <c r="U2248" s="69"/>
      <c r="V2248" s="65"/>
      <c r="W2248" s="65"/>
      <c r="X2248" s="67">
        <v>10.31</v>
      </c>
    </row>
    <row r="2249">
      <c r="A2249" s="63" t="s">
        <v>4912</v>
      </c>
      <c r="B2249" s="63" t="s">
        <v>520</v>
      </c>
      <c r="C2249" s="4">
        <v>3.0</v>
      </c>
      <c r="D2249" s="64">
        <v>3.0</v>
      </c>
      <c r="E2249" s="63" t="s">
        <v>1251</v>
      </c>
      <c r="F2249" s="64">
        <v>16.0</v>
      </c>
      <c r="G2249" s="69"/>
      <c r="H2249" s="69"/>
      <c r="I2249" s="69"/>
      <c r="J2249" s="69"/>
      <c r="K2249" s="69"/>
      <c r="L2249" s="69"/>
      <c r="M2249" s="69"/>
      <c r="N2249" s="69"/>
      <c r="O2249" s="69"/>
      <c r="P2249" s="69"/>
      <c r="Q2249" s="69"/>
      <c r="R2249" s="69"/>
      <c r="S2249" s="69"/>
      <c r="T2249" s="69"/>
      <c r="U2249" s="69"/>
      <c r="V2249" s="69"/>
      <c r="W2249" s="69"/>
      <c r="X2249" s="70"/>
    </row>
    <row r="2250">
      <c r="A2250" s="63" t="s">
        <v>4913</v>
      </c>
      <c r="B2250" s="63" t="s">
        <v>520</v>
      </c>
      <c r="C2250" s="4">
        <v>4.0</v>
      </c>
      <c r="D2250" s="64">
        <v>4.0</v>
      </c>
      <c r="E2250" s="63" t="s">
        <v>1088</v>
      </c>
      <c r="F2250" s="68" t="s">
        <v>4054</v>
      </c>
      <c r="G2250" s="69"/>
      <c r="H2250" s="69"/>
      <c r="I2250" s="69"/>
      <c r="J2250" s="69"/>
      <c r="K2250" s="69"/>
      <c r="L2250" s="69"/>
      <c r="M2250" s="69"/>
      <c r="N2250" s="69"/>
      <c r="O2250" s="69"/>
      <c r="P2250" s="69"/>
      <c r="Q2250" s="69"/>
      <c r="R2250" s="69"/>
      <c r="S2250" s="69"/>
      <c r="T2250" s="69"/>
      <c r="U2250" s="69"/>
      <c r="V2250" s="69"/>
      <c r="W2250" s="69"/>
      <c r="X2250" s="66"/>
    </row>
    <row r="2251">
      <c r="A2251" s="63" t="s">
        <v>4914</v>
      </c>
      <c r="B2251" s="63" t="s">
        <v>520</v>
      </c>
      <c r="C2251" s="4">
        <v>5.0</v>
      </c>
      <c r="D2251" s="64">
        <v>5.0</v>
      </c>
      <c r="E2251" s="63" t="s">
        <v>1098</v>
      </c>
      <c r="F2251" s="64">
        <v>16.0</v>
      </c>
      <c r="G2251" s="64">
        <v>14.18</v>
      </c>
      <c r="H2251" s="64">
        <v>13.22</v>
      </c>
      <c r="I2251" s="64">
        <v>15.81</v>
      </c>
      <c r="J2251" s="64">
        <v>14.71</v>
      </c>
      <c r="K2251" s="64">
        <v>15.6</v>
      </c>
      <c r="L2251" s="64">
        <v>14.56</v>
      </c>
      <c r="M2251" s="64">
        <v>15.3</v>
      </c>
      <c r="N2251" s="64">
        <v>14.93</v>
      </c>
      <c r="O2251" s="69"/>
      <c r="P2251" s="69"/>
      <c r="Q2251" s="69"/>
      <c r="R2251" s="69"/>
      <c r="S2251" s="69"/>
      <c r="T2251" s="69"/>
      <c r="U2251" s="69"/>
      <c r="V2251" s="65"/>
      <c r="W2251" s="65"/>
      <c r="X2251" s="67">
        <v>15.88</v>
      </c>
    </row>
    <row r="2252">
      <c r="A2252" s="63" t="s">
        <v>4915</v>
      </c>
      <c r="B2252" s="63" t="s">
        <v>520</v>
      </c>
      <c r="C2252" s="4">
        <v>6.0</v>
      </c>
      <c r="D2252" s="64">
        <v>6.0</v>
      </c>
      <c r="E2252" s="63" t="s">
        <v>1098</v>
      </c>
      <c r="F2252" s="64">
        <v>16.0</v>
      </c>
      <c r="G2252" s="64">
        <v>15.11</v>
      </c>
      <c r="H2252" s="64">
        <v>15.05</v>
      </c>
      <c r="I2252" s="64">
        <v>15.1</v>
      </c>
      <c r="J2252" s="64">
        <v>15.91</v>
      </c>
      <c r="K2252" s="64">
        <v>14.25</v>
      </c>
      <c r="L2252" s="64">
        <v>14.42</v>
      </c>
      <c r="M2252" s="64">
        <v>15.46</v>
      </c>
      <c r="N2252" s="64">
        <v>14.09</v>
      </c>
      <c r="O2252" s="69"/>
      <c r="P2252" s="69"/>
      <c r="Q2252" s="69"/>
      <c r="R2252" s="69"/>
      <c r="S2252" s="69"/>
      <c r="T2252" s="69"/>
      <c r="U2252" s="69"/>
      <c r="V2252" s="69"/>
      <c r="W2252" s="69"/>
      <c r="X2252" s="67">
        <v>15.88</v>
      </c>
    </row>
    <row r="2253">
      <c r="A2253" s="63" t="s">
        <v>4916</v>
      </c>
      <c r="B2253" s="63" t="s">
        <v>520</v>
      </c>
      <c r="C2253" s="4">
        <v>7.0</v>
      </c>
      <c r="D2253" s="64">
        <v>7.0</v>
      </c>
      <c r="E2253" s="63" t="s">
        <v>1088</v>
      </c>
      <c r="F2253" s="68" t="s">
        <v>4054</v>
      </c>
      <c r="G2253" s="69"/>
      <c r="H2253" s="69"/>
      <c r="I2253" s="69"/>
      <c r="J2253" s="69"/>
      <c r="K2253" s="69"/>
      <c r="L2253" s="69"/>
      <c r="M2253" s="69"/>
      <c r="N2253" s="69"/>
      <c r="O2253" s="69"/>
      <c r="P2253" s="69"/>
      <c r="Q2253" s="69"/>
      <c r="R2253" s="69"/>
      <c r="S2253" s="69"/>
      <c r="T2253" s="69"/>
      <c r="U2253" s="69"/>
      <c r="V2253" s="69"/>
      <c r="W2253" s="69"/>
      <c r="X2253" s="66"/>
    </row>
    <row r="2254">
      <c r="A2254" s="63" t="s">
        <v>4917</v>
      </c>
      <c r="B2254" s="63" t="s">
        <v>520</v>
      </c>
      <c r="C2254" s="4">
        <v>8.0</v>
      </c>
      <c r="D2254" s="64">
        <v>8.0</v>
      </c>
      <c r="E2254" s="63" t="s">
        <v>1088</v>
      </c>
      <c r="F2254" s="64">
        <v>16.0</v>
      </c>
      <c r="G2254" s="64">
        <v>5.17</v>
      </c>
      <c r="H2254" s="64">
        <v>5.42</v>
      </c>
      <c r="I2254" s="64">
        <v>5.55</v>
      </c>
      <c r="J2254" s="64">
        <v>5.58</v>
      </c>
      <c r="K2254" s="64">
        <v>4.53</v>
      </c>
      <c r="L2254" s="64">
        <v>4.8</v>
      </c>
      <c r="M2254" s="64">
        <v>4.95</v>
      </c>
      <c r="N2254" s="64">
        <v>5.03</v>
      </c>
      <c r="O2254" s="69"/>
      <c r="P2254" s="69"/>
      <c r="Q2254" s="69"/>
      <c r="R2254" s="69"/>
      <c r="S2254" s="69"/>
      <c r="T2254" s="69"/>
      <c r="U2254" s="69"/>
      <c r="V2254" s="65"/>
      <c r="W2254" s="65"/>
      <c r="X2254" s="67">
        <v>5.56</v>
      </c>
    </row>
    <row r="2255">
      <c r="A2255" s="63" t="s">
        <v>4918</v>
      </c>
      <c r="B2255" s="63" t="s">
        <v>520</v>
      </c>
      <c r="C2255" s="4">
        <v>9.0</v>
      </c>
      <c r="D2255" s="64">
        <v>9.0</v>
      </c>
      <c r="E2255" s="63" t="s">
        <v>1088</v>
      </c>
      <c r="F2255" s="64">
        <v>2.5</v>
      </c>
      <c r="G2255" s="69"/>
      <c r="H2255" s="69"/>
      <c r="I2255" s="69"/>
      <c r="J2255" s="69"/>
      <c r="K2255" s="69"/>
      <c r="L2255" s="69"/>
      <c r="M2255" s="69"/>
      <c r="N2255" s="69"/>
      <c r="O2255" s="69"/>
      <c r="P2255" s="69"/>
      <c r="Q2255" s="69"/>
      <c r="R2255" s="69"/>
      <c r="S2255" s="69"/>
      <c r="T2255" s="69"/>
      <c r="U2255" s="69"/>
      <c r="V2255" s="69"/>
      <c r="W2255" s="69"/>
      <c r="X2255" s="70"/>
    </row>
    <row r="2256">
      <c r="A2256" s="63" t="s">
        <v>4919</v>
      </c>
      <c r="B2256" s="63" t="s">
        <v>524</v>
      </c>
      <c r="C2256" s="4">
        <v>1.0</v>
      </c>
      <c r="D2256" s="64">
        <v>1.0</v>
      </c>
      <c r="E2256" s="63" t="s">
        <v>1088</v>
      </c>
      <c r="F2256" s="64">
        <v>8.0</v>
      </c>
      <c r="G2256" s="69"/>
      <c r="H2256" s="69"/>
      <c r="I2256" s="69"/>
      <c r="J2256" s="69"/>
      <c r="K2256" s="69"/>
      <c r="L2256" s="69"/>
      <c r="M2256" s="69"/>
      <c r="N2256" s="69"/>
      <c r="O2256" s="69"/>
      <c r="P2256" s="69"/>
      <c r="Q2256" s="69"/>
      <c r="R2256" s="69"/>
      <c r="S2256" s="69"/>
      <c r="T2256" s="69"/>
      <c r="U2256" s="69"/>
      <c r="V2256" s="69"/>
      <c r="W2256" s="69"/>
      <c r="X2256" s="66"/>
    </row>
    <row r="2257">
      <c r="A2257" s="63" t="s">
        <v>4920</v>
      </c>
      <c r="B2257" s="63" t="s">
        <v>524</v>
      </c>
      <c r="C2257" s="4">
        <v>2.0</v>
      </c>
      <c r="D2257" s="64">
        <v>2.0</v>
      </c>
      <c r="E2257" s="63" t="s">
        <v>1251</v>
      </c>
      <c r="F2257" s="64">
        <v>8.0</v>
      </c>
      <c r="G2257" s="64">
        <v>10.4</v>
      </c>
      <c r="H2257" s="64">
        <v>9.55</v>
      </c>
      <c r="I2257" s="64">
        <v>9.26</v>
      </c>
      <c r="J2257" s="64">
        <v>9.6</v>
      </c>
      <c r="K2257" s="69"/>
      <c r="L2257" s="69"/>
      <c r="M2257" s="69"/>
      <c r="N2257" s="69"/>
      <c r="O2257" s="69"/>
      <c r="P2257" s="69"/>
      <c r="Q2257" s="69"/>
      <c r="R2257" s="69"/>
      <c r="S2257" s="69"/>
      <c r="T2257" s="69"/>
      <c r="U2257" s="69"/>
      <c r="V2257" s="65"/>
      <c r="W2257" s="65"/>
      <c r="X2257" s="67">
        <v>10.31</v>
      </c>
    </row>
    <row r="2258">
      <c r="A2258" s="63" t="s">
        <v>4921</v>
      </c>
      <c r="B2258" s="63" t="s">
        <v>524</v>
      </c>
      <c r="C2258" s="4">
        <v>3.0</v>
      </c>
      <c r="D2258" s="64">
        <v>3.0</v>
      </c>
      <c r="E2258" s="63" t="s">
        <v>1251</v>
      </c>
      <c r="F2258" s="64">
        <v>16.0</v>
      </c>
      <c r="G2258" s="69"/>
      <c r="H2258" s="69"/>
      <c r="I2258" s="69"/>
      <c r="J2258" s="69"/>
      <c r="K2258" s="69"/>
      <c r="L2258" s="69"/>
      <c r="M2258" s="69"/>
      <c r="N2258" s="69"/>
      <c r="O2258" s="69"/>
      <c r="P2258" s="69"/>
      <c r="Q2258" s="69"/>
      <c r="R2258" s="69"/>
      <c r="S2258" s="69"/>
      <c r="T2258" s="69"/>
      <c r="U2258" s="69"/>
      <c r="V2258" s="69"/>
      <c r="W2258" s="69"/>
      <c r="X2258" s="70"/>
    </row>
    <row r="2259">
      <c r="A2259" s="63" t="s">
        <v>4922</v>
      </c>
      <c r="B2259" s="63" t="s">
        <v>524</v>
      </c>
      <c r="C2259" s="4">
        <v>4.0</v>
      </c>
      <c r="D2259" s="64">
        <v>4.0</v>
      </c>
      <c r="E2259" s="63" t="s">
        <v>1088</v>
      </c>
      <c r="F2259" s="68" t="s">
        <v>4054</v>
      </c>
      <c r="G2259" s="69"/>
      <c r="H2259" s="69"/>
      <c r="I2259" s="69"/>
      <c r="J2259" s="69"/>
      <c r="K2259" s="69"/>
      <c r="L2259" s="69"/>
      <c r="M2259" s="69"/>
      <c r="N2259" s="69"/>
      <c r="O2259" s="69"/>
      <c r="P2259" s="69"/>
      <c r="Q2259" s="69"/>
      <c r="R2259" s="69"/>
      <c r="S2259" s="69"/>
      <c r="T2259" s="69"/>
      <c r="U2259" s="69"/>
      <c r="V2259" s="69"/>
      <c r="W2259" s="69"/>
      <c r="X2259" s="66"/>
    </row>
    <row r="2260">
      <c r="A2260" s="63" t="s">
        <v>4923</v>
      </c>
      <c r="B2260" s="63" t="s">
        <v>524</v>
      </c>
      <c r="C2260" s="4">
        <v>5.0</v>
      </c>
      <c r="D2260" s="64">
        <v>5.0</v>
      </c>
      <c r="E2260" s="63" t="s">
        <v>1098</v>
      </c>
      <c r="F2260" s="64">
        <v>16.0</v>
      </c>
      <c r="G2260" s="64">
        <v>11.29</v>
      </c>
      <c r="H2260" s="64">
        <v>11.09</v>
      </c>
      <c r="I2260" s="64">
        <v>11.97</v>
      </c>
      <c r="J2260" s="64">
        <v>12.21</v>
      </c>
      <c r="K2260" s="64">
        <v>11.38</v>
      </c>
      <c r="L2260" s="64">
        <v>12.01</v>
      </c>
      <c r="M2260" s="64">
        <v>12.11</v>
      </c>
      <c r="N2260" s="64">
        <v>11.87</v>
      </c>
      <c r="O2260" s="69"/>
      <c r="P2260" s="69"/>
      <c r="Q2260" s="69"/>
      <c r="R2260" s="69"/>
      <c r="S2260" s="69"/>
      <c r="T2260" s="69"/>
      <c r="U2260" s="69"/>
      <c r="V2260" s="69"/>
      <c r="W2260" s="69"/>
      <c r="X2260" s="67">
        <v>11.91</v>
      </c>
    </row>
    <row r="2261">
      <c r="A2261" s="63" t="s">
        <v>4924</v>
      </c>
      <c r="B2261" s="63" t="s">
        <v>524</v>
      </c>
      <c r="C2261" s="4">
        <v>6.0</v>
      </c>
      <c r="D2261" s="64">
        <v>6.0</v>
      </c>
      <c r="E2261" s="63" t="s">
        <v>1098</v>
      </c>
      <c r="F2261" s="64">
        <v>16.0</v>
      </c>
      <c r="G2261" s="64">
        <v>12.06</v>
      </c>
      <c r="H2261" s="64">
        <v>13.78</v>
      </c>
      <c r="I2261" s="64">
        <v>13.77</v>
      </c>
      <c r="J2261" s="64">
        <v>12.33</v>
      </c>
      <c r="K2261" s="64">
        <v>12.06</v>
      </c>
      <c r="L2261" s="64">
        <v>13.78</v>
      </c>
      <c r="M2261" s="64">
        <v>13.77</v>
      </c>
      <c r="N2261" s="64">
        <v>12.33</v>
      </c>
      <c r="O2261" s="69"/>
      <c r="P2261" s="69"/>
      <c r="Q2261" s="69"/>
      <c r="R2261" s="69"/>
      <c r="S2261" s="69"/>
      <c r="T2261" s="69"/>
      <c r="U2261" s="69"/>
      <c r="V2261" s="69"/>
      <c r="W2261" s="69"/>
      <c r="X2261" s="67">
        <v>14.27</v>
      </c>
    </row>
    <row r="2262">
      <c r="A2262" s="63" t="s">
        <v>4925</v>
      </c>
      <c r="B2262" s="63" t="s">
        <v>524</v>
      </c>
      <c r="C2262" s="4">
        <v>7.0</v>
      </c>
      <c r="D2262" s="64">
        <v>7.0</v>
      </c>
      <c r="E2262" s="63" t="s">
        <v>1088</v>
      </c>
      <c r="F2262" s="68" t="s">
        <v>4054</v>
      </c>
      <c r="G2262" s="69"/>
      <c r="H2262" s="69"/>
      <c r="I2262" s="69"/>
      <c r="J2262" s="69"/>
      <c r="K2262" s="65"/>
      <c r="L2262" s="65"/>
      <c r="M2262" s="65"/>
      <c r="N2262" s="65"/>
      <c r="O2262" s="65"/>
      <c r="P2262" s="65"/>
      <c r="Q2262" s="65"/>
      <c r="R2262" s="65"/>
      <c r="S2262" s="65"/>
      <c r="T2262" s="65"/>
      <c r="U2262" s="65"/>
      <c r="V2262" s="65"/>
      <c r="W2262" s="65"/>
      <c r="X2262" s="66"/>
    </row>
    <row r="2263">
      <c r="A2263" s="63" t="s">
        <v>4926</v>
      </c>
      <c r="B2263" s="63" t="s">
        <v>524</v>
      </c>
      <c r="C2263" s="4">
        <v>8.0</v>
      </c>
      <c r="D2263" s="64">
        <v>8.0</v>
      </c>
      <c r="E2263" s="63" t="s">
        <v>1088</v>
      </c>
      <c r="F2263" s="64">
        <v>16.0</v>
      </c>
      <c r="G2263" s="64">
        <v>5.17</v>
      </c>
      <c r="H2263" s="64">
        <v>5.42</v>
      </c>
      <c r="I2263" s="64">
        <v>5.55</v>
      </c>
      <c r="J2263" s="64">
        <v>5.58</v>
      </c>
      <c r="K2263" s="64">
        <v>4.53</v>
      </c>
      <c r="L2263" s="64">
        <v>4.8</v>
      </c>
      <c r="M2263" s="64">
        <v>4.95</v>
      </c>
      <c r="N2263" s="64">
        <v>5.03</v>
      </c>
      <c r="O2263" s="65"/>
      <c r="P2263" s="65"/>
      <c r="Q2263" s="65"/>
      <c r="R2263" s="65"/>
      <c r="S2263" s="65"/>
      <c r="T2263" s="65"/>
      <c r="U2263" s="65"/>
      <c r="V2263" s="65"/>
      <c r="W2263" s="65"/>
      <c r="X2263" s="67">
        <v>5.56</v>
      </c>
    </row>
    <row r="2264">
      <c r="A2264" s="63" t="s">
        <v>4927</v>
      </c>
      <c r="B2264" s="63" t="s">
        <v>524</v>
      </c>
      <c r="C2264" s="4">
        <v>9.0</v>
      </c>
      <c r="D2264" s="64">
        <v>9.0</v>
      </c>
      <c r="E2264" s="63" t="s">
        <v>1088</v>
      </c>
      <c r="F2264" s="68" t="s">
        <v>4054</v>
      </c>
      <c r="G2264" s="69"/>
      <c r="H2264" s="69"/>
      <c r="I2264" s="69"/>
      <c r="J2264" s="69"/>
      <c r="K2264" s="65"/>
      <c r="L2264" s="65"/>
      <c r="M2264" s="65"/>
      <c r="N2264" s="65"/>
      <c r="O2264" s="65"/>
      <c r="P2264" s="65"/>
      <c r="Q2264" s="65"/>
      <c r="R2264" s="65"/>
      <c r="S2264" s="65"/>
      <c r="T2264" s="65"/>
      <c r="U2264" s="65"/>
      <c r="V2264" s="65"/>
      <c r="W2264" s="65"/>
      <c r="X2264" s="66"/>
    </row>
    <row r="2265">
      <c r="A2265" s="63" t="s">
        <v>4928</v>
      </c>
      <c r="B2265" s="63" t="s">
        <v>528</v>
      </c>
      <c r="C2265" s="4">
        <v>1.0</v>
      </c>
      <c r="D2265" s="64">
        <v>1.0</v>
      </c>
      <c r="E2265" s="63" t="s">
        <v>1088</v>
      </c>
      <c r="F2265" s="64">
        <v>16.0</v>
      </c>
      <c r="G2265" s="64">
        <v>5.43</v>
      </c>
      <c r="H2265" s="64">
        <v>5.43</v>
      </c>
      <c r="I2265" s="64">
        <v>5.02</v>
      </c>
      <c r="J2265" s="64">
        <v>5.47</v>
      </c>
      <c r="K2265" s="64">
        <v>5.29</v>
      </c>
      <c r="L2265" s="64">
        <v>5.17</v>
      </c>
      <c r="M2265" s="64">
        <v>5.05</v>
      </c>
      <c r="N2265" s="64">
        <v>5.28</v>
      </c>
      <c r="O2265" s="65"/>
      <c r="P2265" s="65"/>
      <c r="Q2265" s="65"/>
      <c r="R2265" s="65"/>
      <c r="S2265" s="65"/>
      <c r="T2265" s="65"/>
      <c r="U2265" s="65"/>
      <c r="V2265" s="65"/>
      <c r="W2265" s="65"/>
      <c r="X2265" s="67">
        <v>5.56</v>
      </c>
    </row>
    <row r="2266">
      <c r="A2266" s="63" t="s">
        <v>4929</v>
      </c>
      <c r="B2266" s="63" t="s">
        <v>528</v>
      </c>
      <c r="C2266" s="4">
        <v>2.0</v>
      </c>
      <c r="D2266" s="64">
        <v>2.0</v>
      </c>
      <c r="E2266" s="63" t="s">
        <v>1098</v>
      </c>
      <c r="F2266" s="64">
        <v>16.0</v>
      </c>
      <c r="G2266" s="64">
        <v>8.52</v>
      </c>
      <c r="H2266" s="64">
        <v>8.18</v>
      </c>
      <c r="I2266" s="64">
        <v>8.44</v>
      </c>
      <c r="J2266" s="64">
        <v>8.32</v>
      </c>
      <c r="K2266" s="65"/>
      <c r="L2266" s="65"/>
      <c r="M2266" s="65"/>
      <c r="N2266" s="65"/>
      <c r="O2266" s="65"/>
      <c r="P2266" s="65"/>
      <c r="Q2266" s="65"/>
      <c r="R2266" s="65"/>
      <c r="S2266" s="65"/>
      <c r="T2266" s="65"/>
      <c r="U2266" s="65"/>
      <c r="V2266" s="65"/>
      <c r="W2266" s="65"/>
      <c r="X2266" s="67">
        <v>8.74</v>
      </c>
    </row>
    <row r="2267">
      <c r="A2267" s="63" t="s">
        <v>4930</v>
      </c>
      <c r="B2267" s="63" t="s">
        <v>528</v>
      </c>
      <c r="C2267" s="4">
        <v>3.0</v>
      </c>
      <c r="D2267" s="64">
        <v>3.0</v>
      </c>
      <c r="E2267" s="63" t="s">
        <v>1098</v>
      </c>
      <c r="F2267" s="64">
        <v>16.0</v>
      </c>
      <c r="G2267" s="64">
        <v>11.02</v>
      </c>
      <c r="H2267" s="64">
        <v>11.13</v>
      </c>
      <c r="I2267" s="64">
        <v>11.0</v>
      </c>
      <c r="J2267" s="64">
        <v>10.16</v>
      </c>
      <c r="K2267" s="64">
        <v>10.82</v>
      </c>
      <c r="L2267" s="64">
        <v>11.37</v>
      </c>
      <c r="M2267" s="64">
        <v>11.34</v>
      </c>
      <c r="N2267" s="64">
        <v>11.44</v>
      </c>
      <c r="O2267" s="65"/>
      <c r="P2267" s="65"/>
      <c r="Q2267" s="65"/>
      <c r="R2267" s="65"/>
      <c r="S2267" s="65"/>
      <c r="T2267" s="65"/>
      <c r="U2267" s="65"/>
      <c r="V2267" s="65"/>
      <c r="W2267" s="65"/>
      <c r="X2267" s="67">
        <v>11.13</v>
      </c>
    </row>
    <row r="2268">
      <c r="A2268" s="63" t="s">
        <v>4931</v>
      </c>
      <c r="B2268" s="63" t="s">
        <v>528</v>
      </c>
      <c r="C2268" s="4">
        <v>4.0</v>
      </c>
      <c r="D2268" s="64">
        <v>4.0</v>
      </c>
      <c r="E2268" s="63" t="s">
        <v>1088</v>
      </c>
      <c r="F2268" s="64">
        <v>16.0</v>
      </c>
      <c r="G2268" s="64">
        <v>5.85</v>
      </c>
      <c r="H2268" s="64">
        <v>6.23</v>
      </c>
      <c r="I2268" s="64">
        <v>6.1</v>
      </c>
      <c r="J2268" s="64">
        <v>6.49</v>
      </c>
      <c r="K2268" s="65"/>
      <c r="L2268" s="65"/>
      <c r="M2268" s="65"/>
      <c r="N2268" s="65"/>
      <c r="O2268" s="65"/>
      <c r="P2268" s="65"/>
      <c r="Q2268" s="65"/>
      <c r="R2268" s="65"/>
      <c r="S2268" s="65"/>
      <c r="T2268" s="65"/>
      <c r="U2268" s="65"/>
      <c r="V2268" s="65"/>
      <c r="W2268" s="65"/>
      <c r="X2268" s="67">
        <v>6.35</v>
      </c>
    </row>
    <row r="2269">
      <c r="A2269" s="63" t="s">
        <v>4932</v>
      </c>
      <c r="B2269" s="63" t="s">
        <v>533</v>
      </c>
      <c r="C2269" s="4">
        <v>1.0</v>
      </c>
      <c r="D2269" s="64">
        <v>1.0</v>
      </c>
      <c r="E2269" s="63" t="s">
        <v>1088</v>
      </c>
      <c r="F2269" s="64">
        <v>16.0</v>
      </c>
      <c r="G2269" s="64">
        <v>5.84</v>
      </c>
      <c r="H2269" s="64">
        <v>5.37</v>
      </c>
      <c r="I2269" s="64">
        <v>5.62</v>
      </c>
      <c r="J2269" s="64">
        <v>5.15</v>
      </c>
      <c r="K2269" s="64">
        <v>5.24</v>
      </c>
      <c r="L2269" s="64">
        <v>5.23</v>
      </c>
      <c r="M2269" s="64">
        <v>6.28</v>
      </c>
      <c r="N2269" s="64">
        <v>5.23</v>
      </c>
      <c r="O2269" s="65"/>
      <c r="P2269" s="65"/>
      <c r="Q2269" s="65"/>
      <c r="R2269" s="65"/>
      <c r="S2269" s="65"/>
      <c r="T2269" s="65"/>
      <c r="U2269" s="65"/>
      <c r="V2269" s="65"/>
      <c r="W2269" s="65"/>
      <c r="X2269" s="67">
        <v>6.35</v>
      </c>
    </row>
    <row r="2270">
      <c r="A2270" s="63" t="s">
        <v>4933</v>
      </c>
      <c r="B2270" s="63" t="s">
        <v>533</v>
      </c>
      <c r="C2270" s="4">
        <v>2.0</v>
      </c>
      <c r="D2270" s="64">
        <v>2.0</v>
      </c>
      <c r="E2270" s="63" t="s">
        <v>1098</v>
      </c>
      <c r="F2270" s="64">
        <v>16.0</v>
      </c>
      <c r="G2270" s="64">
        <v>7.09</v>
      </c>
      <c r="H2270" s="64">
        <v>7.8</v>
      </c>
      <c r="I2270" s="64">
        <v>7.66</v>
      </c>
      <c r="J2270" s="64">
        <v>8.12</v>
      </c>
      <c r="K2270" s="65"/>
      <c r="L2270" s="65"/>
      <c r="M2270" s="65"/>
      <c r="N2270" s="65"/>
      <c r="O2270" s="65"/>
      <c r="P2270" s="65"/>
      <c r="Q2270" s="65"/>
      <c r="R2270" s="65"/>
      <c r="S2270" s="65"/>
      <c r="T2270" s="65"/>
      <c r="U2270" s="65"/>
      <c r="V2270" s="65"/>
      <c r="W2270" s="65"/>
      <c r="X2270" s="67">
        <v>7.92</v>
      </c>
    </row>
    <row r="2271">
      <c r="A2271" s="63" t="s">
        <v>4934</v>
      </c>
      <c r="B2271" s="63" t="s">
        <v>533</v>
      </c>
      <c r="C2271" s="4">
        <v>3.0</v>
      </c>
      <c r="D2271" s="64">
        <v>3.0</v>
      </c>
      <c r="E2271" s="63" t="s">
        <v>1098</v>
      </c>
      <c r="F2271" s="64">
        <v>16.0</v>
      </c>
      <c r="G2271" s="64">
        <v>8.01</v>
      </c>
      <c r="H2271" s="64">
        <v>8.76</v>
      </c>
      <c r="I2271" s="64">
        <v>9.59</v>
      </c>
      <c r="J2271" s="64">
        <v>8.94</v>
      </c>
      <c r="K2271" s="64">
        <v>8.74</v>
      </c>
      <c r="L2271" s="64">
        <v>8.58</v>
      </c>
      <c r="M2271" s="65"/>
      <c r="N2271" s="65"/>
      <c r="O2271" s="65"/>
      <c r="P2271" s="65"/>
      <c r="Q2271" s="65"/>
      <c r="R2271" s="65"/>
      <c r="S2271" s="65"/>
      <c r="T2271" s="65"/>
      <c r="U2271" s="65"/>
      <c r="V2271" s="65"/>
      <c r="W2271" s="65"/>
      <c r="X2271" s="67">
        <v>9.53</v>
      </c>
    </row>
    <row r="2272">
      <c r="A2272" s="63" t="s">
        <v>4935</v>
      </c>
      <c r="B2272" s="63" t="s">
        <v>533</v>
      </c>
      <c r="C2272" s="4">
        <v>4.0</v>
      </c>
      <c r="D2272" s="64">
        <v>4.0</v>
      </c>
      <c r="E2272" s="63" t="s">
        <v>1088</v>
      </c>
      <c r="F2272" s="64">
        <v>16.0</v>
      </c>
      <c r="G2272" s="64">
        <v>6.2</v>
      </c>
      <c r="H2272" s="64">
        <v>6.51</v>
      </c>
      <c r="I2272" s="64">
        <v>6.07</v>
      </c>
      <c r="J2272" s="64">
        <v>6.04</v>
      </c>
      <c r="K2272" s="65"/>
      <c r="L2272" s="65"/>
      <c r="M2272" s="65"/>
      <c r="N2272" s="65"/>
      <c r="O2272" s="65"/>
      <c r="P2272" s="65"/>
      <c r="Q2272" s="65"/>
      <c r="R2272" s="65"/>
      <c r="S2272" s="65"/>
      <c r="T2272" s="65"/>
      <c r="U2272" s="65"/>
      <c r="V2272" s="65"/>
      <c r="W2272" s="65"/>
      <c r="X2272" s="67">
        <v>6.35</v>
      </c>
    </row>
    <row r="2273">
      <c r="A2273" s="63" t="s">
        <v>4936</v>
      </c>
      <c r="B2273" s="63" t="s">
        <v>539</v>
      </c>
      <c r="C2273" s="4">
        <v>1.0</v>
      </c>
      <c r="D2273" s="64">
        <v>1.0</v>
      </c>
      <c r="E2273" s="63" t="s">
        <v>1088</v>
      </c>
      <c r="F2273" s="64">
        <v>16.0</v>
      </c>
      <c r="G2273" s="64">
        <v>4.88</v>
      </c>
      <c r="H2273" s="64">
        <v>5.25</v>
      </c>
      <c r="I2273" s="64">
        <v>5.05</v>
      </c>
      <c r="J2273" s="64">
        <v>4.67</v>
      </c>
      <c r="K2273" s="64">
        <v>5.12</v>
      </c>
      <c r="L2273" s="64">
        <v>5.02</v>
      </c>
      <c r="M2273" s="64">
        <v>4.95</v>
      </c>
      <c r="N2273" s="64">
        <v>5.04</v>
      </c>
      <c r="O2273" s="65"/>
      <c r="P2273" s="65"/>
      <c r="Q2273" s="65"/>
      <c r="R2273" s="65"/>
      <c r="S2273" s="65"/>
      <c r="T2273" s="65"/>
      <c r="U2273" s="65"/>
      <c r="V2273" s="65"/>
      <c r="W2273" s="65"/>
      <c r="X2273" s="67">
        <v>5.16</v>
      </c>
    </row>
    <row r="2274">
      <c r="A2274" s="63" t="s">
        <v>4937</v>
      </c>
      <c r="B2274" s="63" t="s">
        <v>539</v>
      </c>
      <c r="C2274" s="4">
        <v>2.0</v>
      </c>
      <c r="D2274" s="64">
        <v>2.0</v>
      </c>
      <c r="E2274" s="63" t="s">
        <v>1098</v>
      </c>
      <c r="F2274" s="64">
        <v>16.0</v>
      </c>
      <c r="G2274" s="69"/>
      <c r="H2274" s="69"/>
      <c r="I2274" s="69"/>
      <c r="J2274" s="69"/>
      <c r="K2274" s="65"/>
      <c r="L2274" s="65"/>
      <c r="M2274" s="65"/>
      <c r="N2274" s="65"/>
      <c r="O2274" s="65"/>
      <c r="P2274" s="65"/>
      <c r="Q2274" s="65"/>
      <c r="R2274" s="65"/>
      <c r="S2274" s="65"/>
      <c r="T2274" s="65"/>
      <c r="U2274" s="65"/>
      <c r="V2274" s="65"/>
      <c r="W2274" s="65"/>
      <c r="X2274" s="66"/>
    </row>
    <row r="2275">
      <c r="A2275" s="63" t="s">
        <v>4938</v>
      </c>
      <c r="B2275" s="63" t="s">
        <v>539</v>
      </c>
      <c r="C2275" s="4">
        <v>3.0</v>
      </c>
      <c r="D2275" s="64">
        <v>3.0</v>
      </c>
      <c r="E2275" s="63" t="s">
        <v>1098</v>
      </c>
      <c r="F2275" s="64">
        <v>16.0</v>
      </c>
      <c r="G2275" s="64">
        <v>8.05</v>
      </c>
      <c r="H2275" s="64">
        <v>8.48</v>
      </c>
      <c r="I2275" s="64">
        <v>8.77</v>
      </c>
      <c r="J2275" s="64">
        <v>8.03</v>
      </c>
      <c r="K2275" s="64">
        <v>8.44</v>
      </c>
      <c r="L2275" s="65"/>
      <c r="M2275" s="65"/>
      <c r="N2275" s="65"/>
      <c r="O2275" s="65"/>
      <c r="P2275" s="65"/>
      <c r="Q2275" s="65"/>
      <c r="R2275" s="65"/>
      <c r="S2275" s="65"/>
      <c r="T2275" s="65"/>
      <c r="U2275" s="65"/>
      <c r="V2275" s="65"/>
      <c r="W2275" s="65"/>
      <c r="X2275" s="67">
        <v>8.74</v>
      </c>
    </row>
    <row r="2276">
      <c r="A2276" s="63" t="s">
        <v>4939</v>
      </c>
      <c r="B2276" s="63" t="s">
        <v>539</v>
      </c>
      <c r="C2276" s="4">
        <v>4.0</v>
      </c>
      <c r="D2276" s="64">
        <v>4.0</v>
      </c>
      <c r="E2276" s="63" t="s">
        <v>1088</v>
      </c>
      <c r="F2276" s="64">
        <v>16.0</v>
      </c>
      <c r="G2276" s="64">
        <v>8.89</v>
      </c>
      <c r="H2276" s="64">
        <v>8.37</v>
      </c>
      <c r="I2276" s="64">
        <v>7.99</v>
      </c>
      <c r="J2276" s="64">
        <v>8.05</v>
      </c>
      <c r="K2276" s="65"/>
      <c r="L2276" s="65"/>
      <c r="M2276" s="65"/>
      <c r="N2276" s="65"/>
      <c r="O2276" s="65"/>
      <c r="P2276" s="65"/>
      <c r="Q2276" s="65"/>
      <c r="R2276" s="65"/>
      <c r="S2276" s="65"/>
      <c r="T2276" s="65"/>
      <c r="U2276" s="65"/>
      <c r="V2276" s="65"/>
      <c r="W2276" s="65"/>
      <c r="X2276" s="67">
        <v>8.74</v>
      </c>
    </row>
    <row r="2277">
      <c r="A2277" s="63" t="s">
        <v>4940</v>
      </c>
      <c r="B2277" s="63" t="s">
        <v>545</v>
      </c>
      <c r="C2277" s="4">
        <v>1.0</v>
      </c>
      <c r="D2277" s="64">
        <v>1.0</v>
      </c>
      <c r="E2277" s="63" t="s">
        <v>1088</v>
      </c>
      <c r="F2277" s="64">
        <v>16.0</v>
      </c>
      <c r="G2277" s="64">
        <v>5.0</v>
      </c>
      <c r="H2277" s="64">
        <v>5.46</v>
      </c>
      <c r="I2277" s="64">
        <v>5.03</v>
      </c>
      <c r="J2277" s="64">
        <v>4.88</v>
      </c>
      <c r="K2277" s="64">
        <v>5.02</v>
      </c>
      <c r="L2277" s="64">
        <v>5.09</v>
      </c>
      <c r="M2277" s="64">
        <v>5.5</v>
      </c>
      <c r="N2277" s="64">
        <v>5.16</v>
      </c>
      <c r="O2277" s="65"/>
      <c r="P2277" s="65"/>
      <c r="Q2277" s="65"/>
      <c r="R2277" s="65"/>
      <c r="S2277" s="65"/>
      <c r="T2277" s="65"/>
      <c r="U2277" s="65"/>
      <c r="V2277" s="65"/>
      <c r="W2277" s="65"/>
      <c r="X2277" s="67">
        <v>5.56</v>
      </c>
    </row>
    <row r="2278">
      <c r="A2278" s="63" t="s">
        <v>4941</v>
      </c>
      <c r="B2278" s="63" t="s">
        <v>545</v>
      </c>
      <c r="C2278" s="4">
        <v>2.0</v>
      </c>
      <c r="D2278" s="64">
        <v>2.0</v>
      </c>
      <c r="E2278" s="63" t="s">
        <v>1098</v>
      </c>
      <c r="F2278" s="64">
        <v>16.0</v>
      </c>
      <c r="G2278" s="64">
        <v>8.73</v>
      </c>
      <c r="H2278" s="64">
        <v>8.32</v>
      </c>
      <c r="I2278" s="64">
        <v>8.17</v>
      </c>
      <c r="J2278" s="64">
        <v>8.06</v>
      </c>
      <c r="K2278" s="64">
        <v>8.47</v>
      </c>
      <c r="L2278" s="64">
        <v>8.14</v>
      </c>
      <c r="M2278" s="64">
        <v>8.15</v>
      </c>
      <c r="N2278" s="65"/>
      <c r="O2278" s="65"/>
      <c r="P2278" s="65"/>
      <c r="Q2278" s="65"/>
      <c r="R2278" s="65"/>
      <c r="S2278" s="65"/>
      <c r="T2278" s="65"/>
      <c r="U2278" s="65"/>
      <c r="V2278" s="65"/>
      <c r="W2278" s="65"/>
      <c r="X2278" s="67">
        <v>8.74</v>
      </c>
    </row>
    <row r="2279">
      <c r="A2279" s="63" t="s">
        <v>4942</v>
      </c>
      <c r="B2279" s="63" t="s">
        <v>545</v>
      </c>
      <c r="C2279" s="4">
        <v>3.0</v>
      </c>
      <c r="D2279" s="64">
        <v>3.0</v>
      </c>
      <c r="E2279" s="63" t="s">
        <v>1098</v>
      </c>
      <c r="F2279" s="64">
        <v>16.0</v>
      </c>
      <c r="G2279" s="64">
        <v>11.07</v>
      </c>
      <c r="H2279" s="64">
        <v>11.21</v>
      </c>
      <c r="I2279" s="64">
        <v>11.49</v>
      </c>
      <c r="J2279" s="64">
        <v>11.23</v>
      </c>
      <c r="K2279" s="64">
        <v>11.01</v>
      </c>
      <c r="L2279" s="64">
        <v>11.13</v>
      </c>
      <c r="M2279" s="65"/>
      <c r="N2279" s="65"/>
      <c r="O2279" s="65"/>
      <c r="P2279" s="65"/>
      <c r="Q2279" s="65"/>
      <c r="R2279" s="65"/>
      <c r="S2279" s="65"/>
      <c r="T2279" s="65"/>
      <c r="U2279" s="65"/>
      <c r="V2279" s="65"/>
      <c r="W2279" s="65"/>
      <c r="X2279" s="66"/>
    </row>
    <row r="2280">
      <c r="A2280" s="63" t="s">
        <v>4943</v>
      </c>
      <c r="B2280" s="63" t="s">
        <v>545</v>
      </c>
      <c r="C2280" s="4">
        <v>4.0</v>
      </c>
      <c r="D2280" s="64">
        <v>4.0</v>
      </c>
      <c r="E2280" s="63" t="s">
        <v>1088</v>
      </c>
      <c r="F2280" s="64">
        <v>16.0</v>
      </c>
      <c r="G2280" s="64">
        <v>8.83</v>
      </c>
      <c r="H2280" s="64">
        <v>8.12</v>
      </c>
      <c r="I2280" s="64">
        <v>8.65</v>
      </c>
      <c r="J2280" s="64">
        <v>8.85</v>
      </c>
      <c r="K2280" s="64">
        <v>8.16</v>
      </c>
      <c r="L2280" s="64">
        <v>8.74</v>
      </c>
      <c r="M2280" s="65"/>
      <c r="N2280" s="65"/>
      <c r="O2280" s="65"/>
      <c r="P2280" s="65"/>
      <c r="Q2280" s="65"/>
      <c r="R2280" s="65"/>
      <c r="S2280" s="65"/>
      <c r="T2280" s="65"/>
      <c r="U2280" s="65"/>
      <c r="V2280" s="65"/>
      <c r="W2280" s="65"/>
      <c r="X2280" s="66"/>
    </row>
    <row r="2281">
      <c r="A2281" s="63" t="s">
        <v>4944</v>
      </c>
      <c r="B2281" s="71" t="s">
        <v>500</v>
      </c>
      <c r="C2281" s="4">
        <v>1.0</v>
      </c>
      <c r="D2281" s="64">
        <v>1.0</v>
      </c>
      <c r="E2281" s="63" t="s">
        <v>1088</v>
      </c>
      <c r="F2281" s="64">
        <v>20.0</v>
      </c>
      <c r="G2281" s="64">
        <v>4.5466</v>
      </c>
      <c r="H2281" s="64">
        <v>3.8862</v>
      </c>
      <c r="I2281" s="64">
        <v>4.6736</v>
      </c>
      <c r="J2281" s="64">
        <v>4.4196</v>
      </c>
      <c r="K2281" s="64">
        <v>4.8006</v>
      </c>
      <c r="L2281" s="64">
        <v>4.2672</v>
      </c>
      <c r="M2281" s="64">
        <v>5.7912</v>
      </c>
      <c r="N2281" s="64">
        <v>4.572</v>
      </c>
      <c r="O2281" s="65"/>
      <c r="P2281" s="65"/>
      <c r="Q2281" s="65"/>
      <c r="R2281" s="65"/>
      <c r="S2281" s="65"/>
      <c r="T2281" s="65"/>
      <c r="U2281" s="65"/>
      <c r="V2281" s="65"/>
      <c r="W2281" s="65"/>
      <c r="X2281" s="67">
        <v>5.56</v>
      </c>
    </row>
    <row r="2282">
      <c r="A2282" s="63" t="s">
        <v>4945</v>
      </c>
      <c r="B2282" s="71" t="s">
        <v>500</v>
      </c>
      <c r="C2282" s="4">
        <v>2.0</v>
      </c>
      <c r="D2282" s="64">
        <v>2.0</v>
      </c>
      <c r="E2282" s="63" t="s">
        <v>1088</v>
      </c>
      <c r="F2282" s="68" t="s">
        <v>4054</v>
      </c>
      <c r="G2282" s="69"/>
      <c r="H2282" s="69"/>
      <c r="I2282" s="69"/>
      <c r="J2282" s="69"/>
      <c r="K2282" s="65"/>
      <c r="L2282" s="65"/>
      <c r="M2282" s="65"/>
      <c r="N2282" s="65"/>
      <c r="O2282" s="65"/>
      <c r="P2282" s="65"/>
      <c r="Q2282" s="65"/>
      <c r="R2282" s="65"/>
      <c r="S2282" s="65"/>
      <c r="T2282" s="65"/>
      <c r="U2282" s="65"/>
      <c r="V2282" s="65"/>
      <c r="W2282" s="65"/>
      <c r="X2282" s="66"/>
    </row>
    <row r="2283">
      <c r="A2283" s="63" t="s">
        <v>4946</v>
      </c>
      <c r="B2283" s="71" t="s">
        <v>500</v>
      </c>
      <c r="C2283" s="4">
        <v>3.0</v>
      </c>
      <c r="D2283" s="64">
        <v>3.0</v>
      </c>
      <c r="E2283" s="63" t="s">
        <v>1088</v>
      </c>
      <c r="F2283" s="68" t="s">
        <v>4054</v>
      </c>
      <c r="G2283" s="69"/>
      <c r="H2283" s="69"/>
      <c r="I2283" s="69"/>
      <c r="J2283" s="69"/>
      <c r="K2283" s="65"/>
      <c r="L2283" s="65"/>
      <c r="M2283" s="65"/>
      <c r="N2283" s="65"/>
      <c r="O2283" s="65"/>
      <c r="P2283" s="65"/>
      <c r="Q2283" s="65"/>
      <c r="R2283" s="65"/>
      <c r="S2283" s="65"/>
      <c r="T2283" s="65"/>
      <c r="U2283" s="65"/>
      <c r="V2283" s="65"/>
      <c r="W2283" s="65"/>
      <c r="X2283" s="66"/>
    </row>
    <row r="2284">
      <c r="A2284" s="63" t="s">
        <v>4947</v>
      </c>
      <c r="B2284" s="71" t="s">
        <v>500</v>
      </c>
      <c r="C2284" s="4">
        <v>4.0</v>
      </c>
      <c r="D2284" s="64">
        <v>4.0</v>
      </c>
      <c r="E2284" s="63" t="s">
        <v>1251</v>
      </c>
      <c r="F2284" s="64">
        <v>20.0</v>
      </c>
      <c r="G2284" s="69"/>
      <c r="H2284" s="69"/>
      <c r="I2284" s="69"/>
      <c r="J2284" s="69"/>
      <c r="K2284" s="65"/>
      <c r="L2284" s="65"/>
      <c r="M2284" s="65"/>
      <c r="N2284" s="65"/>
      <c r="O2284" s="65"/>
      <c r="P2284" s="65"/>
      <c r="Q2284" s="65"/>
      <c r="R2284" s="65"/>
      <c r="S2284" s="65"/>
      <c r="T2284" s="65"/>
      <c r="U2284" s="65"/>
      <c r="V2284" s="65"/>
      <c r="W2284" s="65"/>
      <c r="X2284" s="66"/>
    </row>
    <row r="2285">
      <c r="A2285" s="63" t="s">
        <v>4948</v>
      </c>
      <c r="B2285" s="71" t="s">
        <v>500</v>
      </c>
      <c r="C2285" s="4">
        <v>5.0</v>
      </c>
      <c r="D2285" s="64">
        <v>5.0</v>
      </c>
      <c r="E2285" s="63" t="s">
        <v>1251</v>
      </c>
      <c r="F2285" s="64">
        <v>10.0</v>
      </c>
      <c r="G2285" s="69"/>
      <c r="H2285" s="69"/>
      <c r="I2285" s="69"/>
      <c r="J2285" s="69"/>
      <c r="K2285" s="65"/>
      <c r="L2285" s="65"/>
      <c r="M2285" s="65"/>
      <c r="N2285" s="65"/>
      <c r="O2285" s="65"/>
      <c r="P2285" s="65"/>
      <c r="Q2285" s="65"/>
      <c r="R2285" s="65"/>
      <c r="S2285" s="65"/>
      <c r="T2285" s="65"/>
      <c r="U2285" s="65"/>
      <c r="V2285" s="65"/>
      <c r="W2285" s="65"/>
      <c r="X2285" s="66"/>
    </row>
    <row r="2286">
      <c r="A2286" s="63" t="s">
        <v>4949</v>
      </c>
      <c r="B2286" s="71" t="s">
        <v>500</v>
      </c>
      <c r="C2286" s="4">
        <v>6.0</v>
      </c>
      <c r="D2286" s="64">
        <v>6.0</v>
      </c>
      <c r="E2286" s="63" t="s">
        <v>1088</v>
      </c>
      <c r="F2286" s="64">
        <v>10.0</v>
      </c>
      <c r="G2286" s="69"/>
      <c r="H2286" s="69"/>
      <c r="I2286" s="69"/>
      <c r="J2286" s="69"/>
      <c r="K2286" s="65"/>
      <c r="L2286" s="65"/>
      <c r="M2286" s="65"/>
      <c r="N2286" s="65"/>
      <c r="O2286" s="65"/>
      <c r="P2286" s="65"/>
      <c r="Q2286" s="65"/>
      <c r="R2286" s="65"/>
      <c r="S2286" s="65"/>
      <c r="T2286" s="65"/>
      <c r="U2286" s="65"/>
      <c r="V2286" s="65"/>
      <c r="W2286" s="65"/>
      <c r="X2286" s="66"/>
    </row>
    <row r="2287">
      <c r="A2287" s="63" t="s">
        <v>4950</v>
      </c>
      <c r="B2287" s="63" t="s">
        <v>511</v>
      </c>
      <c r="C2287" s="4">
        <v>1.0</v>
      </c>
      <c r="D2287" s="64">
        <v>1.0</v>
      </c>
      <c r="E2287" s="63" t="s">
        <v>1088</v>
      </c>
      <c r="F2287" s="64">
        <v>20.0</v>
      </c>
      <c r="G2287" s="64">
        <v>4.3688</v>
      </c>
      <c r="H2287" s="64">
        <v>4.6228</v>
      </c>
      <c r="I2287" s="64">
        <v>4.0132</v>
      </c>
      <c r="J2287" s="64">
        <v>4.0132</v>
      </c>
      <c r="K2287" s="64">
        <v>4.2418</v>
      </c>
      <c r="L2287" s="64">
        <v>4.191</v>
      </c>
      <c r="M2287" s="64">
        <v>4.3942</v>
      </c>
      <c r="N2287" s="64">
        <v>4.6228</v>
      </c>
      <c r="O2287" s="65"/>
      <c r="P2287" s="65"/>
      <c r="Q2287" s="65"/>
      <c r="R2287" s="65"/>
      <c r="S2287" s="65"/>
      <c r="T2287" s="65"/>
      <c r="U2287" s="65"/>
      <c r="V2287" s="65"/>
      <c r="W2287" s="65"/>
      <c r="X2287" s="67">
        <v>4.78</v>
      </c>
    </row>
    <row r="2288">
      <c r="A2288" s="63" t="s">
        <v>4951</v>
      </c>
      <c r="B2288" s="63" t="s">
        <v>511</v>
      </c>
      <c r="C2288" s="4">
        <v>2.0</v>
      </c>
      <c r="D2288" s="64">
        <v>2.0</v>
      </c>
      <c r="E2288" s="63" t="s">
        <v>1088</v>
      </c>
      <c r="F2288" s="68" t="s">
        <v>4054</v>
      </c>
      <c r="G2288" s="69"/>
      <c r="H2288" s="69"/>
      <c r="I2288" s="69"/>
      <c r="J2288" s="69"/>
      <c r="K2288" s="65"/>
      <c r="L2288" s="65"/>
      <c r="M2288" s="65"/>
      <c r="N2288" s="65"/>
      <c r="O2288" s="65"/>
      <c r="P2288" s="65"/>
      <c r="Q2288" s="65"/>
      <c r="R2288" s="65"/>
      <c r="S2288" s="65"/>
      <c r="T2288" s="65"/>
      <c r="U2288" s="65"/>
      <c r="V2288" s="65"/>
      <c r="W2288" s="65"/>
      <c r="X2288" s="66"/>
    </row>
    <row r="2289">
      <c r="A2289" s="63" t="s">
        <v>4952</v>
      </c>
      <c r="B2289" s="63" t="s">
        <v>511</v>
      </c>
      <c r="C2289" s="4">
        <v>3.0</v>
      </c>
      <c r="D2289" s="64">
        <v>3.0</v>
      </c>
      <c r="E2289" s="63" t="s">
        <v>1088</v>
      </c>
      <c r="F2289" s="68" t="s">
        <v>4054</v>
      </c>
      <c r="G2289" s="69"/>
      <c r="H2289" s="69"/>
      <c r="I2289" s="69"/>
      <c r="J2289" s="69"/>
      <c r="K2289" s="65"/>
      <c r="L2289" s="65"/>
      <c r="M2289" s="65"/>
      <c r="N2289" s="65"/>
      <c r="O2289" s="65"/>
      <c r="P2289" s="65"/>
      <c r="Q2289" s="65"/>
      <c r="R2289" s="65"/>
      <c r="S2289" s="65"/>
      <c r="T2289" s="65"/>
      <c r="U2289" s="65"/>
      <c r="V2289" s="65"/>
      <c r="W2289" s="65"/>
      <c r="X2289" s="66"/>
    </row>
    <row r="2290">
      <c r="A2290" s="63" t="s">
        <v>4953</v>
      </c>
      <c r="B2290" s="63" t="s">
        <v>511</v>
      </c>
      <c r="C2290" s="4">
        <v>4.0</v>
      </c>
      <c r="D2290" s="64">
        <v>4.0</v>
      </c>
      <c r="E2290" s="63" t="s">
        <v>1251</v>
      </c>
      <c r="F2290" s="64">
        <v>20.0</v>
      </c>
      <c r="G2290" s="69"/>
      <c r="H2290" s="69"/>
      <c r="I2290" s="69"/>
      <c r="J2290" s="69"/>
      <c r="K2290" s="65"/>
      <c r="L2290" s="65"/>
      <c r="M2290" s="65"/>
      <c r="N2290" s="65"/>
      <c r="O2290" s="65"/>
      <c r="P2290" s="65"/>
      <c r="Q2290" s="65"/>
      <c r="R2290" s="65"/>
      <c r="S2290" s="65"/>
      <c r="T2290" s="65"/>
      <c r="U2290" s="65"/>
      <c r="V2290" s="65"/>
      <c r="W2290" s="65"/>
      <c r="X2290" s="66"/>
    </row>
    <row r="2291">
      <c r="A2291" s="63" t="s">
        <v>4954</v>
      </c>
      <c r="B2291" s="63" t="s">
        <v>511</v>
      </c>
      <c r="C2291" s="4">
        <v>5.0</v>
      </c>
      <c r="D2291" s="64">
        <v>5.0</v>
      </c>
      <c r="E2291" s="63" t="s">
        <v>1251</v>
      </c>
      <c r="F2291" s="64">
        <v>10.0</v>
      </c>
      <c r="G2291" s="69"/>
      <c r="H2291" s="69"/>
      <c r="I2291" s="69"/>
      <c r="J2291" s="69"/>
      <c r="K2291" s="65"/>
      <c r="L2291" s="65"/>
      <c r="M2291" s="65"/>
      <c r="N2291" s="65"/>
      <c r="O2291" s="65"/>
      <c r="P2291" s="65"/>
      <c r="Q2291" s="65"/>
      <c r="R2291" s="65"/>
      <c r="S2291" s="65"/>
      <c r="T2291" s="65"/>
      <c r="U2291" s="65"/>
      <c r="V2291" s="65"/>
      <c r="W2291" s="65"/>
      <c r="X2291" s="66"/>
    </row>
    <row r="2292">
      <c r="A2292" s="63" t="s">
        <v>4955</v>
      </c>
      <c r="B2292" s="63" t="s">
        <v>511</v>
      </c>
      <c r="C2292" s="4">
        <v>6.0</v>
      </c>
      <c r="D2292" s="64">
        <v>6.0</v>
      </c>
      <c r="E2292" s="63" t="s">
        <v>1088</v>
      </c>
      <c r="F2292" s="64">
        <v>10.0</v>
      </c>
      <c r="G2292" s="69"/>
      <c r="H2292" s="69"/>
      <c r="I2292" s="69"/>
      <c r="J2292" s="69"/>
      <c r="K2292" s="65"/>
      <c r="L2292" s="65"/>
      <c r="M2292" s="65"/>
      <c r="N2292" s="65"/>
      <c r="O2292" s="65"/>
      <c r="P2292" s="65"/>
      <c r="Q2292" s="65"/>
      <c r="R2292" s="65"/>
      <c r="S2292" s="65"/>
      <c r="T2292" s="65"/>
      <c r="U2292" s="65"/>
      <c r="V2292" s="65"/>
      <c r="W2292" s="65"/>
      <c r="X2292" s="66"/>
    </row>
    <row r="2293">
      <c r="A2293" s="63" t="s">
        <v>4956</v>
      </c>
      <c r="B2293" s="63" t="s">
        <v>516</v>
      </c>
      <c r="C2293" s="4">
        <v>1.0</v>
      </c>
      <c r="D2293" s="64">
        <v>1.0</v>
      </c>
      <c r="E2293" s="63" t="s">
        <v>1088</v>
      </c>
      <c r="F2293" s="64">
        <v>20.0</v>
      </c>
      <c r="G2293" s="64">
        <v>4.699</v>
      </c>
      <c r="H2293" s="64">
        <v>4.3434</v>
      </c>
      <c r="I2293" s="64">
        <v>4.6228</v>
      </c>
      <c r="J2293" s="64">
        <v>4.699</v>
      </c>
      <c r="K2293" s="64">
        <v>4.6228</v>
      </c>
      <c r="L2293" s="64">
        <v>4.318</v>
      </c>
      <c r="M2293" s="64">
        <v>4.3688</v>
      </c>
      <c r="N2293" s="64">
        <v>4.318</v>
      </c>
      <c r="O2293" s="65"/>
      <c r="P2293" s="65"/>
      <c r="Q2293" s="65"/>
      <c r="R2293" s="65"/>
      <c r="S2293" s="65"/>
      <c r="T2293" s="65"/>
      <c r="U2293" s="65"/>
      <c r="V2293" s="65"/>
      <c r="W2293" s="65"/>
      <c r="X2293" s="67">
        <v>4.78</v>
      </c>
    </row>
    <row r="2294">
      <c r="A2294" s="63" t="s">
        <v>4957</v>
      </c>
      <c r="B2294" s="63" t="s">
        <v>516</v>
      </c>
      <c r="C2294" s="4">
        <v>2.0</v>
      </c>
      <c r="D2294" s="64">
        <v>2.0</v>
      </c>
      <c r="E2294" s="63" t="s">
        <v>1088</v>
      </c>
      <c r="F2294" s="68" t="s">
        <v>4054</v>
      </c>
      <c r="G2294" s="69"/>
      <c r="H2294" s="69"/>
      <c r="I2294" s="69"/>
      <c r="J2294" s="69"/>
      <c r="K2294" s="65"/>
      <c r="L2294" s="65"/>
      <c r="M2294" s="65"/>
      <c r="N2294" s="65"/>
      <c r="O2294" s="65"/>
      <c r="P2294" s="65"/>
      <c r="Q2294" s="65"/>
      <c r="R2294" s="65"/>
      <c r="S2294" s="65"/>
      <c r="T2294" s="65"/>
      <c r="U2294" s="65"/>
      <c r="V2294" s="65"/>
      <c r="W2294" s="65"/>
      <c r="X2294" s="66"/>
    </row>
    <row r="2295">
      <c r="A2295" s="63" t="s">
        <v>4958</v>
      </c>
      <c r="B2295" s="63" t="s">
        <v>516</v>
      </c>
      <c r="C2295" s="4">
        <v>3.0</v>
      </c>
      <c r="D2295" s="64">
        <v>3.0</v>
      </c>
      <c r="E2295" s="63" t="s">
        <v>1088</v>
      </c>
      <c r="F2295" s="68" t="s">
        <v>4054</v>
      </c>
      <c r="G2295" s="69"/>
      <c r="H2295" s="69"/>
      <c r="I2295" s="69"/>
      <c r="J2295" s="69"/>
      <c r="K2295" s="65"/>
      <c r="L2295" s="65"/>
      <c r="M2295" s="65"/>
      <c r="N2295" s="65"/>
      <c r="O2295" s="65"/>
      <c r="P2295" s="65"/>
      <c r="Q2295" s="65"/>
      <c r="R2295" s="65"/>
      <c r="S2295" s="65"/>
      <c r="T2295" s="65"/>
      <c r="U2295" s="65"/>
      <c r="V2295" s="65"/>
      <c r="W2295" s="65"/>
      <c r="X2295" s="66"/>
    </row>
    <row r="2296">
      <c r="A2296" s="63" t="s">
        <v>4959</v>
      </c>
      <c r="B2296" s="63" t="s">
        <v>516</v>
      </c>
      <c r="C2296" s="4">
        <v>4.0</v>
      </c>
      <c r="D2296" s="64">
        <v>4.0</v>
      </c>
      <c r="E2296" s="63" t="s">
        <v>1251</v>
      </c>
      <c r="F2296" s="64">
        <v>20.0</v>
      </c>
      <c r="G2296" s="69"/>
      <c r="H2296" s="69"/>
      <c r="I2296" s="69"/>
      <c r="J2296" s="69"/>
      <c r="K2296" s="65"/>
      <c r="L2296" s="65"/>
      <c r="M2296" s="65"/>
      <c r="N2296" s="65"/>
      <c r="O2296" s="65"/>
      <c r="P2296" s="65"/>
      <c r="Q2296" s="65"/>
      <c r="R2296" s="65"/>
      <c r="S2296" s="65"/>
      <c r="T2296" s="65"/>
      <c r="U2296" s="65"/>
      <c r="V2296" s="65"/>
      <c r="W2296" s="65"/>
      <c r="X2296" s="66"/>
    </row>
    <row r="2297">
      <c r="A2297" s="63" t="s">
        <v>4960</v>
      </c>
      <c r="B2297" s="63" t="s">
        <v>516</v>
      </c>
      <c r="C2297" s="4">
        <v>5.0</v>
      </c>
      <c r="D2297" s="64">
        <v>5.0</v>
      </c>
      <c r="E2297" s="63" t="s">
        <v>1251</v>
      </c>
      <c r="F2297" s="64">
        <v>10.0</v>
      </c>
      <c r="G2297" s="69"/>
      <c r="H2297" s="69"/>
      <c r="I2297" s="69"/>
      <c r="J2297" s="69"/>
      <c r="K2297" s="65"/>
      <c r="L2297" s="65"/>
      <c r="M2297" s="65"/>
      <c r="N2297" s="65"/>
      <c r="O2297" s="65"/>
      <c r="P2297" s="65"/>
      <c r="Q2297" s="65"/>
      <c r="R2297" s="65"/>
      <c r="S2297" s="65"/>
      <c r="T2297" s="65"/>
      <c r="U2297" s="65"/>
      <c r="V2297" s="65"/>
      <c r="W2297" s="65"/>
      <c r="X2297" s="66"/>
    </row>
    <row r="2298">
      <c r="A2298" s="63" t="s">
        <v>4961</v>
      </c>
      <c r="B2298" s="63" t="s">
        <v>516</v>
      </c>
      <c r="C2298" s="4">
        <v>6.0</v>
      </c>
      <c r="D2298" s="64">
        <v>6.0</v>
      </c>
      <c r="E2298" s="63" t="s">
        <v>1088</v>
      </c>
      <c r="F2298" s="64">
        <v>10.0</v>
      </c>
      <c r="G2298" s="69"/>
      <c r="H2298" s="69"/>
      <c r="I2298" s="69"/>
      <c r="J2298" s="69"/>
      <c r="K2298" s="65"/>
      <c r="L2298" s="65"/>
      <c r="M2298" s="65"/>
      <c r="N2298" s="65"/>
      <c r="O2298" s="65"/>
      <c r="P2298" s="65"/>
      <c r="Q2298" s="65"/>
      <c r="R2298" s="65"/>
      <c r="S2298" s="65"/>
      <c r="T2298" s="65"/>
      <c r="U2298" s="65"/>
      <c r="V2298" s="65"/>
      <c r="W2298" s="65"/>
      <c r="X2298" s="66"/>
    </row>
    <row r="2299">
      <c r="A2299" s="63" t="s">
        <v>4962</v>
      </c>
      <c r="B2299" s="63" t="s">
        <v>572</v>
      </c>
      <c r="C2299" s="4">
        <v>1.0</v>
      </c>
      <c r="D2299" s="64">
        <v>1.0</v>
      </c>
      <c r="E2299" s="63" t="s">
        <v>1088</v>
      </c>
      <c r="F2299" s="64">
        <v>30.0</v>
      </c>
      <c r="G2299" s="64">
        <v>9.74</v>
      </c>
      <c r="H2299" s="64">
        <v>9.68</v>
      </c>
      <c r="I2299" s="64">
        <v>9.89</v>
      </c>
      <c r="J2299" s="64">
        <v>8.9</v>
      </c>
      <c r="K2299" s="64">
        <v>9.47</v>
      </c>
      <c r="L2299" s="64">
        <v>8.94</v>
      </c>
      <c r="M2299" s="64">
        <v>9.21</v>
      </c>
      <c r="N2299" s="64">
        <v>9.33</v>
      </c>
      <c r="O2299" s="64">
        <v>9.19</v>
      </c>
      <c r="P2299" s="64">
        <v>9.43</v>
      </c>
      <c r="Q2299" s="64">
        <v>9.42</v>
      </c>
      <c r="R2299" s="64">
        <v>8.83</v>
      </c>
      <c r="S2299" s="64">
        <v>9.0</v>
      </c>
      <c r="T2299" s="64">
        <v>8.65</v>
      </c>
      <c r="U2299" s="64">
        <v>8.57</v>
      </c>
      <c r="V2299" s="65"/>
      <c r="W2299" s="65"/>
      <c r="X2299" s="67">
        <v>8.33</v>
      </c>
    </row>
    <row r="2300">
      <c r="A2300" s="63" t="s">
        <v>4963</v>
      </c>
      <c r="B2300" s="63" t="s">
        <v>572</v>
      </c>
      <c r="C2300" s="4">
        <v>2.0</v>
      </c>
      <c r="D2300" s="64">
        <v>2.0</v>
      </c>
      <c r="E2300" s="63" t="s">
        <v>1088</v>
      </c>
      <c r="F2300" s="64">
        <v>3.0</v>
      </c>
      <c r="G2300" s="64">
        <v>8.52</v>
      </c>
      <c r="H2300" s="64">
        <v>8.18</v>
      </c>
      <c r="I2300" s="64">
        <v>8.44</v>
      </c>
      <c r="J2300" s="64">
        <v>8.32</v>
      </c>
      <c r="K2300" s="65"/>
      <c r="L2300" s="65"/>
      <c r="M2300" s="65"/>
      <c r="N2300" s="65"/>
      <c r="O2300" s="65"/>
      <c r="P2300" s="65"/>
      <c r="Q2300" s="65"/>
      <c r="R2300" s="65"/>
      <c r="S2300" s="65"/>
      <c r="T2300" s="65"/>
      <c r="U2300" s="65"/>
      <c r="V2300" s="65"/>
      <c r="W2300" s="65"/>
      <c r="X2300" s="66"/>
    </row>
    <row r="2301">
      <c r="A2301" s="63" t="s">
        <v>4964</v>
      </c>
      <c r="B2301" s="63" t="s">
        <v>572</v>
      </c>
      <c r="C2301" s="4">
        <v>3.0</v>
      </c>
      <c r="D2301" s="64">
        <v>3.0</v>
      </c>
      <c r="E2301" s="63" t="s">
        <v>1088</v>
      </c>
      <c r="F2301" s="64">
        <v>8.0</v>
      </c>
      <c r="G2301" s="64">
        <v>11.02</v>
      </c>
      <c r="H2301" s="64">
        <v>11.13</v>
      </c>
      <c r="I2301" s="64">
        <v>11.0</v>
      </c>
      <c r="J2301" s="64">
        <v>10.16</v>
      </c>
      <c r="K2301" s="64">
        <v>10.82</v>
      </c>
      <c r="L2301" s="64">
        <v>11.37</v>
      </c>
      <c r="M2301" s="64">
        <v>11.34</v>
      </c>
      <c r="N2301" s="64">
        <v>11.44</v>
      </c>
      <c r="O2301" s="65"/>
      <c r="P2301" s="65"/>
      <c r="Q2301" s="65"/>
      <c r="R2301" s="65"/>
      <c r="S2301" s="65"/>
      <c r="T2301" s="65"/>
      <c r="U2301" s="65"/>
      <c r="V2301" s="65"/>
      <c r="W2301" s="65"/>
      <c r="X2301" s="67">
        <v>11.13</v>
      </c>
    </row>
    <row r="2302">
      <c r="A2302" s="63" t="s">
        <v>4965</v>
      </c>
      <c r="B2302" s="63" t="s">
        <v>572</v>
      </c>
      <c r="C2302" s="4">
        <v>4.0</v>
      </c>
      <c r="D2302" s="64">
        <v>4.0</v>
      </c>
      <c r="E2302" s="63" t="s">
        <v>1088</v>
      </c>
      <c r="F2302" s="64">
        <v>8.0</v>
      </c>
      <c r="G2302" s="64">
        <v>5.85</v>
      </c>
      <c r="H2302" s="64">
        <v>6.23</v>
      </c>
      <c r="I2302" s="64">
        <v>6.1</v>
      </c>
      <c r="J2302" s="64">
        <v>6.49</v>
      </c>
      <c r="K2302" s="65"/>
      <c r="L2302" s="65"/>
      <c r="M2302" s="65"/>
      <c r="N2302" s="65"/>
      <c r="O2302" s="65"/>
      <c r="P2302" s="65"/>
      <c r="Q2302" s="65"/>
      <c r="R2302" s="65"/>
      <c r="S2302" s="65"/>
      <c r="T2302" s="65"/>
      <c r="U2302" s="65"/>
      <c r="V2302" s="65"/>
      <c r="W2302" s="65"/>
      <c r="X2302" s="67">
        <v>6.35</v>
      </c>
    </row>
    <row r="2303">
      <c r="A2303" s="63" t="s">
        <v>4966</v>
      </c>
      <c r="B2303" s="63" t="s">
        <v>572</v>
      </c>
      <c r="C2303" s="4">
        <v>5.0</v>
      </c>
      <c r="D2303" s="64">
        <v>5.0</v>
      </c>
      <c r="E2303" s="63" t="s">
        <v>1088</v>
      </c>
      <c r="F2303" s="64">
        <v>16.0</v>
      </c>
      <c r="G2303" s="64">
        <v>13.82</v>
      </c>
      <c r="H2303" s="64">
        <v>12.61</v>
      </c>
      <c r="I2303" s="64">
        <v>12.95</v>
      </c>
      <c r="J2303" s="64">
        <v>12.31</v>
      </c>
      <c r="K2303" s="65"/>
      <c r="L2303" s="65"/>
      <c r="M2303" s="65"/>
      <c r="N2303" s="65"/>
      <c r="O2303" s="65"/>
      <c r="P2303" s="65"/>
      <c r="Q2303" s="65"/>
      <c r="R2303" s="65"/>
      <c r="S2303" s="65"/>
      <c r="T2303" s="65"/>
      <c r="U2303" s="65"/>
      <c r="V2303" s="65"/>
      <c r="W2303" s="65"/>
      <c r="X2303" s="67">
        <v>14.27</v>
      </c>
    </row>
    <row r="2304">
      <c r="A2304" s="63" t="s">
        <v>4967</v>
      </c>
      <c r="B2304" s="63" t="s">
        <v>572</v>
      </c>
      <c r="C2304" s="4">
        <v>6.0</v>
      </c>
      <c r="D2304" s="64">
        <v>6.0</v>
      </c>
      <c r="E2304" s="63" t="s">
        <v>1088</v>
      </c>
      <c r="F2304" s="64">
        <v>16.0</v>
      </c>
      <c r="G2304" s="64">
        <v>8.47</v>
      </c>
      <c r="H2304" s="64">
        <v>8.35</v>
      </c>
      <c r="I2304" s="64">
        <v>8.11</v>
      </c>
      <c r="J2304" s="64">
        <v>8.26</v>
      </c>
      <c r="K2304" s="65"/>
      <c r="L2304" s="65"/>
      <c r="M2304" s="65"/>
      <c r="N2304" s="65"/>
      <c r="O2304" s="65"/>
      <c r="P2304" s="65"/>
      <c r="Q2304" s="65"/>
      <c r="R2304" s="65"/>
      <c r="S2304" s="65"/>
      <c r="T2304" s="65"/>
      <c r="U2304" s="65"/>
      <c r="V2304" s="65"/>
      <c r="W2304" s="65"/>
      <c r="X2304" s="67">
        <v>8.74</v>
      </c>
    </row>
    <row r="2305">
      <c r="A2305" s="63" t="s">
        <v>4968</v>
      </c>
      <c r="B2305" s="63" t="s">
        <v>572</v>
      </c>
      <c r="C2305" s="4">
        <v>7.0</v>
      </c>
      <c r="D2305" s="64">
        <v>7.0</v>
      </c>
      <c r="E2305" s="63" t="s">
        <v>1088</v>
      </c>
      <c r="F2305" s="64">
        <v>4.0</v>
      </c>
      <c r="G2305" s="69"/>
      <c r="H2305" s="69"/>
      <c r="I2305" s="69"/>
      <c r="J2305" s="69"/>
      <c r="K2305" s="65"/>
      <c r="L2305" s="65"/>
      <c r="M2305" s="65"/>
      <c r="N2305" s="65"/>
      <c r="O2305" s="65"/>
      <c r="P2305" s="65"/>
      <c r="Q2305" s="65"/>
      <c r="R2305" s="65"/>
      <c r="S2305" s="65"/>
      <c r="T2305" s="65"/>
      <c r="U2305" s="65"/>
      <c r="V2305" s="65"/>
      <c r="W2305" s="65"/>
      <c r="X2305" s="66"/>
    </row>
    <row r="2306">
      <c r="A2306" s="63" t="s">
        <v>4969</v>
      </c>
      <c r="B2306" s="63" t="s">
        <v>572</v>
      </c>
      <c r="C2306" s="4">
        <v>8.0</v>
      </c>
      <c r="D2306" s="64">
        <v>8.0</v>
      </c>
      <c r="E2306" s="63" t="s">
        <v>1088</v>
      </c>
      <c r="F2306" s="64">
        <v>16.0</v>
      </c>
      <c r="G2306" s="64">
        <v>10.19</v>
      </c>
      <c r="H2306" s="64">
        <v>10.14</v>
      </c>
      <c r="I2306" s="64">
        <v>10.21</v>
      </c>
      <c r="J2306" s="64">
        <v>10.02</v>
      </c>
      <c r="K2306" s="65"/>
      <c r="L2306" s="65"/>
      <c r="M2306" s="65"/>
      <c r="N2306" s="65"/>
      <c r="O2306" s="65"/>
      <c r="P2306" s="65"/>
      <c r="Q2306" s="65"/>
      <c r="R2306" s="65"/>
      <c r="S2306" s="65"/>
      <c r="T2306" s="65"/>
      <c r="U2306" s="65"/>
      <c r="V2306" s="65"/>
      <c r="W2306" s="65"/>
      <c r="X2306" s="67">
        <v>10.31</v>
      </c>
    </row>
    <row r="2307">
      <c r="A2307" s="63" t="s">
        <v>4970</v>
      </c>
      <c r="B2307" s="63" t="s">
        <v>572</v>
      </c>
      <c r="C2307" s="4">
        <v>9.0</v>
      </c>
      <c r="D2307" s="64">
        <v>9.0</v>
      </c>
      <c r="E2307" s="63" t="s">
        <v>1088</v>
      </c>
      <c r="F2307" s="64">
        <v>16.0</v>
      </c>
      <c r="G2307" s="64">
        <v>9.93</v>
      </c>
      <c r="H2307" s="64">
        <v>9.58</v>
      </c>
      <c r="I2307" s="64">
        <v>9.41</v>
      </c>
      <c r="J2307" s="64">
        <v>9.47</v>
      </c>
      <c r="K2307" s="65"/>
      <c r="L2307" s="65"/>
      <c r="M2307" s="65"/>
      <c r="N2307" s="65"/>
      <c r="O2307" s="65"/>
      <c r="P2307" s="65"/>
      <c r="Q2307" s="65"/>
      <c r="R2307" s="65"/>
      <c r="S2307" s="65"/>
      <c r="T2307" s="65"/>
      <c r="U2307" s="65"/>
      <c r="V2307" s="65"/>
      <c r="W2307" s="65"/>
      <c r="X2307" s="67">
        <v>10.31</v>
      </c>
    </row>
    <row r="2308">
      <c r="A2308" s="63" t="s">
        <v>4971</v>
      </c>
      <c r="B2308" s="63" t="s">
        <v>572</v>
      </c>
      <c r="C2308" s="4">
        <v>10.0</v>
      </c>
      <c r="D2308" s="64">
        <v>10.0</v>
      </c>
      <c r="E2308" s="63" t="s">
        <v>1088</v>
      </c>
      <c r="F2308" s="64">
        <v>16.0</v>
      </c>
      <c r="G2308" s="64">
        <v>10.4</v>
      </c>
      <c r="H2308" s="64">
        <v>10.18</v>
      </c>
      <c r="I2308" s="64">
        <v>9.92</v>
      </c>
      <c r="J2308" s="64">
        <v>9.91</v>
      </c>
      <c r="K2308" s="65"/>
      <c r="L2308" s="65"/>
      <c r="M2308" s="65"/>
      <c r="N2308" s="65"/>
      <c r="O2308" s="65"/>
      <c r="P2308" s="65"/>
      <c r="Q2308" s="65"/>
      <c r="R2308" s="65"/>
      <c r="S2308" s="65"/>
      <c r="T2308" s="65"/>
      <c r="U2308" s="65"/>
      <c r="V2308" s="65"/>
      <c r="W2308" s="65"/>
      <c r="X2308" s="67">
        <v>10.31</v>
      </c>
    </row>
    <row r="2309">
      <c r="A2309" s="63" t="s">
        <v>4972</v>
      </c>
      <c r="B2309" s="63" t="s">
        <v>572</v>
      </c>
      <c r="C2309" s="4">
        <v>11.0</v>
      </c>
      <c r="D2309" s="64">
        <v>11.0</v>
      </c>
      <c r="E2309" s="63" t="s">
        <v>1088</v>
      </c>
      <c r="F2309" s="64">
        <v>16.0</v>
      </c>
      <c r="G2309" s="64">
        <v>8.35</v>
      </c>
      <c r="H2309" s="64">
        <v>8.1</v>
      </c>
      <c r="I2309" s="64">
        <v>8.91</v>
      </c>
      <c r="J2309" s="64">
        <v>8.16</v>
      </c>
      <c r="K2309" s="65"/>
      <c r="L2309" s="65"/>
      <c r="M2309" s="65"/>
      <c r="N2309" s="65"/>
      <c r="O2309" s="65"/>
      <c r="P2309" s="65"/>
      <c r="Q2309" s="65"/>
      <c r="R2309" s="65"/>
      <c r="S2309" s="65"/>
      <c r="T2309" s="65"/>
      <c r="U2309" s="65"/>
      <c r="V2309" s="65"/>
      <c r="W2309" s="65"/>
      <c r="X2309" s="67">
        <v>8.74</v>
      </c>
    </row>
    <row r="2310">
      <c r="A2310" s="63" t="s">
        <v>4973</v>
      </c>
      <c r="B2310" s="63" t="s">
        <v>572</v>
      </c>
      <c r="C2310" s="4">
        <v>12.0</v>
      </c>
      <c r="D2310" s="64">
        <v>12.0</v>
      </c>
      <c r="E2310" s="63" t="s">
        <v>1088</v>
      </c>
      <c r="F2310" s="64">
        <v>16.0</v>
      </c>
      <c r="G2310" s="64">
        <v>10.35</v>
      </c>
      <c r="H2310" s="64">
        <v>11.0</v>
      </c>
      <c r="I2310" s="64">
        <v>10.64</v>
      </c>
      <c r="J2310" s="64">
        <v>10.35</v>
      </c>
      <c r="K2310" s="65"/>
      <c r="L2310" s="65"/>
      <c r="M2310" s="65"/>
      <c r="N2310" s="65"/>
      <c r="O2310" s="65"/>
      <c r="P2310" s="65"/>
      <c r="Q2310" s="65"/>
      <c r="R2310" s="65"/>
      <c r="S2310" s="65"/>
      <c r="T2310" s="65"/>
      <c r="U2310" s="65"/>
      <c r="V2310" s="65"/>
      <c r="W2310" s="65"/>
      <c r="X2310" s="67">
        <v>11.13</v>
      </c>
    </row>
    <row r="2311">
      <c r="A2311" s="63" t="s">
        <v>4974</v>
      </c>
      <c r="B2311" s="63" t="s">
        <v>572</v>
      </c>
      <c r="C2311" s="4">
        <v>13.0</v>
      </c>
      <c r="D2311" s="64">
        <v>13.0</v>
      </c>
      <c r="E2311" s="63" t="s">
        <v>1088</v>
      </c>
      <c r="F2311" s="64">
        <v>16.0</v>
      </c>
      <c r="G2311" s="64">
        <v>9.54</v>
      </c>
      <c r="H2311" s="64">
        <v>9.8</v>
      </c>
      <c r="I2311" s="64">
        <v>9.27</v>
      </c>
      <c r="J2311" s="64">
        <v>9.58</v>
      </c>
      <c r="K2311" s="65"/>
      <c r="L2311" s="65"/>
      <c r="M2311" s="65"/>
      <c r="N2311" s="65"/>
      <c r="O2311" s="65"/>
      <c r="P2311" s="65"/>
      <c r="Q2311" s="65"/>
      <c r="R2311" s="65"/>
      <c r="S2311" s="65"/>
      <c r="T2311" s="65"/>
      <c r="U2311" s="65"/>
      <c r="V2311" s="65"/>
      <c r="W2311" s="65"/>
      <c r="X2311" s="67">
        <v>10.31</v>
      </c>
    </row>
    <row r="2312">
      <c r="A2312" s="63" t="s">
        <v>4975</v>
      </c>
      <c r="B2312" s="63" t="s">
        <v>572</v>
      </c>
      <c r="C2312" s="4">
        <v>14.0</v>
      </c>
      <c r="D2312" s="64">
        <v>14.0</v>
      </c>
      <c r="E2312" s="63" t="s">
        <v>1088</v>
      </c>
      <c r="F2312" s="68" t="s">
        <v>4054</v>
      </c>
      <c r="G2312" s="69"/>
      <c r="H2312" s="69"/>
      <c r="I2312" s="69"/>
      <c r="J2312" s="69"/>
      <c r="K2312" s="65"/>
      <c r="L2312" s="65"/>
      <c r="M2312" s="65"/>
      <c r="N2312" s="65"/>
      <c r="O2312" s="65"/>
      <c r="P2312" s="65"/>
      <c r="Q2312" s="65"/>
      <c r="R2312" s="65"/>
      <c r="S2312" s="65"/>
      <c r="T2312" s="65"/>
      <c r="U2312" s="65"/>
      <c r="V2312" s="65"/>
      <c r="W2312" s="65"/>
      <c r="X2312" s="66"/>
    </row>
    <row r="2313">
      <c r="A2313" s="63" t="s">
        <v>4976</v>
      </c>
      <c r="B2313" s="63" t="s">
        <v>572</v>
      </c>
      <c r="C2313" s="4">
        <v>15.0</v>
      </c>
      <c r="D2313" s="64">
        <v>15.0</v>
      </c>
      <c r="E2313" s="63" t="s">
        <v>1088</v>
      </c>
      <c r="F2313" s="64">
        <v>16.0</v>
      </c>
      <c r="G2313" s="64">
        <v>11.31</v>
      </c>
      <c r="H2313" s="64">
        <v>10.1</v>
      </c>
      <c r="I2313" s="64">
        <v>10.8</v>
      </c>
      <c r="J2313" s="64">
        <v>10.39</v>
      </c>
      <c r="K2313" s="65"/>
      <c r="L2313" s="65"/>
      <c r="M2313" s="65"/>
      <c r="N2313" s="65"/>
      <c r="O2313" s="65"/>
      <c r="P2313" s="65"/>
      <c r="Q2313" s="65"/>
      <c r="R2313" s="65"/>
      <c r="S2313" s="65"/>
      <c r="T2313" s="65"/>
      <c r="U2313" s="65"/>
      <c r="V2313" s="65"/>
      <c r="W2313" s="65"/>
      <c r="X2313" s="67">
        <v>11.13</v>
      </c>
    </row>
    <row r="2314">
      <c r="A2314" s="63" t="s">
        <v>4977</v>
      </c>
      <c r="B2314" s="63" t="s">
        <v>572</v>
      </c>
      <c r="C2314" s="4">
        <v>16.0</v>
      </c>
      <c r="D2314" s="64">
        <v>16.0</v>
      </c>
      <c r="E2314" s="63" t="s">
        <v>1088</v>
      </c>
      <c r="F2314" s="68" t="s">
        <v>4054</v>
      </c>
      <c r="G2314" s="69"/>
      <c r="H2314" s="69"/>
      <c r="I2314" s="69"/>
      <c r="J2314" s="69"/>
      <c r="K2314" s="65"/>
      <c r="L2314" s="65"/>
      <c r="M2314" s="65"/>
      <c r="N2314" s="65"/>
      <c r="O2314" s="65"/>
      <c r="P2314" s="65"/>
      <c r="Q2314" s="65"/>
      <c r="R2314" s="65"/>
      <c r="S2314" s="65"/>
      <c r="T2314" s="65"/>
      <c r="U2314" s="65"/>
      <c r="V2314" s="65"/>
      <c r="W2314" s="65"/>
      <c r="X2314" s="66"/>
    </row>
    <row r="2315">
      <c r="A2315" s="63" t="s">
        <v>4978</v>
      </c>
      <c r="B2315" s="63" t="s">
        <v>572</v>
      </c>
      <c r="C2315" s="4">
        <v>17.0</v>
      </c>
      <c r="D2315" s="64">
        <v>17.0</v>
      </c>
      <c r="E2315" s="63" t="s">
        <v>1088</v>
      </c>
      <c r="F2315" s="64">
        <v>4.0</v>
      </c>
      <c r="G2315" s="69"/>
      <c r="H2315" s="69"/>
      <c r="I2315" s="69"/>
      <c r="J2315" s="69"/>
      <c r="K2315" s="65"/>
      <c r="L2315" s="65"/>
      <c r="M2315" s="65"/>
      <c r="N2315" s="65"/>
      <c r="O2315" s="65"/>
      <c r="P2315" s="65"/>
      <c r="Q2315" s="65"/>
      <c r="R2315" s="65"/>
      <c r="S2315" s="65"/>
      <c r="T2315" s="65"/>
      <c r="U2315" s="65"/>
      <c r="V2315" s="65"/>
      <c r="W2315" s="65"/>
      <c r="X2315" s="66"/>
    </row>
    <row r="2316">
      <c r="A2316" s="63" t="s">
        <v>4979</v>
      </c>
      <c r="B2316" s="63" t="s">
        <v>572</v>
      </c>
      <c r="C2316" s="4">
        <v>18.0</v>
      </c>
      <c r="D2316" s="64">
        <v>18.0</v>
      </c>
      <c r="E2316" s="63" t="s">
        <v>1088</v>
      </c>
      <c r="F2316" s="64">
        <v>16.0</v>
      </c>
      <c r="G2316" s="64">
        <v>9.3</v>
      </c>
      <c r="H2316" s="64">
        <v>10.23</v>
      </c>
      <c r="I2316" s="64">
        <v>9.45</v>
      </c>
      <c r="J2316" s="64">
        <v>10.0</v>
      </c>
      <c r="K2316" s="65"/>
      <c r="L2316" s="65"/>
      <c r="M2316" s="65"/>
      <c r="N2316" s="65"/>
      <c r="O2316" s="65"/>
      <c r="P2316" s="65"/>
      <c r="Q2316" s="65"/>
      <c r="R2316" s="65"/>
      <c r="S2316" s="65"/>
      <c r="T2316" s="65"/>
      <c r="U2316" s="65"/>
      <c r="V2316" s="65"/>
      <c r="W2316" s="65"/>
      <c r="X2316" s="67">
        <v>10.31</v>
      </c>
    </row>
    <row r="2317">
      <c r="A2317" s="63" t="s">
        <v>4980</v>
      </c>
      <c r="B2317" s="63" t="s">
        <v>572</v>
      </c>
      <c r="C2317" s="4">
        <v>19.0</v>
      </c>
      <c r="D2317" s="64">
        <v>19.0</v>
      </c>
      <c r="E2317" s="63" t="s">
        <v>1088</v>
      </c>
      <c r="F2317" s="64">
        <v>30.0</v>
      </c>
      <c r="G2317" s="64">
        <v>14.39</v>
      </c>
      <c r="H2317" s="64">
        <v>14.44</v>
      </c>
      <c r="I2317" s="64">
        <v>14.26</v>
      </c>
      <c r="J2317" s="64">
        <v>14.9</v>
      </c>
      <c r="K2317" s="65"/>
      <c r="L2317" s="65"/>
      <c r="M2317" s="65"/>
      <c r="N2317" s="65"/>
      <c r="O2317" s="65"/>
      <c r="P2317" s="65"/>
      <c r="Q2317" s="65"/>
      <c r="R2317" s="65"/>
      <c r="S2317" s="65"/>
      <c r="T2317" s="65"/>
      <c r="U2317" s="65"/>
      <c r="V2317" s="65"/>
      <c r="W2317" s="65"/>
      <c r="X2317" s="66"/>
    </row>
    <row r="2318">
      <c r="A2318" s="63" t="s">
        <v>4981</v>
      </c>
      <c r="B2318" s="63" t="s">
        <v>578</v>
      </c>
      <c r="C2318" s="4">
        <v>1.0</v>
      </c>
      <c r="D2318" s="64">
        <v>1.0</v>
      </c>
      <c r="E2318" s="63" t="s">
        <v>4884</v>
      </c>
      <c r="F2318" s="64">
        <v>16.0</v>
      </c>
      <c r="G2318" s="64">
        <v>4.65</v>
      </c>
      <c r="H2318" s="64">
        <v>4.62</v>
      </c>
      <c r="I2318" s="64">
        <v>5.54</v>
      </c>
      <c r="J2318" s="64">
        <v>5.15</v>
      </c>
      <c r="K2318" s="65"/>
      <c r="L2318" s="65"/>
      <c r="M2318" s="65"/>
      <c r="N2318" s="65"/>
      <c r="O2318" s="65"/>
      <c r="P2318" s="65"/>
      <c r="Q2318" s="65"/>
      <c r="R2318" s="65"/>
      <c r="S2318" s="65"/>
      <c r="T2318" s="65"/>
      <c r="U2318" s="65"/>
      <c r="V2318" s="65"/>
      <c r="W2318" s="65"/>
      <c r="X2318" s="67">
        <v>5.56</v>
      </c>
    </row>
    <row r="2319">
      <c r="A2319" s="63" t="s">
        <v>4982</v>
      </c>
      <c r="B2319" s="63" t="s">
        <v>578</v>
      </c>
      <c r="C2319" s="4">
        <v>2.0</v>
      </c>
      <c r="D2319" s="64">
        <v>1.0</v>
      </c>
      <c r="E2319" s="63" t="s">
        <v>4884</v>
      </c>
      <c r="F2319" s="64">
        <v>16.0</v>
      </c>
      <c r="G2319" s="64">
        <v>4.18</v>
      </c>
      <c r="H2319" s="64">
        <v>5.06</v>
      </c>
      <c r="I2319" s="64">
        <v>5.32</v>
      </c>
      <c r="J2319" s="64">
        <v>3.78</v>
      </c>
      <c r="K2319" s="65"/>
      <c r="L2319" s="65"/>
      <c r="M2319" s="65"/>
      <c r="N2319" s="65"/>
      <c r="O2319" s="65"/>
      <c r="P2319" s="65"/>
      <c r="Q2319" s="65"/>
      <c r="R2319" s="65"/>
      <c r="S2319" s="65"/>
      <c r="T2319" s="65"/>
      <c r="U2319" s="65"/>
      <c r="V2319" s="65"/>
      <c r="W2319" s="65"/>
      <c r="X2319" s="67">
        <v>5.16</v>
      </c>
    </row>
    <row r="2320">
      <c r="A2320" s="63" t="s">
        <v>4983</v>
      </c>
      <c r="B2320" s="63" t="s">
        <v>578</v>
      </c>
      <c r="C2320" s="4">
        <v>3.0</v>
      </c>
      <c r="D2320" s="64">
        <v>1.0</v>
      </c>
      <c r="E2320" s="63" t="s">
        <v>4884</v>
      </c>
      <c r="F2320" s="64">
        <v>16.0</v>
      </c>
      <c r="G2320" s="64">
        <v>5.53</v>
      </c>
      <c r="H2320" s="64">
        <v>5.18</v>
      </c>
      <c r="I2320" s="64">
        <v>4.95</v>
      </c>
      <c r="J2320" s="64">
        <v>4.92</v>
      </c>
      <c r="K2320" s="65"/>
      <c r="L2320" s="65"/>
      <c r="M2320" s="65"/>
      <c r="N2320" s="65"/>
      <c r="O2320" s="65"/>
      <c r="P2320" s="65"/>
      <c r="Q2320" s="65"/>
      <c r="R2320" s="65"/>
      <c r="S2320" s="65"/>
      <c r="T2320" s="65"/>
      <c r="U2320" s="65"/>
      <c r="V2320" s="65"/>
      <c r="W2320" s="65"/>
      <c r="X2320" s="67">
        <v>5.56</v>
      </c>
    </row>
    <row r="2321">
      <c r="A2321" s="63" t="s">
        <v>4984</v>
      </c>
      <c r="B2321" s="63" t="s">
        <v>578</v>
      </c>
      <c r="C2321" s="4">
        <v>4.0</v>
      </c>
      <c r="D2321" s="64">
        <v>1.0</v>
      </c>
      <c r="E2321" s="63" t="s">
        <v>4884</v>
      </c>
      <c r="F2321" s="64">
        <v>16.0</v>
      </c>
      <c r="G2321" s="64">
        <v>4.54</v>
      </c>
      <c r="H2321" s="64">
        <v>4.39</v>
      </c>
      <c r="I2321" s="64">
        <v>4.7</v>
      </c>
      <c r="J2321" s="64">
        <v>4.27</v>
      </c>
      <c r="K2321" s="65"/>
      <c r="L2321" s="65"/>
      <c r="M2321" s="65"/>
      <c r="N2321" s="65"/>
      <c r="O2321" s="65"/>
      <c r="P2321" s="65"/>
      <c r="Q2321" s="65"/>
      <c r="R2321" s="65"/>
      <c r="S2321" s="65"/>
      <c r="T2321" s="65"/>
      <c r="U2321" s="65"/>
      <c r="V2321" s="65"/>
      <c r="W2321" s="65"/>
      <c r="X2321" s="67">
        <v>4.78</v>
      </c>
    </row>
    <row r="2322">
      <c r="A2322" s="63" t="s">
        <v>4985</v>
      </c>
      <c r="B2322" s="63" t="s">
        <v>578</v>
      </c>
      <c r="C2322" s="4">
        <v>5.0</v>
      </c>
      <c r="D2322" s="64">
        <v>2.0</v>
      </c>
      <c r="E2322" s="63" t="s">
        <v>4884</v>
      </c>
      <c r="F2322" s="68" t="s">
        <v>4054</v>
      </c>
      <c r="G2322" s="64">
        <v>2.49</v>
      </c>
      <c r="H2322" s="64">
        <v>2.38</v>
      </c>
      <c r="I2322" s="64">
        <v>1.61</v>
      </c>
      <c r="J2322" s="64">
        <v>2.06</v>
      </c>
      <c r="K2322" s="65"/>
      <c r="L2322" s="65"/>
      <c r="M2322" s="65"/>
      <c r="N2322" s="65"/>
      <c r="O2322" s="65"/>
      <c r="P2322" s="65"/>
      <c r="Q2322" s="65"/>
      <c r="R2322" s="65"/>
      <c r="S2322" s="65"/>
      <c r="T2322" s="65"/>
      <c r="U2322" s="65"/>
      <c r="V2322" s="65"/>
      <c r="W2322" s="65"/>
      <c r="X2322" s="66"/>
    </row>
    <row r="2323">
      <c r="A2323" s="63" t="s">
        <v>4986</v>
      </c>
      <c r="B2323" s="63" t="s">
        <v>578</v>
      </c>
      <c r="C2323" s="4">
        <v>6.0</v>
      </c>
      <c r="D2323" s="64">
        <v>3.0</v>
      </c>
      <c r="E2323" s="63" t="s">
        <v>4884</v>
      </c>
      <c r="F2323" s="68" t="s">
        <v>4054</v>
      </c>
      <c r="G2323" s="64">
        <v>1.83</v>
      </c>
      <c r="H2323" s="64">
        <v>1.59</v>
      </c>
      <c r="I2323" s="64">
        <v>1.8</v>
      </c>
      <c r="J2323" s="64">
        <v>2.03</v>
      </c>
      <c r="K2323" s="65"/>
      <c r="L2323" s="65"/>
      <c r="M2323" s="65"/>
      <c r="N2323" s="65"/>
      <c r="O2323" s="65"/>
      <c r="P2323" s="65"/>
      <c r="Q2323" s="65"/>
      <c r="R2323" s="65"/>
      <c r="S2323" s="65"/>
      <c r="T2323" s="65"/>
      <c r="U2323" s="65"/>
      <c r="V2323" s="65"/>
      <c r="W2323" s="65"/>
      <c r="X2323" s="66"/>
    </row>
    <row r="2324">
      <c r="A2324" s="63" t="s">
        <v>4987</v>
      </c>
      <c r="B2324" s="63" t="s">
        <v>578</v>
      </c>
      <c r="C2324" s="4">
        <v>7.0</v>
      </c>
      <c r="D2324" s="64">
        <v>4.0</v>
      </c>
      <c r="E2324" s="63" t="s">
        <v>4988</v>
      </c>
      <c r="F2324" s="64">
        <v>16.0</v>
      </c>
      <c r="G2324" s="64">
        <v>6.51</v>
      </c>
      <c r="H2324" s="64">
        <v>5.43</v>
      </c>
      <c r="I2324" s="64">
        <v>5.66</v>
      </c>
      <c r="J2324" s="64">
        <v>6.27</v>
      </c>
      <c r="K2324" s="65"/>
      <c r="L2324" s="65"/>
      <c r="M2324" s="65"/>
      <c r="N2324" s="65"/>
      <c r="O2324" s="65"/>
      <c r="P2324" s="65"/>
      <c r="Q2324" s="65"/>
      <c r="R2324" s="65"/>
      <c r="S2324" s="65"/>
      <c r="T2324" s="65"/>
      <c r="U2324" s="65"/>
      <c r="V2324" s="65"/>
      <c r="W2324" s="65"/>
      <c r="X2324" s="67">
        <v>6.35</v>
      </c>
    </row>
    <row r="2325">
      <c r="A2325" s="63" t="s">
        <v>4989</v>
      </c>
      <c r="B2325" s="63" t="s">
        <v>578</v>
      </c>
      <c r="C2325" s="4">
        <v>8.0</v>
      </c>
      <c r="D2325" s="64">
        <v>5.0</v>
      </c>
      <c r="E2325" s="63" t="s">
        <v>4884</v>
      </c>
      <c r="F2325" s="64">
        <v>10.0</v>
      </c>
      <c r="G2325" s="64">
        <v>3.9</v>
      </c>
      <c r="H2325" s="64">
        <v>2.99</v>
      </c>
      <c r="I2325" s="64">
        <v>4.58</v>
      </c>
      <c r="J2325" s="64">
        <v>3.53</v>
      </c>
      <c r="K2325" s="65"/>
      <c r="L2325" s="65"/>
      <c r="M2325" s="65"/>
      <c r="N2325" s="65"/>
      <c r="O2325" s="65"/>
      <c r="P2325" s="65"/>
      <c r="Q2325" s="65"/>
      <c r="R2325" s="65"/>
      <c r="S2325" s="65"/>
      <c r="T2325" s="65"/>
      <c r="U2325" s="65"/>
      <c r="V2325" s="65"/>
      <c r="W2325" s="65"/>
      <c r="X2325" s="67">
        <v>4.78</v>
      </c>
    </row>
    <row r="2326">
      <c r="A2326" s="63" t="s">
        <v>4990</v>
      </c>
      <c r="B2326" s="63" t="s">
        <v>591</v>
      </c>
      <c r="C2326" s="4">
        <v>1.0</v>
      </c>
      <c r="D2326" s="64">
        <v>1.0</v>
      </c>
      <c r="E2326" s="63" t="s">
        <v>4884</v>
      </c>
      <c r="F2326" s="64">
        <v>10.0</v>
      </c>
      <c r="G2326" s="64">
        <v>4.53</v>
      </c>
      <c r="H2326" s="64">
        <v>3.54</v>
      </c>
      <c r="I2326" s="64">
        <v>4.05</v>
      </c>
      <c r="J2326" s="64">
        <v>5.0</v>
      </c>
      <c r="K2326" s="65"/>
      <c r="L2326" s="65"/>
      <c r="M2326" s="65"/>
      <c r="N2326" s="65"/>
      <c r="O2326" s="65"/>
      <c r="P2326" s="65"/>
      <c r="Q2326" s="65"/>
      <c r="R2326" s="65"/>
      <c r="S2326" s="65"/>
      <c r="T2326" s="65"/>
      <c r="U2326" s="65"/>
      <c r="V2326" s="65"/>
      <c r="W2326" s="65"/>
      <c r="X2326" s="67">
        <v>5.16</v>
      </c>
    </row>
    <row r="2327">
      <c r="A2327" s="63" t="s">
        <v>4991</v>
      </c>
      <c r="B2327" s="63" t="s">
        <v>591</v>
      </c>
      <c r="C2327" s="4">
        <v>2.0</v>
      </c>
      <c r="D2327" s="64">
        <v>2.0</v>
      </c>
      <c r="E2327" s="63" t="s">
        <v>4992</v>
      </c>
      <c r="F2327" s="64">
        <v>16.0</v>
      </c>
      <c r="G2327" s="64">
        <v>6.85</v>
      </c>
      <c r="H2327" s="64">
        <v>6.8</v>
      </c>
      <c r="I2327" s="64">
        <v>6.0</v>
      </c>
      <c r="J2327" s="64">
        <v>5.94</v>
      </c>
      <c r="K2327" s="65"/>
      <c r="L2327" s="65"/>
      <c r="M2327" s="65"/>
      <c r="N2327" s="65"/>
      <c r="O2327" s="65"/>
      <c r="P2327" s="65"/>
      <c r="Q2327" s="65"/>
      <c r="R2327" s="65"/>
      <c r="S2327" s="65"/>
      <c r="T2327" s="65"/>
      <c r="U2327" s="65"/>
      <c r="V2327" s="65"/>
      <c r="W2327" s="65"/>
      <c r="X2327" s="67">
        <v>7.14</v>
      </c>
    </row>
    <row r="2328">
      <c r="A2328" s="63" t="s">
        <v>4993</v>
      </c>
      <c r="B2328" s="63" t="s">
        <v>591</v>
      </c>
      <c r="C2328" s="4">
        <v>3.0</v>
      </c>
      <c r="D2328" s="64">
        <v>3.0</v>
      </c>
      <c r="E2328" s="63" t="s">
        <v>4884</v>
      </c>
      <c r="F2328" s="68" t="s">
        <v>4054</v>
      </c>
      <c r="G2328" s="64">
        <v>6.88</v>
      </c>
      <c r="H2328" s="64">
        <v>4.99</v>
      </c>
      <c r="I2328" s="64">
        <v>6.64</v>
      </c>
      <c r="J2328" s="64">
        <v>5.7</v>
      </c>
      <c r="K2328" s="65"/>
      <c r="L2328" s="65"/>
      <c r="M2328" s="65"/>
      <c r="N2328" s="65"/>
      <c r="O2328" s="65"/>
      <c r="P2328" s="65"/>
      <c r="Q2328" s="65"/>
      <c r="R2328" s="65"/>
      <c r="S2328" s="65"/>
      <c r="T2328" s="65"/>
      <c r="U2328" s="65"/>
      <c r="V2328" s="65"/>
      <c r="W2328" s="65"/>
      <c r="X2328" s="66"/>
    </row>
    <row r="2329">
      <c r="A2329" s="63" t="s">
        <v>4994</v>
      </c>
      <c r="B2329" s="63" t="s">
        <v>591</v>
      </c>
      <c r="C2329" s="4">
        <v>4.0</v>
      </c>
      <c r="D2329" s="64">
        <v>4.0</v>
      </c>
      <c r="E2329" s="63" t="s">
        <v>4884</v>
      </c>
      <c r="F2329" s="68" t="s">
        <v>4054</v>
      </c>
      <c r="G2329" s="64">
        <v>0.79</v>
      </c>
      <c r="H2329" s="64">
        <v>2.45</v>
      </c>
      <c r="I2329" s="64">
        <v>3.34</v>
      </c>
      <c r="J2329" s="64">
        <v>2.01</v>
      </c>
      <c r="K2329" s="65"/>
      <c r="L2329" s="65"/>
      <c r="M2329" s="65"/>
      <c r="N2329" s="65"/>
      <c r="O2329" s="65"/>
      <c r="P2329" s="65"/>
      <c r="Q2329" s="65"/>
      <c r="R2329" s="65"/>
      <c r="S2329" s="65"/>
      <c r="T2329" s="65"/>
      <c r="U2329" s="65"/>
      <c r="V2329" s="65"/>
      <c r="W2329" s="65"/>
      <c r="X2329" s="66"/>
    </row>
    <row r="2330">
      <c r="A2330" s="63" t="s">
        <v>4995</v>
      </c>
      <c r="B2330" s="63" t="s">
        <v>591</v>
      </c>
      <c r="C2330" s="4">
        <v>5.0</v>
      </c>
      <c r="D2330" s="64">
        <v>5.0</v>
      </c>
      <c r="E2330" s="63" t="s">
        <v>4884</v>
      </c>
      <c r="F2330" s="64">
        <v>16.0</v>
      </c>
      <c r="G2330" s="64">
        <v>6.28</v>
      </c>
      <c r="H2330" s="64">
        <v>6.69</v>
      </c>
      <c r="I2330" s="64">
        <v>6.98</v>
      </c>
      <c r="J2330" s="64">
        <v>6.62</v>
      </c>
      <c r="K2330" s="65"/>
      <c r="L2330" s="65"/>
      <c r="M2330" s="65"/>
      <c r="N2330" s="65"/>
      <c r="O2330" s="65"/>
      <c r="P2330" s="65"/>
      <c r="Q2330" s="65"/>
      <c r="R2330" s="65"/>
      <c r="S2330" s="65"/>
      <c r="T2330" s="65"/>
      <c r="U2330" s="65"/>
      <c r="V2330" s="65"/>
      <c r="W2330" s="65"/>
      <c r="X2330" s="67">
        <v>7.14</v>
      </c>
    </row>
    <row r="2331">
      <c r="A2331" s="63" t="s">
        <v>4996</v>
      </c>
      <c r="B2331" s="63" t="s">
        <v>591</v>
      </c>
      <c r="C2331" s="4">
        <v>6.0</v>
      </c>
      <c r="D2331" s="64">
        <v>5.0</v>
      </c>
      <c r="E2331" s="63" t="s">
        <v>4884</v>
      </c>
      <c r="F2331" s="64">
        <v>16.0</v>
      </c>
      <c r="G2331" s="64">
        <v>6.92</v>
      </c>
      <c r="H2331" s="64">
        <v>7.16</v>
      </c>
      <c r="I2331" s="64">
        <v>6.57</v>
      </c>
      <c r="J2331" s="64">
        <v>5.99</v>
      </c>
      <c r="K2331" s="65"/>
      <c r="L2331" s="65"/>
      <c r="M2331" s="65"/>
      <c r="N2331" s="65"/>
      <c r="O2331" s="65"/>
      <c r="P2331" s="65"/>
      <c r="Q2331" s="65"/>
      <c r="R2331" s="65"/>
      <c r="S2331" s="65"/>
      <c r="T2331" s="65"/>
      <c r="U2331" s="65"/>
      <c r="V2331" s="65"/>
      <c r="W2331" s="65"/>
      <c r="X2331" s="67">
        <v>7.14</v>
      </c>
    </row>
    <row r="2332">
      <c r="A2332" s="63" t="s">
        <v>4997</v>
      </c>
      <c r="B2332" s="63" t="s">
        <v>591</v>
      </c>
      <c r="C2332" s="4">
        <v>7.0</v>
      </c>
      <c r="D2332" s="64">
        <v>5.0</v>
      </c>
      <c r="E2332" s="63" t="s">
        <v>4884</v>
      </c>
      <c r="F2332" s="64">
        <v>16.0</v>
      </c>
      <c r="G2332" s="64">
        <v>6.45</v>
      </c>
      <c r="H2332" s="64">
        <v>5.95</v>
      </c>
      <c r="I2332" s="64">
        <v>5.84</v>
      </c>
      <c r="J2332" s="64">
        <v>7.11</v>
      </c>
      <c r="K2332" s="65"/>
      <c r="L2332" s="65"/>
      <c r="M2332" s="65"/>
      <c r="N2332" s="65"/>
      <c r="O2332" s="65"/>
      <c r="P2332" s="65"/>
      <c r="Q2332" s="65"/>
      <c r="R2332" s="65"/>
      <c r="S2332" s="65"/>
      <c r="T2332" s="65"/>
      <c r="U2332" s="65"/>
      <c r="V2332" s="65"/>
      <c r="W2332" s="65"/>
      <c r="X2332" s="67">
        <v>7.14</v>
      </c>
    </row>
    <row r="2333">
      <c r="A2333" s="63" t="s">
        <v>4998</v>
      </c>
      <c r="B2333" s="63" t="s">
        <v>591</v>
      </c>
      <c r="C2333" s="4">
        <v>8.0</v>
      </c>
      <c r="D2333" s="64">
        <v>6.0</v>
      </c>
      <c r="E2333" s="63" t="s">
        <v>4884</v>
      </c>
      <c r="F2333" s="68" t="s">
        <v>4054</v>
      </c>
      <c r="G2333" s="64">
        <v>2.81</v>
      </c>
      <c r="H2333" s="64">
        <v>3.69</v>
      </c>
      <c r="I2333" s="64">
        <v>2.14</v>
      </c>
      <c r="J2333" s="64">
        <v>3.49</v>
      </c>
      <c r="K2333" s="65"/>
      <c r="L2333" s="65"/>
      <c r="M2333" s="65"/>
      <c r="N2333" s="65"/>
      <c r="O2333" s="65"/>
      <c r="P2333" s="65"/>
      <c r="Q2333" s="65"/>
      <c r="R2333" s="65"/>
      <c r="S2333" s="65"/>
      <c r="T2333" s="65"/>
      <c r="U2333" s="65"/>
      <c r="V2333" s="65"/>
      <c r="W2333" s="65"/>
      <c r="X2333" s="66"/>
    </row>
    <row r="2334">
      <c r="A2334" s="63" t="s">
        <v>4999</v>
      </c>
      <c r="B2334" s="63" t="s">
        <v>587</v>
      </c>
      <c r="C2334" s="4">
        <v>1.0</v>
      </c>
      <c r="D2334" s="64">
        <v>1.0</v>
      </c>
      <c r="E2334" s="63" t="s">
        <v>4884</v>
      </c>
      <c r="F2334" s="64">
        <v>16.0</v>
      </c>
      <c r="G2334" s="64">
        <v>6.8</v>
      </c>
      <c r="H2334" s="64">
        <v>5.14</v>
      </c>
      <c r="I2334" s="64">
        <v>5.97</v>
      </c>
      <c r="J2334" s="64">
        <v>6.28</v>
      </c>
      <c r="K2334" s="65"/>
      <c r="L2334" s="65"/>
      <c r="M2334" s="65"/>
      <c r="N2334" s="65"/>
      <c r="O2334" s="65"/>
      <c r="P2334" s="65"/>
      <c r="Q2334" s="65"/>
      <c r="R2334" s="65"/>
      <c r="S2334" s="65"/>
      <c r="T2334" s="65"/>
      <c r="U2334" s="65"/>
      <c r="V2334" s="65"/>
      <c r="W2334" s="65"/>
      <c r="X2334" s="67">
        <v>7.14</v>
      </c>
    </row>
    <row r="2335">
      <c r="A2335" s="63" t="s">
        <v>5000</v>
      </c>
      <c r="B2335" s="63" t="s">
        <v>587</v>
      </c>
      <c r="C2335" s="4">
        <v>2.0</v>
      </c>
      <c r="D2335" s="64">
        <v>1.0</v>
      </c>
      <c r="E2335" s="63" t="s">
        <v>4884</v>
      </c>
      <c r="F2335" s="64">
        <v>16.0</v>
      </c>
      <c r="G2335" s="64">
        <v>7.02</v>
      </c>
      <c r="H2335" s="64">
        <v>6.38</v>
      </c>
      <c r="I2335" s="64">
        <v>5.88</v>
      </c>
      <c r="J2335" s="64">
        <v>4.42</v>
      </c>
      <c r="K2335" s="65"/>
      <c r="L2335" s="65"/>
      <c r="M2335" s="65"/>
      <c r="N2335" s="65"/>
      <c r="O2335" s="65"/>
      <c r="P2335" s="65"/>
      <c r="Q2335" s="65"/>
      <c r="R2335" s="65"/>
      <c r="S2335" s="65"/>
      <c r="T2335" s="65"/>
      <c r="U2335" s="65"/>
      <c r="V2335" s="65"/>
      <c r="W2335" s="65"/>
      <c r="X2335" s="67">
        <v>7.14</v>
      </c>
    </row>
    <row r="2336">
      <c r="A2336" s="63" t="s">
        <v>5001</v>
      </c>
      <c r="B2336" s="63" t="s">
        <v>587</v>
      </c>
      <c r="C2336" s="4">
        <v>3.0</v>
      </c>
      <c r="D2336" s="64">
        <v>1.0</v>
      </c>
      <c r="E2336" s="63" t="s">
        <v>4884</v>
      </c>
      <c r="F2336" s="64">
        <v>16.0</v>
      </c>
      <c r="G2336" s="64">
        <v>5.05</v>
      </c>
      <c r="H2336" s="64">
        <v>6.59</v>
      </c>
      <c r="I2336" s="64">
        <v>5.7</v>
      </c>
      <c r="J2336" s="64">
        <v>4.91</v>
      </c>
      <c r="K2336" s="65"/>
      <c r="L2336" s="65"/>
      <c r="M2336" s="65"/>
      <c r="N2336" s="65"/>
      <c r="O2336" s="65"/>
      <c r="P2336" s="65"/>
      <c r="Q2336" s="65"/>
      <c r="R2336" s="65"/>
      <c r="S2336" s="65"/>
      <c r="T2336" s="65"/>
      <c r="U2336" s="65"/>
      <c r="V2336" s="65"/>
      <c r="W2336" s="65"/>
      <c r="X2336" s="67">
        <v>6.35</v>
      </c>
    </row>
    <row r="2337">
      <c r="A2337" s="63" t="s">
        <v>5002</v>
      </c>
      <c r="B2337" s="63" t="s">
        <v>587</v>
      </c>
      <c r="C2337" s="4">
        <v>4.0</v>
      </c>
      <c r="D2337" s="64">
        <v>1.0</v>
      </c>
      <c r="E2337" s="63" t="s">
        <v>4884</v>
      </c>
      <c r="F2337" s="64">
        <v>16.0</v>
      </c>
      <c r="G2337" s="64">
        <v>5.53</v>
      </c>
      <c r="H2337" s="64">
        <v>6.96</v>
      </c>
      <c r="I2337" s="64">
        <v>4.86</v>
      </c>
      <c r="J2337" s="64">
        <v>4.6</v>
      </c>
      <c r="K2337" s="65"/>
      <c r="L2337" s="65"/>
      <c r="M2337" s="65"/>
      <c r="N2337" s="65"/>
      <c r="O2337" s="65"/>
      <c r="P2337" s="65"/>
      <c r="Q2337" s="65"/>
      <c r="R2337" s="65"/>
      <c r="S2337" s="65"/>
      <c r="T2337" s="65"/>
      <c r="U2337" s="65"/>
      <c r="V2337" s="65"/>
      <c r="W2337" s="65"/>
      <c r="X2337" s="67">
        <v>7.14</v>
      </c>
    </row>
    <row r="2338">
      <c r="A2338" s="63" t="s">
        <v>5003</v>
      </c>
      <c r="B2338" s="63" t="s">
        <v>587</v>
      </c>
      <c r="C2338" s="4">
        <v>5.0</v>
      </c>
      <c r="D2338" s="64">
        <v>2.0</v>
      </c>
      <c r="E2338" s="63" t="s">
        <v>4884</v>
      </c>
      <c r="F2338" s="68" t="s">
        <v>4054</v>
      </c>
      <c r="G2338" s="64">
        <v>1.95</v>
      </c>
      <c r="H2338" s="64">
        <v>2.34</v>
      </c>
      <c r="I2338" s="69"/>
      <c r="J2338" s="64">
        <v>1.75</v>
      </c>
      <c r="K2338" s="65"/>
      <c r="L2338" s="65"/>
      <c r="M2338" s="65"/>
      <c r="N2338" s="65"/>
      <c r="O2338" s="65"/>
      <c r="P2338" s="65"/>
      <c r="Q2338" s="65"/>
      <c r="R2338" s="65"/>
      <c r="S2338" s="65"/>
      <c r="T2338" s="65"/>
      <c r="U2338" s="65"/>
      <c r="V2338" s="65"/>
      <c r="W2338" s="65"/>
      <c r="X2338" s="66"/>
    </row>
    <row r="2339">
      <c r="A2339" s="63" t="s">
        <v>5004</v>
      </c>
      <c r="B2339" s="63" t="s">
        <v>587</v>
      </c>
      <c r="C2339" s="4">
        <v>6.0</v>
      </c>
      <c r="D2339" s="64">
        <v>3.0</v>
      </c>
      <c r="E2339" s="63" t="s">
        <v>4884</v>
      </c>
      <c r="F2339" s="68" t="s">
        <v>4054</v>
      </c>
      <c r="G2339" s="64">
        <v>2.32</v>
      </c>
      <c r="H2339" s="64">
        <v>1.4</v>
      </c>
      <c r="I2339" s="64">
        <v>1.09</v>
      </c>
      <c r="J2339" s="64">
        <v>2.46</v>
      </c>
      <c r="K2339" s="65"/>
      <c r="L2339" s="65"/>
      <c r="M2339" s="65"/>
      <c r="N2339" s="65"/>
      <c r="O2339" s="65"/>
      <c r="P2339" s="65"/>
      <c r="Q2339" s="65"/>
      <c r="R2339" s="65"/>
      <c r="S2339" s="65"/>
      <c r="T2339" s="65"/>
      <c r="U2339" s="65"/>
      <c r="V2339" s="65"/>
      <c r="W2339" s="65"/>
      <c r="X2339" s="66"/>
    </row>
    <row r="2340">
      <c r="A2340" s="63" t="s">
        <v>5005</v>
      </c>
      <c r="B2340" s="63" t="s">
        <v>587</v>
      </c>
      <c r="C2340" s="4">
        <v>7.0</v>
      </c>
      <c r="D2340" s="64">
        <v>4.0</v>
      </c>
      <c r="E2340" s="63" t="s">
        <v>4988</v>
      </c>
      <c r="F2340" s="64">
        <v>16.0</v>
      </c>
      <c r="G2340" s="64">
        <v>6.42</v>
      </c>
      <c r="H2340" s="64">
        <v>5.24</v>
      </c>
      <c r="I2340" s="64">
        <v>7.19</v>
      </c>
      <c r="J2340" s="64">
        <v>6.44</v>
      </c>
      <c r="K2340" s="65"/>
      <c r="L2340" s="65"/>
      <c r="M2340" s="65"/>
      <c r="N2340" s="65"/>
      <c r="O2340" s="65"/>
      <c r="P2340" s="65"/>
      <c r="Q2340" s="65"/>
      <c r="R2340" s="65"/>
      <c r="S2340" s="65"/>
      <c r="T2340" s="65"/>
      <c r="U2340" s="65"/>
      <c r="V2340" s="65"/>
      <c r="W2340" s="65"/>
      <c r="X2340" s="67">
        <v>7.14</v>
      </c>
    </row>
    <row r="2341">
      <c r="A2341" s="63" t="s">
        <v>5006</v>
      </c>
      <c r="B2341" s="63" t="s">
        <v>587</v>
      </c>
      <c r="C2341" s="4">
        <v>8.0</v>
      </c>
      <c r="D2341" s="64">
        <v>5.0</v>
      </c>
      <c r="E2341" s="63" t="s">
        <v>4884</v>
      </c>
      <c r="F2341" s="64">
        <v>10.0</v>
      </c>
      <c r="G2341" s="64">
        <v>5.22</v>
      </c>
      <c r="H2341" s="64">
        <v>5.32</v>
      </c>
      <c r="I2341" s="64">
        <v>5.49</v>
      </c>
      <c r="J2341" s="64">
        <v>5.56</v>
      </c>
      <c r="K2341" s="65"/>
      <c r="L2341" s="65"/>
      <c r="M2341" s="65"/>
      <c r="N2341" s="65"/>
      <c r="O2341" s="65"/>
      <c r="P2341" s="65"/>
      <c r="Q2341" s="65"/>
      <c r="R2341" s="65"/>
      <c r="S2341" s="65"/>
      <c r="T2341" s="65"/>
      <c r="U2341" s="65"/>
      <c r="V2341" s="65"/>
      <c r="W2341" s="65"/>
      <c r="X2341" s="67">
        <v>5.56</v>
      </c>
    </row>
    <row r="2342">
      <c r="A2342" s="63" t="s">
        <v>5007</v>
      </c>
      <c r="B2342" s="63" t="s">
        <v>605</v>
      </c>
      <c r="C2342" s="4">
        <v>1.0</v>
      </c>
      <c r="D2342" s="64">
        <v>1.0</v>
      </c>
      <c r="E2342" s="63" t="s">
        <v>4884</v>
      </c>
      <c r="F2342" s="64">
        <v>18.0</v>
      </c>
      <c r="G2342" s="64">
        <v>13.44</v>
      </c>
      <c r="H2342" s="64">
        <v>8.99</v>
      </c>
      <c r="I2342" s="64">
        <v>8.68</v>
      </c>
      <c r="J2342" s="64">
        <v>14.9</v>
      </c>
      <c r="K2342" s="64">
        <v>9.88</v>
      </c>
      <c r="L2342" s="64">
        <v>9.82</v>
      </c>
      <c r="M2342" s="64">
        <v>10.95</v>
      </c>
      <c r="N2342" s="64">
        <v>10.18</v>
      </c>
      <c r="O2342" s="64">
        <v>7.43</v>
      </c>
      <c r="P2342" s="64">
        <v>5.07</v>
      </c>
      <c r="Q2342" s="64">
        <v>4.62</v>
      </c>
      <c r="R2342" s="64">
        <v>4.86</v>
      </c>
      <c r="S2342" s="64">
        <v>8.36</v>
      </c>
      <c r="T2342" s="64">
        <v>13.55</v>
      </c>
      <c r="U2342" s="64">
        <v>8.42</v>
      </c>
      <c r="V2342" s="64">
        <v>6.74</v>
      </c>
      <c r="W2342" s="64"/>
      <c r="X2342" s="66"/>
    </row>
    <row r="2343">
      <c r="A2343" s="63" t="s">
        <v>5008</v>
      </c>
      <c r="B2343" s="63" t="s">
        <v>605</v>
      </c>
      <c r="C2343" s="4">
        <v>2.0</v>
      </c>
      <c r="D2343" s="64">
        <v>2.0</v>
      </c>
      <c r="E2343" s="63" t="s">
        <v>4884</v>
      </c>
      <c r="F2343" s="64">
        <v>18.0</v>
      </c>
      <c r="G2343" s="64">
        <v>8.4</v>
      </c>
      <c r="H2343" s="64">
        <v>7.44</v>
      </c>
      <c r="I2343" s="64">
        <v>7.15</v>
      </c>
      <c r="J2343" s="64">
        <v>6.85</v>
      </c>
      <c r="K2343" s="64">
        <v>6.41</v>
      </c>
      <c r="L2343" s="64">
        <v>15.13</v>
      </c>
      <c r="M2343" s="64">
        <v>9.67</v>
      </c>
      <c r="N2343" s="64">
        <v>6.76</v>
      </c>
      <c r="O2343" s="64">
        <v>6.17</v>
      </c>
      <c r="P2343" s="64">
        <v>6.3</v>
      </c>
      <c r="Q2343" s="64">
        <v>7.71</v>
      </c>
      <c r="R2343" s="64">
        <v>7.74</v>
      </c>
      <c r="S2343" s="64">
        <v>7.96</v>
      </c>
      <c r="T2343" s="64">
        <v>7.61</v>
      </c>
      <c r="U2343" s="64">
        <v>6.5</v>
      </c>
      <c r="V2343" s="64">
        <v>6.64</v>
      </c>
      <c r="W2343" s="64"/>
      <c r="X2343" s="66"/>
    </row>
    <row r="2344">
      <c r="A2344" s="63" t="s">
        <v>5009</v>
      </c>
      <c r="B2344" s="63" t="s">
        <v>605</v>
      </c>
      <c r="C2344" s="4">
        <v>3.0</v>
      </c>
      <c r="D2344" s="64">
        <v>3.0</v>
      </c>
      <c r="E2344" s="63" t="s">
        <v>5010</v>
      </c>
      <c r="F2344" s="64">
        <v>18.0</v>
      </c>
      <c r="G2344" s="64">
        <v>16.24</v>
      </c>
      <c r="H2344" s="64">
        <v>16.64</v>
      </c>
      <c r="I2344" s="64">
        <v>12.78</v>
      </c>
      <c r="J2344" s="64">
        <v>16.18</v>
      </c>
      <c r="K2344" s="64">
        <v>5.32</v>
      </c>
      <c r="L2344" s="64">
        <v>5.93</v>
      </c>
      <c r="M2344" s="64">
        <v>5.63</v>
      </c>
      <c r="N2344" s="64">
        <v>6.73</v>
      </c>
      <c r="O2344" s="64">
        <v>12.52</v>
      </c>
      <c r="P2344" s="64">
        <v>13.69</v>
      </c>
      <c r="Q2344" s="64">
        <v>10.55</v>
      </c>
      <c r="R2344" s="64">
        <v>11.38</v>
      </c>
      <c r="S2344" s="65"/>
      <c r="T2344" s="65"/>
      <c r="U2344" s="65"/>
      <c r="V2344" s="65"/>
      <c r="W2344" s="65"/>
      <c r="X2344" s="66"/>
    </row>
    <row r="2345">
      <c r="A2345" s="63" t="s">
        <v>5011</v>
      </c>
      <c r="B2345" s="63" t="s">
        <v>605</v>
      </c>
      <c r="C2345" s="4">
        <v>4.0</v>
      </c>
      <c r="D2345" s="64">
        <v>4.0</v>
      </c>
      <c r="E2345" s="63" t="s">
        <v>4884</v>
      </c>
      <c r="F2345" s="64">
        <v>18.0</v>
      </c>
      <c r="G2345" s="64">
        <v>7.51</v>
      </c>
      <c r="H2345" s="64">
        <v>4.73</v>
      </c>
      <c r="I2345" s="64">
        <v>7.21</v>
      </c>
      <c r="J2345" s="64">
        <v>7.76</v>
      </c>
      <c r="K2345" s="65"/>
      <c r="L2345" s="65"/>
      <c r="M2345" s="65"/>
      <c r="N2345" s="65"/>
      <c r="O2345" s="65"/>
      <c r="P2345" s="65"/>
      <c r="Q2345" s="65"/>
      <c r="R2345" s="65"/>
      <c r="S2345" s="65"/>
      <c r="T2345" s="65"/>
      <c r="U2345" s="65"/>
      <c r="V2345" s="65"/>
      <c r="W2345" s="65"/>
      <c r="X2345" s="66"/>
    </row>
    <row r="2346">
      <c r="A2346" s="63" t="s">
        <v>5012</v>
      </c>
      <c r="B2346" s="63" t="s">
        <v>605</v>
      </c>
      <c r="C2346" s="4">
        <v>5.0</v>
      </c>
      <c r="D2346" s="64">
        <v>5.0</v>
      </c>
      <c r="E2346" s="63" t="s">
        <v>4884</v>
      </c>
      <c r="F2346" s="64">
        <v>18.0</v>
      </c>
      <c r="G2346" s="64">
        <v>16.19</v>
      </c>
      <c r="H2346" s="64">
        <v>17.53</v>
      </c>
      <c r="I2346" s="64">
        <v>13.53</v>
      </c>
      <c r="J2346" s="64">
        <v>19.9</v>
      </c>
      <c r="K2346" s="64">
        <v>7.05</v>
      </c>
      <c r="L2346" s="64">
        <v>6.89</v>
      </c>
      <c r="M2346" s="64">
        <v>7.57</v>
      </c>
      <c r="N2346" s="64">
        <v>7.09</v>
      </c>
      <c r="O2346" s="64">
        <v>13.59</v>
      </c>
      <c r="P2346" s="64">
        <v>16.63</v>
      </c>
      <c r="Q2346" s="64">
        <v>15.04</v>
      </c>
      <c r="R2346" s="64">
        <v>14.3</v>
      </c>
      <c r="S2346" s="65"/>
      <c r="T2346" s="65"/>
      <c r="U2346" s="65"/>
      <c r="V2346" s="65"/>
      <c r="W2346" s="65"/>
      <c r="X2346" s="66"/>
    </row>
    <row r="2347">
      <c r="A2347" s="63" t="s">
        <v>5013</v>
      </c>
      <c r="B2347" s="63" t="s">
        <v>605</v>
      </c>
      <c r="C2347" s="4">
        <v>6.0</v>
      </c>
      <c r="D2347" s="64">
        <v>6.0</v>
      </c>
      <c r="E2347" s="63" t="s">
        <v>4884</v>
      </c>
      <c r="F2347" s="64">
        <v>18.0</v>
      </c>
      <c r="G2347" s="64">
        <v>9.63</v>
      </c>
      <c r="H2347" s="64">
        <v>8.35</v>
      </c>
      <c r="I2347" s="64">
        <v>7.69</v>
      </c>
      <c r="J2347" s="64">
        <v>8.05</v>
      </c>
      <c r="K2347" s="65"/>
      <c r="L2347" s="65"/>
      <c r="M2347" s="65"/>
      <c r="N2347" s="65"/>
      <c r="O2347" s="65"/>
      <c r="P2347" s="65"/>
      <c r="Q2347" s="65"/>
      <c r="R2347" s="65"/>
      <c r="S2347" s="65"/>
      <c r="T2347" s="65"/>
      <c r="U2347" s="65"/>
      <c r="V2347" s="65"/>
      <c r="W2347" s="65"/>
      <c r="X2347" s="66"/>
    </row>
    <row r="2348">
      <c r="A2348" s="63" t="s">
        <v>5014</v>
      </c>
      <c r="B2348" s="63" t="s">
        <v>616</v>
      </c>
      <c r="C2348" s="4">
        <v>1.0</v>
      </c>
      <c r="D2348" s="64">
        <v>1.0</v>
      </c>
      <c r="E2348" s="63" t="s">
        <v>4884</v>
      </c>
      <c r="F2348" s="64">
        <v>18.0</v>
      </c>
      <c r="G2348" s="64">
        <v>6.87</v>
      </c>
      <c r="H2348" s="64">
        <v>7.07</v>
      </c>
      <c r="I2348" s="64">
        <v>5.93</v>
      </c>
      <c r="J2348" s="64">
        <v>6.85</v>
      </c>
      <c r="K2348" s="64">
        <v>6.76</v>
      </c>
      <c r="L2348" s="64">
        <v>5.76</v>
      </c>
      <c r="M2348" s="64">
        <v>6.19</v>
      </c>
      <c r="N2348" s="64">
        <v>6.53</v>
      </c>
      <c r="O2348" s="64">
        <v>6.79</v>
      </c>
      <c r="P2348" s="64">
        <v>6.42</v>
      </c>
      <c r="Q2348" s="64">
        <v>6.08</v>
      </c>
      <c r="R2348" s="64">
        <v>4.91</v>
      </c>
      <c r="S2348" s="64">
        <v>4.38</v>
      </c>
      <c r="T2348" s="64">
        <v>5.68</v>
      </c>
      <c r="U2348" s="64">
        <v>5.09</v>
      </c>
      <c r="V2348" s="64">
        <v>6.39</v>
      </c>
      <c r="W2348" s="64"/>
      <c r="X2348" s="66"/>
    </row>
    <row r="2349">
      <c r="A2349" s="63" t="s">
        <v>5015</v>
      </c>
      <c r="B2349" s="63" t="s">
        <v>616</v>
      </c>
      <c r="C2349" s="4">
        <v>2.0</v>
      </c>
      <c r="D2349" s="64">
        <v>2.0</v>
      </c>
      <c r="E2349" s="63" t="s">
        <v>4884</v>
      </c>
      <c r="F2349" s="68" t="s">
        <v>4054</v>
      </c>
      <c r="G2349" s="64">
        <v>2.37</v>
      </c>
      <c r="H2349" s="64">
        <v>2.52</v>
      </c>
      <c r="I2349" s="64">
        <v>3.06</v>
      </c>
      <c r="J2349" s="69"/>
      <c r="K2349" s="65"/>
      <c r="L2349" s="65"/>
      <c r="M2349" s="65"/>
      <c r="N2349" s="65"/>
      <c r="O2349" s="65"/>
      <c r="P2349" s="65"/>
      <c r="Q2349" s="65"/>
      <c r="R2349" s="65"/>
      <c r="S2349" s="65"/>
      <c r="T2349" s="65"/>
      <c r="U2349" s="65"/>
      <c r="V2349" s="65"/>
      <c r="W2349" s="65"/>
      <c r="X2349" s="66"/>
    </row>
    <row r="2350">
      <c r="A2350" s="63" t="s">
        <v>5016</v>
      </c>
      <c r="B2350" s="63" t="s">
        <v>616</v>
      </c>
      <c r="C2350" s="4">
        <v>3.0</v>
      </c>
      <c r="D2350" s="64">
        <v>3.0</v>
      </c>
      <c r="E2350" s="63" t="s">
        <v>4884</v>
      </c>
      <c r="F2350" s="68" t="s">
        <v>4054</v>
      </c>
      <c r="G2350" s="64">
        <v>3.92</v>
      </c>
      <c r="H2350" s="64">
        <v>2.62</v>
      </c>
      <c r="I2350" s="64">
        <v>2.42</v>
      </c>
      <c r="J2350" s="64">
        <v>2.02</v>
      </c>
      <c r="K2350" s="65"/>
      <c r="L2350" s="65"/>
      <c r="M2350" s="65"/>
      <c r="N2350" s="65"/>
      <c r="O2350" s="65"/>
      <c r="P2350" s="65"/>
      <c r="Q2350" s="65"/>
      <c r="R2350" s="65"/>
      <c r="S2350" s="65"/>
      <c r="T2350" s="65"/>
      <c r="U2350" s="65"/>
      <c r="V2350" s="65"/>
      <c r="W2350" s="65"/>
      <c r="X2350" s="66"/>
    </row>
    <row r="2351">
      <c r="A2351" s="63" t="s">
        <v>5017</v>
      </c>
      <c r="B2351" s="63" t="s">
        <v>616</v>
      </c>
      <c r="C2351" s="4">
        <v>4.0</v>
      </c>
      <c r="D2351" s="64">
        <v>4.0</v>
      </c>
      <c r="E2351" s="63" t="s">
        <v>5018</v>
      </c>
      <c r="F2351" s="64">
        <v>18.0</v>
      </c>
      <c r="G2351" s="64">
        <v>10.73</v>
      </c>
      <c r="H2351" s="64">
        <v>10.41</v>
      </c>
      <c r="I2351" s="64">
        <v>10.44</v>
      </c>
      <c r="J2351" s="64">
        <v>11.65</v>
      </c>
      <c r="K2351" s="65"/>
      <c r="L2351" s="65"/>
      <c r="M2351" s="65"/>
      <c r="N2351" s="65"/>
      <c r="O2351" s="65"/>
      <c r="P2351" s="65"/>
      <c r="Q2351" s="65"/>
      <c r="R2351" s="65"/>
      <c r="S2351" s="65"/>
      <c r="T2351" s="65"/>
      <c r="U2351" s="65"/>
      <c r="V2351" s="65"/>
      <c r="W2351" s="65"/>
      <c r="X2351" s="66"/>
    </row>
    <row r="2352">
      <c r="A2352" s="63" t="s">
        <v>5019</v>
      </c>
      <c r="B2352" s="63" t="s">
        <v>616</v>
      </c>
      <c r="C2352" s="4">
        <v>5.0</v>
      </c>
      <c r="D2352" s="64">
        <v>5.0</v>
      </c>
      <c r="E2352" s="63" t="s">
        <v>4884</v>
      </c>
      <c r="F2352" s="64">
        <v>10.0</v>
      </c>
      <c r="G2352" s="64">
        <v>4.37</v>
      </c>
      <c r="H2352" s="64">
        <v>5.44</v>
      </c>
      <c r="I2352" s="64">
        <v>5.82</v>
      </c>
      <c r="J2352" s="64">
        <v>5.17</v>
      </c>
      <c r="K2352" s="65"/>
      <c r="L2352" s="65"/>
      <c r="M2352" s="65"/>
      <c r="N2352" s="65"/>
      <c r="O2352" s="65"/>
      <c r="P2352" s="65"/>
      <c r="Q2352" s="65"/>
      <c r="R2352" s="65"/>
      <c r="S2352" s="65"/>
      <c r="T2352" s="65"/>
      <c r="U2352" s="65"/>
      <c r="V2352" s="65"/>
      <c r="W2352" s="65"/>
      <c r="X2352" s="67">
        <v>5.56</v>
      </c>
    </row>
    <row r="2353">
      <c r="A2353" s="63" t="s">
        <v>5020</v>
      </c>
      <c r="B2353" s="63" t="s">
        <v>601</v>
      </c>
      <c r="C2353" s="4">
        <v>1.0</v>
      </c>
      <c r="D2353" s="64">
        <v>1.0</v>
      </c>
      <c r="E2353" s="63" t="s">
        <v>4884</v>
      </c>
      <c r="F2353" s="64">
        <v>10.0</v>
      </c>
      <c r="G2353" s="64">
        <v>12.65</v>
      </c>
      <c r="H2353" s="64">
        <v>11.93</v>
      </c>
      <c r="I2353" s="64">
        <v>8.18</v>
      </c>
      <c r="J2353" s="64">
        <v>9.3</v>
      </c>
      <c r="K2353" s="65"/>
      <c r="L2353" s="65"/>
      <c r="M2353" s="65"/>
      <c r="N2353" s="65"/>
      <c r="O2353" s="65"/>
      <c r="P2353" s="65"/>
      <c r="Q2353" s="65"/>
      <c r="R2353" s="65"/>
      <c r="S2353" s="65"/>
      <c r="T2353" s="65"/>
      <c r="U2353" s="65"/>
      <c r="V2353" s="65"/>
      <c r="W2353" s="65"/>
      <c r="X2353" s="67">
        <v>12.7</v>
      </c>
    </row>
    <row r="2354">
      <c r="A2354" s="63" t="s">
        <v>5021</v>
      </c>
      <c r="B2354" s="63" t="s">
        <v>601</v>
      </c>
      <c r="C2354" s="4">
        <v>2.0</v>
      </c>
      <c r="D2354" s="64">
        <v>2.0</v>
      </c>
      <c r="E2354" s="63" t="s">
        <v>4992</v>
      </c>
      <c r="F2354" s="64">
        <v>16.0</v>
      </c>
      <c r="G2354" s="64">
        <v>6.76</v>
      </c>
      <c r="H2354" s="64">
        <v>7.81</v>
      </c>
      <c r="I2354" s="64">
        <v>11.17</v>
      </c>
      <c r="J2354" s="64">
        <v>7.42</v>
      </c>
      <c r="K2354" s="65"/>
      <c r="L2354" s="65"/>
      <c r="M2354" s="65"/>
      <c r="N2354" s="65"/>
      <c r="O2354" s="65"/>
      <c r="P2354" s="65"/>
      <c r="Q2354" s="65"/>
      <c r="R2354" s="65"/>
      <c r="S2354" s="65"/>
      <c r="T2354" s="65"/>
      <c r="U2354" s="65"/>
      <c r="V2354" s="65"/>
      <c r="W2354" s="65"/>
      <c r="X2354" s="67">
        <v>11.13</v>
      </c>
    </row>
    <row r="2355">
      <c r="A2355" s="63" t="s">
        <v>5022</v>
      </c>
      <c r="B2355" s="63" t="s">
        <v>601</v>
      </c>
      <c r="C2355" s="4">
        <v>3.0</v>
      </c>
      <c r="D2355" s="64">
        <v>3.0</v>
      </c>
      <c r="E2355" s="63" t="s">
        <v>4884</v>
      </c>
      <c r="F2355" s="68" t="s">
        <v>4054</v>
      </c>
      <c r="G2355" s="64">
        <v>6.11</v>
      </c>
      <c r="H2355" s="64">
        <v>7.34</v>
      </c>
      <c r="I2355" s="64">
        <v>6.39</v>
      </c>
      <c r="J2355" s="64">
        <v>5.56</v>
      </c>
      <c r="K2355" s="65"/>
      <c r="L2355" s="65"/>
      <c r="M2355" s="65"/>
      <c r="N2355" s="65"/>
      <c r="O2355" s="65"/>
      <c r="P2355" s="65"/>
      <c r="Q2355" s="65"/>
      <c r="R2355" s="65"/>
      <c r="S2355" s="65"/>
      <c r="T2355" s="65"/>
      <c r="U2355" s="65"/>
      <c r="V2355" s="65"/>
      <c r="W2355" s="65"/>
      <c r="X2355" s="66"/>
    </row>
    <row r="2356">
      <c r="A2356" s="63" t="s">
        <v>5023</v>
      </c>
      <c r="B2356" s="63" t="s">
        <v>601</v>
      </c>
      <c r="C2356" s="4">
        <v>4.0</v>
      </c>
      <c r="D2356" s="64">
        <v>4.0</v>
      </c>
      <c r="E2356" s="63" t="s">
        <v>4884</v>
      </c>
      <c r="F2356" s="68" t="s">
        <v>4054</v>
      </c>
      <c r="G2356" s="64">
        <v>2.66</v>
      </c>
      <c r="H2356" s="64">
        <v>2.77</v>
      </c>
      <c r="I2356" s="64">
        <v>2.63</v>
      </c>
      <c r="J2356" s="69"/>
      <c r="K2356" s="65"/>
      <c r="L2356" s="65"/>
      <c r="M2356" s="65"/>
      <c r="N2356" s="65"/>
      <c r="O2356" s="65"/>
      <c r="P2356" s="65"/>
      <c r="Q2356" s="65"/>
      <c r="R2356" s="65"/>
      <c r="S2356" s="65"/>
      <c r="T2356" s="65"/>
      <c r="U2356" s="65"/>
      <c r="V2356" s="65"/>
      <c r="W2356" s="65"/>
      <c r="X2356" s="66"/>
    </row>
    <row r="2357">
      <c r="A2357" s="63" t="s">
        <v>5024</v>
      </c>
      <c r="B2357" s="63" t="s">
        <v>601</v>
      </c>
      <c r="C2357" s="4">
        <v>5.0</v>
      </c>
      <c r="D2357" s="64">
        <v>5.0</v>
      </c>
      <c r="E2357" s="63" t="s">
        <v>4884</v>
      </c>
      <c r="F2357" s="64">
        <v>16.0</v>
      </c>
      <c r="G2357" s="64">
        <v>17.04</v>
      </c>
      <c r="H2357" s="64">
        <v>15.72</v>
      </c>
      <c r="I2357" s="64">
        <v>19.98</v>
      </c>
      <c r="J2357" s="64">
        <v>14.8</v>
      </c>
      <c r="K2357" s="64">
        <v>7.34</v>
      </c>
      <c r="L2357" s="64">
        <v>7.95</v>
      </c>
      <c r="M2357" s="64">
        <v>7.83</v>
      </c>
      <c r="N2357" s="64">
        <v>7.4</v>
      </c>
      <c r="O2357" s="64">
        <v>7.0</v>
      </c>
      <c r="P2357" s="64">
        <v>5.39</v>
      </c>
      <c r="Q2357" s="64">
        <v>7.53</v>
      </c>
      <c r="R2357" s="64">
        <v>6.03</v>
      </c>
      <c r="S2357" s="65"/>
      <c r="T2357" s="65"/>
      <c r="U2357" s="65"/>
      <c r="V2357" s="65"/>
      <c r="W2357" s="65"/>
      <c r="X2357" s="67">
        <v>20.62</v>
      </c>
    </row>
    <row r="2358">
      <c r="A2358" s="63" t="s">
        <v>5025</v>
      </c>
      <c r="B2358" s="63" t="s">
        <v>601</v>
      </c>
      <c r="C2358" s="4">
        <v>6.0</v>
      </c>
      <c r="D2358" s="64">
        <v>6.0</v>
      </c>
      <c r="E2358" s="63" t="s">
        <v>4884</v>
      </c>
      <c r="F2358" s="64">
        <v>2.5</v>
      </c>
      <c r="G2358" s="64">
        <v>3.87</v>
      </c>
      <c r="H2358" s="64">
        <v>2.68</v>
      </c>
      <c r="I2358" s="64">
        <v>1.81</v>
      </c>
      <c r="J2358" s="64">
        <v>2.55</v>
      </c>
      <c r="K2358" s="65"/>
      <c r="L2358" s="65"/>
      <c r="M2358" s="65"/>
      <c r="N2358" s="65"/>
      <c r="O2358" s="65"/>
      <c r="P2358" s="65"/>
      <c r="Q2358" s="65"/>
      <c r="R2358" s="65"/>
      <c r="S2358" s="65"/>
      <c r="T2358" s="65"/>
      <c r="U2358" s="65"/>
      <c r="V2358" s="65"/>
      <c r="W2358" s="65"/>
      <c r="X2358" s="66"/>
    </row>
    <row r="2359">
      <c r="A2359" s="63" t="s">
        <v>5026</v>
      </c>
      <c r="B2359" s="63" t="s">
        <v>621</v>
      </c>
      <c r="C2359" s="4">
        <v>1.0</v>
      </c>
      <c r="D2359" s="64">
        <v>1.0</v>
      </c>
      <c r="E2359" s="63" t="s">
        <v>4884</v>
      </c>
      <c r="F2359" s="64">
        <v>18.0</v>
      </c>
      <c r="G2359" s="64">
        <v>7.28</v>
      </c>
      <c r="H2359" s="64">
        <v>6.1</v>
      </c>
      <c r="I2359" s="64">
        <v>6.1</v>
      </c>
      <c r="J2359" s="64">
        <v>5.79</v>
      </c>
      <c r="K2359" s="64">
        <v>6.1</v>
      </c>
      <c r="L2359" s="64">
        <v>6.13</v>
      </c>
      <c r="M2359" s="64">
        <v>7.71</v>
      </c>
      <c r="N2359" s="64">
        <v>7.39</v>
      </c>
      <c r="O2359" s="64">
        <v>7.32</v>
      </c>
      <c r="P2359" s="64">
        <v>6.3</v>
      </c>
      <c r="Q2359" s="64">
        <v>6.41</v>
      </c>
      <c r="R2359" s="64">
        <v>5.38</v>
      </c>
      <c r="S2359" s="64">
        <v>5.46</v>
      </c>
      <c r="T2359" s="64">
        <v>5.79</v>
      </c>
      <c r="U2359" s="64">
        <v>7.3</v>
      </c>
      <c r="V2359" s="64">
        <v>5.5</v>
      </c>
      <c r="W2359" s="64"/>
      <c r="X2359" s="66"/>
    </row>
    <row r="2360">
      <c r="A2360" s="63" t="s">
        <v>5027</v>
      </c>
      <c r="B2360" s="63" t="s">
        <v>621</v>
      </c>
      <c r="C2360" s="4">
        <v>2.0</v>
      </c>
      <c r="D2360" s="64">
        <v>2.0</v>
      </c>
      <c r="E2360" s="63" t="s">
        <v>4884</v>
      </c>
      <c r="F2360" s="68" t="s">
        <v>4054</v>
      </c>
      <c r="G2360" s="64">
        <v>2.54</v>
      </c>
      <c r="H2360" s="64">
        <v>1.18</v>
      </c>
      <c r="I2360" s="64">
        <v>1.85</v>
      </c>
      <c r="J2360" s="64">
        <v>1.04</v>
      </c>
      <c r="K2360" s="65"/>
      <c r="L2360" s="65"/>
      <c r="M2360" s="65"/>
      <c r="N2360" s="65"/>
      <c r="O2360" s="65"/>
      <c r="P2360" s="65"/>
      <c r="Q2360" s="65"/>
      <c r="R2360" s="65"/>
      <c r="S2360" s="65"/>
      <c r="T2360" s="65"/>
      <c r="U2360" s="65"/>
      <c r="V2360" s="65"/>
      <c r="W2360" s="65"/>
      <c r="X2360" s="66"/>
    </row>
    <row r="2361">
      <c r="A2361" s="63" t="s">
        <v>5028</v>
      </c>
      <c r="B2361" s="63" t="s">
        <v>621</v>
      </c>
      <c r="C2361" s="4">
        <v>3.0</v>
      </c>
      <c r="D2361" s="64">
        <v>3.0</v>
      </c>
      <c r="E2361" s="63" t="s">
        <v>4884</v>
      </c>
      <c r="F2361" s="68" t="s">
        <v>4054</v>
      </c>
      <c r="G2361" s="64">
        <v>2.45</v>
      </c>
      <c r="H2361" s="64">
        <v>2.67</v>
      </c>
      <c r="I2361" s="64">
        <v>2.73</v>
      </c>
      <c r="J2361" s="64">
        <v>3.3</v>
      </c>
      <c r="K2361" s="65"/>
      <c r="L2361" s="65"/>
      <c r="M2361" s="65"/>
      <c r="N2361" s="65"/>
      <c r="O2361" s="65"/>
      <c r="P2361" s="65"/>
      <c r="Q2361" s="65"/>
      <c r="R2361" s="65"/>
      <c r="S2361" s="65"/>
      <c r="T2361" s="65"/>
      <c r="U2361" s="65"/>
      <c r="V2361" s="65"/>
      <c r="W2361" s="65"/>
      <c r="X2361" s="66"/>
    </row>
    <row r="2362">
      <c r="A2362" s="63" t="s">
        <v>5029</v>
      </c>
      <c r="B2362" s="63" t="s">
        <v>621</v>
      </c>
      <c r="C2362" s="4">
        <v>4.0</v>
      </c>
      <c r="D2362" s="64">
        <v>4.0</v>
      </c>
      <c r="E2362" s="63" t="s">
        <v>5018</v>
      </c>
      <c r="F2362" s="64">
        <v>18.0</v>
      </c>
      <c r="G2362" s="64">
        <v>10.9</v>
      </c>
      <c r="H2362" s="64">
        <v>9.34</v>
      </c>
      <c r="I2362" s="64">
        <v>10.86</v>
      </c>
      <c r="J2362" s="64">
        <v>9.11</v>
      </c>
      <c r="K2362" s="65"/>
      <c r="L2362" s="65"/>
      <c r="M2362" s="65"/>
      <c r="N2362" s="65"/>
      <c r="O2362" s="65"/>
      <c r="P2362" s="65"/>
      <c r="Q2362" s="65"/>
      <c r="R2362" s="65"/>
      <c r="S2362" s="65"/>
      <c r="T2362" s="65"/>
      <c r="U2362" s="65"/>
      <c r="V2362" s="65"/>
      <c r="W2362" s="65"/>
      <c r="X2362" s="66"/>
    </row>
    <row r="2363">
      <c r="A2363" s="63" t="s">
        <v>5030</v>
      </c>
      <c r="B2363" s="63" t="s">
        <v>621</v>
      </c>
      <c r="C2363" s="4">
        <v>5.0</v>
      </c>
      <c r="D2363" s="64">
        <v>5.0</v>
      </c>
      <c r="E2363" s="63" t="s">
        <v>4884</v>
      </c>
      <c r="F2363" s="64">
        <v>10.0</v>
      </c>
      <c r="G2363" s="64">
        <v>5.4</v>
      </c>
      <c r="H2363" s="64">
        <v>6.69</v>
      </c>
      <c r="I2363" s="64">
        <v>7.78</v>
      </c>
      <c r="J2363" s="64">
        <v>6.08</v>
      </c>
      <c r="K2363" s="65"/>
      <c r="L2363" s="65"/>
      <c r="M2363" s="65"/>
      <c r="N2363" s="65"/>
      <c r="O2363" s="65"/>
      <c r="P2363" s="65"/>
      <c r="Q2363" s="65"/>
      <c r="R2363" s="65"/>
      <c r="S2363" s="65"/>
      <c r="T2363" s="65"/>
      <c r="U2363" s="65"/>
      <c r="V2363" s="65"/>
      <c r="W2363" s="65"/>
      <c r="X2363" s="67">
        <v>7.8</v>
      </c>
    </row>
    <row r="2364">
      <c r="A2364" s="63" t="s">
        <v>5031</v>
      </c>
      <c r="B2364" s="63" t="s">
        <v>625</v>
      </c>
      <c r="C2364" s="4">
        <v>1.0</v>
      </c>
      <c r="D2364" s="64">
        <v>1.0</v>
      </c>
      <c r="E2364" s="63" t="s">
        <v>1088</v>
      </c>
      <c r="F2364" s="64">
        <v>8.0</v>
      </c>
      <c r="G2364" s="69"/>
      <c r="H2364" s="69"/>
      <c r="I2364" s="69"/>
      <c r="J2364" s="69"/>
      <c r="K2364" s="65"/>
      <c r="L2364" s="65"/>
      <c r="M2364" s="65"/>
      <c r="N2364" s="65"/>
      <c r="O2364" s="65"/>
      <c r="P2364" s="65"/>
      <c r="Q2364" s="65"/>
      <c r="R2364" s="65"/>
      <c r="S2364" s="65"/>
      <c r="T2364" s="65"/>
      <c r="U2364" s="65"/>
      <c r="V2364" s="65"/>
      <c r="W2364" s="65"/>
      <c r="X2364" s="66"/>
    </row>
    <row r="2365">
      <c r="A2365" s="63" t="s">
        <v>5032</v>
      </c>
      <c r="B2365" s="63" t="s">
        <v>625</v>
      </c>
      <c r="C2365" s="4">
        <v>2.0</v>
      </c>
      <c r="D2365" s="64">
        <v>2.0</v>
      </c>
      <c r="E2365" s="63" t="s">
        <v>1251</v>
      </c>
      <c r="F2365" s="64">
        <v>8.0</v>
      </c>
      <c r="G2365" s="64">
        <v>8.32</v>
      </c>
      <c r="H2365" s="64">
        <v>9.73</v>
      </c>
      <c r="I2365" s="64">
        <v>7.77</v>
      </c>
      <c r="J2365" s="64">
        <v>8.12</v>
      </c>
      <c r="K2365" s="65"/>
      <c r="L2365" s="65"/>
      <c r="M2365" s="65"/>
      <c r="N2365" s="65"/>
      <c r="O2365" s="65"/>
      <c r="P2365" s="65"/>
      <c r="Q2365" s="65"/>
      <c r="R2365" s="65"/>
      <c r="S2365" s="65"/>
      <c r="T2365" s="65"/>
      <c r="U2365" s="65"/>
      <c r="V2365" s="65"/>
      <c r="W2365" s="65"/>
      <c r="X2365" s="67">
        <v>9.52</v>
      </c>
    </row>
    <row r="2366">
      <c r="A2366" s="63" t="s">
        <v>5033</v>
      </c>
      <c r="B2366" s="63" t="s">
        <v>625</v>
      </c>
      <c r="C2366" s="4">
        <v>3.0</v>
      </c>
      <c r="D2366" s="64">
        <v>3.0</v>
      </c>
      <c r="E2366" s="63" t="s">
        <v>1251</v>
      </c>
      <c r="F2366" s="64">
        <v>16.0</v>
      </c>
      <c r="G2366" s="69"/>
      <c r="H2366" s="69"/>
      <c r="I2366" s="69"/>
      <c r="J2366" s="69"/>
      <c r="K2366" s="65"/>
      <c r="L2366" s="65"/>
      <c r="M2366" s="65"/>
      <c r="N2366" s="65"/>
      <c r="O2366" s="65"/>
      <c r="P2366" s="65"/>
      <c r="Q2366" s="65"/>
      <c r="R2366" s="65"/>
      <c r="S2366" s="65"/>
      <c r="T2366" s="65"/>
      <c r="U2366" s="65"/>
      <c r="V2366" s="65"/>
      <c r="W2366" s="65"/>
      <c r="X2366" s="66"/>
    </row>
    <row r="2367">
      <c r="A2367" s="63" t="s">
        <v>5034</v>
      </c>
      <c r="B2367" s="63" t="s">
        <v>625</v>
      </c>
      <c r="C2367" s="4">
        <v>4.0</v>
      </c>
      <c r="D2367" s="64">
        <v>4.0</v>
      </c>
      <c r="E2367" s="63" t="s">
        <v>1088</v>
      </c>
      <c r="F2367" s="68" t="s">
        <v>4054</v>
      </c>
      <c r="G2367" s="69"/>
      <c r="H2367" s="69"/>
      <c r="I2367" s="69"/>
      <c r="J2367" s="69"/>
      <c r="K2367" s="65"/>
      <c r="L2367" s="65"/>
      <c r="M2367" s="65"/>
      <c r="N2367" s="65"/>
      <c r="O2367" s="65"/>
      <c r="P2367" s="65"/>
      <c r="Q2367" s="65"/>
      <c r="R2367" s="65"/>
      <c r="S2367" s="65"/>
      <c r="T2367" s="65"/>
      <c r="U2367" s="65"/>
      <c r="V2367" s="65"/>
      <c r="W2367" s="65"/>
      <c r="X2367" s="66"/>
    </row>
    <row r="2368">
      <c r="A2368" s="63" t="s">
        <v>5035</v>
      </c>
      <c r="B2368" s="63" t="s">
        <v>625</v>
      </c>
      <c r="C2368" s="4">
        <v>5.0</v>
      </c>
      <c r="D2368" s="64">
        <v>5.0</v>
      </c>
      <c r="E2368" s="63" t="s">
        <v>5036</v>
      </c>
      <c r="F2368" s="64">
        <v>16.0</v>
      </c>
      <c r="G2368" s="64">
        <v>8.28</v>
      </c>
      <c r="H2368" s="64">
        <v>8.12</v>
      </c>
      <c r="I2368" s="64">
        <v>8.11</v>
      </c>
      <c r="J2368" s="64">
        <v>8.96</v>
      </c>
      <c r="K2368" s="64">
        <v>8.79</v>
      </c>
      <c r="L2368" s="64">
        <v>8.29</v>
      </c>
      <c r="M2368" s="64">
        <v>8.43</v>
      </c>
      <c r="N2368" s="64">
        <v>8.91</v>
      </c>
      <c r="O2368" s="65"/>
      <c r="P2368" s="65"/>
      <c r="Q2368" s="65"/>
      <c r="R2368" s="65"/>
      <c r="S2368" s="65"/>
      <c r="T2368" s="65"/>
      <c r="U2368" s="65"/>
      <c r="V2368" s="65"/>
      <c r="W2368" s="65"/>
      <c r="X2368" s="67">
        <v>8.74</v>
      </c>
    </row>
    <row r="2369">
      <c r="A2369" s="63" t="s">
        <v>5037</v>
      </c>
      <c r="B2369" s="63" t="s">
        <v>625</v>
      </c>
      <c r="C2369" s="4">
        <v>6.0</v>
      </c>
      <c r="D2369" s="64">
        <v>6.0</v>
      </c>
      <c r="E2369" s="63" t="s">
        <v>5036</v>
      </c>
      <c r="F2369" s="64">
        <v>16.0</v>
      </c>
      <c r="G2369" s="64">
        <v>9.16</v>
      </c>
      <c r="H2369" s="64">
        <v>9.6</v>
      </c>
      <c r="I2369" s="64">
        <v>9.78</v>
      </c>
      <c r="J2369" s="64">
        <v>9.71</v>
      </c>
      <c r="K2369" s="64">
        <v>9.59</v>
      </c>
      <c r="L2369" s="64">
        <v>9.36</v>
      </c>
      <c r="M2369" s="64">
        <v>9.74</v>
      </c>
      <c r="N2369" s="64">
        <v>9.58</v>
      </c>
      <c r="O2369" s="65"/>
      <c r="P2369" s="65"/>
      <c r="Q2369" s="65"/>
      <c r="R2369" s="65"/>
      <c r="S2369" s="65"/>
      <c r="T2369" s="65"/>
      <c r="U2369" s="65"/>
      <c r="V2369" s="65"/>
      <c r="W2369" s="65"/>
      <c r="X2369" s="67">
        <v>9.52</v>
      </c>
    </row>
    <row r="2370">
      <c r="A2370" s="63" t="s">
        <v>5038</v>
      </c>
      <c r="B2370" s="63" t="s">
        <v>625</v>
      </c>
      <c r="C2370" s="4">
        <v>7.0</v>
      </c>
      <c r="D2370" s="64">
        <v>7.0</v>
      </c>
      <c r="E2370" s="63" t="s">
        <v>1088</v>
      </c>
      <c r="F2370" s="68" t="s">
        <v>4054</v>
      </c>
      <c r="G2370" s="69"/>
      <c r="H2370" s="69"/>
      <c r="I2370" s="69"/>
      <c r="J2370" s="69"/>
      <c r="K2370" s="65"/>
      <c r="L2370" s="65"/>
      <c r="M2370" s="65"/>
      <c r="N2370" s="65"/>
      <c r="O2370" s="65"/>
      <c r="P2370" s="65"/>
      <c r="Q2370" s="65"/>
      <c r="R2370" s="65"/>
      <c r="S2370" s="65"/>
      <c r="T2370" s="65"/>
      <c r="U2370" s="65"/>
      <c r="V2370" s="65"/>
      <c r="W2370" s="65"/>
      <c r="X2370" s="66"/>
    </row>
    <row r="2371">
      <c r="A2371" s="63" t="s">
        <v>5039</v>
      </c>
      <c r="B2371" s="63" t="s">
        <v>625</v>
      </c>
      <c r="C2371" s="4">
        <v>8.0</v>
      </c>
      <c r="D2371" s="64">
        <v>8.0</v>
      </c>
      <c r="E2371" s="63" t="s">
        <v>1088</v>
      </c>
      <c r="F2371" s="64">
        <v>16.0</v>
      </c>
      <c r="G2371" s="64">
        <v>7.15</v>
      </c>
      <c r="H2371" s="64">
        <v>7.28</v>
      </c>
      <c r="I2371" s="64">
        <v>6.59</v>
      </c>
      <c r="J2371" s="64">
        <v>7.05</v>
      </c>
      <c r="K2371" s="64">
        <v>6.87</v>
      </c>
      <c r="L2371" s="64">
        <v>6.56</v>
      </c>
      <c r="M2371" s="64">
        <v>6.87</v>
      </c>
      <c r="N2371" s="64">
        <v>7.25</v>
      </c>
      <c r="O2371" s="65"/>
      <c r="P2371" s="65"/>
      <c r="Q2371" s="65"/>
      <c r="R2371" s="65"/>
      <c r="S2371" s="65"/>
      <c r="T2371" s="65"/>
      <c r="U2371" s="65"/>
      <c r="V2371" s="65"/>
      <c r="W2371" s="65"/>
      <c r="X2371" s="67">
        <v>7.14</v>
      </c>
    </row>
    <row r="2372">
      <c r="A2372" s="63" t="s">
        <v>5040</v>
      </c>
      <c r="B2372" s="63" t="s">
        <v>625</v>
      </c>
      <c r="C2372" s="4">
        <v>9.0</v>
      </c>
      <c r="D2372" s="64">
        <v>9.0</v>
      </c>
      <c r="E2372" s="63" t="s">
        <v>1088</v>
      </c>
      <c r="F2372" s="68" t="s">
        <v>4054</v>
      </c>
      <c r="G2372" s="69"/>
      <c r="H2372" s="69"/>
      <c r="I2372" s="69"/>
      <c r="J2372" s="69"/>
      <c r="K2372" s="65"/>
      <c r="L2372" s="65"/>
      <c r="M2372" s="65"/>
      <c r="N2372" s="65"/>
      <c r="O2372" s="65"/>
      <c r="P2372" s="65"/>
      <c r="Q2372" s="65"/>
      <c r="R2372" s="65"/>
      <c r="S2372" s="65"/>
      <c r="T2372" s="65"/>
      <c r="U2372" s="65"/>
      <c r="V2372" s="65"/>
      <c r="W2372" s="65"/>
      <c r="X2372" s="66"/>
    </row>
    <row r="2373">
      <c r="A2373" s="63" t="s">
        <v>5041</v>
      </c>
      <c r="B2373" s="63" t="s">
        <v>631</v>
      </c>
      <c r="C2373" s="4">
        <v>1.0</v>
      </c>
      <c r="D2373" s="64">
        <v>1.0</v>
      </c>
      <c r="E2373" s="63" t="s">
        <v>1088</v>
      </c>
      <c r="F2373" s="64">
        <v>8.0</v>
      </c>
      <c r="G2373" s="69"/>
      <c r="H2373" s="69"/>
      <c r="I2373" s="69"/>
      <c r="J2373" s="69"/>
      <c r="K2373" s="65"/>
      <c r="L2373" s="65"/>
      <c r="M2373" s="65"/>
      <c r="N2373" s="65"/>
      <c r="O2373" s="65"/>
      <c r="P2373" s="65"/>
      <c r="Q2373" s="65"/>
      <c r="R2373" s="65"/>
      <c r="S2373" s="65"/>
      <c r="T2373" s="65"/>
      <c r="U2373" s="65"/>
      <c r="V2373" s="65"/>
      <c r="W2373" s="65"/>
      <c r="X2373" s="66"/>
    </row>
    <row r="2374">
      <c r="A2374" s="63" t="s">
        <v>5042</v>
      </c>
      <c r="B2374" s="63" t="s">
        <v>631</v>
      </c>
      <c r="C2374" s="4">
        <v>2.0</v>
      </c>
      <c r="D2374" s="64">
        <v>2.0</v>
      </c>
      <c r="E2374" s="63" t="s">
        <v>1251</v>
      </c>
      <c r="F2374" s="64">
        <v>8.0</v>
      </c>
      <c r="G2374" s="69"/>
      <c r="H2374" s="69"/>
      <c r="I2374" s="69"/>
      <c r="J2374" s="69"/>
      <c r="K2374" s="65"/>
      <c r="L2374" s="65"/>
      <c r="M2374" s="65"/>
      <c r="N2374" s="65"/>
      <c r="O2374" s="65"/>
      <c r="P2374" s="65"/>
      <c r="Q2374" s="65"/>
      <c r="R2374" s="65"/>
      <c r="S2374" s="65"/>
      <c r="T2374" s="65"/>
      <c r="U2374" s="65"/>
      <c r="V2374" s="65"/>
      <c r="W2374" s="65"/>
      <c r="X2374" s="66"/>
    </row>
    <row r="2375">
      <c r="A2375" s="63" t="s">
        <v>5043</v>
      </c>
      <c r="B2375" s="63" t="s">
        <v>631</v>
      </c>
      <c r="C2375" s="4">
        <v>3.0</v>
      </c>
      <c r="D2375" s="64">
        <v>3.0</v>
      </c>
      <c r="E2375" s="63" t="s">
        <v>1251</v>
      </c>
      <c r="F2375" s="64">
        <v>16.0</v>
      </c>
      <c r="G2375" s="69"/>
      <c r="H2375" s="69"/>
      <c r="I2375" s="69"/>
      <c r="J2375" s="69"/>
      <c r="K2375" s="65"/>
      <c r="L2375" s="65"/>
      <c r="M2375" s="65"/>
      <c r="N2375" s="65"/>
      <c r="O2375" s="65"/>
      <c r="P2375" s="65"/>
      <c r="Q2375" s="65"/>
      <c r="R2375" s="65"/>
      <c r="S2375" s="65"/>
      <c r="T2375" s="65"/>
      <c r="U2375" s="65"/>
      <c r="V2375" s="65"/>
      <c r="W2375" s="65"/>
      <c r="X2375" s="66"/>
    </row>
    <row r="2376">
      <c r="A2376" s="63" t="s">
        <v>5044</v>
      </c>
      <c r="B2376" s="63" t="s">
        <v>631</v>
      </c>
      <c r="C2376" s="4">
        <v>4.0</v>
      </c>
      <c r="D2376" s="64">
        <v>4.0</v>
      </c>
      <c r="E2376" s="63" t="s">
        <v>1088</v>
      </c>
      <c r="F2376" s="68" t="s">
        <v>4054</v>
      </c>
      <c r="G2376" s="69"/>
      <c r="H2376" s="69"/>
      <c r="I2376" s="69"/>
      <c r="J2376" s="69"/>
      <c r="K2376" s="65"/>
      <c r="L2376" s="65"/>
      <c r="M2376" s="65"/>
      <c r="N2376" s="65"/>
      <c r="O2376" s="65"/>
      <c r="P2376" s="65"/>
      <c r="Q2376" s="65"/>
      <c r="R2376" s="65"/>
      <c r="S2376" s="65"/>
      <c r="T2376" s="65"/>
      <c r="U2376" s="65"/>
      <c r="V2376" s="65"/>
      <c r="W2376" s="65"/>
      <c r="X2376" s="66"/>
    </row>
    <row r="2377">
      <c r="A2377" s="63" t="s">
        <v>5045</v>
      </c>
      <c r="B2377" s="63" t="s">
        <v>631</v>
      </c>
      <c r="C2377" s="4">
        <v>5.0</v>
      </c>
      <c r="D2377" s="64">
        <v>5.0</v>
      </c>
      <c r="E2377" s="63" t="s">
        <v>1098</v>
      </c>
      <c r="F2377" s="64">
        <v>16.0</v>
      </c>
      <c r="G2377" s="64">
        <v>10.62</v>
      </c>
      <c r="H2377" s="64">
        <v>10.85</v>
      </c>
      <c r="I2377" s="64">
        <v>10.53</v>
      </c>
      <c r="J2377" s="64">
        <v>11.17</v>
      </c>
      <c r="K2377" s="64">
        <v>10.68</v>
      </c>
      <c r="L2377" s="64">
        <v>10.92</v>
      </c>
      <c r="M2377" s="64">
        <v>11.07</v>
      </c>
      <c r="N2377" s="64">
        <v>10.29</v>
      </c>
      <c r="O2377" s="65"/>
      <c r="P2377" s="65"/>
      <c r="Q2377" s="65"/>
      <c r="R2377" s="65"/>
      <c r="S2377" s="65"/>
      <c r="T2377" s="65"/>
      <c r="U2377" s="65"/>
      <c r="V2377" s="65"/>
      <c r="W2377" s="65"/>
      <c r="X2377" s="67">
        <v>11.13</v>
      </c>
    </row>
    <row r="2378">
      <c r="A2378" s="63" t="s">
        <v>5046</v>
      </c>
      <c r="B2378" s="63" t="s">
        <v>631</v>
      </c>
      <c r="C2378" s="4">
        <v>6.0</v>
      </c>
      <c r="D2378" s="64">
        <v>6.0</v>
      </c>
      <c r="E2378" s="63" t="s">
        <v>1098</v>
      </c>
      <c r="F2378" s="64">
        <v>16.0</v>
      </c>
      <c r="G2378" s="64">
        <v>10.76</v>
      </c>
      <c r="H2378" s="64">
        <v>10.51</v>
      </c>
      <c r="I2378" s="64">
        <v>10.15</v>
      </c>
      <c r="J2378" s="64">
        <v>10.38</v>
      </c>
      <c r="K2378" s="64">
        <v>10.97</v>
      </c>
      <c r="L2378" s="64">
        <v>10.32</v>
      </c>
      <c r="M2378" s="64">
        <v>10.33</v>
      </c>
      <c r="N2378" s="64">
        <v>10.11</v>
      </c>
      <c r="O2378" s="65"/>
      <c r="P2378" s="65"/>
      <c r="Q2378" s="65"/>
      <c r="R2378" s="65"/>
      <c r="S2378" s="65"/>
      <c r="T2378" s="65"/>
      <c r="U2378" s="65"/>
      <c r="V2378" s="65"/>
      <c r="W2378" s="65"/>
      <c r="X2378" s="67">
        <v>11.13</v>
      </c>
    </row>
    <row r="2379">
      <c r="A2379" s="63" t="s">
        <v>5047</v>
      </c>
      <c r="B2379" s="63" t="s">
        <v>631</v>
      </c>
      <c r="C2379" s="4">
        <v>7.0</v>
      </c>
      <c r="D2379" s="64">
        <v>7.0</v>
      </c>
      <c r="E2379" s="63" t="s">
        <v>1088</v>
      </c>
      <c r="F2379" s="68" t="s">
        <v>4054</v>
      </c>
      <c r="G2379" s="69"/>
      <c r="H2379" s="69"/>
      <c r="I2379" s="69"/>
      <c r="J2379" s="69"/>
      <c r="K2379" s="65"/>
      <c r="L2379" s="65"/>
      <c r="M2379" s="65"/>
      <c r="N2379" s="65"/>
      <c r="O2379" s="65"/>
      <c r="P2379" s="65"/>
      <c r="Q2379" s="65"/>
      <c r="R2379" s="65"/>
      <c r="S2379" s="65"/>
      <c r="T2379" s="65"/>
      <c r="U2379" s="65"/>
      <c r="V2379" s="65"/>
      <c r="W2379" s="65"/>
      <c r="X2379" s="66"/>
    </row>
    <row r="2380">
      <c r="A2380" s="63" t="s">
        <v>5048</v>
      </c>
      <c r="B2380" s="63" t="s">
        <v>631</v>
      </c>
      <c r="C2380" s="4">
        <v>8.0</v>
      </c>
      <c r="D2380" s="64">
        <v>8.0</v>
      </c>
      <c r="E2380" s="63" t="s">
        <v>1088</v>
      </c>
      <c r="F2380" s="64">
        <v>16.0</v>
      </c>
      <c r="G2380" s="64">
        <v>7.46</v>
      </c>
      <c r="H2380" s="64">
        <v>8.12</v>
      </c>
      <c r="I2380" s="64">
        <v>7.74</v>
      </c>
      <c r="J2380" s="64">
        <v>8.67</v>
      </c>
      <c r="K2380" s="64">
        <v>8.76</v>
      </c>
      <c r="L2380" s="64">
        <v>7.75</v>
      </c>
      <c r="M2380" s="64">
        <v>7.48</v>
      </c>
      <c r="N2380" s="64">
        <v>7.51</v>
      </c>
      <c r="O2380" s="65"/>
      <c r="P2380" s="65"/>
      <c r="Q2380" s="65"/>
      <c r="R2380" s="65"/>
      <c r="S2380" s="65"/>
      <c r="T2380" s="65"/>
      <c r="U2380" s="65"/>
      <c r="V2380" s="65"/>
      <c r="W2380" s="65"/>
      <c r="X2380" s="67">
        <v>8.74</v>
      </c>
    </row>
    <row r="2381">
      <c r="A2381" s="63" t="s">
        <v>5049</v>
      </c>
      <c r="B2381" s="63" t="s">
        <v>631</v>
      </c>
      <c r="C2381" s="4">
        <v>9.0</v>
      </c>
      <c r="D2381" s="64">
        <v>9.0</v>
      </c>
      <c r="E2381" s="63" t="s">
        <v>1088</v>
      </c>
      <c r="F2381" s="68" t="s">
        <v>4054</v>
      </c>
      <c r="G2381" s="69"/>
      <c r="H2381" s="69"/>
      <c r="I2381" s="69"/>
      <c r="J2381" s="69"/>
      <c r="K2381" s="65"/>
      <c r="L2381" s="65"/>
      <c r="M2381" s="65"/>
      <c r="N2381" s="65"/>
      <c r="O2381" s="65"/>
      <c r="P2381" s="65"/>
      <c r="Q2381" s="65"/>
      <c r="R2381" s="65"/>
      <c r="S2381" s="65"/>
      <c r="T2381" s="65"/>
      <c r="U2381" s="65"/>
      <c r="V2381" s="65"/>
      <c r="W2381" s="65"/>
      <c r="X2381" s="66"/>
    </row>
    <row r="2382">
      <c r="A2382" s="63" t="s">
        <v>5050</v>
      </c>
      <c r="B2382" s="63" t="s">
        <v>610</v>
      </c>
      <c r="C2382" s="4">
        <v>1.0</v>
      </c>
      <c r="D2382" s="64">
        <v>1.0</v>
      </c>
      <c r="E2382" s="63" t="s">
        <v>1088</v>
      </c>
      <c r="F2382" s="64">
        <v>8.0</v>
      </c>
      <c r="G2382" s="69"/>
      <c r="H2382" s="69"/>
      <c r="I2382" s="69"/>
      <c r="J2382" s="69"/>
      <c r="K2382" s="65"/>
      <c r="L2382" s="65"/>
      <c r="M2382" s="65"/>
      <c r="N2382" s="65"/>
      <c r="O2382" s="65"/>
      <c r="P2382" s="65"/>
      <c r="Q2382" s="65"/>
      <c r="R2382" s="65"/>
      <c r="S2382" s="65"/>
      <c r="T2382" s="65"/>
      <c r="U2382" s="65"/>
      <c r="V2382" s="65"/>
      <c r="W2382" s="65"/>
      <c r="X2382" s="66"/>
    </row>
    <row r="2383">
      <c r="A2383" s="63" t="s">
        <v>5051</v>
      </c>
      <c r="B2383" s="63" t="s">
        <v>610</v>
      </c>
      <c r="C2383" s="4">
        <v>2.0</v>
      </c>
      <c r="D2383" s="64">
        <v>2.0</v>
      </c>
      <c r="E2383" s="63" t="s">
        <v>1251</v>
      </c>
      <c r="F2383" s="64">
        <v>8.0</v>
      </c>
      <c r="G2383" s="64">
        <v>8.32</v>
      </c>
      <c r="H2383" s="64">
        <v>9.73</v>
      </c>
      <c r="I2383" s="64">
        <v>7.77</v>
      </c>
      <c r="J2383" s="64">
        <v>8.12</v>
      </c>
      <c r="K2383" s="65"/>
      <c r="L2383" s="65"/>
      <c r="M2383" s="65"/>
      <c r="N2383" s="65"/>
      <c r="O2383" s="65"/>
      <c r="P2383" s="65"/>
      <c r="Q2383" s="65"/>
      <c r="R2383" s="65"/>
      <c r="S2383" s="65"/>
      <c r="T2383" s="65"/>
      <c r="U2383" s="65"/>
      <c r="V2383" s="65"/>
      <c r="W2383" s="65"/>
      <c r="X2383" s="67">
        <v>9.52</v>
      </c>
    </row>
    <row r="2384">
      <c r="A2384" s="63" t="s">
        <v>5052</v>
      </c>
      <c r="B2384" s="63" t="s">
        <v>610</v>
      </c>
      <c r="C2384" s="4">
        <v>3.0</v>
      </c>
      <c r="D2384" s="64">
        <v>3.0</v>
      </c>
      <c r="E2384" s="63" t="s">
        <v>1251</v>
      </c>
      <c r="F2384" s="64">
        <v>16.0</v>
      </c>
      <c r="G2384" s="69"/>
      <c r="H2384" s="69"/>
      <c r="I2384" s="69"/>
      <c r="J2384" s="69"/>
      <c r="K2384" s="65"/>
      <c r="L2384" s="65"/>
      <c r="M2384" s="65"/>
      <c r="N2384" s="65"/>
      <c r="O2384" s="65"/>
      <c r="P2384" s="65"/>
      <c r="Q2384" s="65"/>
      <c r="R2384" s="65"/>
      <c r="S2384" s="65"/>
      <c r="T2384" s="65"/>
      <c r="U2384" s="65"/>
      <c r="V2384" s="65"/>
      <c r="W2384" s="65"/>
      <c r="X2384" s="66"/>
    </row>
    <row r="2385">
      <c r="A2385" s="63" t="s">
        <v>5053</v>
      </c>
      <c r="B2385" s="63" t="s">
        <v>610</v>
      </c>
      <c r="C2385" s="4">
        <v>4.0</v>
      </c>
      <c r="D2385" s="64">
        <v>4.0</v>
      </c>
      <c r="E2385" s="63" t="s">
        <v>1088</v>
      </c>
      <c r="F2385" s="68" t="s">
        <v>4054</v>
      </c>
      <c r="G2385" s="69"/>
      <c r="H2385" s="69"/>
      <c r="I2385" s="69"/>
      <c r="J2385" s="69"/>
      <c r="K2385" s="65"/>
      <c r="L2385" s="65"/>
      <c r="M2385" s="65"/>
      <c r="N2385" s="65"/>
      <c r="O2385" s="65"/>
      <c r="P2385" s="65"/>
      <c r="Q2385" s="65"/>
      <c r="R2385" s="65"/>
      <c r="S2385" s="65"/>
      <c r="T2385" s="65"/>
      <c r="U2385" s="65"/>
      <c r="V2385" s="65"/>
      <c r="W2385" s="65"/>
      <c r="X2385" s="66"/>
    </row>
    <row r="2386">
      <c r="A2386" s="63" t="s">
        <v>5054</v>
      </c>
      <c r="B2386" s="63" t="s">
        <v>610</v>
      </c>
      <c r="C2386" s="4">
        <v>5.0</v>
      </c>
      <c r="D2386" s="64">
        <v>5.0</v>
      </c>
      <c r="E2386" s="63" t="s">
        <v>1098</v>
      </c>
      <c r="F2386" s="64">
        <v>16.0</v>
      </c>
      <c r="G2386" s="64">
        <v>8.28</v>
      </c>
      <c r="H2386" s="64">
        <v>8.12</v>
      </c>
      <c r="I2386" s="64">
        <v>8.11</v>
      </c>
      <c r="J2386" s="64">
        <v>8.96</v>
      </c>
      <c r="K2386" s="64">
        <v>8.79</v>
      </c>
      <c r="L2386" s="64">
        <v>8.29</v>
      </c>
      <c r="M2386" s="64">
        <v>8.43</v>
      </c>
      <c r="N2386" s="64">
        <v>8.91</v>
      </c>
      <c r="O2386" s="65"/>
      <c r="P2386" s="65"/>
      <c r="Q2386" s="65"/>
      <c r="R2386" s="65"/>
      <c r="S2386" s="65"/>
      <c r="T2386" s="65"/>
      <c r="U2386" s="65"/>
      <c r="V2386" s="65"/>
      <c r="W2386" s="65"/>
      <c r="X2386" s="67">
        <v>8.74</v>
      </c>
    </row>
    <row r="2387">
      <c r="A2387" s="63" t="s">
        <v>5055</v>
      </c>
      <c r="B2387" s="63" t="s">
        <v>610</v>
      </c>
      <c r="C2387" s="4">
        <v>6.0</v>
      </c>
      <c r="D2387" s="64">
        <v>6.0</v>
      </c>
      <c r="E2387" s="63" t="s">
        <v>1098</v>
      </c>
      <c r="F2387" s="64">
        <v>16.0</v>
      </c>
      <c r="G2387" s="64">
        <v>9.16</v>
      </c>
      <c r="H2387" s="64">
        <v>9.6</v>
      </c>
      <c r="I2387" s="64">
        <v>9.78</v>
      </c>
      <c r="J2387" s="64">
        <v>9.71</v>
      </c>
      <c r="K2387" s="64">
        <v>9.59</v>
      </c>
      <c r="L2387" s="64">
        <v>9.36</v>
      </c>
      <c r="M2387" s="64">
        <v>9.74</v>
      </c>
      <c r="N2387" s="64">
        <v>9.58</v>
      </c>
      <c r="O2387" s="65"/>
      <c r="P2387" s="65"/>
      <c r="Q2387" s="65"/>
      <c r="R2387" s="65"/>
      <c r="S2387" s="65"/>
      <c r="T2387" s="65"/>
      <c r="U2387" s="65"/>
      <c r="V2387" s="65"/>
      <c r="W2387" s="65"/>
      <c r="X2387" s="67">
        <v>9.52</v>
      </c>
    </row>
    <row r="2388">
      <c r="A2388" s="63" t="s">
        <v>5056</v>
      </c>
      <c r="B2388" s="63" t="s">
        <v>610</v>
      </c>
      <c r="C2388" s="4">
        <v>7.0</v>
      </c>
      <c r="D2388" s="64">
        <v>7.0</v>
      </c>
      <c r="E2388" s="63" t="s">
        <v>1088</v>
      </c>
      <c r="F2388" s="68" t="s">
        <v>4054</v>
      </c>
      <c r="G2388" s="69"/>
      <c r="H2388" s="69"/>
      <c r="I2388" s="69"/>
      <c r="J2388" s="69"/>
      <c r="K2388" s="65"/>
      <c r="L2388" s="65"/>
      <c r="M2388" s="65"/>
      <c r="N2388" s="65"/>
      <c r="O2388" s="65"/>
      <c r="P2388" s="65"/>
      <c r="Q2388" s="65"/>
      <c r="R2388" s="65"/>
      <c r="S2388" s="65"/>
      <c r="T2388" s="65"/>
      <c r="U2388" s="65"/>
      <c r="V2388" s="65"/>
      <c r="W2388" s="65"/>
      <c r="X2388" s="66"/>
    </row>
    <row r="2389">
      <c r="A2389" s="63" t="s">
        <v>5057</v>
      </c>
      <c r="B2389" s="63" t="s">
        <v>610</v>
      </c>
      <c r="C2389" s="4">
        <v>8.0</v>
      </c>
      <c r="D2389" s="64">
        <v>8.0</v>
      </c>
      <c r="E2389" s="63" t="s">
        <v>1088</v>
      </c>
      <c r="F2389" s="64">
        <v>16.0</v>
      </c>
      <c r="G2389" s="64">
        <v>7.15</v>
      </c>
      <c r="H2389" s="64">
        <v>7.28</v>
      </c>
      <c r="I2389" s="64">
        <v>6.59</v>
      </c>
      <c r="J2389" s="64">
        <v>7.05</v>
      </c>
      <c r="K2389" s="64">
        <v>6.87</v>
      </c>
      <c r="L2389" s="64">
        <v>6.56</v>
      </c>
      <c r="M2389" s="64">
        <v>6.87</v>
      </c>
      <c r="N2389" s="64">
        <v>7.25</v>
      </c>
      <c r="O2389" s="65"/>
      <c r="P2389" s="65"/>
      <c r="Q2389" s="65"/>
      <c r="R2389" s="65"/>
      <c r="S2389" s="65"/>
      <c r="T2389" s="65"/>
      <c r="U2389" s="65"/>
      <c r="V2389" s="65"/>
      <c r="W2389" s="65"/>
      <c r="X2389" s="67">
        <v>7.14</v>
      </c>
    </row>
    <row r="2390">
      <c r="A2390" s="63" t="s">
        <v>5058</v>
      </c>
      <c r="B2390" s="63" t="s">
        <v>610</v>
      </c>
      <c r="C2390" s="4">
        <v>9.0</v>
      </c>
      <c r="D2390" s="64">
        <v>9.0</v>
      </c>
      <c r="E2390" s="63" t="s">
        <v>1088</v>
      </c>
      <c r="F2390" s="68" t="s">
        <v>4054</v>
      </c>
      <c r="G2390" s="69"/>
      <c r="H2390" s="69"/>
      <c r="I2390" s="69"/>
      <c r="J2390" s="69"/>
      <c r="K2390" s="65"/>
      <c r="L2390" s="65"/>
      <c r="M2390" s="65"/>
      <c r="N2390" s="65"/>
      <c r="O2390" s="65"/>
      <c r="P2390" s="65"/>
      <c r="Q2390" s="65"/>
      <c r="R2390" s="65"/>
      <c r="S2390" s="65"/>
      <c r="T2390" s="65"/>
      <c r="U2390" s="65"/>
      <c r="V2390" s="65"/>
      <c r="W2390" s="65"/>
      <c r="X2390" s="66"/>
    </row>
    <row r="2391">
      <c r="A2391" s="63" t="s">
        <v>5059</v>
      </c>
      <c r="B2391" s="63" t="s">
        <v>641</v>
      </c>
      <c r="C2391" s="4">
        <v>1.0</v>
      </c>
      <c r="D2391" s="64">
        <v>1.0</v>
      </c>
      <c r="E2391" s="63" t="s">
        <v>4884</v>
      </c>
      <c r="F2391" s="64">
        <v>10.0</v>
      </c>
      <c r="G2391" s="64">
        <v>9.0</v>
      </c>
      <c r="H2391" s="64">
        <v>8.81</v>
      </c>
      <c r="I2391" s="64">
        <v>7.64</v>
      </c>
      <c r="J2391" s="64">
        <v>8.28</v>
      </c>
      <c r="K2391" s="65"/>
      <c r="L2391" s="65"/>
      <c r="M2391" s="65"/>
      <c r="N2391" s="65"/>
      <c r="O2391" s="65"/>
      <c r="P2391" s="65"/>
      <c r="Q2391" s="65"/>
      <c r="R2391" s="65"/>
      <c r="S2391" s="65"/>
      <c r="T2391" s="65"/>
      <c r="U2391" s="65"/>
      <c r="V2391" s="65"/>
      <c r="W2391" s="65"/>
      <c r="X2391" s="67">
        <v>9.27</v>
      </c>
    </row>
    <row r="2392">
      <c r="A2392" s="63" t="s">
        <v>5060</v>
      </c>
      <c r="B2392" s="63" t="s">
        <v>641</v>
      </c>
      <c r="C2392" s="4">
        <v>2.0</v>
      </c>
      <c r="D2392" s="64">
        <v>2.0</v>
      </c>
      <c r="E2392" s="63" t="s">
        <v>4884</v>
      </c>
      <c r="F2392" s="64">
        <v>10.0</v>
      </c>
      <c r="G2392" s="64">
        <v>9.46</v>
      </c>
      <c r="H2392" s="64">
        <v>7.89</v>
      </c>
      <c r="I2392" s="64">
        <v>8.17</v>
      </c>
      <c r="J2392" s="64">
        <v>9.26</v>
      </c>
      <c r="K2392" s="65"/>
      <c r="L2392" s="65"/>
      <c r="M2392" s="65"/>
      <c r="N2392" s="65"/>
      <c r="O2392" s="65"/>
      <c r="P2392" s="65"/>
      <c r="Q2392" s="65"/>
      <c r="R2392" s="65"/>
      <c r="S2392" s="65"/>
      <c r="T2392" s="65"/>
      <c r="U2392" s="65"/>
      <c r="V2392" s="65"/>
      <c r="W2392" s="65"/>
      <c r="X2392" s="67">
        <v>9.27</v>
      </c>
    </row>
    <row r="2393">
      <c r="A2393" s="63" t="s">
        <v>5061</v>
      </c>
      <c r="B2393" s="63" t="s">
        <v>641</v>
      </c>
      <c r="C2393" s="4">
        <v>3.0</v>
      </c>
      <c r="D2393" s="64">
        <v>3.0</v>
      </c>
      <c r="E2393" s="63" t="s">
        <v>5062</v>
      </c>
      <c r="F2393" s="64">
        <v>18.0</v>
      </c>
      <c r="G2393" s="64">
        <v>15.61</v>
      </c>
      <c r="H2393" s="64">
        <v>15.69</v>
      </c>
      <c r="I2393" s="64">
        <v>13.82</v>
      </c>
      <c r="J2393" s="64">
        <v>12.48</v>
      </c>
      <c r="K2393" s="65"/>
      <c r="L2393" s="65"/>
      <c r="M2393" s="65"/>
      <c r="N2393" s="65"/>
      <c r="O2393" s="65"/>
      <c r="P2393" s="65"/>
      <c r="Q2393" s="65"/>
      <c r="R2393" s="65"/>
      <c r="S2393" s="65"/>
      <c r="T2393" s="65"/>
      <c r="U2393" s="65"/>
      <c r="V2393" s="65"/>
      <c r="W2393" s="65"/>
      <c r="X2393" s="66"/>
    </row>
    <row r="2394">
      <c r="A2394" s="63" t="s">
        <v>5063</v>
      </c>
      <c r="B2394" s="63" t="s">
        <v>641</v>
      </c>
      <c r="C2394" s="4">
        <v>4.0</v>
      </c>
      <c r="D2394" s="64">
        <v>4.0</v>
      </c>
      <c r="E2394" s="63" t="s">
        <v>5010</v>
      </c>
      <c r="F2394" s="64">
        <v>18.0</v>
      </c>
      <c r="G2394" s="64">
        <v>6.01</v>
      </c>
      <c r="H2394" s="64">
        <v>6.32</v>
      </c>
      <c r="I2394" s="64">
        <v>7.38</v>
      </c>
      <c r="J2394" s="64">
        <v>5.26</v>
      </c>
      <c r="K2394" s="65"/>
      <c r="L2394" s="65"/>
      <c r="M2394" s="65"/>
      <c r="N2394" s="65"/>
      <c r="O2394" s="65"/>
      <c r="P2394" s="65"/>
      <c r="Q2394" s="65"/>
      <c r="R2394" s="65"/>
      <c r="S2394" s="65"/>
      <c r="T2394" s="65"/>
      <c r="U2394" s="65"/>
      <c r="V2394" s="65"/>
      <c r="W2394" s="65"/>
      <c r="X2394" s="66"/>
    </row>
    <row r="2395">
      <c r="A2395" s="63" t="s">
        <v>5064</v>
      </c>
      <c r="B2395" s="63" t="s">
        <v>641</v>
      </c>
      <c r="C2395" s="4">
        <v>5.0</v>
      </c>
      <c r="D2395" s="64">
        <v>4.0</v>
      </c>
      <c r="E2395" s="63" t="s">
        <v>5010</v>
      </c>
      <c r="F2395" s="64">
        <v>18.0</v>
      </c>
      <c r="G2395" s="64">
        <v>8.5</v>
      </c>
      <c r="H2395" s="64">
        <v>10.43</v>
      </c>
      <c r="I2395" s="64">
        <v>10.44</v>
      </c>
      <c r="J2395" s="64">
        <v>10.53</v>
      </c>
      <c r="K2395" s="65"/>
      <c r="L2395" s="65"/>
      <c r="M2395" s="65"/>
      <c r="N2395" s="65"/>
      <c r="O2395" s="65"/>
      <c r="P2395" s="65"/>
      <c r="Q2395" s="65"/>
      <c r="R2395" s="65"/>
      <c r="S2395" s="65"/>
      <c r="T2395" s="65"/>
      <c r="U2395" s="65"/>
      <c r="V2395" s="65"/>
      <c r="W2395" s="65"/>
      <c r="X2395" s="66"/>
    </row>
    <row r="2396">
      <c r="A2396" s="63" t="s">
        <v>5065</v>
      </c>
      <c r="B2396" s="63" t="s">
        <v>641</v>
      </c>
      <c r="C2396" s="4">
        <v>6.0</v>
      </c>
      <c r="D2396" s="64">
        <v>4.0</v>
      </c>
      <c r="E2396" s="63" t="s">
        <v>5010</v>
      </c>
      <c r="F2396" s="64">
        <v>18.0</v>
      </c>
      <c r="G2396" s="64">
        <v>10.3</v>
      </c>
      <c r="H2396" s="64">
        <v>6.85</v>
      </c>
      <c r="I2396" s="64">
        <v>10.25</v>
      </c>
      <c r="J2396" s="64">
        <v>5.81</v>
      </c>
      <c r="K2396" s="65"/>
      <c r="L2396" s="65"/>
      <c r="M2396" s="65"/>
      <c r="N2396" s="65"/>
      <c r="O2396" s="65"/>
      <c r="P2396" s="65"/>
      <c r="Q2396" s="65"/>
      <c r="R2396" s="65"/>
      <c r="S2396" s="65"/>
      <c r="T2396" s="65"/>
      <c r="U2396" s="65"/>
      <c r="V2396" s="65"/>
      <c r="W2396" s="65"/>
      <c r="X2396" s="66"/>
    </row>
    <row r="2397">
      <c r="A2397" s="63" t="s">
        <v>5066</v>
      </c>
      <c r="B2397" s="63" t="s">
        <v>641</v>
      </c>
      <c r="C2397" s="4">
        <v>7.0</v>
      </c>
      <c r="D2397" s="64">
        <v>5.0</v>
      </c>
      <c r="E2397" s="63" t="s">
        <v>4884</v>
      </c>
      <c r="F2397" s="64">
        <v>18.0</v>
      </c>
      <c r="G2397" s="64">
        <v>5.37</v>
      </c>
      <c r="H2397" s="64">
        <v>7.64</v>
      </c>
      <c r="I2397" s="64">
        <v>6.78</v>
      </c>
      <c r="J2397" s="64">
        <v>7.12</v>
      </c>
      <c r="K2397" s="65"/>
      <c r="L2397" s="65"/>
      <c r="M2397" s="65"/>
      <c r="N2397" s="65"/>
      <c r="O2397" s="65"/>
      <c r="P2397" s="65"/>
      <c r="Q2397" s="65"/>
      <c r="R2397" s="65"/>
      <c r="S2397" s="65"/>
      <c r="T2397" s="65"/>
      <c r="U2397" s="65"/>
      <c r="V2397" s="65"/>
      <c r="W2397" s="65"/>
      <c r="X2397" s="66"/>
    </row>
    <row r="2398">
      <c r="A2398" s="63" t="s">
        <v>5067</v>
      </c>
      <c r="B2398" s="63" t="s">
        <v>641</v>
      </c>
      <c r="C2398" s="4">
        <v>8.0</v>
      </c>
      <c r="D2398" s="64">
        <v>6.0</v>
      </c>
      <c r="E2398" s="63" t="s">
        <v>4884</v>
      </c>
      <c r="F2398" s="64">
        <v>18.0</v>
      </c>
      <c r="G2398" s="64">
        <v>4.56</v>
      </c>
      <c r="H2398" s="64">
        <v>5.55</v>
      </c>
      <c r="I2398" s="64">
        <v>6.3</v>
      </c>
      <c r="J2398" s="64">
        <v>5.2</v>
      </c>
      <c r="K2398" s="65"/>
      <c r="L2398" s="65"/>
      <c r="M2398" s="65"/>
      <c r="N2398" s="65"/>
      <c r="O2398" s="65"/>
      <c r="P2398" s="65"/>
      <c r="Q2398" s="65"/>
      <c r="R2398" s="65"/>
      <c r="S2398" s="65"/>
      <c r="T2398" s="65"/>
      <c r="U2398" s="65"/>
      <c r="V2398" s="65"/>
      <c r="W2398" s="65"/>
      <c r="X2398" s="66"/>
    </row>
    <row r="2399">
      <c r="A2399" s="63" t="s">
        <v>5068</v>
      </c>
      <c r="B2399" s="63" t="s">
        <v>645</v>
      </c>
      <c r="C2399" s="4">
        <v>1.0</v>
      </c>
      <c r="D2399" s="64">
        <v>1.0</v>
      </c>
      <c r="E2399" s="63" t="s">
        <v>4884</v>
      </c>
      <c r="F2399" s="64">
        <v>10.0</v>
      </c>
      <c r="G2399" s="64">
        <v>5.43</v>
      </c>
      <c r="H2399" s="64">
        <v>6.02</v>
      </c>
      <c r="I2399" s="64">
        <v>6.47</v>
      </c>
      <c r="J2399" s="64">
        <v>7.5</v>
      </c>
      <c r="K2399" s="65"/>
      <c r="L2399" s="65"/>
      <c r="M2399" s="65"/>
      <c r="N2399" s="65"/>
      <c r="O2399" s="65"/>
      <c r="P2399" s="65"/>
      <c r="Q2399" s="65"/>
      <c r="R2399" s="65"/>
      <c r="S2399" s="65"/>
      <c r="T2399" s="65"/>
      <c r="U2399" s="65"/>
      <c r="V2399" s="65"/>
      <c r="W2399" s="65"/>
      <c r="X2399" s="67">
        <v>7.8</v>
      </c>
    </row>
    <row r="2400">
      <c r="A2400" s="63" t="s">
        <v>5069</v>
      </c>
      <c r="B2400" s="63" t="s">
        <v>645</v>
      </c>
      <c r="C2400" s="4">
        <v>2.0</v>
      </c>
      <c r="D2400" s="64">
        <v>2.0</v>
      </c>
      <c r="E2400" s="63" t="s">
        <v>4884</v>
      </c>
      <c r="F2400" s="64">
        <v>10.0</v>
      </c>
      <c r="G2400" s="64">
        <v>6.25</v>
      </c>
      <c r="H2400" s="64">
        <v>5.58</v>
      </c>
      <c r="I2400" s="64">
        <v>7.15</v>
      </c>
      <c r="J2400" s="64">
        <v>7.83</v>
      </c>
      <c r="K2400" s="65"/>
      <c r="L2400" s="65"/>
      <c r="M2400" s="65"/>
      <c r="N2400" s="65"/>
      <c r="O2400" s="65"/>
      <c r="P2400" s="65"/>
      <c r="Q2400" s="65"/>
      <c r="R2400" s="65"/>
      <c r="S2400" s="65"/>
      <c r="T2400" s="65"/>
      <c r="U2400" s="65"/>
      <c r="V2400" s="65"/>
      <c r="W2400" s="65"/>
      <c r="X2400" s="67">
        <v>7.8</v>
      </c>
    </row>
    <row r="2401">
      <c r="A2401" s="63" t="s">
        <v>5070</v>
      </c>
      <c r="B2401" s="63" t="s">
        <v>645</v>
      </c>
      <c r="C2401" s="4">
        <v>3.0</v>
      </c>
      <c r="D2401" s="64">
        <v>3.0</v>
      </c>
      <c r="E2401" s="63" t="s">
        <v>5062</v>
      </c>
      <c r="F2401" s="64">
        <v>18.0</v>
      </c>
      <c r="G2401" s="64">
        <v>11.31</v>
      </c>
      <c r="H2401" s="64">
        <v>11.67</v>
      </c>
      <c r="I2401" s="64">
        <v>12.5</v>
      </c>
      <c r="J2401" s="64">
        <v>13.58</v>
      </c>
      <c r="K2401" s="65"/>
      <c r="L2401" s="65"/>
      <c r="M2401" s="65"/>
      <c r="N2401" s="65"/>
      <c r="O2401" s="65"/>
      <c r="P2401" s="65"/>
      <c r="Q2401" s="65"/>
      <c r="R2401" s="65"/>
      <c r="S2401" s="65"/>
      <c r="T2401" s="65"/>
      <c r="U2401" s="65"/>
      <c r="V2401" s="65"/>
      <c r="W2401" s="65"/>
      <c r="X2401" s="66"/>
    </row>
    <row r="2402">
      <c r="A2402" s="63" t="s">
        <v>5071</v>
      </c>
      <c r="B2402" s="63" t="s">
        <v>645</v>
      </c>
      <c r="C2402" s="4">
        <v>4.0</v>
      </c>
      <c r="D2402" s="64">
        <v>4.0</v>
      </c>
      <c r="E2402" s="63" t="s">
        <v>5010</v>
      </c>
      <c r="F2402" s="64">
        <v>18.0</v>
      </c>
      <c r="G2402" s="64">
        <v>7.73</v>
      </c>
      <c r="H2402" s="64">
        <v>5.46</v>
      </c>
      <c r="I2402" s="64">
        <v>8.57</v>
      </c>
      <c r="J2402" s="64">
        <v>5.94</v>
      </c>
      <c r="K2402" s="65"/>
      <c r="L2402" s="65"/>
      <c r="M2402" s="65"/>
      <c r="N2402" s="65"/>
      <c r="O2402" s="65"/>
      <c r="P2402" s="65"/>
      <c r="Q2402" s="65"/>
      <c r="R2402" s="65"/>
      <c r="S2402" s="65"/>
      <c r="T2402" s="65"/>
      <c r="U2402" s="65"/>
      <c r="V2402" s="65"/>
      <c r="W2402" s="65"/>
      <c r="X2402" s="66"/>
    </row>
    <row r="2403">
      <c r="A2403" s="63" t="s">
        <v>5072</v>
      </c>
      <c r="B2403" s="63" t="s">
        <v>645</v>
      </c>
      <c r="C2403" s="4">
        <v>5.0</v>
      </c>
      <c r="D2403" s="64">
        <v>4.0</v>
      </c>
      <c r="E2403" s="63" t="s">
        <v>5010</v>
      </c>
      <c r="F2403" s="64">
        <v>18.0</v>
      </c>
      <c r="G2403" s="64">
        <v>7.31</v>
      </c>
      <c r="H2403" s="64">
        <v>7.33</v>
      </c>
      <c r="I2403" s="64">
        <v>8.92</v>
      </c>
      <c r="J2403" s="64">
        <v>7.37</v>
      </c>
      <c r="K2403" s="65"/>
      <c r="L2403" s="65"/>
      <c r="M2403" s="65"/>
      <c r="N2403" s="65"/>
      <c r="O2403" s="65"/>
      <c r="P2403" s="65"/>
      <c r="Q2403" s="65"/>
      <c r="R2403" s="65"/>
      <c r="S2403" s="65"/>
      <c r="T2403" s="65"/>
      <c r="U2403" s="65"/>
      <c r="V2403" s="65"/>
      <c r="W2403" s="65"/>
      <c r="X2403" s="66"/>
    </row>
    <row r="2404">
      <c r="A2404" s="63" t="s">
        <v>5073</v>
      </c>
      <c r="B2404" s="63" t="s">
        <v>645</v>
      </c>
      <c r="C2404" s="4">
        <v>6.0</v>
      </c>
      <c r="D2404" s="64">
        <v>4.0</v>
      </c>
      <c r="E2404" s="63" t="s">
        <v>5010</v>
      </c>
      <c r="F2404" s="64">
        <v>18.0</v>
      </c>
      <c r="G2404" s="64">
        <v>8.91</v>
      </c>
      <c r="H2404" s="64">
        <v>8.89</v>
      </c>
      <c r="I2404" s="64">
        <v>8.79</v>
      </c>
      <c r="J2404" s="64">
        <v>8.58</v>
      </c>
      <c r="K2404" s="65"/>
      <c r="L2404" s="65"/>
      <c r="M2404" s="65"/>
      <c r="N2404" s="65"/>
      <c r="O2404" s="65"/>
      <c r="P2404" s="65"/>
      <c r="Q2404" s="65"/>
      <c r="R2404" s="65"/>
      <c r="S2404" s="65"/>
      <c r="T2404" s="65"/>
      <c r="U2404" s="65"/>
      <c r="V2404" s="65"/>
      <c r="W2404" s="65"/>
      <c r="X2404" s="66"/>
    </row>
    <row r="2405">
      <c r="A2405" s="63" t="s">
        <v>5074</v>
      </c>
      <c r="B2405" s="63" t="s">
        <v>645</v>
      </c>
      <c r="C2405" s="4">
        <v>7.0</v>
      </c>
      <c r="D2405" s="64">
        <v>5.0</v>
      </c>
      <c r="E2405" s="63" t="s">
        <v>4884</v>
      </c>
      <c r="F2405" s="64">
        <v>18.0</v>
      </c>
      <c r="G2405" s="64">
        <v>5.24</v>
      </c>
      <c r="H2405" s="64">
        <v>6.99</v>
      </c>
      <c r="I2405" s="64">
        <v>5.39</v>
      </c>
      <c r="J2405" s="64">
        <v>8.57</v>
      </c>
      <c r="K2405" s="65"/>
      <c r="L2405" s="65"/>
      <c r="M2405" s="65"/>
      <c r="N2405" s="65"/>
      <c r="O2405" s="65"/>
      <c r="P2405" s="65"/>
      <c r="Q2405" s="65"/>
      <c r="R2405" s="65"/>
      <c r="S2405" s="65"/>
      <c r="T2405" s="65"/>
      <c r="U2405" s="65"/>
      <c r="V2405" s="65"/>
      <c r="W2405" s="65"/>
      <c r="X2405" s="66"/>
    </row>
    <row r="2406">
      <c r="A2406" s="63" t="s">
        <v>5075</v>
      </c>
      <c r="B2406" s="63" t="s">
        <v>645</v>
      </c>
      <c r="C2406" s="4">
        <v>8.0</v>
      </c>
      <c r="D2406" s="64">
        <v>6.0</v>
      </c>
      <c r="E2406" s="63" t="s">
        <v>4884</v>
      </c>
      <c r="F2406" s="64">
        <v>18.0</v>
      </c>
      <c r="G2406" s="64">
        <v>4.92</v>
      </c>
      <c r="H2406" s="64">
        <v>6.8</v>
      </c>
      <c r="I2406" s="64">
        <v>5.45</v>
      </c>
      <c r="J2406" s="64">
        <v>7.03</v>
      </c>
      <c r="K2406" s="65"/>
      <c r="L2406" s="65"/>
      <c r="M2406" s="65"/>
      <c r="N2406" s="65"/>
      <c r="O2406" s="65"/>
      <c r="P2406" s="65"/>
      <c r="Q2406" s="65"/>
      <c r="R2406" s="65"/>
      <c r="S2406" s="65"/>
      <c r="T2406" s="65"/>
      <c r="U2406" s="65"/>
      <c r="V2406" s="65"/>
      <c r="W2406" s="65"/>
      <c r="X2406" s="66"/>
    </row>
    <row r="2407">
      <c r="A2407" s="63" t="s">
        <v>5076</v>
      </c>
      <c r="B2407" s="63" t="s">
        <v>649</v>
      </c>
      <c r="C2407" s="4">
        <v>1.0</v>
      </c>
      <c r="D2407" s="64">
        <v>1.0</v>
      </c>
      <c r="E2407" s="63" t="s">
        <v>4884</v>
      </c>
      <c r="F2407" s="64">
        <v>18.0</v>
      </c>
      <c r="G2407" s="64">
        <v>4.65</v>
      </c>
      <c r="H2407" s="64">
        <v>7.04</v>
      </c>
      <c r="I2407" s="64">
        <v>4.93</v>
      </c>
      <c r="J2407" s="64">
        <v>4.37</v>
      </c>
      <c r="K2407" s="65"/>
      <c r="L2407" s="65"/>
      <c r="M2407" s="65"/>
      <c r="N2407" s="65"/>
      <c r="O2407" s="65"/>
      <c r="P2407" s="65"/>
      <c r="Q2407" s="65"/>
      <c r="R2407" s="65"/>
      <c r="S2407" s="65"/>
      <c r="T2407" s="65"/>
      <c r="U2407" s="65"/>
      <c r="V2407" s="65"/>
      <c r="W2407" s="65"/>
      <c r="X2407" s="66"/>
    </row>
    <row r="2408">
      <c r="A2408" s="63" t="s">
        <v>5077</v>
      </c>
      <c r="B2408" s="63" t="s">
        <v>649</v>
      </c>
      <c r="C2408" s="4">
        <v>2.0</v>
      </c>
      <c r="D2408" s="64">
        <v>2.0</v>
      </c>
      <c r="E2408" s="63" t="s">
        <v>5010</v>
      </c>
      <c r="F2408" s="64">
        <v>18.0</v>
      </c>
      <c r="G2408" s="64">
        <v>8.98</v>
      </c>
      <c r="H2408" s="64">
        <v>10.69</v>
      </c>
      <c r="I2408" s="64">
        <v>8.74</v>
      </c>
      <c r="J2408" s="64">
        <v>8.33</v>
      </c>
      <c r="K2408" s="65"/>
      <c r="L2408" s="65"/>
      <c r="M2408" s="65"/>
      <c r="N2408" s="65"/>
      <c r="O2408" s="65"/>
      <c r="P2408" s="65"/>
      <c r="Q2408" s="65"/>
      <c r="R2408" s="65"/>
      <c r="S2408" s="65"/>
      <c r="T2408" s="65"/>
      <c r="U2408" s="65"/>
      <c r="V2408" s="65"/>
      <c r="W2408" s="65"/>
      <c r="X2408" s="66"/>
    </row>
    <row r="2409">
      <c r="A2409" s="63" t="s">
        <v>5078</v>
      </c>
      <c r="B2409" s="63" t="s">
        <v>649</v>
      </c>
      <c r="C2409" s="4">
        <v>3.0</v>
      </c>
      <c r="D2409" s="64">
        <v>2.0</v>
      </c>
      <c r="E2409" s="63" t="s">
        <v>5010</v>
      </c>
      <c r="F2409" s="64">
        <v>18.0</v>
      </c>
      <c r="G2409" s="64">
        <v>7.94</v>
      </c>
      <c r="H2409" s="64">
        <v>5.46</v>
      </c>
      <c r="I2409" s="64">
        <v>5.59</v>
      </c>
      <c r="J2409" s="64">
        <v>8.95</v>
      </c>
      <c r="K2409" s="65"/>
      <c r="L2409" s="65"/>
      <c r="M2409" s="65"/>
      <c r="N2409" s="65"/>
      <c r="O2409" s="65"/>
      <c r="P2409" s="65"/>
      <c r="Q2409" s="65"/>
      <c r="R2409" s="65"/>
      <c r="S2409" s="65"/>
      <c r="T2409" s="65"/>
      <c r="U2409" s="65"/>
      <c r="V2409" s="65"/>
      <c r="W2409" s="65"/>
      <c r="X2409" s="66"/>
    </row>
    <row r="2410">
      <c r="A2410" s="63" t="s">
        <v>5079</v>
      </c>
      <c r="B2410" s="63" t="s">
        <v>649</v>
      </c>
      <c r="C2410" s="4">
        <v>4.0</v>
      </c>
      <c r="D2410" s="64">
        <v>2.0</v>
      </c>
      <c r="E2410" s="63" t="s">
        <v>5010</v>
      </c>
      <c r="F2410" s="64">
        <v>18.0</v>
      </c>
      <c r="G2410" s="64">
        <v>10.42</v>
      </c>
      <c r="H2410" s="64">
        <v>11.96</v>
      </c>
      <c r="I2410" s="64">
        <v>14.72</v>
      </c>
      <c r="J2410" s="64">
        <v>15.32</v>
      </c>
      <c r="K2410" s="65"/>
      <c r="L2410" s="65"/>
      <c r="M2410" s="65"/>
      <c r="N2410" s="65"/>
      <c r="O2410" s="65"/>
      <c r="P2410" s="65"/>
      <c r="Q2410" s="65"/>
      <c r="R2410" s="65"/>
      <c r="S2410" s="65"/>
      <c r="T2410" s="65"/>
      <c r="U2410" s="65"/>
      <c r="V2410" s="65"/>
      <c r="W2410" s="65"/>
      <c r="X2410" s="66"/>
    </row>
    <row r="2411">
      <c r="A2411" s="63" t="s">
        <v>5080</v>
      </c>
      <c r="B2411" s="63" t="s">
        <v>649</v>
      </c>
      <c r="C2411" s="4">
        <v>5.0</v>
      </c>
      <c r="D2411" s="64">
        <v>3.0</v>
      </c>
      <c r="E2411" s="63" t="s">
        <v>4884</v>
      </c>
      <c r="F2411" s="64">
        <v>18.0</v>
      </c>
      <c r="G2411" s="64">
        <v>4.44</v>
      </c>
      <c r="H2411" s="64">
        <v>4.05</v>
      </c>
      <c r="I2411" s="64">
        <v>3.18</v>
      </c>
      <c r="J2411" s="64">
        <v>4.87</v>
      </c>
      <c r="K2411" s="65"/>
      <c r="L2411" s="65"/>
      <c r="M2411" s="65"/>
      <c r="N2411" s="65"/>
      <c r="O2411" s="65"/>
      <c r="P2411" s="65"/>
      <c r="Q2411" s="65"/>
      <c r="R2411" s="65"/>
      <c r="S2411" s="65"/>
      <c r="T2411" s="65"/>
      <c r="U2411" s="65"/>
      <c r="V2411" s="65"/>
      <c r="W2411" s="65"/>
      <c r="X2411" s="66"/>
    </row>
    <row r="2412">
      <c r="A2412" s="63" t="s">
        <v>5081</v>
      </c>
      <c r="B2412" s="63" t="s">
        <v>649</v>
      </c>
      <c r="C2412" s="4">
        <v>6.0</v>
      </c>
      <c r="D2412" s="64">
        <v>3.0</v>
      </c>
      <c r="E2412" s="63" t="s">
        <v>4884</v>
      </c>
      <c r="F2412" s="64">
        <v>18.0</v>
      </c>
      <c r="G2412" s="64">
        <v>4.35</v>
      </c>
      <c r="H2412" s="64">
        <v>3.52</v>
      </c>
      <c r="I2412" s="64">
        <v>3.01</v>
      </c>
      <c r="J2412" s="64">
        <v>4.18</v>
      </c>
      <c r="K2412" s="65"/>
      <c r="L2412" s="65"/>
      <c r="M2412" s="65"/>
      <c r="N2412" s="65"/>
      <c r="O2412" s="65"/>
      <c r="P2412" s="65"/>
      <c r="Q2412" s="65"/>
      <c r="R2412" s="65"/>
      <c r="S2412" s="65"/>
      <c r="T2412" s="65"/>
      <c r="U2412" s="65"/>
      <c r="V2412" s="65"/>
      <c r="W2412" s="65"/>
      <c r="X2412" s="66"/>
    </row>
    <row r="2413">
      <c r="A2413" s="63" t="s">
        <v>5082</v>
      </c>
      <c r="B2413" s="63" t="s">
        <v>649</v>
      </c>
      <c r="C2413" s="4">
        <v>7.0</v>
      </c>
      <c r="D2413" s="64">
        <v>3.0</v>
      </c>
      <c r="E2413" s="63" t="s">
        <v>4884</v>
      </c>
      <c r="F2413" s="64">
        <v>18.0</v>
      </c>
      <c r="G2413" s="64">
        <v>5.48</v>
      </c>
      <c r="H2413" s="64">
        <v>5.95</v>
      </c>
      <c r="I2413" s="64">
        <v>3.56</v>
      </c>
      <c r="J2413" s="64">
        <v>3.93</v>
      </c>
      <c r="K2413" s="65"/>
      <c r="L2413" s="65"/>
      <c r="M2413" s="65"/>
      <c r="N2413" s="65"/>
      <c r="O2413" s="65"/>
      <c r="P2413" s="65"/>
      <c r="Q2413" s="65"/>
      <c r="R2413" s="65"/>
      <c r="S2413" s="65"/>
      <c r="T2413" s="65"/>
      <c r="U2413" s="65"/>
      <c r="V2413" s="65"/>
      <c r="W2413" s="65"/>
      <c r="X2413" s="66"/>
    </row>
    <row r="2414">
      <c r="A2414" s="63" t="s">
        <v>5083</v>
      </c>
      <c r="B2414" s="63" t="s">
        <v>649</v>
      </c>
      <c r="C2414" s="4">
        <v>8.0</v>
      </c>
      <c r="D2414" s="64">
        <v>3.0</v>
      </c>
      <c r="E2414" s="63" t="s">
        <v>4884</v>
      </c>
      <c r="F2414" s="64">
        <v>18.0</v>
      </c>
      <c r="G2414" s="64">
        <v>5.98</v>
      </c>
      <c r="H2414" s="64">
        <v>5.44</v>
      </c>
      <c r="I2414" s="64">
        <v>3.76</v>
      </c>
      <c r="J2414" s="64">
        <v>5.26</v>
      </c>
      <c r="K2414" s="65"/>
      <c r="L2414" s="65"/>
      <c r="M2414" s="65"/>
      <c r="N2414" s="65"/>
      <c r="O2414" s="65"/>
      <c r="P2414" s="65"/>
      <c r="Q2414" s="65"/>
      <c r="R2414" s="65"/>
      <c r="S2414" s="65"/>
      <c r="T2414" s="65"/>
      <c r="U2414" s="65"/>
      <c r="V2414" s="65"/>
      <c r="W2414" s="65"/>
      <c r="X2414" s="66"/>
    </row>
    <row r="2415">
      <c r="A2415" s="63" t="s">
        <v>5084</v>
      </c>
      <c r="B2415" s="63" t="s">
        <v>649</v>
      </c>
      <c r="C2415" s="4">
        <v>9.0</v>
      </c>
      <c r="D2415" s="64">
        <v>4.0</v>
      </c>
      <c r="E2415" s="63" t="s">
        <v>4884</v>
      </c>
      <c r="F2415" s="64">
        <v>18.0</v>
      </c>
      <c r="G2415" s="64">
        <v>8.44</v>
      </c>
      <c r="H2415" s="64">
        <v>7.37</v>
      </c>
      <c r="I2415" s="64">
        <v>7.13</v>
      </c>
      <c r="J2415" s="64">
        <v>7.37</v>
      </c>
      <c r="K2415" s="65"/>
      <c r="L2415" s="65"/>
      <c r="M2415" s="65"/>
      <c r="N2415" s="65"/>
      <c r="O2415" s="65"/>
      <c r="P2415" s="65"/>
      <c r="Q2415" s="65"/>
      <c r="R2415" s="65"/>
      <c r="S2415" s="65"/>
      <c r="T2415" s="65"/>
      <c r="U2415" s="65"/>
      <c r="V2415" s="65"/>
      <c r="W2415" s="65"/>
      <c r="X2415" s="66"/>
    </row>
    <row r="2416">
      <c r="A2416" s="63" t="s">
        <v>5085</v>
      </c>
      <c r="B2416" s="63" t="s">
        <v>649</v>
      </c>
      <c r="C2416" s="4">
        <v>10.0</v>
      </c>
      <c r="D2416" s="64">
        <v>4.0</v>
      </c>
      <c r="E2416" s="63" t="s">
        <v>4884</v>
      </c>
      <c r="F2416" s="64">
        <v>18.0</v>
      </c>
      <c r="G2416" s="64">
        <v>6.16</v>
      </c>
      <c r="H2416" s="64">
        <v>5.94</v>
      </c>
      <c r="I2416" s="64">
        <v>6.55</v>
      </c>
      <c r="J2416" s="64">
        <v>7.82</v>
      </c>
      <c r="K2416" s="65"/>
      <c r="L2416" s="65"/>
      <c r="M2416" s="65"/>
      <c r="N2416" s="65"/>
      <c r="O2416" s="65"/>
      <c r="P2416" s="65"/>
      <c r="Q2416" s="65"/>
      <c r="R2416" s="65"/>
      <c r="S2416" s="65"/>
      <c r="T2416" s="65"/>
      <c r="U2416" s="65"/>
      <c r="V2416" s="65"/>
      <c r="W2416" s="65"/>
      <c r="X2416" s="66"/>
    </row>
    <row r="2417">
      <c r="A2417" s="63" t="s">
        <v>5086</v>
      </c>
      <c r="B2417" s="63" t="s">
        <v>653</v>
      </c>
      <c r="C2417" s="4">
        <v>1.0</v>
      </c>
      <c r="D2417" s="64">
        <v>1.0</v>
      </c>
      <c r="E2417" s="63" t="s">
        <v>1088</v>
      </c>
      <c r="F2417" s="64" t="s">
        <v>4878</v>
      </c>
      <c r="G2417" s="69"/>
      <c r="H2417" s="69"/>
      <c r="I2417" s="69"/>
      <c r="J2417" s="69"/>
      <c r="K2417" s="65"/>
      <c r="L2417" s="65"/>
      <c r="M2417" s="65"/>
      <c r="N2417" s="65"/>
      <c r="O2417" s="65"/>
      <c r="P2417" s="65"/>
      <c r="Q2417" s="65"/>
      <c r="R2417" s="65"/>
      <c r="S2417" s="65"/>
      <c r="T2417" s="65"/>
      <c r="U2417" s="65"/>
      <c r="V2417" s="65"/>
      <c r="W2417" s="65"/>
      <c r="X2417" s="66"/>
    </row>
    <row r="2418">
      <c r="A2418" s="63" t="s">
        <v>5087</v>
      </c>
      <c r="B2418" s="63" t="s">
        <v>653</v>
      </c>
      <c r="C2418" s="4">
        <v>2.0</v>
      </c>
      <c r="D2418" s="64">
        <v>2.0</v>
      </c>
      <c r="E2418" s="63" t="s">
        <v>1088</v>
      </c>
      <c r="F2418" s="64">
        <v>30.0</v>
      </c>
      <c r="G2418" s="64">
        <v>7.77</v>
      </c>
      <c r="H2418" s="64">
        <v>5.98</v>
      </c>
      <c r="I2418" s="64">
        <v>7.93</v>
      </c>
      <c r="J2418" s="64">
        <v>5.86</v>
      </c>
      <c r="K2418" s="64">
        <v>6.27</v>
      </c>
      <c r="L2418" s="64">
        <v>6.91</v>
      </c>
      <c r="M2418" s="64">
        <v>5.51</v>
      </c>
      <c r="N2418" s="64">
        <v>6.01</v>
      </c>
      <c r="O2418" s="64">
        <v>5.32</v>
      </c>
      <c r="P2418" s="64">
        <v>5.37</v>
      </c>
      <c r="Q2418" s="64">
        <v>5.41</v>
      </c>
      <c r="R2418" s="64">
        <v>5.52</v>
      </c>
      <c r="S2418" s="64">
        <v>5.42</v>
      </c>
      <c r="T2418" s="64">
        <v>5.35</v>
      </c>
      <c r="U2418" s="64">
        <v>5.31</v>
      </c>
      <c r="V2418" s="65"/>
      <c r="W2418" s="65"/>
      <c r="X2418" s="67">
        <v>5.18</v>
      </c>
    </row>
    <row r="2419">
      <c r="A2419" s="63" t="s">
        <v>5088</v>
      </c>
      <c r="B2419" s="63" t="s">
        <v>653</v>
      </c>
      <c r="C2419" s="4">
        <v>3.0</v>
      </c>
      <c r="D2419" s="64">
        <v>3.0</v>
      </c>
      <c r="E2419" s="63" t="s">
        <v>1088</v>
      </c>
      <c r="F2419" s="64">
        <v>16.0</v>
      </c>
      <c r="G2419" s="64">
        <v>10.77</v>
      </c>
      <c r="H2419" s="64">
        <v>9.63</v>
      </c>
      <c r="I2419" s="64">
        <v>9.6</v>
      </c>
      <c r="J2419" s="64">
        <v>10.31</v>
      </c>
      <c r="K2419" s="65"/>
      <c r="L2419" s="65"/>
      <c r="M2419" s="65"/>
      <c r="N2419" s="65"/>
      <c r="O2419" s="65"/>
      <c r="P2419" s="65"/>
      <c r="Q2419" s="65"/>
      <c r="R2419" s="65"/>
      <c r="S2419" s="65"/>
      <c r="T2419" s="65"/>
      <c r="U2419" s="65"/>
      <c r="V2419" s="65"/>
      <c r="W2419" s="65"/>
      <c r="X2419" s="67">
        <v>11.13</v>
      </c>
    </row>
    <row r="2420">
      <c r="A2420" s="63" t="s">
        <v>5089</v>
      </c>
      <c r="B2420" s="63" t="s">
        <v>653</v>
      </c>
      <c r="C2420" s="4">
        <v>4.0</v>
      </c>
      <c r="D2420" s="64">
        <v>4.0</v>
      </c>
      <c r="E2420" s="63" t="s">
        <v>1088</v>
      </c>
      <c r="F2420" s="64">
        <v>16.0</v>
      </c>
      <c r="G2420" s="64">
        <v>9.14</v>
      </c>
      <c r="H2420" s="64">
        <v>9.65</v>
      </c>
      <c r="I2420" s="64">
        <v>8.11</v>
      </c>
      <c r="J2420" s="64">
        <v>10.64</v>
      </c>
      <c r="K2420" s="65"/>
      <c r="L2420" s="65"/>
      <c r="M2420" s="65"/>
      <c r="N2420" s="65"/>
      <c r="O2420" s="65"/>
      <c r="P2420" s="65"/>
      <c r="Q2420" s="65"/>
      <c r="R2420" s="65"/>
      <c r="S2420" s="65"/>
      <c r="T2420" s="65"/>
      <c r="U2420" s="65"/>
      <c r="V2420" s="65"/>
      <c r="W2420" s="65"/>
      <c r="X2420" s="67">
        <v>10.31</v>
      </c>
    </row>
    <row r="2421">
      <c r="A2421" s="63" t="s">
        <v>5090</v>
      </c>
      <c r="B2421" s="63" t="s">
        <v>653</v>
      </c>
      <c r="C2421" s="4">
        <v>5.0</v>
      </c>
      <c r="D2421" s="64">
        <v>5.0</v>
      </c>
      <c r="E2421" s="63" t="s">
        <v>1088</v>
      </c>
      <c r="F2421" s="64">
        <v>16.0</v>
      </c>
      <c r="G2421" s="64">
        <v>12.3</v>
      </c>
      <c r="H2421" s="64">
        <v>10.68</v>
      </c>
      <c r="I2421" s="64">
        <v>11.11</v>
      </c>
      <c r="J2421" s="64">
        <v>11.45</v>
      </c>
      <c r="K2421" s="65"/>
      <c r="L2421" s="65"/>
      <c r="M2421" s="65"/>
      <c r="N2421" s="65"/>
      <c r="O2421" s="65"/>
      <c r="P2421" s="65"/>
      <c r="Q2421" s="65"/>
      <c r="R2421" s="65"/>
      <c r="S2421" s="65"/>
      <c r="T2421" s="65"/>
      <c r="U2421" s="65"/>
      <c r="V2421" s="65"/>
      <c r="W2421" s="65"/>
      <c r="X2421" s="67">
        <v>11.91</v>
      </c>
    </row>
    <row r="2422">
      <c r="A2422" s="63" t="s">
        <v>5091</v>
      </c>
      <c r="B2422" s="63" t="s">
        <v>653</v>
      </c>
      <c r="C2422" s="4">
        <v>6.0</v>
      </c>
      <c r="D2422" s="64">
        <v>6.0</v>
      </c>
      <c r="E2422" s="63" t="s">
        <v>1088</v>
      </c>
      <c r="F2422" s="64">
        <v>16.0</v>
      </c>
      <c r="G2422" s="64">
        <v>10.19</v>
      </c>
      <c r="H2422" s="64">
        <v>12.91</v>
      </c>
      <c r="I2422" s="64">
        <v>12.02</v>
      </c>
      <c r="J2422" s="64">
        <v>12.35</v>
      </c>
      <c r="K2422" s="65"/>
      <c r="L2422" s="65"/>
      <c r="M2422" s="65"/>
      <c r="N2422" s="65"/>
      <c r="O2422" s="65"/>
      <c r="P2422" s="65"/>
      <c r="Q2422" s="65"/>
      <c r="R2422" s="65"/>
      <c r="S2422" s="65"/>
      <c r="T2422" s="65"/>
      <c r="U2422" s="65"/>
      <c r="V2422" s="65"/>
      <c r="W2422" s="65"/>
      <c r="X2422" s="67">
        <v>12.7</v>
      </c>
    </row>
    <row r="2423">
      <c r="A2423" s="63" t="s">
        <v>5092</v>
      </c>
      <c r="B2423" s="63" t="s">
        <v>653</v>
      </c>
      <c r="C2423" s="4">
        <v>7.0</v>
      </c>
      <c r="D2423" s="64">
        <v>7.0</v>
      </c>
      <c r="E2423" s="63" t="s">
        <v>1088</v>
      </c>
      <c r="F2423" s="64">
        <v>16.0</v>
      </c>
      <c r="G2423" s="64">
        <v>12.12</v>
      </c>
      <c r="H2423" s="64">
        <v>11.05</v>
      </c>
      <c r="I2423" s="64">
        <v>10.45</v>
      </c>
      <c r="J2423" s="64">
        <v>11.8</v>
      </c>
      <c r="K2423" s="65"/>
      <c r="L2423" s="65"/>
      <c r="M2423" s="65"/>
      <c r="N2423" s="65"/>
      <c r="O2423" s="65"/>
      <c r="P2423" s="65"/>
      <c r="Q2423" s="65"/>
      <c r="R2423" s="65"/>
      <c r="S2423" s="65"/>
      <c r="T2423" s="65"/>
      <c r="U2423" s="65"/>
      <c r="V2423" s="65"/>
      <c r="W2423" s="65"/>
      <c r="X2423" s="67">
        <v>11.91</v>
      </c>
    </row>
    <row r="2424">
      <c r="A2424" s="63" t="s">
        <v>5093</v>
      </c>
      <c r="B2424" s="63" t="s">
        <v>653</v>
      </c>
      <c r="C2424" s="4">
        <v>8.0</v>
      </c>
      <c r="D2424" s="64">
        <v>8.0</v>
      </c>
      <c r="E2424" s="63" t="s">
        <v>1088</v>
      </c>
      <c r="F2424" s="64">
        <v>30.0</v>
      </c>
      <c r="G2424" s="64">
        <v>5.81</v>
      </c>
      <c r="H2424" s="64">
        <v>6.2</v>
      </c>
      <c r="I2424" s="64">
        <v>5.32</v>
      </c>
      <c r="J2424" s="64">
        <v>5.88</v>
      </c>
      <c r="K2424" s="65"/>
      <c r="L2424" s="65"/>
      <c r="M2424" s="65"/>
      <c r="N2424" s="65"/>
      <c r="O2424" s="65"/>
      <c r="P2424" s="65"/>
      <c r="Q2424" s="65"/>
      <c r="R2424" s="65"/>
      <c r="S2424" s="65"/>
      <c r="T2424" s="65"/>
      <c r="U2424" s="65"/>
      <c r="V2424" s="65"/>
      <c r="W2424" s="65"/>
      <c r="X2424" s="66"/>
    </row>
    <row r="2425">
      <c r="A2425" s="63" t="s">
        <v>5094</v>
      </c>
      <c r="B2425" s="63" t="s">
        <v>653</v>
      </c>
      <c r="C2425" s="4">
        <v>9.0</v>
      </c>
      <c r="D2425" s="64">
        <v>9.0</v>
      </c>
      <c r="E2425" s="63" t="s">
        <v>1088</v>
      </c>
      <c r="F2425" s="68" t="s">
        <v>4054</v>
      </c>
      <c r="G2425" s="69"/>
      <c r="H2425" s="69"/>
      <c r="I2425" s="69"/>
      <c r="J2425" s="69"/>
      <c r="K2425" s="65"/>
      <c r="L2425" s="65"/>
      <c r="M2425" s="65"/>
      <c r="N2425" s="65"/>
      <c r="O2425" s="65"/>
      <c r="P2425" s="65"/>
      <c r="Q2425" s="65"/>
      <c r="R2425" s="65"/>
      <c r="S2425" s="65"/>
      <c r="T2425" s="65"/>
      <c r="U2425" s="65"/>
      <c r="V2425" s="65"/>
      <c r="W2425" s="65"/>
      <c r="X2425" s="66"/>
    </row>
    <row r="2426">
      <c r="A2426" s="63" t="s">
        <v>5095</v>
      </c>
      <c r="B2426" s="63" t="s">
        <v>653</v>
      </c>
      <c r="C2426" s="4">
        <v>10.0</v>
      </c>
      <c r="D2426" s="64">
        <v>10.0</v>
      </c>
      <c r="E2426" s="63" t="s">
        <v>1088</v>
      </c>
      <c r="F2426" s="68" t="s">
        <v>4054</v>
      </c>
      <c r="G2426" s="69"/>
      <c r="H2426" s="69"/>
      <c r="I2426" s="69"/>
      <c r="J2426" s="69"/>
      <c r="K2426" s="65"/>
      <c r="L2426" s="65"/>
      <c r="M2426" s="65"/>
      <c r="N2426" s="65"/>
      <c r="O2426" s="65"/>
      <c r="P2426" s="65"/>
      <c r="Q2426" s="65"/>
      <c r="R2426" s="65"/>
      <c r="S2426" s="65"/>
      <c r="T2426" s="65"/>
      <c r="U2426" s="65"/>
      <c r="V2426" s="65"/>
      <c r="W2426" s="65"/>
      <c r="X2426" s="66"/>
    </row>
    <row r="2427">
      <c r="A2427" s="63" t="s">
        <v>5096</v>
      </c>
      <c r="B2427" s="63" t="s">
        <v>653</v>
      </c>
      <c r="C2427" s="4">
        <v>11.0</v>
      </c>
      <c r="D2427" s="64">
        <v>11.0</v>
      </c>
      <c r="E2427" s="63" t="s">
        <v>1088</v>
      </c>
      <c r="F2427" s="68" t="s">
        <v>4054</v>
      </c>
      <c r="G2427" s="69"/>
      <c r="H2427" s="69"/>
      <c r="I2427" s="69"/>
      <c r="J2427" s="69"/>
      <c r="K2427" s="65"/>
      <c r="L2427" s="65"/>
      <c r="M2427" s="65"/>
      <c r="N2427" s="65"/>
      <c r="O2427" s="65"/>
      <c r="P2427" s="65"/>
      <c r="Q2427" s="65"/>
      <c r="R2427" s="65"/>
      <c r="S2427" s="65"/>
      <c r="T2427" s="65"/>
      <c r="U2427" s="65"/>
      <c r="V2427" s="65"/>
      <c r="W2427" s="65"/>
      <c r="X2427" s="66"/>
    </row>
    <row r="2428">
      <c r="A2428" s="63" t="s">
        <v>5097</v>
      </c>
      <c r="B2428" s="63" t="s">
        <v>653</v>
      </c>
      <c r="C2428" s="4">
        <v>12.0</v>
      </c>
      <c r="D2428" s="64">
        <v>12.0</v>
      </c>
      <c r="E2428" s="63" t="s">
        <v>1098</v>
      </c>
      <c r="F2428" s="64">
        <v>30.0</v>
      </c>
      <c r="G2428" s="64">
        <v>12.29</v>
      </c>
      <c r="H2428" s="64">
        <v>12.38</v>
      </c>
      <c r="I2428" s="64">
        <v>12.94</v>
      </c>
      <c r="J2428" s="64">
        <v>11.71</v>
      </c>
      <c r="K2428" s="64">
        <v>13.11</v>
      </c>
      <c r="L2428" s="64">
        <v>11.91</v>
      </c>
      <c r="M2428" s="64">
        <v>11.38</v>
      </c>
      <c r="N2428" s="64">
        <v>11.84</v>
      </c>
      <c r="O2428" s="64">
        <v>11.79</v>
      </c>
      <c r="P2428" s="64">
        <v>11.84</v>
      </c>
      <c r="Q2428" s="64">
        <v>12.77</v>
      </c>
      <c r="R2428" s="64">
        <v>11.89</v>
      </c>
      <c r="S2428" s="65"/>
      <c r="T2428" s="65"/>
      <c r="U2428" s="65"/>
      <c r="V2428" s="65"/>
      <c r="W2428" s="65"/>
      <c r="X2428" s="66"/>
    </row>
    <row r="2429">
      <c r="A2429" s="63" t="s">
        <v>5098</v>
      </c>
      <c r="B2429" s="63" t="s">
        <v>653</v>
      </c>
      <c r="C2429" s="4">
        <v>13.0</v>
      </c>
      <c r="D2429" s="64">
        <v>13.0</v>
      </c>
      <c r="E2429" s="63" t="s">
        <v>1088</v>
      </c>
      <c r="F2429" s="64">
        <v>30.0</v>
      </c>
      <c r="G2429" s="64">
        <v>7.85</v>
      </c>
      <c r="H2429" s="64">
        <v>8.39</v>
      </c>
      <c r="I2429" s="64">
        <v>8.6</v>
      </c>
      <c r="J2429" s="64">
        <v>7.46</v>
      </c>
      <c r="K2429" s="64">
        <v>7.09</v>
      </c>
      <c r="L2429" s="64">
        <v>8.78</v>
      </c>
      <c r="M2429" s="64">
        <v>7.41</v>
      </c>
      <c r="N2429" s="64">
        <v>7.21</v>
      </c>
      <c r="O2429" s="65"/>
      <c r="P2429" s="65"/>
      <c r="Q2429" s="65"/>
      <c r="R2429" s="65"/>
      <c r="S2429" s="65"/>
      <c r="T2429" s="65"/>
      <c r="U2429" s="65"/>
      <c r="V2429" s="65"/>
      <c r="W2429" s="65"/>
      <c r="X2429" s="66"/>
    </row>
    <row r="2430">
      <c r="A2430" s="63" t="s">
        <v>5099</v>
      </c>
      <c r="B2430" s="63" t="s">
        <v>653</v>
      </c>
      <c r="C2430" s="4">
        <v>14.0</v>
      </c>
      <c r="D2430" s="64">
        <v>14.0</v>
      </c>
      <c r="E2430" s="63" t="s">
        <v>1088</v>
      </c>
      <c r="F2430" s="64">
        <v>4.0</v>
      </c>
      <c r="G2430" s="69"/>
      <c r="H2430" s="69"/>
      <c r="I2430" s="69"/>
      <c r="J2430" s="69"/>
      <c r="K2430" s="65"/>
      <c r="L2430" s="65"/>
      <c r="M2430" s="65"/>
      <c r="N2430" s="65"/>
      <c r="O2430" s="65"/>
      <c r="P2430" s="65"/>
      <c r="Q2430" s="65"/>
      <c r="R2430" s="65"/>
      <c r="S2430" s="65"/>
      <c r="T2430" s="65"/>
      <c r="U2430" s="65"/>
      <c r="V2430" s="65"/>
      <c r="W2430" s="65"/>
      <c r="X2430" s="66"/>
    </row>
    <row r="2431">
      <c r="A2431" s="63" t="s">
        <v>5100</v>
      </c>
      <c r="B2431" s="63" t="s">
        <v>658</v>
      </c>
      <c r="C2431" s="4">
        <v>1.0</v>
      </c>
      <c r="D2431" s="64">
        <v>1.0</v>
      </c>
      <c r="E2431" s="63" t="s">
        <v>4884</v>
      </c>
      <c r="F2431" s="64">
        <v>16.0</v>
      </c>
      <c r="G2431" s="64">
        <v>14.76</v>
      </c>
      <c r="H2431" s="64">
        <v>14.09</v>
      </c>
      <c r="I2431" s="64">
        <v>13.48</v>
      </c>
      <c r="J2431" s="64">
        <v>14.24</v>
      </c>
      <c r="K2431" s="65"/>
      <c r="L2431" s="65"/>
      <c r="M2431" s="65"/>
      <c r="N2431" s="65"/>
      <c r="O2431" s="65"/>
      <c r="P2431" s="65"/>
      <c r="Q2431" s="65"/>
      <c r="R2431" s="65"/>
      <c r="S2431" s="65"/>
      <c r="T2431" s="65"/>
      <c r="U2431" s="65"/>
      <c r="V2431" s="65"/>
      <c r="W2431" s="65"/>
      <c r="X2431" s="67">
        <v>14.27</v>
      </c>
    </row>
    <row r="2432">
      <c r="A2432" s="63" t="s">
        <v>5101</v>
      </c>
      <c r="B2432" s="63" t="s">
        <v>658</v>
      </c>
      <c r="C2432" s="4">
        <v>2.0</v>
      </c>
      <c r="D2432" s="64">
        <v>1.0</v>
      </c>
      <c r="E2432" s="63" t="s">
        <v>4884</v>
      </c>
      <c r="F2432" s="64">
        <v>16.0</v>
      </c>
      <c r="G2432" s="64">
        <v>13.68</v>
      </c>
      <c r="H2432" s="64">
        <v>13.78</v>
      </c>
      <c r="I2432" s="64">
        <v>14.13</v>
      </c>
      <c r="J2432" s="64">
        <v>14.53</v>
      </c>
      <c r="K2432" s="65"/>
      <c r="L2432" s="65"/>
      <c r="M2432" s="65"/>
      <c r="N2432" s="65"/>
      <c r="O2432" s="65"/>
      <c r="P2432" s="65"/>
      <c r="Q2432" s="65"/>
      <c r="R2432" s="65"/>
      <c r="S2432" s="65"/>
      <c r="T2432" s="65"/>
      <c r="U2432" s="65"/>
      <c r="V2432" s="65"/>
      <c r="W2432" s="65"/>
      <c r="X2432" s="67">
        <v>14.27</v>
      </c>
    </row>
    <row r="2433">
      <c r="A2433" s="63" t="s">
        <v>5102</v>
      </c>
      <c r="B2433" s="63" t="s">
        <v>658</v>
      </c>
      <c r="C2433" s="4">
        <v>3.0</v>
      </c>
      <c r="D2433" s="64">
        <v>1.0</v>
      </c>
      <c r="E2433" s="63" t="s">
        <v>4884</v>
      </c>
      <c r="F2433" s="64">
        <v>16.0</v>
      </c>
      <c r="G2433" s="64">
        <v>14.26</v>
      </c>
      <c r="H2433" s="64">
        <v>13.6</v>
      </c>
      <c r="I2433" s="64">
        <v>14.05</v>
      </c>
      <c r="J2433" s="64">
        <v>14.34</v>
      </c>
      <c r="K2433" s="65"/>
      <c r="L2433" s="65"/>
      <c r="M2433" s="65"/>
      <c r="N2433" s="65"/>
      <c r="O2433" s="65"/>
      <c r="P2433" s="65"/>
      <c r="Q2433" s="65"/>
      <c r="R2433" s="65"/>
      <c r="S2433" s="65"/>
      <c r="T2433" s="65"/>
      <c r="U2433" s="65"/>
      <c r="V2433" s="65"/>
      <c r="W2433" s="65"/>
      <c r="X2433" s="67">
        <v>14.27</v>
      </c>
    </row>
    <row r="2434">
      <c r="A2434" s="63" t="s">
        <v>5103</v>
      </c>
      <c r="B2434" s="63" t="s">
        <v>658</v>
      </c>
      <c r="C2434" s="4">
        <v>4.0</v>
      </c>
      <c r="D2434" s="64">
        <v>2.0</v>
      </c>
      <c r="E2434" s="63" t="s">
        <v>4884</v>
      </c>
      <c r="F2434" s="68" t="s">
        <v>4054</v>
      </c>
      <c r="G2434" s="64">
        <v>5.46</v>
      </c>
      <c r="H2434" s="64">
        <v>5.45</v>
      </c>
      <c r="I2434" s="64">
        <v>6.08</v>
      </c>
      <c r="J2434" s="64">
        <v>5.6</v>
      </c>
      <c r="K2434" s="65"/>
      <c r="L2434" s="65"/>
      <c r="M2434" s="65"/>
      <c r="N2434" s="65"/>
      <c r="O2434" s="65"/>
      <c r="P2434" s="65"/>
      <c r="Q2434" s="65"/>
      <c r="R2434" s="65"/>
      <c r="S2434" s="65"/>
      <c r="T2434" s="65"/>
      <c r="U2434" s="65"/>
      <c r="V2434" s="65"/>
      <c r="W2434" s="65"/>
      <c r="X2434" s="66"/>
    </row>
    <row r="2435">
      <c r="A2435" s="63" t="s">
        <v>5104</v>
      </c>
      <c r="B2435" s="63" t="s">
        <v>658</v>
      </c>
      <c r="C2435" s="4">
        <v>5.0</v>
      </c>
      <c r="D2435" s="64">
        <v>3.0</v>
      </c>
      <c r="E2435" s="63" t="s">
        <v>4884</v>
      </c>
      <c r="F2435" s="68" t="s">
        <v>4054</v>
      </c>
      <c r="G2435" s="64">
        <v>9.74</v>
      </c>
      <c r="H2435" s="64">
        <v>10.21</v>
      </c>
      <c r="I2435" s="64">
        <v>10.03</v>
      </c>
      <c r="J2435" s="64">
        <v>9.67</v>
      </c>
      <c r="K2435" s="65"/>
      <c r="L2435" s="65"/>
      <c r="M2435" s="65"/>
      <c r="N2435" s="65"/>
      <c r="O2435" s="65"/>
      <c r="P2435" s="65"/>
      <c r="Q2435" s="65"/>
      <c r="R2435" s="65"/>
      <c r="S2435" s="65"/>
      <c r="T2435" s="65"/>
      <c r="U2435" s="65"/>
      <c r="V2435" s="65"/>
      <c r="W2435" s="65"/>
      <c r="X2435" s="66"/>
    </row>
    <row r="2436">
      <c r="A2436" s="63" t="s">
        <v>5105</v>
      </c>
      <c r="B2436" s="63" t="s">
        <v>658</v>
      </c>
      <c r="C2436" s="4">
        <v>6.0</v>
      </c>
      <c r="D2436" s="64">
        <v>4.0</v>
      </c>
      <c r="E2436" s="63" t="s">
        <v>5106</v>
      </c>
      <c r="F2436" s="64">
        <v>16.0</v>
      </c>
      <c r="G2436" s="64">
        <v>12.65</v>
      </c>
      <c r="H2436" s="64">
        <v>11.14</v>
      </c>
      <c r="I2436" s="64">
        <v>12.53</v>
      </c>
      <c r="J2436" s="64">
        <v>12.73</v>
      </c>
      <c r="K2436" s="65"/>
      <c r="L2436" s="65"/>
      <c r="M2436" s="65"/>
      <c r="N2436" s="65"/>
      <c r="O2436" s="65"/>
      <c r="P2436" s="65"/>
      <c r="Q2436" s="65"/>
      <c r="R2436" s="65"/>
      <c r="S2436" s="65"/>
      <c r="T2436" s="65"/>
      <c r="U2436" s="65"/>
      <c r="V2436" s="65"/>
      <c r="W2436" s="65"/>
      <c r="X2436" s="67">
        <v>12.7</v>
      </c>
    </row>
    <row r="2437">
      <c r="A2437" s="63" t="s">
        <v>5107</v>
      </c>
      <c r="B2437" s="63" t="s">
        <v>658</v>
      </c>
      <c r="C2437" s="4">
        <v>7.0</v>
      </c>
      <c r="D2437" s="64">
        <v>5.0</v>
      </c>
      <c r="E2437" s="63" t="s">
        <v>4884</v>
      </c>
      <c r="F2437" s="64">
        <v>10.0</v>
      </c>
      <c r="G2437" s="64">
        <v>12.12</v>
      </c>
      <c r="H2437" s="64">
        <v>12.14</v>
      </c>
      <c r="I2437" s="64">
        <v>11.91</v>
      </c>
      <c r="J2437" s="64">
        <v>12.52</v>
      </c>
      <c r="K2437" s="65"/>
      <c r="L2437" s="65"/>
      <c r="M2437" s="65"/>
      <c r="N2437" s="65"/>
      <c r="O2437" s="65"/>
      <c r="P2437" s="65"/>
      <c r="Q2437" s="65"/>
      <c r="R2437" s="65"/>
      <c r="S2437" s="65"/>
      <c r="T2437" s="65"/>
      <c r="U2437" s="65"/>
      <c r="V2437" s="65"/>
      <c r="W2437" s="65"/>
      <c r="X2437" s="67">
        <v>12.7</v>
      </c>
    </row>
    <row r="2438">
      <c r="A2438" s="63" t="s">
        <v>5108</v>
      </c>
      <c r="B2438" s="63" t="s">
        <v>664</v>
      </c>
      <c r="C2438" s="4">
        <v>1.0</v>
      </c>
      <c r="D2438" s="64">
        <v>1.0</v>
      </c>
      <c r="E2438" s="63" t="s">
        <v>4884</v>
      </c>
      <c r="F2438" s="64">
        <v>16.0</v>
      </c>
      <c r="G2438" s="64">
        <v>14.53</v>
      </c>
      <c r="H2438" s="64">
        <v>14.27</v>
      </c>
      <c r="I2438" s="64">
        <v>14.03</v>
      </c>
      <c r="J2438" s="64">
        <v>14.45</v>
      </c>
      <c r="K2438" s="65"/>
      <c r="L2438" s="65"/>
      <c r="M2438" s="65"/>
      <c r="N2438" s="65"/>
      <c r="O2438" s="65"/>
      <c r="P2438" s="65"/>
      <c r="Q2438" s="65"/>
      <c r="R2438" s="65"/>
      <c r="S2438" s="65"/>
      <c r="T2438" s="65"/>
      <c r="U2438" s="65"/>
      <c r="V2438" s="65"/>
      <c r="W2438" s="65"/>
      <c r="X2438" s="67">
        <v>14.27</v>
      </c>
    </row>
    <row r="2439">
      <c r="A2439" s="63" t="s">
        <v>5109</v>
      </c>
      <c r="B2439" s="63" t="s">
        <v>664</v>
      </c>
      <c r="C2439" s="4">
        <v>2.0</v>
      </c>
      <c r="D2439" s="64">
        <v>1.0</v>
      </c>
      <c r="E2439" s="63" t="s">
        <v>4884</v>
      </c>
      <c r="F2439" s="64">
        <v>16.0</v>
      </c>
      <c r="G2439" s="64">
        <v>13.68</v>
      </c>
      <c r="H2439" s="64">
        <v>13.78</v>
      </c>
      <c r="I2439" s="64">
        <v>14.13</v>
      </c>
      <c r="J2439" s="64">
        <v>14.53</v>
      </c>
      <c r="K2439" s="65"/>
      <c r="L2439" s="65"/>
      <c r="M2439" s="65"/>
      <c r="N2439" s="65"/>
      <c r="O2439" s="65"/>
      <c r="P2439" s="65"/>
      <c r="Q2439" s="65"/>
      <c r="R2439" s="65"/>
      <c r="S2439" s="65"/>
      <c r="T2439" s="65"/>
      <c r="U2439" s="65"/>
      <c r="V2439" s="65"/>
      <c r="W2439" s="65"/>
      <c r="X2439" s="67">
        <v>14.27</v>
      </c>
    </row>
    <row r="2440">
      <c r="A2440" s="63" t="s">
        <v>5110</v>
      </c>
      <c r="B2440" s="63" t="s">
        <v>664</v>
      </c>
      <c r="C2440" s="4">
        <v>3.0</v>
      </c>
      <c r="D2440" s="64">
        <v>1.0</v>
      </c>
      <c r="E2440" s="63" t="s">
        <v>4884</v>
      </c>
      <c r="F2440" s="64">
        <v>16.0</v>
      </c>
      <c r="G2440" s="64">
        <v>14.26</v>
      </c>
      <c r="H2440" s="64">
        <v>13.6</v>
      </c>
      <c r="I2440" s="64">
        <v>14.05</v>
      </c>
      <c r="J2440" s="64">
        <v>14.34</v>
      </c>
      <c r="K2440" s="65"/>
      <c r="L2440" s="65"/>
      <c r="M2440" s="65"/>
      <c r="N2440" s="65"/>
      <c r="O2440" s="65"/>
      <c r="P2440" s="65"/>
      <c r="Q2440" s="65"/>
      <c r="R2440" s="65"/>
      <c r="S2440" s="65"/>
      <c r="T2440" s="65"/>
      <c r="U2440" s="65"/>
      <c r="V2440" s="65"/>
      <c r="W2440" s="65"/>
      <c r="X2440" s="67">
        <v>14.27</v>
      </c>
    </row>
    <row r="2441">
      <c r="A2441" s="63" t="s">
        <v>5111</v>
      </c>
      <c r="B2441" s="63" t="s">
        <v>664</v>
      </c>
      <c r="C2441" s="4">
        <v>4.0</v>
      </c>
      <c r="D2441" s="64">
        <v>2.0</v>
      </c>
      <c r="E2441" s="63" t="s">
        <v>4884</v>
      </c>
      <c r="F2441" s="68" t="s">
        <v>4054</v>
      </c>
      <c r="G2441" s="64">
        <v>6.19</v>
      </c>
      <c r="H2441" s="64">
        <v>6.86</v>
      </c>
      <c r="I2441" s="64">
        <v>6.03</v>
      </c>
      <c r="J2441" s="64">
        <v>6.35</v>
      </c>
      <c r="K2441" s="65"/>
      <c r="L2441" s="65"/>
      <c r="M2441" s="65"/>
      <c r="N2441" s="65"/>
      <c r="O2441" s="65"/>
      <c r="P2441" s="65"/>
      <c r="Q2441" s="65"/>
      <c r="R2441" s="65"/>
      <c r="S2441" s="65"/>
      <c r="T2441" s="65"/>
      <c r="U2441" s="65"/>
      <c r="V2441" s="65"/>
      <c r="W2441" s="65"/>
      <c r="X2441" s="66"/>
    </row>
    <row r="2442">
      <c r="A2442" s="63" t="s">
        <v>5112</v>
      </c>
      <c r="B2442" s="63" t="s">
        <v>664</v>
      </c>
      <c r="C2442" s="4">
        <v>5.0</v>
      </c>
      <c r="D2442" s="64">
        <v>3.0</v>
      </c>
      <c r="E2442" s="63" t="s">
        <v>4884</v>
      </c>
      <c r="F2442" s="68" t="s">
        <v>4054</v>
      </c>
      <c r="G2442" s="64">
        <v>7.96</v>
      </c>
      <c r="H2442" s="64">
        <v>7.36</v>
      </c>
      <c r="I2442" s="64">
        <v>7.65</v>
      </c>
      <c r="J2442" s="64">
        <v>7.8</v>
      </c>
      <c r="K2442" s="65"/>
      <c r="L2442" s="65"/>
      <c r="M2442" s="65"/>
      <c r="N2442" s="65"/>
      <c r="O2442" s="65"/>
      <c r="P2442" s="65"/>
      <c r="Q2442" s="65"/>
      <c r="R2442" s="65"/>
      <c r="S2442" s="65"/>
      <c r="T2442" s="65"/>
      <c r="U2442" s="65"/>
      <c r="V2442" s="65"/>
      <c r="W2442" s="65"/>
      <c r="X2442" s="66"/>
    </row>
    <row r="2443">
      <c r="A2443" s="63" t="s">
        <v>5113</v>
      </c>
      <c r="B2443" s="63" t="s">
        <v>664</v>
      </c>
      <c r="C2443" s="4">
        <v>6.0</v>
      </c>
      <c r="D2443" s="64">
        <v>4.0</v>
      </c>
      <c r="E2443" s="63" t="s">
        <v>5106</v>
      </c>
      <c r="F2443" s="64">
        <v>16.0</v>
      </c>
      <c r="G2443" s="64">
        <v>12.32</v>
      </c>
      <c r="H2443" s="64">
        <v>12.57</v>
      </c>
      <c r="I2443" s="64">
        <v>12.68</v>
      </c>
      <c r="J2443" s="64">
        <v>12.61</v>
      </c>
      <c r="K2443" s="65"/>
      <c r="L2443" s="65"/>
      <c r="M2443" s="65"/>
      <c r="N2443" s="65"/>
      <c r="O2443" s="65"/>
      <c r="P2443" s="65"/>
      <c r="Q2443" s="65"/>
      <c r="R2443" s="65"/>
      <c r="S2443" s="65"/>
      <c r="T2443" s="65"/>
      <c r="U2443" s="65"/>
      <c r="V2443" s="65"/>
      <c r="W2443" s="65"/>
      <c r="X2443" s="67">
        <v>12.7</v>
      </c>
    </row>
    <row r="2444">
      <c r="A2444" s="63" t="s">
        <v>5114</v>
      </c>
      <c r="B2444" s="63" t="s">
        <v>664</v>
      </c>
      <c r="C2444" s="4">
        <v>7.0</v>
      </c>
      <c r="D2444" s="64">
        <v>5.0</v>
      </c>
      <c r="E2444" s="63" t="s">
        <v>4884</v>
      </c>
      <c r="F2444" s="64">
        <v>10.0</v>
      </c>
      <c r="G2444" s="64">
        <v>12.24</v>
      </c>
      <c r="H2444" s="64">
        <v>12.2</v>
      </c>
      <c r="I2444" s="64">
        <v>12.54</v>
      </c>
      <c r="J2444" s="64">
        <v>12.42</v>
      </c>
      <c r="K2444" s="65"/>
      <c r="L2444" s="65"/>
      <c r="M2444" s="65"/>
      <c r="N2444" s="65"/>
      <c r="O2444" s="65"/>
      <c r="P2444" s="65"/>
      <c r="Q2444" s="65"/>
      <c r="R2444" s="65"/>
      <c r="S2444" s="65"/>
      <c r="T2444" s="65"/>
      <c r="U2444" s="65"/>
      <c r="V2444" s="65"/>
      <c r="W2444" s="65"/>
      <c r="X2444" s="67">
        <v>12.7</v>
      </c>
    </row>
    <row r="2445">
      <c r="A2445" s="63" t="s">
        <v>5115</v>
      </c>
      <c r="B2445" s="63" t="s">
        <v>672</v>
      </c>
      <c r="C2445" s="4">
        <v>1.0</v>
      </c>
      <c r="D2445" s="64">
        <v>1.0</v>
      </c>
      <c r="E2445" s="63" t="s">
        <v>4884</v>
      </c>
      <c r="F2445" s="64">
        <v>10.0</v>
      </c>
      <c r="G2445" s="64">
        <v>9.02</v>
      </c>
      <c r="H2445" s="64">
        <v>9.27</v>
      </c>
      <c r="I2445" s="64">
        <v>9.28</v>
      </c>
      <c r="J2445" s="64">
        <v>9.17</v>
      </c>
      <c r="K2445" s="65"/>
      <c r="L2445" s="65"/>
      <c r="M2445" s="65"/>
      <c r="N2445" s="65"/>
      <c r="O2445" s="65"/>
      <c r="P2445" s="65"/>
      <c r="Q2445" s="65"/>
      <c r="R2445" s="65"/>
      <c r="S2445" s="65"/>
      <c r="T2445" s="65"/>
      <c r="U2445" s="65"/>
      <c r="V2445" s="65"/>
      <c r="W2445" s="65"/>
      <c r="X2445" s="67">
        <v>9.27</v>
      </c>
    </row>
    <row r="2446">
      <c r="A2446" s="63" t="s">
        <v>5116</v>
      </c>
      <c r="B2446" s="63" t="s">
        <v>672</v>
      </c>
      <c r="C2446" s="4">
        <v>2.0</v>
      </c>
      <c r="D2446" s="64">
        <v>2.0</v>
      </c>
      <c r="E2446" s="63" t="s">
        <v>5106</v>
      </c>
      <c r="F2446" s="64">
        <v>16.0</v>
      </c>
      <c r="G2446" s="64">
        <v>14.02</v>
      </c>
      <c r="H2446" s="64">
        <v>13.54</v>
      </c>
      <c r="I2446" s="64">
        <v>14.01</v>
      </c>
      <c r="J2446" s="64">
        <v>13.52</v>
      </c>
      <c r="K2446" s="65"/>
      <c r="L2446" s="65"/>
      <c r="M2446" s="65"/>
      <c r="N2446" s="65"/>
      <c r="O2446" s="65"/>
      <c r="P2446" s="65"/>
      <c r="Q2446" s="65"/>
      <c r="R2446" s="65"/>
      <c r="S2446" s="65"/>
      <c r="T2446" s="65"/>
      <c r="U2446" s="65"/>
      <c r="V2446" s="65"/>
      <c r="W2446" s="65"/>
      <c r="X2446" s="67">
        <v>14.27</v>
      </c>
    </row>
    <row r="2447">
      <c r="A2447" s="63" t="s">
        <v>5117</v>
      </c>
      <c r="B2447" s="63" t="s">
        <v>672</v>
      </c>
      <c r="C2447" s="4">
        <v>3.0</v>
      </c>
      <c r="D2447" s="64">
        <v>3.0</v>
      </c>
      <c r="E2447" s="63" t="s">
        <v>4884</v>
      </c>
      <c r="F2447" s="64">
        <v>16.0</v>
      </c>
      <c r="G2447" s="64">
        <v>14.21</v>
      </c>
      <c r="H2447" s="64">
        <v>13.58</v>
      </c>
      <c r="I2447" s="64">
        <v>13.02</v>
      </c>
      <c r="J2447" s="64">
        <v>13.68</v>
      </c>
      <c r="K2447" s="65"/>
      <c r="L2447" s="65"/>
      <c r="M2447" s="65"/>
      <c r="N2447" s="65"/>
      <c r="O2447" s="65"/>
      <c r="P2447" s="65"/>
      <c r="Q2447" s="65"/>
      <c r="R2447" s="65"/>
      <c r="S2447" s="65"/>
      <c r="T2447" s="65"/>
      <c r="U2447" s="65"/>
      <c r="V2447" s="65"/>
      <c r="W2447" s="65"/>
      <c r="X2447" s="67">
        <v>14.27</v>
      </c>
    </row>
    <row r="2448">
      <c r="A2448" s="63" t="s">
        <v>5118</v>
      </c>
      <c r="B2448" s="63" t="s">
        <v>672</v>
      </c>
      <c r="C2448" s="4">
        <v>4.0</v>
      </c>
      <c r="D2448" s="64">
        <v>5.0</v>
      </c>
      <c r="E2448" s="63" t="s">
        <v>4884</v>
      </c>
      <c r="F2448" s="68" t="s">
        <v>4054</v>
      </c>
      <c r="G2448" s="64">
        <v>7.77</v>
      </c>
      <c r="H2448" s="64">
        <v>7.93</v>
      </c>
      <c r="I2448" s="64">
        <v>8.15</v>
      </c>
      <c r="J2448" s="64">
        <v>7.93</v>
      </c>
      <c r="K2448" s="65"/>
      <c r="L2448" s="65"/>
      <c r="M2448" s="65"/>
      <c r="N2448" s="65"/>
      <c r="O2448" s="65"/>
      <c r="P2448" s="65"/>
      <c r="Q2448" s="65"/>
      <c r="R2448" s="65"/>
      <c r="S2448" s="65"/>
      <c r="T2448" s="65"/>
      <c r="U2448" s="65"/>
      <c r="V2448" s="65"/>
      <c r="W2448" s="65"/>
      <c r="X2448" s="66"/>
    </row>
    <row r="2449">
      <c r="A2449" s="63" t="s">
        <v>5119</v>
      </c>
      <c r="B2449" s="63" t="s">
        <v>672</v>
      </c>
      <c r="C2449" s="4">
        <v>5.0</v>
      </c>
      <c r="D2449" s="64">
        <v>4.0</v>
      </c>
      <c r="E2449" s="63" t="s">
        <v>4884</v>
      </c>
      <c r="F2449" s="64">
        <v>16.0</v>
      </c>
      <c r="G2449" s="64">
        <v>13.74</v>
      </c>
      <c r="H2449" s="64">
        <v>13.36</v>
      </c>
      <c r="I2449" s="64">
        <v>14.51</v>
      </c>
      <c r="J2449" s="64">
        <v>14.01</v>
      </c>
      <c r="K2449" s="65"/>
      <c r="L2449" s="65"/>
      <c r="M2449" s="65"/>
      <c r="N2449" s="65"/>
      <c r="O2449" s="65"/>
      <c r="P2449" s="65"/>
      <c r="Q2449" s="65"/>
      <c r="R2449" s="65"/>
      <c r="S2449" s="65"/>
      <c r="T2449" s="65"/>
      <c r="U2449" s="65"/>
      <c r="V2449" s="65"/>
      <c r="W2449" s="65"/>
      <c r="X2449" s="67">
        <v>14.27</v>
      </c>
    </row>
    <row r="2450">
      <c r="A2450" s="63" t="s">
        <v>5120</v>
      </c>
      <c r="B2450" s="63" t="s">
        <v>672</v>
      </c>
      <c r="C2450" s="4">
        <v>6.0</v>
      </c>
      <c r="D2450" s="64">
        <v>4.0</v>
      </c>
      <c r="E2450" s="63" t="s">
        <v>4884</v>
      </c>
      <c r="F2450" s="64">
        <v>16.0</v>
      </c>
      <c r="G2450" s="64">
        <v>14.09</v>
      </c>
      <c r="H2450" s="64">
        <v>13.66</v>
      </c>
      <c r="I2450" s="64">
        <v>14.03</v>
      </c>
      <c r="J2450" s="64">
        <v>14.33</v>
      </c>
      <c r="K2450" s="65"/>
      <c r="L2450" s="65"/>
      <c r="M2450" s="65"/>
      <c r="N2450" s="65"/>
      <c r="O2450" s="65"/>
      <c r="P2450" s="65"/>
      <c r="Q2450" s="65"/>
      <c r="R2450" s="65"/>
      <c r="S2450" s="65"/>
      <c r="T2450" s="65"/>
      <c r="U2450" s="65"/>
      <c r="V2450" s="65"/>
      <c r="W2450" s="65"/>
      <c r="X2450" s="67">
        <v>14.27</v>
      </c>
    </row>
    <row r="2451">
      <c r="A2451" s="63" t="s">
        <v>5121</v>
      </c>
      <c r="B2451" s="63" t="s">
        <v>672</v>
      </c>
      <c r="C2451" s="4">
        <v>7.0</v>
      </c>
      <c r="D2451" s="64">
        <v>4.0</v>
      </c>
      <c r="E2451" s="63" t="s">
        <v>4884</v>
      </c>
      <c r="F2451" s="64">
        <v>16.0</v>
      </c>
      <c r="G2451" s="64">
        <v>14.53</v>
      </c>
      <c r="H2451" s="64">
        <v>13.63</v>
      </c>
      <c r="I2451" s="64">
        <v>14.02</v>
      </c>
      <c r="J2451" s="64">
        <v>13.74</v>
      </c>
      <c r="K2451" s="65"/>
      <c r="L2451" s="65"/>
      <c r="M2451" s="65"/>
      <c r="N2451" s="65"/>
      <c r="O2451" s="65"/>
      <c r="P2451" s="65"/>
      <c r="Q2451" s="65"/>
      <c r="R2451" s="65"/>
      <c r="S2451" s="65"/>
      <c r="T2451" s="65"/>
      <c r="U2451" s="65"/>
      <c r="V2451" s="65"/>
      <c r="W2451" s="65"/>
      <c r="X2451" s="67">
        <v>14.27</v>
      </c>
    </row>
    <row r="2452">
      <c r="A2452" s="63" t="s">
        <v>5122</v>
      </c>
      <c r="B2452" s="63" t="s">
        <v>672</v>
      </c>
      <c r="C2452" s="4">
        <v>8.0</v>
      </c>
      <c r="D2452" s="64">
        <v>6.0</v>
      </c>
      <c r="E2452" s="63" t="s">
        <v>4884</v>
      </c>
      <c r="F2452" s="68" t="s">
        <v>4054</v>
      </c>
      <c r="G2452" s="64">
        <v>6.02</v>
      </c>
      <c r="H2452" s="64">
        <v>5.58</v>
      </c>
      <c r="I2452" s="64">
        <v>6.01</v>
      </c>
      <c r="J2452" s="64">
        <v>6.11</v>
      </c>
      <c r="K2452" s="65"/>
      <c r="L2452" s="65"/>
      <c r="M2452" s="65"/>
      <c r="N2452" s="65"/>
      <c r="O2452" s="65"/>
      <c r="P2452" s="65"/>
      <c r="Q2452" s="65"/>
      <c r="R2452" s="65"/>
      <c r="S2452" s="65"/>
      <c r="T2452" s="65"/>
      <c r="U2452" s="65"/>
      <c r="V2452" s="65"/>
      <c r="W2452" s="65"/>
      <c r="X2452" s="66"/>
    </row>
    <row r="2453">
      <c r="A2453" s="63" t="s">
        <v>5123</v>
      </c>
      <c r="B2453" s="63" t="s">
        <v>677</v>
      </c>
      <c r="C2453" s="4">
        <v>1.0</v>
      </c>
      <c r="D2453" s="64">
        <v>1.0</v>
      </c>
      <c r="E2453" s="63" t="s">
        <v>1088</v>
      </c>
      <c r="F2453" s="64">
        <v>22.0</v>
      </c>
      <c r="G2453" s="64">
        <v>11.61</v>
      </c>
      <c r="H2453" s="64">
        <v>11.57</v>
      </c>
      <c r="I2453" s="64">
        <v>10.76</v>
      </c>
      <c r="J2453" s="64">
        <v>10.65</v>
      </c>
      <c r="K2453" s="65"/>
      <c r="L2453" s="65"/>
      <c r="M2453" s="65"/>
      <c r="N2453" s="65"/>
      <c r="O2453" s="65"/>
      <c r="P2453" s="65"/>
      <c r="Q2453" s="65"/>
      <c r="R2453" s="65"/>
      <c r="S2453" s="65"/>
      <c r="T2453" s="65"/>
      <c r="U2453" s="65"/>
      <c r="V2453" s="65"/>
      <c r="W2453" s="65"/>
      <c r="X2453" s="66"/>
    </row>
    <row r="2454">
      <c r="A2454" s="63" t="s">
        <v>5124</v>
      </c>
      <c r="B2454" s="63" t="s">
        <v>677</v>
      </c>
      <c r="C2454" s="4">
        <v>2.0</v>
      </c>
      <c r="D2454" s="64">
        <v>2.0</v>
      </c>
      <c r="E2454" s="63" t="s">
        <v>1088</v>
      </c>
      <c r="F2454" s="64">
        <v>30.0</v>
      </c>
      <c r="G2454" s="64">
        <v>6.81</v>
      </c>
      <c r="H2454" s="64">
        <v>6.12</v>
      </c>
      <c r="I2454" s="64">
        <v>6.01</v>
      </c>
      <c r="J2454" s="64">
        <v>6.22</v>
      </c>
      <c r="K2454" s="64">
        <v>7.04</v>
      </c>
      <c r="L2454" s="64">
        <v>8.3</v>
      </c>
      <c r="M2454" s="64">
        <v>7.6</v>
      </c>
      <c r="N2454" s="64">
        <v>7.08</v>
      </c>
      <c r="O2454" s="64">
        <v>6.89</v>
      </c>
      <c r="P2454" s="64">
        <v>7.6</v>
      </c>
      <c r="Q2454" s="64">
        <v>7.24</v>
      </c>
      <c r="R2454" s="64">
        <v>8.25</v>
      </c>
      <c r="S2454" s="65"/>
      <c r="T2454" s="65"/>
      <c r="U2454" s="65"/>
      <c r="V2454" s="65"/>
      <c r="W2454" s="65"/>
      <c r="X2454" s="66"/>
    </row>
    <row r="2455">
      <c r="A2455" s="63" t="s">
        <v>5125</v>
      </c>
      <c r="B2455" s="63" t="s">
        <v>677</v>
      </c>
      <c r="C2455" s="4">
        <v>3.0</v>
      </c>
      <c r="D2455" s="64">
        <v>3.0</v>
      </c>
      <c r="E2455" s="63" t="s">
        <v>1088</v>
      </c>
      <c r="F2455" s="64">
        <v>3.0</v>
      </c>
      <c r="G2455" s="64">
        <v>9.72</v>
      </c>
      <c r="H2455" s="64">
        <v>8.62</v>
      </c>
      <c r="I2455" s="64">
        <v>7.4</v>
      </c>
      <c r="J2455" s="64">
        <v>8.79</v>
      </c>
      <c r="K2455" s="65"/>
      <c r="L2455" s="65"/>
      <c r="M2455" s="65"/>
      <c r="N2455" s="65"/>
      <c r="O2455" s="65"/>
      <c r="P2455" s="65"/>
      <c r="Q2455" s="65"/>
      <c r="R2455" s="65"/>
      <c r="S2455" s="65"/>
      <c r="T2455" s="65"/>
      <c r="U2455" s="65"/>
      <c r="V2455" s="65"/>
      <c r="W2455" s="65"/>
      <c r="X2455" s="66"/>
    </row>
    <row r="2456">
      <c r="A2456" s="63" t="s">
        <v>5126</v>
      </c>
      <c r="B2456" s="63" t="s">
        <v>677</v>
      </c>
      <c r="C2456" s="4">
        <v>4.0</v>
      </c>
      <c r="D2456" s="64">
        <v>4.0</v>
      </c>
      <c r="E2456" s="63" t="s">
        <v>1088</v>
      </c>
      <c r="F2456" s="64">
        <v>16.0</v>
      </c>
      <c r="G2456" s="64">
        <v>10.13</v>
      </c>
      <c r="H2456" s="64">
        <v>8.07</v>
      </c>
      <c r="I2456" s="64">
        <v>8.91</v>
      </c>
      <c r="J2456" s="64">
        <v>8.35</v>
      </c>
      <c r="K2456" s="65"/>
      <c r="L2456" s="65"/>
      <c r="M2456" s="65"/>
      <c r="N2456" s="65"/>
      <c r="O2456" s="65"/>
      <c r="P2456" s="65"/>
      <c r="Q2456" s="65"/>
      <c r="R2456" s="65"/>
      <c r="S2456" s="65"/>
      <c r="T2456" s="65"/>
      <c r="U2456" s="65"/>
      <c r="V2456" s="65"/>
      <c r="W2456" s="65"/>
      <c r="X2456" s="67">
        <v>10.31</v>
      </c>
    </row>
    <row r="2457">
      <c r="A2457" s="63" t="s">
        <v>5127</v>
      </c>
      <c r="B2457" s="63" t="s">
        <v>677</v>
      </c>
      <c r="C2457" s="4">
        <v>5.0</v>
      </c>
      <c r="D2457" s="64">
        <v>5.0</v>
      </c>
      <c r="E2457" s="63" t="s">
        <v>1088</v>
      </c>
      <c r="F2457" s="64">
        <v>16.0</v>
      </c>
      <c r="G2457" s="64">
        <v>10.5</v>
      </c>
      <c r="H2457" s="64">
        <v>10.05</v>
      </c>
      <c r="I2457" s="64">
        <v>10.73</v>
      </c>
      <c r="J2457" s="64">
        <v>12.56</v>
      </c>
      <c r="K2457" s="65"/>
      <c r="L2457" s="65"/>
      <c r="M2457" s="65"/>
      <c r="N2457" s="65"/>
      <c r="O2457" s="65"/>
      <c r="P2457" s="65"/>
      <c r="Q2457" s="65"/>
      <c r="R2457" s="65"/>
      <c r="S2457" s="65"/>
      <c r="T2457" s="65"/>
      <c r="U2457" s="65"/>
      <c r="V2457" s="65"/>
      <c r="W2457" s="65"/>
      <c r="X2457" s="67">
        <v>12.7</v>
      </c>
    </row>
    <row r="2458">
      <c r="A2458" s="63" t="s">
        <v>5128</v>
      </c>
      <c r="B2458" s="63" t="s">
        <v>677</v>
      </c>
      <c r="C2458" s="4">
        <v>6.0</v>
      </c>
      <c r="D2458" s="64">
        <v>6.0</v>
      </c>
      <c r="E2458" s="63" t="s">
        <v>1088</v>
      </c>
      <c r="F2458" s="64">
        <v>16.0</v>
      </c>
      <c r="G2458" s="64">
        <v>12.97</v>
      </c>
      <c r="H2458" s="64">
        <v>10.76</v>
      </c>
      <c r="I2458" s="64">
        <v>11.97</v>
      </c>
      <c r="J2458" s="64">
        <v>14.94</v>
      </c>
      <c r="K2458" s="65"/>
      <c r="L2458" s="65"/>
      <c r="M2458" s="65"/>
      <c r="N2458" s="65"/>
      <c r="O2458" s="65"/>
      <c r="P2458" s="65"/>
      <c r="Q2458" s="65"/>
      <c r="R2458" s="65"/>
      <c r="S2458" s="65"/>
      <c r="T2458" s="65"/>
      <c r="U2458" s="65"/>
      <c r="V2458" s="65"/>
      <c r="W2458" s="65"/>
      <c r="X2458" s="67">
        <v>14.27</v>
      </c>
    </row>
    <row r="2459">
      <c r="A2459" s="63" t="s">
        <v>5129</v>
      </c>
      <c r="B2459" s="63" t="s">
        <v>677</v>
      </c>
      <c r="C2459" s="4">
        <v>7.0</v>
      </c>
      <c r="D2459" s="64">
        <v>7.0</v>
      </c>
      <c r="E2459" s="63" t="s">
        <v>1088</v>
      </c>
      <c r="F2459" s="64">
        <v>16.0</v>
      </c>
      <c r="G2459" s="64">
        <v>11.34</v>
      </c>
      <c r="H2459" s="64">
        <v>11.54</v>
      </c>
      <c r="I2459" s="64">
        <v>10.49</v>
      </c>
      <c r="J2459" s="64">
        <v>12.6</v>
      </c>
      <c r="K2459" s="65"/>
      <c r="L2459" s="65"/>
      <c r="M2459" s="65"/>
      <c r="N2459" s="65"/>
      <c r="O2459" s="65"/>
      <c r="P2459" s="65"/>
      <c r="Q2459" s="65"/>
      <c r="R2459" s="65"/>
      <c r="S2459" s="65"/>
      <c r="T2459" s="65"/>
      <c r="U2459" s="65"/>
      <c r="V2459" s="65"/>
      <c r="W2459" s="65"/>
      <c r="X2459" s="67">
        <v>12.7</v>
      </c>
    </row>
    <row r="2460">
      <c r="A2460" s="63" t="s">
        <v>5130</v>
      </c>
      <c r="B2460" s="63" t="s">
        <v>677</v>
      </c>
      <c r="C2460" s="4">
        <v>8.0</v>
      </c>
      <c r="D2460" s="64">
        <v>8.0</v>
      </c>
      <c r="E2460" s="63" t="s">
        <v>1088</v>
      </c>
      <c r="F2460" s="64">
        <v>16.0</v>
      </c>
      <c r="G2460" s="64">
        <v>10.68</v>
      </c>
      <c r="H2460" s="64">
        <v>11.42</v>
      </c>
      <c r="I2460" s="64">
        <v>10.5</v>
      </c>
      <c r="J2460" s="64">
        <v>10.1</v>
      </c>
      <c r="K2460" s="65"/>
      <c r="L2460" s="65"/>
      <c r="M2460" s="65"/>
      <c r="N2460" s="65"/>
      <c r="O2460" s="65"/>
      <c r="P2460" s="65"/>
      <c r="Q2460" s="65"/>
      <c r="R2460" s="65"/>
      <c r="S2460" s="65"/>
      <c r="T2460" s="65"/>
      <c r="U2460" s="65"/>
      <c r="V2460" s="65"/>
      <c r="W2460" s="65"/>
      <c r="X2460" s="67">
        <v>11.13</v>
      </c>
    </row>
    <row r="2461">
      <c r="A2461" s="63" t="s">
        <v>5131</v>
      </c>
      <c r="B2461" s="63" t="s">
        <v>677</v>
      </c>
      <c r="C2461" s="4">
        <v>9.0</v>
      </c>
      <c r="D2461" s="64">
        <v>9.0</v>
      </c>
      <c r="E2461" s="63" t="s">
        <v>1088</v>
      </c>
      <c r="F2461" s="64">
        <v>16.0</v>
      </c>
      <c r="G2461" s="64">
        <v>10.8</v>
      </c>
      <c r="H2461" s="64">
        <v>10.84</v>
      </c>
      <c r="I2461" s="64">
        <v>11.7</v>
      </c>
      <c r="J2461" s="64">
        <v>11.93</v>
      </c>
      <c r="K2461" s="65"/>
      <c r="L2461" s="65"/>
      <c r="M2461" s="65"/>
      <c r="N2461" s="65"/>
      <c r="O2461" s="65"/>
      <c r="P2461" s="65"/>
      <c r="Q2461" s="65"/>
      <c r="R2461" s="65"/>
      <c r="S2461" s="65"/>
      <c r="T2461" s="65"/>
      <c r="U2461" s="65"/>
      <c r="V2461" s="65"/>
      <c r="W2461" s="65"/>
      <c r="X2461" s="67">
        <v>11.91</v>
      </c>
    </row>
    <row r="2462">
      <c r="A2462" s="63" t="s">
        <v>5132</v>
      </c>
      <c r="B2462" s="63" t="s">
        <v>677</v>
      </c>
      <c r="C2462" s="4">
        <v>10.0</v>
      </c>
      <c r="D2462" s="64">
        <v>10.0</v>
      </c>
      <c r="E2462" s="63" t="s">
        <v>1088</v>
      </c>
      <c r="F2462" s="64">
        <v>16.0</v>
      </c>
      <c r="G2462" s="64">
        <v>11.73</v>
      </c>
      <c r="H2462" s="64">
        <v>11.47</v>
      </c>
      <c r="I2462" s="64">
        <v>10.21</v>
      </c>
      <c r="J2462" s="64">
        <v>10.64</v>
      </c>
      <c r="K2462" s="65"/>
      <c r="L2462" s="65"/>
      <c r="M2462" s="65"/>
      <c r="N2462" s="65"/>
      <c r="O2462" s="65"/>
      <c r="P2462" s="65"/>
      <c r="Q2462" s="65"/>
      <c r="R2462" s="65"/>
      <c r="S2462" s="65"/>
      <c r="T2462" s="65"/>
      <c r="U2462" s="65"/>
      <c r="V2462" s="65"/>
      <c r="W2462" s="65"/>
      <c r="X2462" s="67">
        <v>11.91</v>
      </c>
    </row>
    <row r="2463">
      <c r="A2463" s="63" t="s">
        <v>5133</v>
      </c>
      <c r="B2463" s="63" t="s">
        <v>677</v>
      </c>
      <c r="C2463" s="4">
        <v>11.0</v>
      </c>
      <c r="D2463" s="64">
        <v>11.0</v>
      </c>
      <c r="E2463" s="63" t="s">
        <v>1088</v>
      </c>
      <c r="F2463" s="64">
        <v>16.0</v>
      </c>
      <c r="G2463" s="64">
        <v>12.88</v>
      </c>
      <c r="H2463" s="64">
        <v>12.17</v>
      </c>
      <c r="I2463" s="64">
        <v>10.63</v>
      </c>
      <c r="J2463" s="64">
        <v>12.47</v>
      </c>
      <c r="K2463" s="65"/>
      <c r="L2463" s="65"/>
      <c r="M2463" s="65"/>
      <c r="N2463" s="65"/>
      <c r="O2463" s="65"/>
      <c r="P2463" s="65"/>
      <c r="Q2463" s="65"/>
      <c r="R2463" s="65"/>
      <c r="S2463" s="65"/>
      <c r="T2463" s="65"/>
      <c r="U2463" s="65"/>
      <c r="V2463" s="65"/>
      <c r="W2463" s="65"/>
      <c r="X2463" s="67">
        <v>12.7</v>
      </c>
    </row>
    <row r="2464">
      <c r="A2464" s="63" t="s">
        <v>5134</v>
      </c>
      <c r="B2464" s="63" t="s">
        <v>677</v>
      </c>
      <c r="C2464" s="4">
        <v>12.0</v>
      </c>
      <c r="D2464" s="64">
        <v>12.0</v>
      </c>
      <c r="E2464" s="63" t="s">
        <v>1088</v>
      </c>
      <c r="F2464" s="64">
        <v>3.0</v>
      </c>
      <c r="G2464" s="69"/>
      <c r="H2464" s="69"/>
      <c r="I2464" s="69"/>
      <c r="J2464" s="69"/>
      <c r="K2464" s="65"/>
      <c r="L2464" s="65"/>
      <c r="M2464" s="65"/>
      <c r="N2464" s="65"/>
      <c r="O2464" s="65"/>
      <c r="P2464" s="65"/>
      <c r="Q2464" s="65"/>
      <c r="R2464" s="65"/>
      <c r="S2464" s="65"/>
      <c r="T2464" s="65"/>
      <c r="U2464" s="65"/>
      <c r="V2464" s="65"/>
      <c r="W2464" s="65"/>
      <c r="X2464" s="66"/>
    </row>
    <row r="2465">
      <c r="A2465" s="63" t="s">
        <v>5135</v>
      </c>
      <c r="B2465" s="63" t="s">
        <v>677</v>
      </c>
      <c r="C2465" s="4">
        <v>13.0</v>
      </c>
      <c r="D2465" s="64">
        <v>13.0</v>
      </c>
      <c r="E2465" s="63" t="s">
        <v>1088</v>
      </c>
      <c r="F2465" s="64">
        <v>30.0</v>
      </c>
      <c r="G2465" s="64">
        <v>7.19</v>
      </c>
      <c r="H2465" s="64">
        <v>8.6</v>
      </c>
      <c r="I2465" s="64">
        <v>8.05</v>
      </c>
      <c r="J2465" s="64">
        <v>7.45</v>
      </c>
      <c r="K2465" s="65"/>
      <c r="L2465" s="65"/>
      <c r="M2465" s="65"/>
      <c r="N2465" s="65"/>
      <c r="O2465" s="65"/>
      <c r="P2465" s="65"/>
      <c r="Q2465" s="65"/>
      <c r="R2465" s="65"/>
      <c r="S2465" s="65"/>
      <c r="T2465" s="65"/>
      <c r="U2465" s="65"/>
      <c r="V2465" s="65"/>
      <c r="W2465" s="65"/>
      <c r="X2465" s="66"/>
    </row>
    <row r="2466">
      <c r="A2466" s="63" t="s">
        <v>5136</v>
      </c>
      <c r="B2466" s="63" t="s">
        <v>677</v>
      </c>
      <c r="C2466" s="4">
        <v>14.0</v>
      </c>
      <c r="D2466" s="64">
        <v>14.0</v>
      </c>
      <c r="E2466" s="63" t="s">
        <v>1088</v>
      </c>
      <c r="F2466" s="64">
        <v>3.0</v>
      </c>
      <c r="G2466" s="69"/>
      <c r="H2466" s="69"/>
      <c r="I2466" s="69"/>
      <c r="J2466" s="69"/>
      <c r="K2466" s="65"/>
      <c r="L2466" s="65"/>
      <c r="M2466" s="65"/>
      <c r="N2466" s="65"/>
      <c r="O2466" s="65"/>
      <c r="P2466" s="65"/>
      <c r="Q2466" s="65"/>
      <c r="R2466" s="65"/>
      <c r="S2466" s="65"/>
      <c r="T2466" s="65"/>
      <c r="U2466" s="65"/>
      <c r="V2466" s="65"/>
      <c r="W2466" s="65"/>
      <c r="X2466" s="66"/>
    </row>
    <row r="2467">
      <c r="A2467" s="63" t="s">
        <v>5137</v>
      </c>
      <c r="B2467" s="63" t="s">
        <v>677</v>
      </c>
      <c r="C2467" s="4">
        <v>15.0</v>
      </c>
      <c r="D2467" s="64">
        <v>15.0</v>
      </c>
      <c r="E2467" s="63" t="s">
        <v>1088</v>
      </c>
      <c r="F2467" s="64">
        <v>3.0</v>
      </c>
      <c r="G2467" s="64">
        <v>13.72</v>
      </c>
      <c r="H2467" s="64">
        <v>14.64</v>
      </c>
      <c r="I2467" s="64">
        <v>12.99</v>
      </c>
      <c r="J2467" s="64">
        <v>12.72</v>
      </c>
      <c r="K2467" s="65"/>
      <c r="L2467" s="65"/>
      <c r="M2467" s="65"/>
      <c r="N2467" s="65"/>
      <c r="O2467" s="65"/>
      <c r="P2467" s="65"/>
      <c r="Q2467" s="65"/>
      <c r="R2467" s="65"/>
      <c r="S2467" s="65"/>
      <c r="T2467" s="65"/>
      <c r="U2467" s="65"/>
      <c r="V2467" s="65"/>
      <c r="W2467" s="65"/>
      <c r="X2467" s="67">
        <v>15.24</v>
      </c>
    </row>
    <row r="2468">
      <c r="A2468" s="63" t="s">
        <v>5138</v>
      </c>
      <c r="B2468" s="63" t="s">
        <v>672</v>
      </c>
      <c r="C2468" s="4">
        <v>1.0</v>
      </c>
      <c r="D2468" s="64">
        <v>1.0</v>
      </c>
      <c r="E2468" s="63" t="s">
        <v>4884</v>
      </c>
      <c r="F2468" s="64">
        <v>10.0</v>
      </c>
      <c r="G2468" s="64">
        <v>11.45</v>
      </c>
      <c r="H2468" s="64">
        <v>11.66</v>
      </c>
      <c r="I2468" s="64">
        <v>12.78</v>
      </c>
      <c r="J2468" s="64">
        <v>11.0</v>
      </c>
      <c r="K2468" s="65"/>
      <c r="L2468" s="65"/>
      <c r="M2468" s="65"/>
      <c r="N2468" s="65"/>
      <c r="O2468" s="65"/>
      <c r="P2468" s="65"/>
      <c r="Q2468" s="65"/>
      <c r="R2468" s="65"/>
      <c r="S2468" s="65"/>
      <c r="T2468" s="65"/>
      <c r="U2468" s="65"/>
      <c r="V2468" s="65"/>
      <c r="W2468" s="65"/>
      <c r="X2468" s="67">
        <v>12.7</v>
      </c>
    </row>
    <row r="2469">
      <c r="A2469" s="63" t="s">
        <v>5139</v>
      </c>
      <c r="B2469" s="63" t="s">
        <v>672</v>
      </c>
      <c r="C2469" s="4">
        <v>2.0</v>
      </c>
      <c r="D2469" s="64">
        <v>2.0</v>
      </c>
      <c r="E2469" s="63" t="s">
        <v>5106</v>
      </c>
      <c r="F2469" s="64">
        <v>16.0</v>
      </c>
      <c r="G2469" s="64">
        <v>14.18</v>
      </c>
      <c r="H2469" s="64">
        <v>13.45</v>
      </c>
      <c r="I2469" s="64">
        <v>13.43</v>
      </c>
      <c r="J2469" s="64">
        <v>13.09</v>
      </c>
      <c r="K2469" s="65"/>
      <c r="L2469" s="65"/>
      <c r="M2469" s="65"/>
      <c r="N2469" s="65"/>
      <c r="O2469" s="65"/>
      <c r="P2469" s="65"/>
      <c r="Q2469" s="65"/>
      <c r="R2469" s="65"/>
      <c r="S2469" s="65"/>
      <c r="T2469" s="65"/>
      <c r="U2469" s="65"/>
      <c r="V2469" s="65"/>
      <c r="W2469" s="65"/>
      <c r="X2469" s="67">
        <v>14.27</v>
      </c>
    </row>
    <row r="2470">
      <c r="A2470" s="63" t="s">
        <v>5140</v>
      </c>
      <c r="B2470" s="63" t="s">
        <v>672</v>
      </c>
      <c r="C2470" s="4">
        <v>3.0</v>
      </c>
      <c r="D2470" s="64">
        <v>3.0</v>
      </c>
      <c r="E2470" s="63" t="s">
        <v>4884</v>
      </c>
      <c r="F2470" s="64">
        <v>16.0</v>
      </c>
      <c r="G2470" s="64">
        <v>13.95</v>
      </c>
      <c r="H2470" s="64">
        <v>13.95</v>
      </c>
      <c r="I2470" s="64">
        <v>14.52</v>
      </c>
      <c r="J2470" s="64">
        <v>14.47</v>
      </c>
      <c r="K2470" s="65"/>
      <c r="L2470" s="65"/>
      <c r="M2470" s="65"/>
      <c r="N2470" s="65"/>
      <c r="O2470" s="65"/>
      <c r="P2470" s="65"/>
      <c r="Q2470" s="65"/>
      <c r="R2470" s="65"/>
      <c r="S2470" s="65"/>
      <c r="T2470" s="65"/>
      <c r="U2470" s="65"/>
      <c r="V2470" s="65"/>
      <c r="W2470" s="65"/>
      <c r="X2470" s="67">
        <v>14.27</v>
      </c>
    </row>
    <row r="2471">
      <c r="A2471" s="63" t="s">
        <v>5141</v>
      </c>
      <c r="B2471" s="63" t="s">
        <v>672</v>
      </c>
      <c r="C2471" s="4">
        <v>4.0</v>
      </c>
      <c r="D2471" s="64">
        <v>4.0</v>
      </c>
      <c r="E2471" s="63" t="s">
        <v>4884</v>
      </c>
      <c r="F2471" s="68" t="s">
        <v>4054</v>
      </c>
      <c r="G2471" s="64">
        <v>6.62</v>
      </c>
      <c r="H2471" s="64">
        <v>6.37</v>
      </c>
      <c r="I2471" s="64">
        <v>6.52</v>
      </c>
      <c r="J2471" s="64">
        <v>5.85</v>
      </c>
      <c r="K2471" s="65"/>
      <c r="L2471" s="65"/>
      <c r="M2471" s="65"/>
      <c r="N2471" s="65"/>
      <c r="O2471" s="65"/>
      <c r="P2471" s="65"/>
      <c r="Q2471" s="65"/>
      <c r="R2471" s="65"/>
      <c r="S2471" s="65"/>
      <c r="T2471" s="65"/>
      <c r="U2471" s="65"/>
      <c r="V2471" s="65"/>
      <c r="W2471" s="65"/>
      <c r="X2471" s="66"/>
    </row>
    <row r="2472">
      <c r="A2472" s="63" t="s">
        <v>5142</v>
      </c>
      <c r="B2472" s="63" t="s">
        <v>672</v>
      </c>
      <c r="C2472" s="4">
        <v>5.0</v>
      </c>
      <c r="D2472" s="64">
        <v>5.0</v>
      </c>
      <c r="E2472" s="63" t="s">
        <v>4884</v>
      </c>
      <c r="F2472" s="64">
        <v>16.0</v>
      </c>
      <c r="G2472" s="64">
        <v>14.05</v>
      </c>
      <c r="H2472" s="64">
        <v>13.26</v>
      </c>
      <c r="I2472" s="64">
        <v>14.16</v>
      </c>
      <c r="J2472" s="64">
        <v>14.34</v>
      </c>
      <c r="K2472" s="65"/>
      <c r="L2472" s="65"/>
      <c r="M2472" s="65"/>
      <c r="N2472" s="65"/>
      <c r="O2472" s="65"/>
      <c r="P2472" s="65"/>
      <c r="Q2472" s="65"/>
      <c r="R2472" s="65"/>
      <c r="S2472" s="65"/>
      <c r="T2472" s="65"/>
      <c r="U2472" s="65"/>
      <c r="V2472" s="65"/>
      <c r="W2472" s="65"/>
      <c r="X2472" s="67">
        <v>14.27</v>
      </c>
    </row>
    <row r="2473">
      <c r="A2473" s="63" t="s">
        <v>5143</v>
      </c>
      <c r="B2473" s="63" t="s">
        <v>672</v>
      </c>
      <c r="C2473" s="4">
        <v>6.0</v>
      </c>
      <c r="D2473" s="64">
        <v>5.0</v>
      </c>
      <c r="E2473" s="63" t="s">
        <v>4884</v>
      </c>
      <c r="F2473" s="64">
        <v>16.0</v>
      </c>
      <c r="G2473" s="64">
        <v>13.05</v>
      </c>
      <c r="H2473" s="64">
        <v>13.44</v>
      </c>
      <c r="I2473" s="64">
        <v>14.01</v>
      </c>
      <c r="J2473" s="64">
        <v>13.19</v>
      </c>
      <c r="K2473" s="65"/>
      <c r="L2473" s="65"/>
      <c r="M2473" s="65"/>
      <c r="N2473" s="65"/>
      <c r="O2473" s="65"/>
      <c r="P2473" s="65"/>
      <c r="Q2473" s="65"/>
      <c r="R2473" s="65"/>
      <c r="S2473" s="65"/>
      <c r="T2473" s="65"/>
      <c r="U2473" s="65"/>
      <c r="V2473" s="65"/>
      <c r="W2473" s="65"/>
      <c r="X2473" s="67">
        <v>14.27</v>
      </c>
    </row>
    <row r="2474">
      <c r="A2474" s="63" t="s">
        <v>5144</v>
      </c>
      <c r="B2474" s="63" t="s">
        <v>672</v>
      </c>
      <c r="C2474" s="4">
        <v>7.0</v>
      </c>
      <c r="D2474" s="64">
        <v>5.0</v>
      </c>
      <c r="E2474" s="63" t="s">
        <v>4884</v>
      </c>
      <c r="F2474" s="64">
        <v>16.0</v>
      </c>
      <c r="G2474" s="64">
        <v>14.61</v>
      </c>
      <c r="H2474" s="64">
        <v>13.68</v>
      </c>
      <c r="I2474" s="64">
        <v>13.81</v>
      </c>
      <c r="J2474" s="64">
        <v>14.18</v>
      </c>
      <c r="K2474" s="65"/>
      <c r="L2474" s="65"/>
      <c r="M2474" s="65"/>
      <c r="N2474" s="65"/>
      <c r="O2474" s="65"/>
      <c r="P2474" s="65"/>
      <c r="Q2474" s="65"/>
      <c r="R2474" s="65"/>
      <c r="S2474" s="65"/>
      <c r="T2474" s="65"/>
      <c r="U2474" s="65"/>
      <c r="V2474" s="65"/>
      <c r="W2474" s="65"/>
      <c r="X2474" s="67">
        <v>14.27</v>
      </c>
    </row>
    <row r="2475">
      <c r="A2475" s="63" t="s">
        <v>5145</v>
      </c>
      <c r="B2475" s="63" t="s">
        <v>672</v>
      </c>
      <c r="C2475" s="4">
        <v>8.0</v>
      </c>
      <c r="D2475" s="64">
        <v>6.0</v>
      </c>
      <c r="E2475" s="63" t="s">
        <v>4884</v>
      </c>
      <c r="F2475" s="68" t="s">
        <v>4054</v>
      </c>
      <c r="G2475" s="64">
        <v>10.52</v>
      </c>
      <c r="H2475" s="64">
        <v>10.27</v>
      </c>
      <c r="I2475" s="64">
        <v>11.47</v>
      </c>
      <c r="J2475" s="64">
        <v>10.41</v>
      </c>
      <c r="K2475" s="65"/>
      <c r="L2475" s="65"/>
      <c r="M2475" s="65"/>
      <c r="N2475" s="65"/>
      <c r="O2475" s="65"/>
      <c r="P2475" s="65"/>
      <c r="Q2475" s="65"/>
      <c r="R2475" s="65"/>
      <c r="S2475" s="65"/>
      <c r="T2475" s="65"/>
      <c r="U2475" s="65"/>
      <c r="V2475" s="65"/>
      <c r="W2475" s="65"/>
      <c r="X2475" s="66"/>
    </row>
    <row r="2476">
      <c r="A2476" s="63" t="s">
        <v>5146</v>
      </c>
      <c r="B2476" s="63" t="s">
        <v>693</v>
      </c>
      <c r="C2476" s="4">
        <v>1.0</v>
      </c>
      <c r="D2476" s="64">
        <v>1.0</v>
      </c>
      <c r="E2476" s="63" t="s">
        <v>1088</v>
      </c>
      <c r="F2476" s="64">
        <v>30.0</v>
      </c>
      <c r="G2476" s="64">
        <v>7.48</v>
      </c>
      <c r="H2476" s="64">
        <v>7.78</v>
      </c>
      <c r="I2476" s="64">
        <v>7.42</v>
      </c>
      <c r="J2476" s="64">
        <v>8.34</v>
      </c>
      <c r="K2476" s="64">
        <v>7.86</v>
      </c>
      <c r="L2476" s="64">
        <v>7.02</v>
      </c>
      <c r="M2476" s="64">
        <v>7.36</v>
      </c>
      <c r="N2476" s="64">
        <v>7.46</v>
      </c>
      <c r="O2476" s="64">
        <v>7.11</v>
      </c>
      <c r="P2476" s="64">
        <v>7.99</v>
      </c>
      <c r="Q2476" s="64">
        <v>7.28</v>
      </c>
      <c r="R2476" s="64">
        <v>7.1</v>
      </c>
      <c r="S2476" s="64">
        <v>7.16</v>
      </c>
      <c r="T2476" s="64">
        <v>7.36</v>
      </c>
      <c r="U2476" s="64">
        <v>7.56</v>
      </c>
      <c r="V2476" s="64">
        <v>7.15</v>
      </c>
      <c r="W2476" s="64"/>
      <c r="X2476" s="66"/>
    </row>
    <row r="2477">
      <c r="A2477" s="63" t="s">
        <v>5147</v>
      </c>
      <c r="B2477" s="63" t="s">
        <v>693</v>
      </c>
      <c r="C2477" s="4">
        <v>2.0</v>
      </c>
      <c r="D2477" s="64">
        <v>2.0</v>
      </c>
      <c r="E2477" s="63" t="s">
        <v>1088</v>
      </c>
      <c r="F2477" s="64">
        <v>8.0</v>
      </c>
      <c r="G2477" s="64">
        <v>11.07</v>
      </c>
      <c r="H2477" s="64">
        <v>10.96</v>
      </c>
      <c r="I2477" s="64">
        <v>11.39</v>
      </c>
      <c r="J2477" s="64">
        <v>12.88</v>
      </c>
      <c r="K2477" s="65"/>
      <c r="L2477" s="65"/>
      <c r="M2477" s="65"/>
      <c r="N2477" s="65"/>
      <c r="O2477" s="65"/>
      <c r="P2477" s="65"/>
      <c r="Q2477" s="65"/>
      <c r="R2477" s="65"/>
      <c r="S2477" s="65"/>
      <c r="T2477" s="65"/>
      <c r="U2477" s="65"/>
      <c r="V2477" s="65"/>
      <c r="W2477" s="65"/>
      <c r="X2477" s="67">
        <v>12.7</v>
      </c>
    </row>
    <row r="2478">
      <c r="A2478" s="63" t="s">
        <v>5148</v>
      </c>
      <c r="B2478" s="63" t="s">
        <v>693</v>
      </c>
      <c r="C2478" s="4">
        <v>3.0</v>
      </c>
      <c r="D2478" s="64">
        <v>3.0</v>
      </c>
      <c r="E2478" s="63" t="s">
        <v>1088</v>
      </c>
      <c r="F2478" s="64">
        <v>8.0</v>
      </c>
      <c r="G2478" s="64">
        <v>13.69</v>
      </c>
      <c r="H2478" s="64">
        <v>13.25</v>
      </c>
      <c r="I2478" s="64">
        <v>12.82</v>
      </c>
      <c r="J2478" s="64">
        <v>13.87</v>
      </c>
      <c r="K2478" s="65"/>
      <c r="L2478" s="65"/>
      <c r="M2478" s="65"/>
      <c r="N2478" s="65"/>
      <c r="O2478" s="65"/>
      <c r="P2478" s="65"/>
      <c r="Q2478" s="65"/>
      <c r="R2478" s="65"/>
      <c r="S2478" s="65"/>
      <c r="T2478" s="65"/>
      <c r="U2478" s="65"/>
      <c r="V2478" s="65"/>
      <c r="W2478" s="65"/>
      <c r="X2478" s="67">
        <v>14.27</v>
      </c>
    </row>
    <row r="2479">
      <c r="A2479" s="63" t="s">
        <v>5149</v>
      </c>
      <c r="B2479" s="63" t="s">
        <v>693</v>
      </c>
      <c r="C2479" s="4">
        <v>4.0</v>
      </c>
      <c r="D2479" s="64">
        <v>4.0</v>
      </c>
      <c r="E2479" s="63" t="s">
        <v>1088</v>
      </c>
      <c r="F2479" s="64">
        <v>30.0</v>
      </c>
      <c r="G2479" s="64">
        <v>12.14</v>
      </c>
      <c r="H2479" s="64">
        <v>12.92</v>
      </c>
      <c r="I2479" s="64">
        <v>12.55</v>
      </c>
      <c r="J2479" s="64">
        <v>12.56</v>
      </c>
      <c r="K2479" s="65"/>
      <c r="L2479" s="65"/>
      <c r="M2479" s="65"/>
      <c r="N2479" s="65"/>
      <c r="O2479" s="65"/>
      <c r="P2479" s="65"/>
      <c r="Q2479" s="65"/>
      <c r="R2479" s="65"/>
      <c r="S2479" s="65"/>
      <c r="T2479" s="65"/>
      <c r="U2479" s="65"/>
      <c r="V2479" s="65"/>
      <c r="W2479" s="65"/>
      <c r="X2479" s="66"/>
    </row>
    <row r="2480">
      <c r="A2480" s="63" t="s">
        <v>5150</v>
      </c>
      <c r="B2480" s="63" t="s">
        <v>693</v>
      </c>
      <c r="C2480" s="4">
        <v>5.0</v>
      </c>
      <c r="D2480" s="64">
        <v>5.0</v>
      </c>
      <c r="E2480" s="63" t="s">
        <v>1088</v>
      </c>
      <c r="F2480" s="64">
        <v>30.0</v>
      </c>
      <c r="G2480" s="64">
        <v>14.44</v>
      </c>
      <c r="H2480" s="64">
        <v>12.52</v>
      </c>
      <c r="I2480" s="64">
        <v>14.24</v>
      </c>
      <c r="J2480" s="64">
        <v>13.8</v>
      </c>
      <c r="K2480" s="65"/>
      <c r="L2480" s="65"/>
      <c r="M2480" s="65"/>
      <c r="N2480" s="65"/>
      <c r="O2480" s="65"/>
      <c r="P2480" s="65"/>
      <c r="Q2480" s="65"/>
      <c r="R2480" s="65"/>
      <c r="S2480" s="65"/>
      <c r="T2480" s="65"/>
      <c r="U2480" s="65"/>
      <c r="V2480" s="65"/>
      <c r="W2480" s="65"/>
      <c r="X2480" s="66"/>
    </row>
    <row r="2481">
      <c r="A2481" s="63" t="s">
        <v>5151</v>
      </c>
      <c r="B2481" s="63" t="s">
        <v>693</v>
      </c>
      <c r="C2481" s="4">
        <v>6.0</v>
      </c>
      <c r="D2481" s="64">
        <v>6.0</v>
      </c>
      <c r="E2481" s="63" t="s">
        <v>1088</v>
      </c>
      <c r="F2481" s="64">
        <v>30.0</v>
      </c>
      <c r="G2481" s="64">
        <v>13.89</v>
      </c>
      <c r="H2481" s="64">
        <v>14.05</v>
      </c>
      <c r="I2481" s="64">
        <v>13.66</v>
      </c>
      <c r="J2481" s="64">
        <v>13.88</v>
      </c>
      <c r="K2481" s="65"/>
      <c r="L2481" s="65"/>
      <c r="M2481" s="65"/>
      <c r="N2481" s="65"/>
      <c r="O2481" s="65"/>
      <c r="P2481" s="65"/>
      <c r="Q2481" s="65"/>
      <c r="R2481" s="65"/>
      <c r="S2481" s="65"/>
      <c r="T2481" s="65"/>
      <c r="U2481" s="65"/>
      <c r="V2481" s="65"/>
      <c r="W2481" s="65"/>
      <c r="X2481" s="66"/>
    </row>
    <row r="2482">
      <c r="A2482" s="63" t="s">
        <v>5152</v>
      </c>
      <c r="B2482" s="63" t="s">
        <v>693</v>
      </c>
      <c r="C2482" s="4">
        <v>7.0</v>
      </c>
      <c r="D2482" s="64">
        <v>7.0</v>
      </c>
      <c r="E2482" s="63" t="s">
        <v>1088</v>
      </c>
      <c r="F2482" s="64">
        <v>4.0</v>
      </c>
      <c r="G2482" s="64">
        <v>13.24</v>
      </c>
      <c r="H2482" s="64">
        <v>12.41</v>
      </c>
      <c r="I2482" s="64">
        <v>13.16</v>
      </c>
      <c r="J2482" s="64">
        <v>14.46</v>
      </c>
      <c r="K2482" s="65"/>
      <c r="L2482" s="65"/>
      <c r="M2482" s="65"/>
      <c r="N2482" s="65"/>
      <c r="O2482" s="65"/>
      <c r="P2482" s="65"/>
      <c r="Q2482" s="65"/>
      <c r="R2482" s="65"/>
      <c r="S2482" s="65"/>
      <c r="T2482" s="65"/>
      <c r="U2482" s="65"/>
      <c r="V2482" s="65"/>
      <c r="W2482" s="65"/>
      <c r="X2482" s="67">
        <v>13.49</v>
      </c>
    </row>
    <row r="2483">
      <c r="A2483" s="63" t="s">
        <v>5153</v>
      </c>
      <c r="B2483" s="63" t="s">
        <v>693</v>
      </c>
      <c r="C2483" s="4">
        <v>8.0</v>
      </c>
      <c r="D2483" s="64">
        <v>8.0</v>
      </c>
      <c r="E2483" s="63" t="s">
        <v>1088</v>
      </c>
      <c r="F2483" s="64">
        <v>7.0</v>
      </c>
      <c r="G2483" s="64">
        <v>8.06</v>
      </c>
      <c r="H2483" s="64">
        <v>7.97</v>
      </c>
      <c r="I2483" s="64">
        <v>7.78</v>
      </c>
      <c r="J2483" s="64">
        <v>8.32</v>
      </c>
      <c r="K2483" s="65"/>
      <c r="L2483" s="65"/>
      <c r="M2483" s="65"/>
      <c r="N2483" s="65"/>
      <c r="O2483" s="65"/>
      <c r="P2483" s="65"/>
      <c r="Q2483" s="65"/>
      <c r="R2483" s="65"/>
      <c r="S2483" s="65"/>
      <c r="T2483" s="65"/>
      <c r="U2483" s="65"/>
      <c r="V2483" s="65"/>
      <c r="W2483" s="65"/>
      <c r="X2483" s="66"/>
    </row>
    <row r="2484">
      <c r="A2484" s="63" t="s">
        <v>5154</v>
      </c>
      <c r="B2484" s="63" t="s">
        <v>693</v>
      </c>
      <c r="C2484" s="4">
        <v>9.0</v>
      </c>
      <c r="D2484" s="64">
        <v>9.0</v>
      </c>
      <c r="E2484" s="63" t="s">
        <v>1088</v>
      </c>
      <c r="F2484" s="64">
        <v>7.0</v>
      </c>
      <c r="G2484" s="64">
        <v>7.09</v>
      </c>
      <c r="H2484" s="64">
        <v>7.3</v>
      </c>
      <c r="I2484" s="64">
        <v>6.38</v>
      </c>
      <c r="J2484" s="64">
        <v>8.0</v>
      </c>
      <c r="K2484" s="65"/>
      <c r="L2484" s="65"/>
      <c r="M2484" s="65"/>
      <c r="N2484" s="65"/>
      <c r="O2484" s="65"/>
      <c r="P2484" s="65"/>
      <c r="Q2484" s="65"/>
      <c r="R2484" s="65"/>
      <c r="S2484" s="65"/>
      <c r="T2484" s="65"/>
      <c r="U2484" s="65"/>
      <c r="V2484" s="65"/>
      <c r="W2484" s="65"/>
      <c r="X2484" s="66"/>
    </row>
    <row r="2485">
      <c r="A2485" s="63" t="s">
        <v>5155</v>
      </c>
      <c r="B2485" s="63" t="s">
        <v>693</v>
      </c>
      <c r="C2485" s="4">
        <v>10.0</v>
      </c>
      <c r="D2485" s="64">
        <v>10.0</v>
      </c>
      <c r="E2485" s="63" t="s">
        <v>1088</v>
      </c>
      <c r="F2485" s="64">
        <v>7.0</v>
      </c>
      <c r="G2485" s="64">
        <v>8.95</v>
      </c>
      <c r="H2485" s="64">
        <v>9.3</v>
      </c>
      <c r="I2485" s="64">
        <v>9.4</v>
      </c>
      <c r="J2485" s="64">
        <v>9.11</v>
      </c>
      <c r="K2485" s="65"/>
      <c r="L2485" s="65"/>
      <c r="M2485" s="65"/>
      <c r="N2485" s="65"/>
      <c r="O2485" s="65"/>
      <c r="P2485" s="65"/>
      <c r="Q2485" s="65"/>
      <c r="R2485" s="65"/>
      <c r="S2485" s="65"/>
      <c r="T2485" s="65"/>
      <c r="U2485" s="65"/>
      <c r="V2485" s="65"/>
      <c r="W2485" s="65"/>
      <c r="X2485" s="66"/>
    </row>
    <row r="2486">
      <c r="A2486" s="63" t="s">
        <v>5156</v>
      </c>
      <c r="B2486" s="63" t="s">
        <v>693</v>
      </c>
      <c r="C2486" s="4">
        <v>11.0</v>
      </c>
      <c r="D2486" s="64">
        <v>11.0</v>
      </c>
      <c r="E2486" s="63" t="s">
        <v>1098</v>
      </c>
      <c r="F2486" s="64">
        <v>7.0</v>
      </c>
      <c r="G2486" s="64">
        <v>10.7</v>
      </c>
      <c r="H2486" s="64">
        <v>10.35</v>
      </c>
      <c r="I2486" s="64">
        <v>11.7</v>
      </c>
      <c r="J2486" s="64">
        <v>11.93</v>
      </c>
      <c r="K2486" s="64">
        <v>10.76</v>
      </c>
      <c r="L2486" s="64">
        <v>12.26</v>
      </c>
      <c r="M2486" s="64">
        <v>10.34</v>
      </c>
      <c r="N2486" s="64">
        <v>10.11</v>
      </c>
      <c r="O2486" s="64">
        <v>10.84</v>
      </c>
      <c r="P2486" s="64">
        <v>17.12</v>
      </c>
      <c r="Q2486" s="64">
        <v>11.37</v>
      </c>
      <c r="R2486" s="64">
        <v>12.73</v>
      </c>
      <c r="S2486" s="65"/>
      <c r="T2486" s="65"/>
      <c r="U2486" s="65"/>
      <c r="V2486" s="65"/>
      <c r="W2486" s="65"/>
      <c r="X2486" s="66"/>
    </row>
    <row r="2487">
      <c r="A2487" s="63" t="s">
        <v>5157</v>
      </c>
      <c r="B2487" s="63" t="s">
        <v>693</v>
      </c>
      <c r="C2487" s="4">
        <v>12.0</v>
      </c>
      <c r="D2487" s="64">
        <v>12.0</v>
      </c>
      <c r="E2487" s="63" t="s">
        <v>1088</v>
      </c>
      <c r="F2487" s="68" t="s">
        <v>4054</v>
      </c>
      <c r="G2487" s="64">
        <v>11.36</v>
      </c>
      <c r="H2487" s="64">
        <v>13.95</v>
      </c>
      <c r="I2487" s="64">
        <v>15.34</v>
      </c>
      <c r="J2487" s="64">
        <v>10.23</v>
      </c>
      <c r="K2487" s="65"/>
      <c r="L2487" s="65"/>
      <c r="M2487" s="65"/>
      <c r="N2487" s="65"/>
      <c r="O2487" s="65"/>
      <c r="P2487" s="65"/>
      <c r="Q2487" s="65"/>
      <c r="R2487" s="65"/>
      <c r="S2487" s="65"/>
      <c r="T2487" s="65"/>
      <c r="U2487" s="65"/>
      <c r="V2487" s="65"/>
      <c r="W2487" s="65"/>
      <c r="X2487" s="66"/>
    </row>
    <row r="2488">
      <c r="A2488" s="63" t="s">
        <v>5158</v>
      </c>
      <c r="B2488" s="63" t="s">
        <v>693</v>
      </c>
      <c r="C2488" s="4">
        <v>13.0</v>
      </c>
      <c r="D2488" s="64">
        <v>13.0</v>
      </c>
      <c r="E2488" s="63" t="s">
        <v>1088</v>
      </c>
      <c r="F2488" s="64">
        <v>7.0</v>
      </c>
      <c r="G2488" s="64">
        <v>12.48</v>
      </c>
      <c r="H2488" s="64">
        <v>13.73</v>
      </c>
      <c r="I2488" s="64">
        <v>15.76</v>
      </c>
      <c r="J2488" s="64">
        <v>13.93</v>
      </c>
      <c r="K2488" s="65"/>
      <c r="L2488" s="65"/>
      <c r="M2488" s="65"/>
      <c r="N2488" s="65"/>
      <c r="O2488" s="65"/>
      <c r="P2488" s="65"/>
      <c r="Q2488" s="65"/>
      <c r="R2488" s="65"/>
      <c r="S2488" s="65"/>
      <c r="T2488" s="65"/>
      <c r="U2488" s="65"/>
      <c r="V2488" s="65"/>
      <c r="W2488" s="65"/>
      <c r="X2488" s="66"/>
    </row>
    <row r="2489">
      <c r="A2489" s="63" t="s">
        <v>5159</v>
      </c>
      <c r="B2489" s="63" t="s">
        <v>693</v>
      </c>
      <c r="C2489" s="4">
        <v>14.0</v>
      </c>
      <c r="D2489" s="64">
        <v>14.0</v>
      </c>
      <c r="E2489" s="63" t="s">
        <v>1088</v>
      </c>
      <c r="F2489" s="64">
        <v>7.0</v>
      </c>
      <c r="G2489" s="64">
        <v>12.66</v>
      </c>
      <c r="H2489" s="64">
        <v>12.23</v>
      </c>
      <c r="I2489" s="64">
        <v>12.9</v>
      </c>
      <c r="J2489" s="64">
        <v>12.66</v>
      </c>
      <c r="K2489" s="65"/>
      <c r="L2489" s="65"/>
      <c r="M2489" s="65"/>
      <c r="N2489" s="65"/>
      <c r="O2489" s="65"/>
      <c r="P2489" s="65"/>
      <c r="Q2489" s="65"/>
      <c r="R2489" s="65"/>
      <c r="S2489" s="65"/>
      <c r="T2489" s="65"/>
      <c r="U2489" s="65"/>
      <c r="V2489" s="65"/>
      <c r="W2489" s="65"/>
      <c r="X2489" s="66"/>
    </row>
    <row r="2490">
      <c r="A2490" s="63" t="s">
        <v>5160</v>
      </c>
      <c r="B2490" s="63" t="s">
        <v>693</v>
      </c>
      <c r="C2490" s="4">
        <v>15.0</v>
      </c>
      <c r="D2490" s="64">
        <v>15.0</v>
      </c>
      <c r="E2490" s="63" t="s">
        <v>1088</v>
      </c>
      <c r="F2490" s="64">
        <v>7.0</v>
      </c>
      <c r="G2490" s="64">
        <v>7.46</v>
      </c>
      <c r="H2490" s="64">
        <v>7.86</v>
      </c>
      <c r="I2490" s="64">
        <v>8.27</v>
      </c>
      <c r="J2490" s="64">
        <v>8.13</v>
      </c>
      <c r="K2490" s="64">
        <v>7.36</v>
      </c>
      <c r="L2490" s="64">
        <v>7.62</v>
      </c>
      <c r="M2490" s="64">
        <v>7.72</v>
      </c>
      <c r="N2490" s="64">
        <v>7.91</v>
      </c>
      <c r="O2490" s="64">
        <v>7.92</v>
      </c>
      <c r="P2490" s="65"/>
      <c r="Q2490" s="65"/>
      <c r="R2490" s="65"/>
      <c r="S2490" s="65"/>
      <c r="T2490" s="65"/>
      <c r="U2490" s="65"/>
      <c r="V2490" s="65"/>
      <c r="W2490" s="65"/>
      <c r="X2490" s="66"/>
    </row>
    <row r="2491">
      <c r="A2491" s="63" t="s">
        <v>5161</v>
      </c>
      <c r="B2491" s="63" t="s">
        <v>693</v>
      </c>
      <c r="C2491" s="4">
        <v>16.0</v>
      </c>
      <c r="D2491" s="64">
        <v>16.0</v>
      </c>
      <c r="E2491" s="63" t="s">
        <v>1088</v>
      </c>
      <c r="F2491" s="64">
        <v>7.0</v>
      </c>
      <c r="G2491" s="64">
        <v>7.73</v>
      </c>
      <c r="H2491" s="64">
        <v>8.27</v>
      </c>
      <c r="I2491" s="64">
        <v>8.12</v>
      </c>
      <c r="J2491" s="64">
        <v>8.09</v>
      </c>
      <c r="K2491" s="64">
        <v>7.91</v>
      </c>
      <c r="L2491" s="64">
        <v>7.21</v>
      </c>
      <c r="M2491" s="64">
        <v>7.42</v>
      </c>
      <c r="N2491" s="64">
        <v>8.08</v>
      </c>
      <c r="O2491" s="64">
        <v>8.19</v>
      </c>
      <c r="P2491" s="64">
        <v>8.02</v>
      </c>
      <c r="Q2491" s="64">
        <v>8.06</v>
      </c>
      <c r="R2491" s="64">
        <v>7.11</v>
      </c>
      <c r="S2491" s="64">
        <v>7.56</v>
      </c>
      <c r="T2491" s="64">
        <v>7.03</v>
      </c>
      <c r="U2491" s="64">
        <v>7.91</v>
      </c>
      <c r="V2491" s="64">
        <v>7.05</v>
      </c>
      <c r="W2491" s="64"/>
      <c r="X2491" s="66"/>
    </row>
    <row r="2492">
      <c r="A2492" s="63" t="s">
        <v>5162</v>
      </c>
      <c r="B2492" s="63" t="s">
        <v>693</v>
      </c>
      <c r="C2492" s="4">
        <v>17.0</v>
      </c>
      <c r="D2492" s="64">
        <v>17.0</v>
      </c>
      <c r="E2492" s="63" t="s">
        <v>1088</v>
      </c>
      <c r="F2492" s="64">
        <v>7.0</v>
      </c>
      <c r="G2492" s="64">
        <v>7.65</v>
      </c>
      <c r="H2492" s="64">
        <v>7.18</v>
      </c>
      <c r="I2492" s="64">
        <v>7.54</v>
      </c>
      <c r="J2492" s="64">
        <v>6.37</v>
      </c>
      <c r="K2492" s="65"/>
      <c r="L2492" s="65"/>
      <c r="M2492" s="65"/>
      <c r="N2492" s="65"/>
      <c r="O2492" s="65"/>
      <c r="P2492" s="65"/>
      <c r="Q2492" s="65"/>
      <c r="R2492" s="65"/>
      <c r="S2492" s="65"/>
      <c r="T2492" s="65"/>
      <c r="U2492" s="65"/>
      <c r="V2492" s="65"/>
      <c r="W2492" s="65"/>
      <c r="X2492" s="66"/>
    </row>
    <row r="2493">
      <c r="A2493" s="63" t="s">
        <v>5163</v>
      </c>
      <c r="B2493" s="63" t="s">
        <v>693</v>
      </c>
      <c r="C2493" s="4">
        <v>18.0</v>
      </c>
      <c r="D2493" s="64">
        <v>18.0</v>
      </c>
      <c r="E2493" s="63" t="s">
        <v>1088</v>
      </c>
      <c r="F2493" s="64">
        <v>7.0</v>
      </c>
      <c r="G2493" s="64">
        <v>13.31</v>
      </c>
      <c r="H2493" s="64">
        <v>14.51</v>
      </c>
      <c r="I2493" s="64">
        <v>13.97</v>
      </c>
      <c r="J2493" s="64">
        <v>14.92</v>
      </c>
      <c r="K2493" s="65"/>
      <c r="L2493" s="65"/>
      <c r="M2493" s="65"/>
      <c r="N2493" s="65"/>
      <c r="O2493" s="65"/>
      <c r="P2493" s="65"/>
      <c r="Q2493" s="65"/>
      <c r="R2493" s="65"/>
      <c r="S2493" s="65"/>
      <c r="T2493" s="65"/>
      <c r="U2493" s="65"/>
      <c r="V2493" s="65"/>
      <c r="W2493" s="65"/>
      <c r="X2493" s="66"/>
    </row>
    <row r="2494">
      <c r="A2494" s="63" t="s">
        <v>5164</v>
      </c>
      <c r="B2494" s="63" t="s">
        <v>693</v>
      </c>
      <c r="C2494" s="4">
        <v>19.0</v>
      </c>
      <c r="D2494" s="64">
        <v>19.0</v>
      </c>
      <c r="E2494" s="63" t="s">
        <v>1088</v>
      </c>
      <c r="F2494" s="64">
        <v>7.0</v>
      </c>
      <c r="G2494" s="64">
        <v>13.1</v>
      </c>
      <c r="H2494" s="64">
        <v>12.61</v>
      </c>
      <c r="I2494" s="64">
        <v>12.87</v>
      </c>
      <c r="J2494" s="64">
        <v>12.65</v>
      </c>
      <c r="K2494" s="65"/>
      <c r="L2494" s="65"/>
      <c r="M2494" s="65"/>
      <c r="N2494" s="65"/>
      <c r="O2494" s="65"/>
      <c r="P2494" s="65"/>
      <c r="Q2494" s="65"/>
      <c r="R2494" s="65"/>
      <c r="S2494" s="65"/>
      <c r="T2494" s="65"/>
      <c r="U2494" s="65"/>
      <c r="V2494" s="65"/>
      <c r="W2494" s="65"/>
      <c r="X2494" s="66"/>
    </row>
    <row r="2495">
      <c r="A2495" s="63" t="s">
        <v>5165</v>
      </c>
      <c r="B2495" s="63" t="s">
        <v>693</v>
      </c>
      <c r="C2495" s="4">
        <v>20.0</v>
      </c>
      <c r="D2495" s="64">
        <v>20.0</v>
      </c>
      <c r="E2495" s="63" t="s">
        <v>1088</v>
      </c>
      <c r="F2495" s="64">
        <v>7.0</v>
      </c>
      <c r="G2495" s="64">
        <v>9.87</v>
      </c>
      <c r="H2495" s="64">
        <v>9.46</v>
      </c>
      <c r="I2495" s="64">
        <v>8.09</v>
      </c>
      <c r="J2495" s="64">
        <v>9.63</v>
      </c>
      <c r="K2495" s="65"/>
      <c r="L2495" s="65"/>
      <c r="M2495" s="65"/>
      <c r="N2495" s="65"/>
      <c r="O2495" s="65"/>
      <c r="P2495" s="65"/>
      <c r="Q2495" s="65"/>
      <c r="R2495" s="65"/>
      <c r="S2495" s="65"/>
      <c r="T2495" s="65"/>
      <c r="U2495" s="65"/>
      <c r="V2495" s="65"/>
      <c r="W2495" s="65"/>
      <c r="X2495" s="66"/>
    </row>
    <row r="2496">
      <c r="A2496" s="63" t="s">
        <v>5166</v>
      </c>
      <c r="B2496" s="63" t="s">
        <v>693</v>
      </c>
      <c r="C2496" s="4">
        <v>21.0</v>
      </c>
      <c r="D2496" s="64">
        <v>21.0</v>
      </c>
      <c r="E2496" s="63" t="s">
        <v>1088</v>
      </c>
      <c r="F2496" s="68" t="s">
        <v>4054</v>
      </c>
      <c r="G2496" s="64">
        <v>8.88</v>
      </c>
      <c r="H2496" s="64">
        <v>8.95</v>
      </c>
      <c r="I2496" s="64">
        <v>9.21</v>
      </c>
      <c r="J2496" s="64">
        <v>8.47</v>
      </c>
      <c r="K2496" s="65"/>
      <c r="L2496" s="65"/>
      <c r="M2496" s="65"/>
      <c r="N2496" s="65"/>
      <c r="O2496" s="65"/>
      <c r="P2496" s="65"/>
      <c r="Q2496" s="65"/>
      <c r="R2496" s="65"/>
      <c r="S2496" s="65"/>
      <c r="T2496" s="65"/>
      <c r="U2496" s="65"/>
      <c r="V2496" s="65"/>
      <c r="W2496" s="65"/>
      <c r="X2496" s="66"/>
    </row>
    <row r="2497">
      <c r="A2497" s="63" t="s">
        <v>5167</v>
      </c>
      <c r="B2497" s="63" t="s">
        <v>693</v>
      </c>
      <c r="C2497" s="4">
        <v>22.0</v>
      </c>
      <c r="D2497" s="64">
        <v>22.0</v>
      </c>
      <c r="E2497" s="63" t="s">
        <v>1088</v>
      </c>
      <c r="F2497" s="64">
        <v>7.0</v>
      </c>
      <c r="G2497" s="64">
        <v>9.85</v>
      </c>
      <c r="H2497" s="64">
        <v>8.81</v>
      </c>
      <c r="I2497" s="64">
        <v>9.17</v>
      </c>
      <c r="J2497" s="64">
        <v>8.06</v>
      </c>
      <c r="K2497" s="65"/>
      <c r="L2497" s="65"/>
      <c r="M2497" s="65"/>
      <c r="N2497" s="65"/>
      <c r="O2497" s="65"/>
      <c r="P2497" s="65"/>
      <c r="Q2497" s="65"/>
      <c r="R2497" s="65"/>
      <c r="S2497" s="65"/>
      <c r="T2497" s="65"/>
      <c r="U2497" s="65"/>
      <c r="V2497" s="65"/>
      <c r="W2497" s="65"/>
      <c r="X2497" s="66"/>
    </row>
    <row r="2498">
      <c r="A2498" s="63" t="s">
        <v>5168</v>
      </c>
      <c r="B2498" s="63" t="s">
        <v>693</v>
      </c>
      <c r="C2498" s="4">
        <v>23.0</v>
      </c>
      <c r="D2498" s="64">
        <v>23.0</v>
      </c>
      <c r="E2498" s="63" t="s">
        <v>1088</v>
      </c>
      <c r="F2498" s="64">
        <v>7.0</v>
      </c>
      <c r="G2498" s="64">
        <v>8.76</v>
      </c>
      <c r="H2498" s="64">
        <v>8.21</v>
      </c>
      <c r="I2498" s="64">
        <v>8.36</v>
      </c>
      <c r="J2498" s="64">
        <v>8.97</v>
      </c>
      <c r="K2498" s="65"/>
      <c r="L2498" s="65"/>
      <c r="M2498" s="65"/>
      <c r="N2498" s="65"/>
      <c r="O2498" s="65"/>
      <c r="P2498" s="65"/>
      <c r="Q2498" s="65"/>
      <c r="R2498" s="65"/>
      <c r="S2498" s="65"/>
      <c r="T2498" s="65"/>
      <c r="U2498" s="65"/>
      <c r="V2498" s="65"/>
      <c r="W2498" s="65"/>
      <c r="X2498" s="66"/>
    </row>
    <row r="2499">
      <c r="A2499" s="63" t="s">
        <v>5169</v>
      </c>
      <c r="B2499" s="63" t="s">
        <v>693</v>
      </c>
      <c r="C2499" s="4">
        <v>24.0</v>
      </c>
      <c r="D2499" s="64">
        <v>24.0</v>
      </c>
      <c r="E2499" s="63" t="s">
        <v>1088</v>
      </c>
      <c r="F2499" s="64">
        <v>7.0</v>
      </c>
      <c r="G2499" s="64">
        <v>7.99</v>
      </c>
      <c r="H2499" s="64">
        <v>8.82</v>
      </c>
      <c r="I2499" s="64">
        <v>8.38</v>
      </c>
      <c r="J2499" s="64">
        <v>8.62</v>
      </c>
      <c r="K2499" s="65"/>
      <c r="L2499" s="65"/>
      <c r="M2499" s="65"/>
      <c r="N2499" s="65"/>
      <c r="O2499" s="65"/>
      <c r="P2499" s="65"/>
      <c r="Q2499" s="65"/>
      <c r="R2499" s="65"/>
      <c r="S2499" s="65"/>
      <c r="T2499" s="65"/>
      <c r="U2499" s="65"/>
      <c r="V2499" s="65"/>
      <c r="W2499" s="65"/>
      <c r="X2499" s="66"/>
    </row>
    <row r="2500">
      <c r="A2500" s="63" t="s">
        <v>5170</v>
      </c>
      <c r="B2500" s="63" t="s">
        <v>693</v>
      </c>
      <c r="C2500" s="4">
        <v>25.0</v>
      </c>
      <c r="D2500" s="64">
        <v>25.0</v>
      </c>
      <c r="E2500" s="63" t="s">
        <v>1088</v>
      </c>
      <c r="F2500" s="64">
        <v>7.0</v>
      </c>
      <c r="G2500" s="64">
        <v>8.92</v>
      </c>
      <c r="H2500" s="64">
        <v>8.71</v>
      </c>
      <c r="I2500" s="64">
        <v>9.4</v>
      </c>
      <c r="J2500" s="64">
        <v>8.43</v>
      </c>
      <c r="K2500" s="65"/>
      <c r="L2500" s="65"/>
      <c r="M2500" s="65"/>
      <c r="N2500" s="65"/>
      <c r="O2500" s="65"/>
      <c r="P2500" s="65"/>
      <c r="Q2500" s="65"/>
      <c r="R2500" s="65"/>
      <c r="S2500" s="65"/>
      <c r="T2500" s="65"/>
      <c r="U2500" s="65"/>
      <c r="V2500" s="65"/>
      <c r="W2500" s="65"/>
      <c r="X2500" s="66"/>
    </row>
    <row r="2501">
      <c r="A2501" s="63" t="s">
        <v>5171</v>
      </c>
      <c r="B2501" s="63" t="s">
        <v>693</v>
      </c>
      <c r="C2501" s="4">
        <v>26.0</v>
      </c>
      <c r="D2501" s="64">
        <v>26.0</v>
      </c>
      <c r="E2501" s="63" t="s">
        <v>1088</v>
      </c>
      <c r="F2501" s="68" t="s">
        <v>4054</v>
      </c>
      <c r="G2501" s="64">
        <v>5.46</v>
      </c>
      <c r="H2501" s="64">
        <v>6.59</v>
      </c>
      <c r="I2501" s="64">
        <v>5.94</v>
      </c>
      <c r="J2501" s="64">
        <v>5.67</v>
      </c>
      <c r="K2501" s="65"/>
      <c r="L2501" s="65"/>
      <c r="M2501" s="65"/>
      <c r="N2501" s="65"/>
      <c r="O2501" s="65"/>
      <c r="P2501" s="65"/>
      <c r="Q2501" s="65"/>
      <c r="R2501" s="65"/>
      <c r="S2501" s="65"/>
      <c r="T2501" s="65"/>
      <c r="U2501" s="65"/>
      <c r="V2501" s="65"/>
      <c r="W2501" s="65"/>
      <c r="X2501" s="66"/>
    </row>
    <row r="2502">
      <c r="A2502" s="63" t="s">
        <v>5172</v>
      </c>
      <c r="B2502" s="63" t="s">
        <v>682</v>
      </c>
      <c r="C2502" s="4">
        <v>1.0</v>
      </c>
      <c r="D2502" s="64">
        <v>1.0</v>
      </c>
      <c r="E2502" s="63" t="s">
        <v>1088</v>
      </c>
      <c r="F2502" s="64">
        <v>30.0</v>
      </c>
      <c r="G2502" s="64">
        <v>10.44</v>
      </c>
      <c r="H2502" s="64">
        <v>9.84</v>
      </c>
      <c r="I2502" s="64">
        <v>9.95</v>
      </c>
      <c r="J2502" s="64">
        <v>9.25</v>
      </c>
      <c r="K2502" s="64">
        <v>7.68</v>
      </c>
      <c r="L2502" s="64">
        <v>9.12</v>
      </c>
      <c r="M2502" s="64">
        <v>8.04</v>
      </c>
      <c r="N2502" s="64">
        <v>8.39</v>
      </c>
      <c r="O2502" s="65"/>
      <c r="P2502" s="65"/>
      <c r="Q2502" s="65"/>
      <c r="R2502" s="65"/>
      <c r="S2502" s="65"/>
      <c r="T2502" s="65"/>
      <c r="U2502" s="65"/>
      <c r="V2502" s="65"/>
      <c r="W2502" s="65"/>
      <c r="X2502" s="66"/>
    </row>
    <row r="2503">
      <c r="A2503" s="63" t="s">
        <v>5173</v>
      </c>
      <c r="B2503" s="63" t="s">
        <v>682</v>
      </c>
      <c r="C2503" s="4">
        <v>2.0</v>
      </c>
      <c r="D2503" s="64">
        <v>2.0</v>
      </c>
      <c r="E2503" s="63" t="s">
        <v>1088</v>
      </c>
      <c r="F2503" s="64">
        <v>8.0</v>
      </c>
      <c r="G2503" s="64">
        <v>13.06</v>
      </c>
      <c r="H2503" s="64">
        <v>12.86</v>
      </c>
      <c r="I2503" s="64">
        <v>11.3</v>
      </c>
      <c r="J2503" s="64">
        <v>13.0</v>
      </c>
      <c r="K2503" s="65"/>
      <c r="L2503" s="65"/>
      <c r="M2503" s="65"/>
      <c r="N2503" s="65"/>
      <c r="O2503" s="65"/>
      <c r="P2503" s="65"/>
      <c r="Q2503" s="65"/>
      <c r="R2503" s="65"/>
      <c r="S2503" s="65"/>
      <c r="T2503" s="65"/>
      <c r="U2503" s="65"/>
      <c r="V2503" s="65"/>
      <c r="W2503" s="65"/>
      <c r="X2503" s="67">
        <v>12.7</v>
      </c>
    </row>
    <row r="2504">
      <c r="A2504" s="63" t="s">
        <v>5174</v>
      </c>
      <c r="B2504" s="63" t="s">
        <v>682</v>
      </c>
      <c r="C2504" s="4">
        <v>3.0</v>
      </c>
      <c r="D2504" s="64">
        <v>3.0</v>
      </c>
      <c r="E2504" s="63" t="s">
        <v>1088</v>
      </c>
      <c r="F2504" s="64">
        <v>8.0</v>
      </c>
      <c r="G2504" s="64">
        <v>9.98</v>
      </c>
      <c r="H2504" s="64">
        <v>11.54</v>
      </c>
      <c r="I2504" s="64">
        <v>11.11</v>
      </c>
      <c r="J2504" s="64">
        <v>10.35</v>
      </c>
      <c r="K2504" s="65"/>
      <c r="L2504" s="65"/>
      <c r="M2504" s="65"/>
      <c r="N2504" s="65"/>
      <c r="O2504" s="65"/>
      <c r="P2504" s="65"/>
      <c r="Q2504" s="65"/>
      <c r="R2504" s="65"/>
      <c r="S2504" s="65"/>
      <c r="T2504" s="65"/>
      <c r="U2504" s="65"/>
      <c r="V2504" s="65"/>
      <c r="W2504" s="65"/>
      <c r="X2504" s="67">
        <v>11.13</v>
      </c>
    </row>
    <row r="2505">
      <c r="A2505" s="63" t="s">
        <v>5175</v>
      </c>
      <c r="B2505" s="63" t="s">
        <v>682</v>
      </c>
      <c r="C2505" s="4">
        <v>4.0</v>
      </c>
      <c r="D2505" s="64">
        <v>4.0</v>
      </c>
      <c r="E2505" s="63" t="s">
        <v>1088</v>
      </c>
      <c r="F2505" s="64">
        <v>30.0</v>
      </c>
      <c r="G2505" s="64">
        <v>8.76</v>
      </c>
      <c r="H2505" s="64">
        <v>8.9</v>
      </c>
      <c r="I2505" s="64">
        <v>9.53</v>
      </c>
      <c r="J2505" s="64">
        <v>8.31</v>
      </c>
      <c r="K2505" s="65"/>
      <c r="L2505" s="65"/>
      <c r="M2505" s="65"/>
      <c r="N2505" s="65"/>
      <c r="O2505" s="65"/>
      <c r="P2505" s="65"/>
      <c r="Q2505" s="65"/>
      <c r="R2505" s="65"/>
      <c r="S2505" s="65"/>
      <c r="T2505" s="65"/>
      <c r="U2505" s="65"/>
      <c r="V2505" s="65"/>
      <c r="W2505" s="65"/>
      <c r="X2505" s="66"/>
    </row>
    <row r="2506">
      <c r="A2506" s="63" t="s">
        <v>5176</v>
      </c>
      <c r="B2506" s="63" t="s">
        <v>682</v>
      </c>
      <c r="C2506" s="4">
        <v>5.0</v>
      </c>
      <c r="D2506" s="64">
        <v>5.0</v>
      </c>
      <c r="E2506" s="63" t="s">
        <v>1088</v>
      </c>
      <c r="F2506" s="64">
        <v>30.0</v>
      </c>
      <c r="G2506" s="64">
        <v>11.44</v>
      </c>
      <c r="H2506" s="64">
        <v>10.73</v>
      </c>
      <c r="I2506" s="64">
        <v>10.95</v>
      </c>
      <c r="J2506" s="64">
        <v>10.26</v>
      </c>
      <c r="K2506" s="64">
        <v>10.17</v>
      </c>
      <c r="L2506" s="64">
        <v>11.34</v>
      </c>
      <c r="M2506" s="64">
        <v>12.71</v>
      </c>
      <c r="N2506" s="64">
        <v>10.81</v>
      </c>
      <c r="O2506" s="64">
        <v>11.1</v>
      </c>
      <c r="P2506" s="64">
        <v>13.56</v>
      </c>
      <c r="Q2506" s="64">
        <v>10.96</v>
      </c>
      <c r="R2506" s="64">
        <v>11.64</v>
      </c>
      <c r="S2506" s="64">
        <v>8.13</v>
      </c>
      <c r="T2506" s="65"/>
      <c r="U2506" s="65"/>
      <c r="V2506" s="65"/>
      <c r="W2506" s="65"/>
      <c r="X2506" s="66"/>
    </row>
    <row r="2507">
      <c r="A2507" s="63" t="s">
        <v>5177</v>
      </c>
      <c r="B2507" s="63" t="s">
        <v>682</v>
      </c>
      <c r="C2507" s="4">
        <v>6.0</v>
      </c>
      <c r="D2507" s="64">
        <v>6.0</v>
      </c>
      <c r="E2507" s="63" t="s">
        <v>1088</v>
      </c>
      <c r="F2507" s="64">
        <v>30.0</v>
      </c>
      <c r="G2507" s="64">
        <v>7.7</v>
      </c>
      <c r="H2507" s="64">
        <v>7.93</v>
      </c>
      <c r="I2507" s="64">
        <v>7.32</v>
      </c>
      <c r="J2507" s="64">
        <v>7.27</v>
      </c>
      <c r="K2507" s="64">
        <v>8.18</v>
      </c>
      <c r="L2507" s="64">
        <v>7.34</v>
      </c>
      <c r="M2507" s="64">
        <v>6.93</v>
      </c>
      <c r="N2507" s="64">
        <v>8.79</v>
      </c>
      <c r="O2507" s="64">
        <v>7.29</v>
      </c>
      <c r="P2507" s="64">
        <v>7.21</v>
      </c>
      <c r="Q2507" s="64">
        <v>8.18</v>
      </c>
      <c r="R2507" s="64">
        <v>7.16</v>
      </c>
      <c r="S2507" s="64">
        <v>7.65</v>
      </c>
      <c r="T2507" s="64">
        <v>9.67</v>
      </c>
      <c r="U2507" s="64">
        <v>7.09</v>
      </c>
      <c r="V2507" s="64">
        <v>7.44</v>
      </c>
      <c r="W2507" s="64"/>
      <c r="X2507" s="66"/>
    </row>
    <row r="2508">
      <c r="A2508" s="63" t="s">
        <v>5178</v>
      </c>
      <c r="B2508" s="63" t="s">
        <v>682</v>
      </c>
      <c r="C2508" s="4">
        <v>7.0</v>
      </c>
      <c r="D2508" s="64">
        <v>7.0</v>
      </c>
      <c r="E2508" s="63" t="s">
        <v>1088</v>
      </c>
      <c r="F2508" s="64">
        <v>4.0</v>
      </c>
      <c r="G2508" s="64">
        <v>8.21</v>
      </c>
      <c r="H2508" s="64">
        <v>8.4</v>
      </c>
      <c r="I2508" s="64">
        <v>10.53</v>
      </c>
      <c r="J2508" s="64">
        <v>9.7</v>
      </c>
      <c r="K2508" s="65"/>
      <c r="L2508" s="65"/>
      <c r="M2508" s="65"/>
      <c r="N2508" s="65"/>
      <c r="O2508" s="65"/>
      <c r="P2508" s="65"/>
      <c r="Q2508" s="65"/>
      <c r="R2508" s="65"/>
      <c r="S2508" s="65"/>
      <c r="T2508" s="65"/>
      <c r="U2508" s="65"/>
      <c r="V2508" s="65"/>
      <c r="W2508" s="65"/>
      <c r="X2508" s="67">
        <v>11.13</v>
      </c>
    </row>
    <row r="2509">
      <c r="A2509" s="63" t="s">
        <v>5179</v>
      </c>
      <c r="B2509" s="63" t="s">
        <v>682</v>
      </c>
      <c r="C2509" s="4">
        <v>8.0</v>
      </c>
      <c r="D2509" s="64">
        <v>8.0</v>
      </c>
      <c r="E2509" s="63" t="s">
        <v>1088</v>
      </c>
      <c r="F2509" s="64">
        <v>7.0</v>
      </c>
      <c r="G2509" s="64">
        <v>8.45</v>
      </c>
      <c r="H2509" s="64">
        <v>9.69</v>
      </c>
      <c r="I2509" s="64">
        <v>7.21</v>
      </c>
      <c r="J2509" s="64">
        <v>9.36</v>
      </c>
      <c r="K2509" s="65"/>
      <c r="L2509" s="65"/>
      <c r="M2509" s="65"/>
      <c r="N2509" s="65"/>
      <c r="O2509" s="65"/>
      <c r="P2509" s="65"/>
      <c r="Q2509" s="65"/>
      <c r="R2509" s="65"/>
      <c r="S2509" s="65"/>
      <c r="T2509" s="65"/>
      <c r="U2509" s="65"/>
      <c r="V2509" s="65"/>
      <c r="W2509" s="65"/>
      <c r="X2509" s="66"/>
    </row>
    <row r="2510">
      <c r="A2510" s="63" t="s">
        <v>5180</v>
      </c>
      <c r="B2510" s="63" t="s">
        <v>682</v>
      </c>
      <c r="C2510" s="4">
        <v>9.0</v>
      </c>
      <c r="D2510" s="64">
        <v>9.0</v>
      </c>
      <c r="E2510" s="63" t="s">
        <v>1088</v>
      </c>
      <c r="F2510" s="64">
        <v>7.0</v>
      </c>
      <c r="G2510" s="64">
        <v>8.19</v>
      </c>
      <c r="H2510" s="64">
        <v>7.1</v>
      </c>
      <c r="I2510" s="64">
        <v>9.45</v>
      </c>
      <c r="J2510" s="64">
        <v>9.09</v>
      </c>
      <c r="K2510" s="65"/>
      <c r="L2510" s="65"/>
      <c r="M2510" s="65"/>
      <c r="N2510" s="65"/>
      <c r="O2510" s="65"/>
      <c r="P2510" s="65"/>
      <c r="Q2510" s="65"/>
      <c r="R2510" s="65"/>
      <c r="S2510" s="65"/>
      <c r="T2510" s="65"/>
      <c r="U2510" s="65"/>
      <c r="V2510" s="65"/>
      <c r="W2510" s="65"/>
      <c r="X2510" s="66"/>
    </row>
    <row r="2511">
      <c r="A2511" s="63" t="s">
        <v>5181</v>
      </c>
      <c r="B2511" s="63" t="s">
        <v>682</v>
      </c>
      <c r="C2511" s="4">
        <v>10.0</v>
      </c>
      <c r="D2511" s="64">
        <v>10.0</v>
      </c>
      <c r="E2511" s="63" t="s">
        <v>1088</v>
      </c>
      <c r="F2511" s="64">
        <v>7.0</v>
      </c>
      <c r="G2511" s="64">
        <v>8.86</v>
      </c>
      <c r="H2511" s="64">
        <v>8.0</v>
      </c>
      <c r="I2511" s="64">
        <v>7.16</v>
      </c>
      <c r="J2511" s="64">
        <v>9.31</v>
      </c>
      <c r="K2511" s="65"/>
      <c r="L2511" s="65"/>
      <c r="M2511" s="65"/>
      <c r="N2511" s="65"/>
      <c r="O2511" s="65"/>
      <c r="P2511" s="65"/>
      <c r="Q2511" s="65"/>
      <c r="R2511" s="65"/>
      <c r="S2511" s="65"/>
      <c r="T2511" s="65"/>
      <c r="U2511" s="65"/>
      <c r="V2511" s="65"/>
      <c r="W2511" s="65"/>
      <c r="X2511" s="66"/>
    </row>
    <row r="2512">
      <c r="A2512" s="63" t="s">
        <v>5182</v>
      </c>
      <c r="B2512" s="63" t="s">
        <v>682</v>
      </c>
      <c r="C2512" s="4">
        <v>11.0</v>
      </c>
      <c r="D2512" s="64">
        <v>11.0</v>
      </c>
      <c r="E2512" s="63" t="s">
        <v>1088</v>
      </c>
      <c r="F2512" s="64">
        <v>7.0</v>
      </c>
      <c r="G2512" s="64">
        <v>7.2</v>
      </c>
      <c r="H2512" s="64">
        <v>7.56</v>
      </c>
      <c r="I2512" s="64">
        <v>7.14</v>
      </c>
      <c r="J2512" s="64">
        <v>7.33</v>
      </c>
      <c r="K2512" s="65"/>
      <c r="L2512" s="65"/>
      <c r="M2512" s="65"/>
      <c r="N2512" s="65"/>
      <c r="O2512" s="65"/>
      <c r="P2512" s="65"/>
      <c r="Q2512" s="65"/>
      <c r="R2512" s="65"/>
      <c r="S2512" s="65"/>
      <c r="T2512" s="65"/>
      <c r="U2512" s="65"/>
      <c r="V2512" s="65"/>
      <c r="W2512" s="65"/>
      <c r="X2512" s="66"/>
    </row>
    <row r="2513">
      <c r="A2513" s="63" t="s">
        <v>5183</v>
      </c>
      <c r="B2513" s="63" t="s">
        <v>682</v>
      </c>
      <c r="C2513" s="4">
        <v>12.0</v>
      </c>
      <c r="D2513" s="64">
        <v>12.0</v>
      </c>
      <c r="E2513" s="63" t="s">
        <v>1088</v>
      </c>
      <c r="F2513" s="68" t="s">
        <v>4054</v>
      </c>
      <c r="G2513" s="64">
        <v>6.21</v>
      </c>
      <c r="H2513" s="64">
        <v>7.99</v>
      </c>
      <c r="I2513" s="64">
        <v>6.32</v>
      </c>
      <c r="J2513" s="64">
        <v>7.84</v>
      </c>
      <c r="K2513" s="65"/>
      <c r="L2513" s="65"/>
      <c r="M2513" s="65"/>
      <c r="N2513" s="65"/>
      <c r="O2513" s="65"/>
      <c r="P2513" s="65"/>
      <c r="Q2513" s="65"/>
      <c r="R2513" s="65"/>
      <c r="S2513" s="65"/>
      <c r="T2513" s="65"/>
      <c r="U2513" s="65"/>
      <c r="V2513" s="65"/>
      <c r="W2513" s="65"/>
      <c r="X2513" s="66"/>
    </row>
    <row r="2514">
      <c r="A2514" s="63" t="s">
        <v>5184</v>
      </c>
      <c r="B2514" s="63" t="s">
        <v>682</v>
      </c>
      <c r="C2514" s="4">
        <v>13.0</v>
      </c>
      <c r="D2514" s="64">
        <v>13.0</v>
      </c>
      <c r="E2514" s="63" t="s">
        <v>1088</v>
      </c>
      <c r="F2514" s="64">
        <v>7.0</v>
      </c>
      <c r="G2514" s="64">
        <v>9.02</v>
      </c>
      <c r="H2514" s="64">
        <v>8.85</v>
      </c>
      <c r="I2514" s="64">
        <v>7.92</v>
      </c>
      <c r="J2514" s="64">
        <v>8.38</v>
      </c>
      <c r="K2514" s="65"/>
      <c r="L2514" s="65"/>
      <c r="M2514" s="65"/>
      <c r="N2514" s="65"/>
      <c r="O2514" s="65"/>
      <c r="P2514" s="65"/>
      <c r="Q2514" s="65"/>
      <c r="R2514" s="65"/>
      <c r="S2514" s="65"/>
      <c r="T2514" s="65"/>
      <c r="U2514" s="65"/>
      <c r="V2514" s="65"/>
      <c r="W2514" s="65"/>
      <c r="X2514" s="66"/>
    </row>
    <row r="2515">
      <c r="A2515" s="63" t="s">
        <v>5185</v>
      </c>
      <c r="B2515" s="63" t="s">
        <v>682</v>
      </c>
      <c r="C2515" s="4">
        <v>14.0</v>
      </c>
      <c r="D2515" s="64">
        <v>14.0</v>
      </c>
      <c r="E2515" s="63" t="s">
        <v>1088</v>
      </c>
      <c r="F2515" s="64">
        <v>7.0</v>
      </c>
      <c r="G2515" s="64">
        <v>9.88</v>
      </c>
      <c r="H2515" s="64">
        <v>9.36</v>
      </c>
      <c r="I2515" s="64">
        <v>8.19</v>
      </c>
      <c r="J2515" s="64">
        <v>8.62</v>
      </c>
      <c r="K2515" s="65"/>
      <c r="L2515" s="65"/>
      <c r="M2515" s="65"/>
      <c r="N2515" s="65"/>
      <c r="O2515" s="65"/>
      <c r="P2515" s="65"/>
      <c r="Q2515" s="65"/>
      <c r="R2515" s="65"/>
      <c r="S2515" s="65"/>
      <c r="T2515" s="65"/>
      <c r="U2515" s="65"/>
      <c r="V2515" s="65"/>
      <c r="W2515" s="65"/>
      <c r="X2515" s="66"/>
    </row>
    <row r="2516">
      <c r="A2516" s="63" t="s">
        <v>5186</v>
      </c>
      <c r="B2516" s="63" t="s">
        <v>682</v>
      </c>
      <c r="C2516" s="4">
        <v>15.0</v>
      </c>
      <c r="D2516" s="64">
        <v>15.0</v>
      </c>
      <c r="E2516" s="63" t="s">
        <v>1088</v>
      </c>
      <c r="F2516" s="64">
        <v>7.0</v>
      </c>
      <c r="G2516" s="64">
        <v>8.15</v>
      </c>
      <c r="H2516" s="64">
        <v>9.2</v>
      </c>
      <c r="I2516" s="64">
        <v>7.64</v>
      </c>
      <c r="J2516" s="64">
        <v>8.79</v>
      </c>
      <c r="K2516" s="65"/>
      <c r="L2516" s="65"/>
      <c r="M2516" s="65"/>
      <c r="N2516" s="65"/>
      <c r="O2516" s="65"/>
      <c r="P2516" s="65"/>
      <c r="Q2516" s="65"/>
      <c r="R2516" s="65"/>
      <c r="S2516" s="65"/>
      <c r="T2516" s="65"/>
      <c r="U2516" s="65"/>
      <c r="V2516" s="65"/>
      <c r="W2516" s="65"/>
      <c r="X2516" s="66"/>
    </row>
    <row r="2517">
      <c r="A2517" s="63" t="s">
        <v>5187</v>
      </c>
      <c r="B2517" s="63" t="s">
        <v>682</v>
      </c>
      <c r="C2517" s="4">
        <v>16.0</v>
      </c>
      <c r="D2517" s="64">
        <v>16.0</v>
      </c>
      <c r="E2517" s="63" t="s">
        <v>1088</v>
      </c>
      <c r="F2517" s="64">
        <v>7.0</v>
      </c>
      <c r="G2517" s="64">
        <v>9.66</v>
      </c>
      <c r="H2517" s="64">
        <v>10.19</v>
      </c>
      <c r="I2517" s="64">
        <v>8.59</v>
      </c>
      <c r="J2517" s="64">
        <v>8.96</v>
      </c>
      <c r="K2517" s="65"/>
      <c r="L2517" s="65"/>
      <c r="M2517" s="65"/>
      <c r="N2517" s="65"/>
      <c r="O2517" s="65"/>
      <c r="P2517" s="65"/>
      <c r="Q2517" s="65"/>
      <c r="R2517" s="65"/>
      <c r="S2517" s="65"/>
      <c r="T2517" s="65"/>
      <c r="U2517" s="65"/>
      <c r="V2517" s="65"/>
      <c r="W2517" s="65"/>
      <c r="X2517" s="66"/>
    </row>
    <row r="2518">
      <c r="A2518" s="63" t="s">
        <v>5188</v>
      </c>
      <c r="B2518" s="63" t="s">
        <v>682</v>
      </c>
      <c r="C2518" s="4">
        <v>17.0</v>
      </c>
      <c r="D2518" s="64">
        <v>17.0</v>
      </c>
      <c r="E2518" s="63" t="s">
        <v>1088</v>
      </c>
      <c r="F2518" s="64">
        <v>7.0</v>
      </c>
      <c r="G2518" s="64">
        <v>7.88</v>
      </c>
      <c r="H2518" s="64">
        <v>8.2</v>
      </c>
      <c r="I2518" s="64">
        <v>8.19</v>
      </c>
      <c r="J2518" s="64">
        <v>8.52</v>
      </c>
      <c r="K2518" s="65"/>
      <c r="L2518" s="65"/>
      <c r="M2518" s="65"/>
      <c r="N2518" s="65"/>
      <c r="O2518" s="65"/>
      <c r="P2518" s="65"/>
      <c r="Q2518" s="65"/>
      <c r="R2518" s="65"/>
      <c r="S2518" s="65"/>
      <c r="T2518" s="65"/>
      <c r="U2518" s="65"/>
      <c r="V2518" s="65"/>
      <c r="W2518" s="65"/>
      <c r="X2518" s="66"/>
    </row>
    <row r="2519">
      <c r="A2519" s="63" t="s">
        <v>5189</v>
      </c>
      <c r="B2519" s="63" t="s">
        <v>682</v>
      </c>
      <c r="C2519" s="4">
        <v>18.0</v>
      </c>
      <c r="D2519" s="64">
        <v>18.0</v>
      </c>
      <c r="E2519" s="63" t="s">
        <v>1088</v>
      </c>
      <c r="F2519" s="64">
        <v>7.0</v>
      </c>
      <c r="G2519" s="64">
        <v>7.88</v>
      </c>
      <c r="H2519" s="64">
        <v>8.82</v>
      </c>
      <c r="I2519" s="64">
        <v>7.43</v>
      </c>
      <c r="J2519" s="64">
        <v>7.75</v>
      </c>
      <c r="K2519" s="65"/>
      <c r="L2519" s="65"/>
      <c r="M2519" s="65"/>
      <c r="N2519" s="65"/>
      <c r="O2519" s="65"/>
      <c r="P2519" s="65"/>
      <c r="Q2519" s="65"/>
      <c r="R2519" s="65"/>
      <c r="S2519" s="65"/>
      <c r="T2519" s="65"/>
      <c r="U2519" s="65"/>
      <c r="V2519" s="65"/>
      <c r="W2519" s="65"/>
      <c r="X2519" s="66"/>
    </row>
    <row r="2520">
      <c r="A2520" s="63" t="s">
        <v>5190</v>
      </c>
      <c r="B2520" s="63" t="s">
        <v>682</v>
      </c>
      <c r="C2520" s="4">
        <v>19.0</v>
      </c>
      <c r="D2520" s="64">
        <v>19.0</v>
      </c>
      <c r="E2520" s="63" t="s">
        <v>1088</v>
      </c>
      <c r="F2520" s="64">
        <v>7.0</v>
      </c>
      <c r="G2520" s="64">
        <v>7.52</v>
      </c>
      <c r="H2520" s="64">
        <v>7.27</v>
      </c>
      <c r="I2520" s="64">
        <v>7.91</v>
      </c>
      <c r="J2520" s="64">
        <v>8.73</v>
      </c>
      <c r="K2520" s="65"/>
      <c r="L2520" s="65"/>
      <c r="M2520" s="65"/>
      <c r="N2520" s="65"/>
      <c r="O2520" s="65"/>
      <c r="P2520" s="65"/>
      <c r="Q2520" s="65"/>
      <c r="R2520" s="65"/>
      <c r="S2520" s="65"/>
      <c r="T2520" s="65"/>
      <c r="U2520" s="65"/>
      <c r="V2520" s="65"/>
      <c r="W2520" s="65"/>
      <c r="X2520" s="66"/>
    </row>
    <row r="2521">
      <c r="A2521" s="63" t="s">
        <v>5191</v>
      </c>
      <c r="B2521" s="63" t="s">
        <v>682</v>
      </c>
      <c r="C2521" s="4">
        <v>20.0</v>
      </c>
      <c r="D2521" s="64">
        <v>20.0</v>
      </c>
      <c r="E2521" s="63" t="s">
        <v>1088</v>
      </c>
      <c r="F2521" s="64">
        <v>7.0</v>
      </c>
      <c r="G2521" s="64">
        <v>7.54</v>
      </c>
      <c r="H2521" s="64">
        <v>8.71</v>
      </c>
      <c r="I2521" s="64">
        <v>7.65</v>
      </c>
      <c r="J2521" s="64">
        <v>7.99</v>
      </c>
      <c r="K2521" s="65"/>
      <c r="L2521" s="65"/>
      <c r="M2521" s="65"/>
      <c r="N2521" s="65"/>
      <c r="O2521" s="65"/>
      <c r="P2521" s="65"/>
      <c r="Q2521" s="65"/>
      <c r="R2521" s="65"/>
      <c r="S2521" s="65"/>
      <c r="T2521" s="65"/>
      <c r="U2521" s="65"/>
      <c r="V2521" s="65"/>
      <c r="W2521" s="65"/>
      <c r="X2521" s="66"/>
    </row>
    <row r="2522">
      <c r="A2522" s="63" t="s">
        <v>5192</v>
      </c>
      <c r="B2522" s="63" t="s">
        <v>682</v>
      </c>
      <c r="C2522" s="4">
        <v>21.0</v>
      </c>
      <c r="D2522" s="64">
        <v>21.0</v>
      </c>
      <c r="E2522" s="63" t="s">
        <v>1088</v>
      </c>
      <c r="F2522" s="68" t="s">
        <v>4054</v>
      </c>
      <c r="G2522" s="64">
        <v>6.42</v>
      </c>
      <c r="H2522" s="64">
        <v>6.61</v>
      </c>
      <c r="I2522" s="64">
        <v>5.79</v>
      </c>
      <c r="J2522" s="64">
        <v>6.3</v>
      </c>
      <c r="K2522" s="65"/>
      <c r="L2522" s="65"/>
      <c r="M2522" s="65"/>
      <c r="N2522" s="65"/>
      <c r="O2522" s="65"/>
      <c r="P2522" s="65"/>
      <c r="Q2522" s="65"/>
      <c r="R2522" s="65"/>
      <c r="S2522" s="65"/>
      <c r="T2522" s="65"/>
      <c r="U2522" s="65"/>
      <c r="V2522" s="65"/>
      <c r="W2522" s="65"/>
      <c r="X2522" s="66"/>
    </row>
    <row r="2523">
      <c r="A2523" s="63" t="s">
        <v>5193</v>
      </c>
      <c r="B2523" s="63" t="s">
        <v>682</v>
      </c>
      <c r="C2523" s="4">
        <v>22.0</v>
      </c>
      <c r="D2523" s="64">
        <v>22.0</v>
      </c>
      <c r="E2523" s="63" t="s">
        <v>1088</v>
      </c>
      <c r="F2523" s="64">
        <v>7.0</v>
      </c>
      <c r="G2523" s="64">
        <v>8.61</v>
      </c>
      <c r="H2523" s="64">
        <v>7.98</v>
      </c>
      <c r="I2523" s="64">
        <v>7.01</v>
      </c>
      <c r="J2523" s="64">
        <v>8.33</v>
      </c>
      <c r="K2523" s="65"/>
      <c r="L2523" s="65"/>
      <c r="M2523" s="65"/>
      <c r="N2523" s="65"/>
      <c r="O2523" s="65"/>
      <c r="P2523" s="65"/>
      <c r="Q2523" s="65"/>
      <c r="R2523" s="65"/>
      <c r="S2523" s="65"/>
      <c r="T2523" s="65"/>
      <c r="U2523" s="65"/>
      <c r="V2523" s="65"/>
      <c r="W2523" s="65"/>
      <c r="X2523" s="66"/>
    </row>
    <row r="2524">
      <c r="A2524" s="63" t="s">
        <v>5194</v>
      </c>
      <c r="B2524" s="63" t="s">
        <v>682</v>
      </c>
      <c r="C2524" s="4">
        <v>23.0</v>
      </c>
      <c r="D2524" s="64">
        <v>23.0</v>
      </c>
      <c r="E2524" s="63" t="s">
        <v>1088</v>
      </c>
      <c r="F2524" s="64">
        <v>7.0</v>
      </c>
      <c r="G2524" s="64">
        <v>8.81</v>
      </c>
      <c r="H2524" s="64">
        <v>9.36</v>
      </c>
      <c r="I2524" s="64">
        <v>7.78</v>
      </c>
      <c r="J2524" s="64">
        <v>8.83</v>
      </c>
      <c r="K2524" s="65"/>
      <c r="L2524" s="65"/>
      <c r="M2524" s="65"/>
      <c r="N2524" s="65"/>
      <c r="O2524" s="65"/>
      <c r="P2524" s="65"/>
      <c r="Q2524" s="65"/>
      <c r="R2524" s="65"/>
      <c r="S2524" s="65"/>
      <c r="T2524" s="65"/>
      <c r="U2524" s="65"/>
      <c r="V2524" s="65"/>
      <c r="W2524" s="65"/>
      <c r="X2524" s="66"/>
    </row>
    <row r="2525">
      <c r="A2525" s="63" t="s">
        <v>5195</v>
      </c>
      <c r="B2525" s="63" t="s">
        <v>682</v>
      </c>
      <c r="C2525" s="4">
        <v>24.0</v>
      </c>
      <c r="D2525" s="64">
        <v>24.0</v>
      </c>
      <c r="E2525" s="63" t="s">
        <v>1088</v>
      </c>
      <c r="F2525" s="64">
        <v>7.0</v>
      </c>
      <c r="G2525" s="64">
        <v>8.13</v>
      </c>
      <c r="H2525" s="64">
        <v>7.71</v>
      </c>
      <c r="I2525" s="64">
        <v>8.3</v>
      </c>
      <c r="J2525" s="64">
        <v>8.64</v>
      </c>
      <c r="K2525" s="65"/>
      <c r="L2525" s="65"/>
      <c r="M2525" s="65"/>
      <c r="N2525" s="65"/>
      <c r="O2525" s="65"/>
      <c r="P2525" s="65"/>
      <c r="Q2525" s="65"/>
      <c r="R2525" s="65"/>
      <c r="S2525" s="65"/>
      <c r="T2525" s="65"/>
      <c r="U2525" s="65"/>
      <c r="V2525" s="65"/>
      <c r="W2525" s="65"/>
      <c r="X2525" s="66"/>
    </row>
    <row r="2526">
      <c r="A2526" s="63" t="s">
        <v>5196</v>
      </c>
      <c r="B2526" s="63" t="s">
        <v>682</v>
      </c>
      <c r="C2526" s="4">
        <v>25.0</v>
      </c>
      <c r="D2526" s="64">
        <v>25.0</v>
      </c>
      <c r="E2526" s="63" t="s">
        <v>1088</v>
      </c>
      <c r="F2526" s="64">
        <v>7.0</v>
      </c>
      <c r="G2526" s="64">
        <v>8.54</v>
      </c>
      <c r="H2526" s="64">
        <v>8.18</v>
      </c>
      <c r="I2526" s="64">
        <v>6.62</v>
      </c>
      <c r="J2526" s="64">
        <v>8.02</v>
      </c>
      <c r="K2526" s="65"/>
      <c r="L2526" s="65"/>
      <c r="M2526" s="65"/>
      <c r="N2526" s="65"/>
      <c r="O2526" s="65"/>
      <c r="P2526" s="65"/>
      <c r="Q2526" s="65"/>
      <c r="R2526" s="65"/>
      <c r="S2526" s="65"/>
      <c r="T2526" s="65"/>
      <c r="U2526" s="65"/>
      <c r="V2526" s="65"/>
      <c r="W2526" s="65"/>
      <c r="X2526" s="66"/>
    </row>
    <row r="2527">
      <c r="A2527" s="63" t="s">
        <v>5197</v>
      </c>
      <c r="B2527" s="63" t="s">
        <v>682</v>
      </c>
      <c r="C2527" s="4">
        <v>26.0</v>
      </c>
      <c r="D2527" s="64">
        <v>26.0</v>
      </c>
      <c r="E2527" s="63" t="s">
        <v>1088</v>
      </c>
      <c r="F2527" s="68" t="s">
        <v>4054</v>
      </c>
      <c r="G2527" s="64">
        <v>6.23</v>
      </c>
      <c r="H2527" s="64">
        <v>6.63</v>
      </c>
      <c r="I2527" s="64">
        <v>5.97</v>
      </c>
      <c r="J2527" s="64">
        <v>6.33</v>
      </c>
      <c r="K2527" s="65"/>
      <c r="L2527" s="65"/>
      <c r="M2527" s="65"/>
      <c r="N2527" s="65"/>
      <c r="O2527" s="65"/>
      <c r="P2527" s="65"/>
      <c r="Q2527" s="65"/>
      <c r="R2527" s="65"/>
      <c r="S2527" s="65"/>
      <c r="T2527" s="65"/>
      <c r="U2527" s="65"/>
      <c r="V2527" s="65"/>
      <c r="W2527" s="65"/>
      <c r="X2527" s="66"/>
    </row>
    <row r="2528">
      <c r="A2528" s="63" t="s">
        <v>5198</v>
      </c>
      <c r="B2528" s="63" t="s">
        <v>682</v>
      </c>
      <c r="C2528" s="4">
        <v>27.0</v>
      </c>
      <c r="D2528" s="64">
        <v>27.0</v>
      </c>
      <c r="E2528" s="63" t="s">
        <v>1088</v>
      </c>
      <c r="F2528" s="64">
        <v>7.0</v>
      </c>
      <c r="G2528" s="64">
        <v>8.24</v>
      </c>
      <c r="H2528" s="64">
        <v>8.88</v>
      </c>
      <c r="I2528" s="64">
        <v>8.89</v>
      </c>
      <c r="J2528" s="64">
        <v>8.13</v>
      </c>
      <c r="K2528" s="65"/>
      <c r="L2528" s="65"/>
      <c r="M2528" s="65"/>
      <c r="N2528" s="65"/>
      <c r="O2528" s="65"/>
      <c r="P2528" s="65"/>
      <c r="Q2528" s="65"/>
      <c r="R2528" s="65"/>
      <c r="S2528" s="65"/>
      <c r="T2528" s="65"/>
      <c r="U2528" s="65"/>
      <c r="V2528" s="65"/>
      <c r="W2528" s="65"/>
      <c r="X2528" s="66"/>
    </row>
    <row r="2529">
      <c r="A2529" s="63" t="s">
        <v>5199</v>
      </c>
      <c r="B2529" s="63" t="s">
        <v>682</v>
      </c>
      <c r="C2529" s="4">
        <v>28.0</v>
      </c>
      <c r="D2529" s="64">
        <v>28.0</v>
      </c>
      <c r="E2529" s="63" t="s">
        <v>1088</v>
      </c>
      <c r="F2529" s="64">
        <v>7.0</v>
      </c>
      <c r="G2529" s="64">
        <v>7.9</v>
      </c>
      <c r="H2529" s="64">
        <v>9.03</v>
      </c>
      <c r="I2529" s="64">
        <v>7.14</v>
      </c>
      <c r="J2529" s="64">
        <v>8.89</v>
      </c>
      <c r="K2529" s="65"/>
      <c r="L2529" s="65"/>
      <c r="M2529" s="65"/>
      <c r="N2529" s="65"/>
      <c r="O2529" s="65"/>
      <c r="P2529" s="65"/>
      <c r="Q2529" s="65"/>
      <c r="R2529" s="65"/>
      <c r="S2529" s="65"/>
      <c r="T2529" s="65"/>
      <c r="U2529" s="65"/>
      <c r="V2529" s="65"/>
      <c r="W2529" s="65"/>
      <c r="X2529" s="66"/>
    </row>
    <row r="2530">
      <c r="A2530" s="63" t="s">
        <v>5200</v>
      </c>
      <c r="B2530" s="63" t="s">
        <v>682</v>
      </c>
      <c r="C2530" s="4">
        <v>29.0</v>
      </c>
      <c r="D2530" s="64">
        <v>29.0</v>
      </c>
      <c r="E2530" s="63" t="s">
        <v>1088</v>
      </c>
      <c r="F2530" s="64">
        <v>7.0</v>
      </c>
      <c r="G2530" s="64">
        <v>8.4</v>
      </c>
      <c r="H2530" s="64">
        <v>8.74</v>
      </c>
      <c r="I2530" s="64">
        <v>8.76</v>
      </c>
      <c r="J2530" s="64">
        <v>7.29</v>
      </c>
      <c r="K2530" s="65"/>
      <c r="L2530" s="65"/>
      <c r="M2530" s="65"/>
      <c r="N2530" s="65"/>
      <c r="O2530" s="65"/>
      <c r="P2530" s="65"/>
      <c r="Q2530" s="65"/>
      <c r="R2530" s="65"/>
      <c r="S2530" s="65"/>
      <c r="T2530" s="65"/>
      <c r="U2530" s="65"/>
      <c r="V2530" s="65"/>
      <c r="W2530" s="65"/>
      <c r="X2530" s="66"/>
    </row>
    <row r="2531">
      <c r="A2531" s="63" t="s">
        <v>5201</v>
      </c>
      <c r="B2531" s="63" t="s">
        <v>682</v>
      </c>
      <c r="C2531" s="4">
        <v>30.0</v>
      </c>
      <c r="D2531" s="64">
        <v>30.0</v>
      </c>
      <c r="E2531" s="63" t="s">
        <v>1088</v>
      </c>
      <c r="F2531" s="64">
        <v>7.0</v>
      </c>
      <c r="G2531" s="64">
        <v>7.93</v>
      </c>
      <c r="H2531" s="64">
        <v>8.96</v>
      </c>
      <c r="I2531" s="64">
        <v>7.82</v>
      </c>
      <c r="J2531" s="64">
        <v>8.3</v>
      </c>
      <c r="K2531" s="65"/>
      <c r="L2531" s="65"/>
      <c r="M2531" s="65"/>
      <c r="N2531" s="65"/>
      <c r="O2531" s="65"/>
      <c r="P2531" s="65"/>
      <c r="Q2531" s="65"/>
      <c r="R2531" s="65"/>
      <c r="S2531" s="65"/>
      <c r="T2531" s="65"/>
      <c r="U2531" s="65"/>
      <c r="V2531" s="65"/>
      <c r="W2531" s="65"/>
      <c r="X2531" s="66"/>
    </row>
    <row r="2532">
      <c r="A2532" s="63" t="s">
        <v>5202</v>
      </c>
      <c r="B2532" s="63" t="s">
        <v>682</v>
      </c>
      <c r="C2532" s="4">
        <v>31.0</v>
      </c>
      <c r="D2532" s="64">
        <v>31.0</v>
      </c>
      <c r="E2532" s="63" t="s">
        <v>1088</v>
      </c>
      <c r="F2532" s="64">
        <v>4.0</v>
      </c>
      <c r="G2532" s="64">
        <v>10.4</v>
      </c>
      <c r="H2532" s="64">
        <v>9.56</v>
      </c>
      <c r="I2532" s="64">
        <v>9.3</v>
      </c>
      <c r="J2532" s="64">
        <v>9.21</v>
      </c>
      <c r="K2532" s="64">
        <v>7.41</v>
      </c>
      <c r="L2532" s="64">
        <v>7.03</v>
      </c>
      <c r="M2532" s="64">
        <v>6.63</v>
      </c>
      <c r="N2532" s="64">
        <v>7.82</v>
      </c>
      <c r="O2532" s="65"/>
      <c r="P2532" s="65"/>
      <c r="Q2532" s="65"/>
      <c r="R2532" s="65"/>
      <c r="S2532" s="65"/>
      <c r="T2532" s="65"/>
      <c r="U2532" s="65"/>
      <c r="V2532" s="65"/>
      <c r="W2532" s="65"/>
      <c r="X2532" s="64">
        <v>11.13</v>
      </c>
    </row>
    <row r="2533">
      <c r="A2533" s="63" t="s">
        <v>5203</v>
      </c>
      <c r="B2533" s="63" t="s">
        <v>682</v>
      </c>
      <c r="C2533" s="4">
        <v>32.0</v>
      </c>
      <c r="D2533" s="64">
        <v>32.0</v>
      </c>
      <c r="E2533" s="63" t="s">
        <v>1088</v>
      </c>
      <c r="F2533" s="64">
        <v>4.0</v>
      </c>
      <c r="G2533" s="64">
        <v>4.82</v>
      </c>
      <c r="H2533" s="64">
        <v>4.85</v>
      </c>
      <c r="I2533" s="64">
        <v>3.97</v>
      </c>
      <c r="J2533" s="64">
        <v>4.18</v>
      </c>
      <c r="K2533" s="65"/>
      <c r="L2533" s="65"/>
      <c r="M2533" s="65"/>
      <c r="N2533" s="65"/>
      <c r="O2533" s="65"/>
      <c r="P2533" s="65"/>
      <c r="Q2533" s="65"/>
      <c r="R2533" s="65"/>
      <c r="S2533" s="65"/>
      <c r="T2533" s="65"/>
      <c r="U2533" s="65"/>
      <c r="V2533" s="65"/>
      <c r="W2533" s="65"/>
      <c r="X2533" s="67">
        <v>4.78</v>
      </c>
    </row>
    <row r="2534">
      <c r="A2534" s="63" t="s">
        <v>5204</v>
      </c>
      <c r="B2534" s="63" t="s">
        <v>682</v>
      </c>
      <c r="C2534" s="4">
        <v>33.0</v>
      </c>
      <c r="D2534" s="64">
        <v>33.0</v>
      </c>
      <c r="E2534" s="63" t="s">
        <v>1088</v>
      </c>
      <c r="F2534" s="64">
        <v>4.0</v>
      </c>
      <c r="G2534" s="64">
        <v>5.72</v>
      </c>
      <c r="H2534" s="64">
        <v>5.94</v>
      </c>
      <c r="I2534" s="64">
        <v>5.44</v>
      </c>
      <c r="J2534" s="64">
        <v>6.37</v>
      </c>
      <c r="K2534" s="64">
        <v>5.76</v>
      </c>
      <c r="L2534" s="64">
        <v>5.72</v>
      </c>
      <c r="M2534" s="64">
        <v>6.76</v>
      </c>
      <c r="N2534" s="65"/>
      <c r="O2534" s="65"/>
      <c r="P2534" s="65"/>
      <c r="Q2534" s="65"/>
      <c r="R2534" s="65"/>
      <c r="S2534" s="65"/>
      <c r="T2534" s="65"/>
      <c r="U2534" s="65"/>
      <c r="V2534" s="65"/>
      <c r="W2534" s="65"/>
      <c r="X2534" s="64">
        <v>7.14</v>
      </c>
    </row>
    <row r="2535">
      <c r="A2535" s="63" t="s">
        <v>5205</v>
      </c>
      <c r="B2535" s="63" t="s">
        <v>682</v>
      </c>
      <c r="C2535" s="4">
        <v>34.0</v>
      </c>
      <c r="D2535" s="64">
        <v>34.0</v>
      </c>
      <c r="E2535" s="63" t="s">
        <v>1088</v>
      </c>
      <c r="F2535" s="64">
        <v>4.0</v>
      </c>
      <c r="G2535" s="64">
        <v>6.3</v>
      </c>
      <c r="H2535" s="64">
        <v>7.0</v>
      </c>
      <c r="I2535" s="64">
        <v>6.81</v>
      </c>
      <c r="J2535" s="64">
        <v>6.79</v>
      </c>
      <c r="K2535" s="65"/>
      <c r="L2535" s="65"/>
      <c r="M2535" s="65"/>
      <c r="N2535" s="65"/>
      <c r="O2535" s="65"/>
      <c r="P2535" s="65"/>
      <c r="Q2535" s="65"/>
      <c r="R2535" s="65"/>
      <c r="S2535" s="65"/>
      <c r="T2535" s="65"/>
      <c r="U2535" s="65"/>
      <c r="V2535" s="65"/>
      <c r="W2535" s="65"/>
      <c r="X2535" s="67">
        <v>7.14</v>
      </c>
    </row>
    <row r="2536">
      <c r="A2536" s="4" t="s">
        <v>5206</v>
      </c>
      <c r="B2536" s="4" t="s">
        <v>770</v>
      </c>
      <c r="C2536" s="4">
        <v>1.0</v>
      </c>
      <c r="D2536" s="4">
        <v>1.0</v>
      </c>
      <c r="E2536" s="4" t="s">
        <v>5207</v>
      </c>
      <c r="F2536" s="72">
        <v>34.0</v>
      </c>
      <c r="G2536" s="72">
        <v>30.33</v>
      </c>
      <c r="H2536" s="72">
        <v>31.62</v>
      </c>
      <c r="I2536" s="72">
        <v>31.09</v>
      </c>
      <c r="J2536" s="72">
        <v>30.48</v>
      </c>
      <c r="K2536" s="73"/>
      <c r="L2536" s="73"/>
      <c r="M2536" s="73"/>
      <c r="N2536" s="73"/>
      <c r="O2536" s="73"/>
      <c r="X2536" s="4">
        <v>31.75</v>
      </c>
    </row>
    <row r="2537">
      <c r="A2537" s="4" t="s">
        <v>5208</v>
      </c>
      <c r="B2537" s="4" t="s">
        <v>770</v>
      </c>
      <c r="C2537" s="4">
        <v>2.0</v>
      </c>
      <c r="D2537" s="4">
        <v>2.0</v>
      </c>
      <c r="E2537" s="4" t="s">
        <v>5209</v>
      </c>
      <c r="F2537" s="4">
        <v>34.0</v>
      </c>
      <c r="G2537" s="4">
        <v>40.48</v>
      </c>
      <c r="H2537" s="4">
        <v>40.48</v>
      </c>
      <c r="I2537" s="4">
        <v>40.64</v>
      </c>
      <c r="J2537" s="4">
        <v>40.59</v>
      </c>
      <c r="K2537" s="4">
        <v>39.81</v>
      </c>
      <c r="L2537" s="4">
        <v>40.59</v>
      </c>
      <c r="M2537" s="4">
        <v>39.87</v>
      </c>
      <c r="N2537" s="4">
        <v>39.84</v>
      </c>
    </row>
    <row r="2538">
      <c r="A2538" s="4" t="s">
        <v>5210</v>
      </c>
      <c r="B2538" s="4" t="s">
        <v>770</v>
      </c>
      <c r="C2538" s="4">
        <v>3.0</v>
      </c>
      <c r="D2538" s="4">
        <v>3.0</v>
      </c>
      <c r="E2538" s="4" t="s">
        <v>5211</v>
      </c>
      <c r="F2538" s="4">
        <v>34.0</v>
      </c>
      <c r="G2538" s="4">
        <v>6.03</v>
      </c>
      <c r="H2538" s="4">
        <v>6.45</v>
      </c>
      <c r="I2538" s="4">
        <v>6.43</v>
      </c>
      <c r="J2538" s="4">
        <v>6.38</v>
      </c>
      <c r="K2538" s="4">
        <v>6.56</v>
      </c>
      <c r="L2538" s="4">
        <v>6.52</v>
      </c>
      <c r="M2538" s="4">
        <v>6.44</v>
      </c>
      <c r="N2538" s="4">
        <v>6.4</v>
      </c>
      <c r="O2538" s="4">
        <v>6.59</v>
      </c>
      <c r="P2538" s="4">
        <v>6.53</v>
      </c>
      <c r="Q2538" s="4">
        <v>6.49</v>
      </c>
      <c r="R2538" s="4">
        <v>6.5</v>
      </c>
      <c r="S2538" s="4">
        <v>6.42</v>
      </c>
      <c r="T2538" s="4">
        <v>6.43</v>
      </c>
      <c r="U2538" s="4">
        <v>6.42</v>
      </c>
      <c r="V2538" s="4">
        <v>6.43</v>
      </c>
      <c r="W2538" s="4"/>
      <c r="X2538" s="4">
        <v>6.35</v>
      </c>
    </row>
    <row r="2539">
      <c r="A2539" s="4" t="s">
        <v>5212</v>
      </c>
      <c r="B2539" s="4" t="s">
        <v>770</v>
      </c>
      <c r="C2539" s="4">
        <v>4.0</v>
      </c>
      <c r="D2539" s="4">
        <v>4.0</v>
      </c>
      <c r="E2539" s="4" t="s">
        <v>5213</v>
      </c>
      <c r="F2539" s="4">
        <v>14.0</v>
      </c>
      <c r="G2539" s="4">
        <v>5.4</v>
      </c>
      <c r="H2539" s="4">
        <v>5.36</v>
      </c>
      <c r="I2539" s="4">
        <v>5.32</v>
      </c>
      <c r="J2539" s="4">
        <v>5.21</v>
      </c>
      <c r="K2539" s="4">
        <v>5.35</v>
      </c>
      <c r="L2539" s="4">
        <v>5.37</v>
      </c>
      <c r="M2539" s="4">
        <v>5.3</v>
      </c>
      <c r="N2539" s="4">
        <v>5.14</v>
      </c>
      <c r="X2539" s="4">
        <v>5.33</v>
      </c>
    </row>
    <row r="2540">
      <c r="A2540" s="4" t="s">
        <v>5214</v>
      </c>
      <c r="B2540" s="4" t="s">
        <v>770</v>
      </c>
      <c r="C2540" s="4">
        <v>5.0</v>
      </c>
      <c r="D2540" s="4">
        <v>5.0</v>
      </c>
      <c r="E2540" s="4" t="s">
        <v>5215</v>
      </c>
      <c r="F2540" s="4">
        <v>14.0</v>
      </c>
      <c r="G2540" s="4">
        <v>20.22</v>
      </c>
      <c r="H2540" s="4">
        <v>20.08</v>
      </c>
      <c r="I2540" s="4">
        <v>20.21</v>
      </c>
      <c r="J2540" s="4">
        <v>21.09</v>
      </c>
      <c r="X2540" s="4">
        <v>20.62</v>
      </c>
    </row>
    <row r="2541">
      <c r="A2541" s="4" t="s">
        <v>5216</v>
      </c>
      <c r="B2541" s="4" t="s">
        <v>770</v>
      </c>
      <c r="C2541" s="4">
        <v>6.0</v>
      </c>
      <c r="D2541" s="4">
        <v>6.0</v>
      </c>
      <c r="E2541" s="4" t="s">
        <v>5217</v>
      </c>
      <c r="F2541" s="4">
        <v>14.0</v>
      </c>
      <c r="G2541" s="4">
        <v>25.18</v>
      </c>
      <c r="H2541" s="4">
        <v>25.1</v>
      </c>
      <c r="I2541" s="4">
        <v>25.09</v>
      </c>
      <c r="J2541" s="4">
        <v>24.12</v>
      </c>
      <c r="X2541" s="4">
        <v>25.4</v>
      </c>
    </row>
    <row r="2542">
      <c r="A2542" s="4" t="s">
        <v>5218</v>
      </c>
      <c r="B2542" s="4" t="s">
        <v>770</v>
      </c>
      <c r="C2542" s="4">
        <v>7.0</v>
      </c>
      <c r="D2542" s="4">
        <v>7.0</v>
      </c>
      <c r="E2542" s="4" t="s">
        <v>5219</v>
      </c>
      <c r="F2542" s="4">
        <v>6.0</v>
      </c>
      <c r="G2542" s="4">
        <v>4.02</v>
      </c>
      <c r="H2542" s="4">
        <v>4.07</v>
      </c>
      <c r="I2542" s="4">
        <v>4.89</v>
      </c>
      <c r="J2542" s="4">
        <v>4.0</v>
      </c>
      <c r="K2542" s="4">
        <v>4.07</v>
      </c>
      <c r="L2542" s="4">
        <v>3.88</v>
      </c>
      <c r="M2542" s="4">
        <v>3.87</v>
      </c>
      <c r="N2542" s="4">
        <v>3.89</v>
      </c>
      <c r="X2542" s="4">
        <v>4.78</v>
      </c>
    </row>
    <row r="2543">
      <c r="A2543" s="4" t="s">
        <v>5220</v>
      </c>
      <c r="B2543" s="4" t="s">
        <v>770</v>
      </c>
      <c r="C2543" s="4">
        <v>8.0</v>
      </c>
      <c r="D2543" s="4">
        <v>8.0</v>
      </c>
      <c r="E2543" s="4" t="s">
        <v>5221</v>
      </c>
      <c r="F2543" s="4">
        <v>6.0</v>
      </c>
      <c r="G2543" s="4">
        <v>23.22</v>
      </c>
      <c r="H2543" s="4">
        <v>23.15</v>
      </c>
      <c r="I2543" s="4">
        <v>24.02</v>
      </c>
      <c r="J2543" s="4">
        <v>23.2</v>
      </c>
      <c r="X2543" s="4">
        <v>22.22</v>
      </c>
    </row>
    <row r="2544">
      <c r="A2544" s="4" t="s">
        <v>5222</v>
      </c>
      <c r="B2544" s="4" t="s">
        <v>770</v>
      </c>
      <c r="C2544" s="4">
        <v>9.0</v>
      </c>
      <c r="D2544" s="4">
        <v>9.0</v>
      </c>
      <c r="E2544" s="4" t="s">
        <v>5223</v>
      </c>
      <c r="F2544" s="4">
        <v>14.0</v>
      </c>
      <c r="G2544" s="4">
        <v>5.17</v>
      </c>
      <c r="H2544" s="4">
        <v>5.37</v>
      </c>
      <c r="I2544" s="4">
        <v>5.33</v>
      </c>
      <c r="J2544" s="4">
        <v>5.29</v>
      </c>
      <c r="K2544" s="4">
        <v>5.27</v>
      </c>
      <c r="L2544" s="4">
        <v>5.28</v>
      </c>
      <c r="M2544" s="4">
        <v>5.29</v>
      </c>
      <c r="N2544" s="4">
        <v>5.35</v>
      </c>
      <c r="X2544" s="4">
        <v>5.33</v>
      </c>
    </row>
    <row r="2545">
      <c r="A2545" s="4" t="s">
        <v>5224</v>
      </c>
      <c r="B2545" s="4" t="s">
        <v>770</v>
      </c>
      <c r="C2545" s="4">
        <v>10.0</v>
      </c>
      <c r="D2545" s="4">
        <v>10.0</v>
      </c>
      <c r="E2545" s="4" t="s">
        <v>5225</v>
      </c>
      <c r="F2545" s="4">
        <v>14.0</v>
      </c>
      <c r="G2545" s="4">
        <v>20.21</v>
      </c>
      <c r="H2545" s="4">
        <v>20.27</v>
      </c>
      <c r="I2545" s="4">
        <v>20.26</v>
      </c>
      <c r="J2545" s="4">
        <v>20.94</v>
      </c>
      <c r="X2545" s="4">
        <v>20.62</v>
      </c>
    </row>
    <row r="2546">
      <c r="A2546" s="4" t="s">
        <v>5226</v>
      </c>
      <c r="B2546" s="4" t="s">
        <v>770</v>
      </c>
      <c r="C2546" s="4">
        <v>11.0</v>
      </c>
      <c r="D2546" s="4">
        <v>11.0</v>
      </c>
      <c r="E2546" s="4" t="s">
        <v>5227</v>
      </c>
      <c r="F2546" s="4">
        <v>14.0</v>
      </c>
      <c r="G2546" s="4">
        <v>24.93</v>
      </c>
      <c r="H2546" s="4">
        <v>24.87</v>
      </c>
      <c r="I2546" s="4">
        <v>25.76</v>
      </c>
      <c r="J2546" s="4">
        <v>24.92</v>
      </c>
      <c r="X2546" s="4">
        <v>25.4</v>
      </c>
    </row>
    <row r="2547">
      <c r="A2547" s="4" t="s">
        <v>5228</v>
      </c>
      <c r="B2547" s="4" t="s">
        <v>770</v>
      </c>
      <c r="C2547" s="4">
        <v>12.0</v>
      </c>
      <c r="D2547" s="4">
        <v>12.0</v>
      </c>
      <c r="E2547" s="4" t="s">
        <v>5229</v>
      </c>
      <c r="F2547" s="4">
        <v>14.0</v>
      </c>
      <c r="G2547" s="4">
        <v>5.34</v>
      </c>
      <c r="H2547" s="4">
        <v>5.38</v>
      </c>
      <c r="I2547" s="4">
        <v>5.42</v>
      </c>
      <c r="J2547" s="4">
        <v>5.35</v>
      </c>
      <c r="K2547" s="4">
        <v>5.24</v>
      </c>
      <c r="L2547" s="4">
        <v>5.29</v>
      </c>
      <c r="M2547" s="4">
        <v>5.43</v>
      </c>
      <c r="N2547" s="4">
        <v>5.39</v>
      </c>
      <c r="X2547" s="4">
        <v>5.33</v>
      </c>
    </row>
    <row r="2548">
      <c r="A2548" s="4" t="s">
        <v>5230</v>
      </c>
      <c r="B2548" s="4" t="s">
        <v>770</v>
      </c>
      <c r="C2548" s="4">
        <v>13.0</v>
      </c>
      <c r="D2548" s="4">
        <v>13.0</v>
      </c>
      <c r="E2548" s="4" t="s">
        <v>5231</v>
      </c>
      <c r="F2548" s="4">
        <v>14.0</v>
      </c>
      <c r="G2548" s="4">
        <v>20.42</v>
      </c>
      <c r="H2548" s="4">
        <v>20.51</v>
      </c>
      <c r="I2548" s="4">
        <v>20.44</v>
      </c>
      <c r="J2548" s="4">
        <v>20.51</v>
      </c>
      <c r="X2548" s="4">
        <v>20.62</v>
      </c>
    </row>
    <row r="2549">
      <c r="A2549" s="4" t="s">
        <v>5232</v>
      </c>
      <c r="B2549" s="4" t="s">
        <v>770</v>
      </c>
      <c r="C2549" s="4">
        <v>14.0</v>
      </c>
      <c r="D2549" s="4">
        <v>14.0</v>
      </c>
      <c r="E2549" s="4" t="s">
        <v>5233</v>
      </c>
      <c r="F2549" s="4">
        <v>14.0</v>
      </c>
      <c r="G2549" s="4">
        <v>26.01</v>
      </c>
      <c r="H2549" s="4">
        <v>25.25</v>
      </c>
      <c r="I2549" s="4">
        <v>25.35</v>
      </c>
      <c r="J2549" s="4">
        <v>25.36</v>
      </c>
      <c r="X2549" s="4">
        <v>25.4</v>
      </c>
    </row>
    <row r="2550">
      <c r="A2550" s="4" t="s">
        <v>5234</v>
      </c>
      <c r="B2550" s="4" t="s">
        <v>770</v>
      </c>
      <c r="C2550" s="4">
        <v>15.0</v>
      </c>
      <c r="D2550" s="4">
        <v>15.0</v>
      </c>
      <c r="E2550" s="4" t="s">
        <v>5235</v>
      </c>
      <c r="F2550" s="4">
        <v>3.0</v>
      </c>
      <c r="G2550" s="4">
        <v>3.86</v>
      </c>
      <c r="H2550" s="4">
        <v>3.98</v>
      </c>
      <c r="I2550" s="4">
        <v>3.96</v>
      </c>
      <c r="J2550" s="4">
        <v>3.92</v>
      </c>
      <c r="K2550" s="4">
        <v>3.9</v>
      </c>
      <c r="L2550" s="4">
        <v>3.88</v>
      </c>
      <c r="M2550" s="4">
        <v>3.94</v>
      </c>
      <c r="N2550" s="4">
        <v>3.89</v>
      </c>
      <c r="X2550" s="4">
        <v>3.96</v>
      </c>
    </row>
    <row r="2551">
      <c r="A2551" s="4" t="s">
        <v>5236</v>
      </c>
      <c r="B2551" s="4" t="s">
        <v>770</v>
      </c>
      <c r="C2551" s="4">
        <v>16.0</v>
      </c>
      <c r="D2551" s="4">
        <v>16.0</v>
      </c>
      <c r="E2551" s="4" t="s">
        <v>5237</v>
      </c>
      <c r="F2551" s="4">
        <v>3.0</v>
      </c>
      <c r="G2551" s="4">
        <v>21.27</v>
      </c>
      <c r="H2551" s="4">
        <v>21.31</v>
      </c>
      <c r="I2551" s="4">
        <v>21.32</v>
      </c>
      <c r="J2551" s="4">
        <v>21.31</v>
      </c>
    </row>
    <row r="2552">
      <c r="A2552" s="4" t="s">
        <v>5238</v>
      </c>
      <c r="B2552" s="4" t="s">
        <v>770</v>
      </c>
      <c r="C2552" s="4">
        <v>17.0</v>
      </c>
      <c r="D2552" s="4">
        <v>17.0</v>
      </c>
      <c r="E2552" s="4" t="s">
        <v>5239</v>
      </c>
      <c r="F2552" s="4">
        <v>14.0</v>
      </c>
      <c r="G2552" s="4">
        <v>5.24</v>
      </c>
      <c r="H2552" s="4">
        <v>5.23</v>
      </c>
      <c r="I2552" s="4">
        <v>5.19</v>
      </c>
      <c r="J2552" s="4">
        <v>5.16</v>
      </c>
      <c r="K2552" s="4">
        <v>5.21</v>
      </c>
      <c r="L2552" s="4">
        <v>5.21</v>
      </c>
      <c r="M2552" s="4">
        <v>5.19</v>
      </c>
      <c r="N2552" s="4">
        <v>5.19</v>
      </c>
      <c r="X2552" s="4">
        <v>5.16</v>
      </c>
    </row>
    <row r="2553">
      <c r="A2553" s="4" t="s">
        <v>5240</v>
      </c>
      <c r="B2553" s="4" t="s">
        <v>770</v>
      </c>
      <c r="C2553" s="4">
        <v>18.0</v>
      </c>
      <c r="D2553" s="4">
        <v>18.0</v>
      </c>
      <c r="E2553" s="4" t="s">
        <v>5241</v>
      </c>
      <c r="F2553" s="4">
        <v>14.0</v>
      </c>
      <c r="G2553" s="4">
        <v>19.63</v>
      </c>
      <c r="H2553" s="4">
        <v>19.93</v>
      </c>
      <c r="I2553" s="4">
        <v>19.67</v>
      </c>
      <c r="J2553" s="4">
        <v>20.61</v>
      </c>
      <c r="X2553" s="4">
        <v>20.62</v>
      </c>
    </row>
    <row r="2554">
      <c r="A2554" s="4" t="s">
        <v>5242</v>
      </c>
      <c r="B2554" s="4" t="s">
        <v>770</v>
      </c>
      <c r="C2554" s="4">
        <v>19.0</v>
      </c>
      <c r="D2554" s="4">
        <v>19.0</v>
      </c>
      <c r="E2554" s="4" t="s">
        <v>5243</v>
      </c>
      <c r="F2554" s="4">
        <v>14.0</v>
      </c>
      <c r="G2554" s="4">
        <v>24.34</v>
      </c>
      <c r="H2554" s="4">
        <v>24.3</v>
      </c>
      <c r="I2554" s="4">
        <v>24.33</v>
      </c>
      <c r="J2554" s="4">
        <v>24.36</v>
      </c>
      <c r="X2554" s="4">
        <v>23.83</v>
      </c>
    </row>
    <row r="2555">
      <c r="A2555" s="4" t="s">
        <v>5244</v>
      </c>
      <c r="B2555" s="4" t="s">
        <v>770</v>
      </c>
      <c r="C2555" s="4">
        <v>20.0</v>
      </c>
      <c r="D2555" s="4">
        <v>20.0</v>
      </c>
      <c r="E2555" s="4" t="s">
        <v>5245</v>
      </c>
      <c r="F2555" s="4">
        <v>3.0</v>
      </c>
      <c r="G2555" s="4">
        <v>3.78</v>
      </c>
      <c r="H2555" s="4">
        <v>3.82</v>
      </c>
      <c r="I2555" s="4">
        <v>3.8</v>
      </c>
      <c r="J2555" s="4">
        <v>3.71</v>
      </c>
      <c r="K2555" s="4">
        <v>3.75</v>
      </c>
      <c r="L2555" s="4">
        <v>3.76</v>
      </c>
      <c r="M2555" s="4">
        <v>3.87</v>
      </c>
      <c r="N2555" s="4">
        <v>3.72</v>
      </c>
      <c r="X2555" s="4">
        <v>3.96</v>
      </c>
    </row>
    <row r="2556">
      <c r="A2556" s="4" t="s">
        <v>5246</v>
      </c>
      <c r="B2556" s="4" t="s">
        <v>770</v>
      </c>
      <c r="C2556" s="4">
        <v>21.0</v>
      </c>
      <c r="D2556" s="4">
        <v>21.0</v>
      </c>
      <c r="E2556" s="4" t="s">
        <v>5247</v>
      </c>
      <c r="F2556" s="4">
        <v>3.0</v>
      </c>
      <c r="G2556" s="4">
        <v>20.75</v>
      </c>
      <c r="H2556" s="4">
        <v>20.76</v>
      </c>
      <c r="I2556" s="4">
        <v>20.8</v>
      </c>
      <c r="J2556" s="4">
        <v>20.81</v>
      </c>
    </row>
    <row r="2557">
      <c r="A2557" s="4" t="s">
        <v>5248</v>
      </c>
      <c r="B2557" s="4" t="s">
        <v>770</v>
      </c>
      <c r="C2557" s="4">
        <v>22.0</v>
      </c>
      <c r="D2557" s="4">
        <v>22.0</v>
      </c>
      <c r="E2557" s="4" t="s">
        <v>5249</v>
      </c>
      <c r="F2557" s="4">
        <v>4.0</v>
      </c>
      <c r="G2557" s="4">
        <v>3.71</v>
      </c>
      <c r="H2557" s="4">
        <v>3.84</v>
      </c>
      <c r="I2557" s="4">
        <v>3.83</v>
      </c>
      <c r="J2557" s="4">
        <v>3.73</v>
      </c>
      <c r="K2557" s="4">
        <v>3.72</v>
      </c>
      <c r="L2557" s="4">
        <v>3.82</v>
      </c>
      <c r="M2557" s="4">
        <v>3.86</v>
      </c>
      <c r="N2557" s="4">
        <v>3.74</v>
      </c>
      <c r="X2557" s="4">
        <v>3.96</v>
      </c>
    </row>
    <row r="2558">
      <c r="A2558" s="4" t="s">
        <v>5250</v>
      </c>
      <c r="B2558" s="4" t="s">
        <v>770</v>
      </c>
      <c r="C2558" s="4">
        <v>23.0</v>
      </c>
      <c r="D2558" s="4">
        <v>23.0</v>
      </c>
      <c r="E2558" s="4" t="s">
        <v>5251</v>
      </c>
      <c r="F2558" s="4">
        <v>4.0</v>
      </c>
      <c r="G2558" s="4">
        <v>15.79</v>
      </c>
      <c r="H2558" s="4">
        <v>15.87</v>
      </c>
      <c r="I2558" s="4">
        <v>15.94</v>
      </c>
      <c r="J2558" s="4">
        <v>15.8</v>
      </c>
      <c r="X2558" s="4">
        <v>17.12</v>
      </c>
    </row>
    <row r="2559">
      <c r="A2559" s="4" t="s">
        <v>5252</v>
      </c>
      <c r="B2559" s="4" t="s">
        <v>770</v>
      </c>
      <c r="C2559" s="4">
        <v>24.0</v>
      </c>
      <c r="D2559" s="4">
        <v>24.0</v>
      </c>
      <c r="E2559" s="4" t="s">
        <v>5253</v>
      </c>
      <c r="F2559" s="4">
        <v>4.0</v>
      </c>
      <c r="G2559" s="4">
        <v>2.86</v>
      </c>
      <c r="H2559" s="4">
        <v>2.93</v>
      </c>
      <c r="I2559" s="4">
        <v>2.91</v>
      </c>
      <c r="J2559" s="4">
        <v>2.91</v>
      </c>
      <c r="K2559" s="4">
        <v>2.84</v>
      </c>
      <c r="L2559" s="4">
        <v>2.86</v>
      </c>
      <c r="M2559" s="4">
        <v>2.9</v>
      </c>
      <c r="N2559" s="4">
        <v>2.88</v>
      </c>
      <c r="X2559" s="4">
        <v>3.05</v>
      </c>
    </row>
    <row r="2560">
      <c r="A2560" s="4" t="s">
        <v>5254</v>
      </c>
      <c r="B2560" s="4" t="s">
        <v>770</v>
      </c>
      <c r="C2560" s="4">
        <v>25.0</v>
      </c>
      <c r="D2560" s="4">
        <v>25.0</v>
      </c>
      <c r="E2560" s="4" t="s">
        <v>5255</v>
      </c>
      <c r="F2560" s="4">
        <v>4.0</v>
      </c>
      <c r="G2560" s="4">
        <v>15.67</v>
      </c>
      <c r="H2560" s="4">
        <v>16.52</v>
      </c>
      <c r="I2560" s="4">
        <v>15.74</v>
      </c>
      <c r="J2560" s="4">
        <v>16.53</v>
      </c>
      <c r="X2560" s="4">
        <v>17.12</v>
      </c>
    </row>
    <row r="2561">
      <c r="A2561" s="4" t="s">
        <v>5256</v>
      </c>
      <c r="B2561" s="4" t="s">
        <v>770</v>
      </c>
      <c r="C2561" s="4">
        <v>26.0</v>
      </c>
      <c r="D2561" s="4">
        <v>26.0</v>
      </c>
      <c r="E2561" s="4" t="s">
        <v>5257</v>
      </c>
      <c r="F2561" s="4">
        <v>4.0</v>
      </c>
      <c r="G2561" s="4">
        <v>21.02</v>
      </c>
      <c r="H2561" s="4">
        <v>20.98</v>
      </c>
      <c r="I2561" s="4">
        <v>20.98</v>
      </c>
      <c r="J2561" s="4">
        <v>20.99</v>
      </c>
    </row>
    <row r="2562">
      <c r="A2562" s="4" t="s">
        <v>5258</v>
      </c>
      <c r="B2562" s="4" t="s">
        <v>770</v>
      </c>
      <c r="C2562" s="4">
        <v>27.0</v>
      </c>
      <c r="D2562" s="4">
        <v>27.0</v>
      </c>
      <c r="E2562" s="4" t="s">
        <v>5259</v>
      </c>
      <c r="F2562" s="4">
        <v>8.0</v>
      </c>
      <c r="G2562" s="4">
        <v>3.77</v>
      </c>
      <c r="H2562" s="4">
        <v>4.05</v>
      </c>
      <c r="I2562" s="4">
        <v>4.05</v>
      </c>
      <c r="J2562" s="4">
        <v>3.93</v>
      </c>
      <c r="X2562" s="4">
        <v>3.96</v>
      </c>
    </row>
    <row r="2563">
      <c r="A2563" s="4" t="s">
        <v>5260</v>
      </c>
      <c r="B2563" s="4" t="s">
        <v>770</v>
      </c>
      <c r="C2563" s="4">
        <v>28.0</v>
      </c>
      <c r="D2563" s="4">
        <v>28.0</v>
      </c>
      <c r="E2563" s="4" t="s">
        <v>5261</v>
      </c>
      <c r="F2563" s="4">
        <v>8.0</v>
      </c>
      <c r="G2563" s="4">
        <v>16.32</v>
      </c>
      <c r="H2563" s="4">
        <v>16.3</v>
      </c>
      <c r="I2563" s="4">
        <v>16.32</v>
      </c>
      <c r="J2563" s="4">
        <v>16.37</v>
      </c>
      <c r="X2563" s="4">
        <v>15.88</v>
      </c>
    </row>
    <row r="2564">
      <c r="A2564" s="4" t="s">
        <v>5262</v>
      </c>
      <c r="B2564" s="4" t="s">
        <v>770</v>
      </c>
      <c r="C2564" s="4">
        <v>29.0</v>
      </c>
      <c r="D2564" s="4">
        <v>29.0</v>
      </c>
      <c r="E2564" s="4" t="s">
        <v>5263</v>
      </c>
      <c r="F2564" s="4">
        <v>8.0</v>
      </c>
      <c r="G2564" s="4">
        <v>17.73</v>
      </c>
      <c r="H2564" s="4">
        <v>17.06</v>
      </c>
      <c r="I2564" s="4">
        <v>16.23</v>
      </c>
      <c r="J2564" s="4">
        <v>16.26</v>
      </c>
      <c r="X2564" s="4">
        <v>18.26</v>
      </c>
    </row>
    <row r="2565">
      <c r="A2565" s="4" t="s">
        <v>5264</v>
      </c>
      <c r="B2565" s="4" t="s">
        <v>770</v>
      </c>
      <c r="C2565" s="4">
        <v>30.0</v>
      </c>
      <c r="D2565" s="4">
        <v>30.0</v>
      </c>
      <c r="E2565" s="4" t="s">
        <v>5265</v>
      </c>
      <c r="F2565" s="4">
        <v>8.0</v>
      </c>
      <c r="G2565" s="4">
        <v>3.95</v>
      </c>
      <c r="H2565" s="4">
        <v>4.02</v>
      </c>
      <c r="I2565" s="4">
        <v>3.87</v>
      </c>
      <c r="J2565" s="4">
        <v>3.88</v>
      </c>
      <c r="X2565" s="4">
        <v>3.96</v>
      </c>
    </row>
    <row r="2566">
      <c r="A2566" s="4" t="s">
        <v>5266</v>
      </c>
      <c r="B2566" s="4" t="s">
        <v>770</v>
      </c>
      <c r="C2566" s="4">
        <v>31.0</v>
      </c>
      <c r="D2566" s="4">
        <v>31.0</v>
      </c>
      <c r="E2566" s="4" t="s">
        <v>5267</v>
      </c>
      <c r="F2566" s="4">
        <v>8.0</v>
      </c>
      <c r="G2566" s="4">
        <v>15.75</v>
      </c>
      <c r="H2566" s="4">
        <v>15.71</v>
      </c>
      <c r="I2566" s="4">
        <v>15.75</v>
      </c>
      <c r="J2566" s="4">
        <v>15.69</v>
      </c>
      <c r="X2566" s="4">
        <v>15.88</v>
      </c>
    </row>
    <row r="2567">
      <c r="A2567" s="4" t="s">
        <v>5268</v>
      </c>
      <c r="B2567" s="4" t="s">
        <v>770</v>
      </c>
      <c r="C2567" s="4">
        <v>32.0</v>
      </c>
      <c r="D2567" s="4">
        <v>32.0</v>
      </c>
      <c r="E2567" s="4" t="s">
        <v>5269</v>
      </c>
      <c r="F2567" s="4">
        <v>8.0</v>
      </c>
      <c r="G2567" s="4">
        <v>16.92</v>
      </c>
      <c r="H2567" s="4">
        <v>16.3</v>
      </c>
      <c r="I2567" s="4">
        <v>16.72</v>
      </c>
      <c r="J2567" s="4">
        <v>16.33</v>
      </c>
      <c r="X2567" s="4">
        <v>15.88</v>
      </c>
    </row>
    <row r="2568">
      <c r="A2568" s="4" t="s">
        <v>5270</v>
      </c>
      <c r="B2568" s="4" t="s">
        <v>770</v>
      </c>
      <c r="C2568" s="4">
        <v>33.0</v>
      </c>
      <c r="D2568" s="4">
        <v>33.0</v>
      </c>
      <c r="E2568" s="4" t="s">
        <v>5271</v>
      </c>
      <c r="F2568" s="4">
        <v>2.0</v>
      </c>
      <c r="G2568" s="4">
        <v>3.34</v>
      </c>
      <c r="H2568" s="4">
        <v>3.39</v>
      </c>
      <c r="I2568" s="4">
        <v>3.33</v>
      </c>
      <c r="J2568" s="4">
        <v>3.58</v>
      </c>
      <c r="X2568" s="4">
        <v>3.58</v>
      </c>
    </row>
    <row r="2569">
      <c r="A2569" s="4" t="s">
        <v>5272</v>
      </c>
      <c r="B2569" s="4" t="s">
        <v>770</v>
      </c>
      <c r="C2569" s="4">
        <v>34.0</v>
      </c>
      <c r="D2569" s="4">
        <v>34.0</v>
      </c>
      <c r="E2569" s="4" t="s">
        <v>5273</v>
      </c>
      <c r="F2569" s="4">
        <v>2.0</v>
      </c>
      <c r="G2569" s="4">
        <v>18.51</v>
      </c>
      <c r="H2569" s="4">
        <v>18.36</v>
      </c>
      <c r="I2569" s="4">
        <v>18.28</v>
      </c>
      <c r="J2569" s="4">
        <v>19.16</v>
      </c>
    </row>
    <row r="2570">
      <c r="A2570" s="4" t="s">
        <v>5274</v>
      </c>
      <c r="B2570" s="4" t="s">
        <v>770</v>
      </c>
      <c r="C2570" s="4">
        <v>35.0</v>
      </c>
      <c r="D2570" s="4">
        <v>35.0</v>
      </c>
      <c r="E2570" s="4" t="s">
        <v>5275</v>
      </c>
      <c r="F2570" s="4">
        <v>20.0</v>
      </c>
      <c r="G2570" s="4">
        <v>11.95</v>
      </c>
      <c r="H2570" s="4">
        <v>12.0</v>
      </c>
      <c r="I2570" s="4">
        <v>12.11</v>
      </c>
      <c r="J2570" s="4">
        <v>12.04</v>
      </c>
      <c r="X2570" s="4">
        <v>11.91</v>
      </c>
    </row>
    <row r="2571">
      <c r="A2571" s="4" t="s">
        <v>5276</v>
      </c>
      <c r="B2571" s="4" t="s">
        <v>770</v>
      </c>
      <c r="C2571" s="4">
        <v>36.0</v>
      </c>
      <c r="D2571" s="4">
        <v>36.0</v>
      </c>
      <c r="E2571" s="4" t="s">
        <v>5277</v>
      </c>
      <c r="F2571" s="4">
        <v>20.0</v>
      </c>
      <c r="G2571" s="4">
        <v>31.86</v>
      </c>
      <c r="H2571" s="4">
        <v>31.18</v>
      </c>
      <c r="I2571" s="4">
        <v>31.02</v>
      </c>
      <c r="J2571" s="4">
        <v>31.1</v>
      </c>
      <c r="X2571" s="4">
        <v>31.75</v>
      </c>
    </row>
    <row r="2572">
      <c r="A2572" s="4" t="s">
        <v>5278</v>
      </c>
      <c r="B2572" s="4" t="s">
        <v>770</v>
      </c>
      <c r="C2572" s="4">
        <v>37.0</v>
      </c>
      <c r="D2572" s="4">
        <v>37.0</v>
      </c>
      <c r="E2572" s="4" t="s">
        <v>5279</v>
      </c>
      <c r="F2572" s="4">
        <v>20.0</v>
      </c>
      <c r="G2572" s="4">
        <v>32.63</v>
      </c>
      <c r="H2572" s="4">
        <v>31.86</v>
      </c>
      <c r="I2572" s="4">
        <v>31.9</v>
      </c>
      <c r="J2572" s="4">
        <v>31.96</v>
      </c>
      <c r="X2572" s="4">
        <v>32.54</v>
      </c>
    </row>
    <row r="2573">
      <c r="A2573" s="4" t="s">
        <v>5280</v>
      </c>
      <c r="B2573" s="4" t="s">
        <v>770</v>
      </c>
      <c r="C2573" s="4">
        <v>38.0</v>
      </c>
      <c r="D2573" s="4">
        <v>38.0</v>
      </c>
      <c r="E2573" s="4" t="s">
        <v>5281</v>
      </c>
      <c r="F2573" s="4">
        <v>4.0</v>
      </c>
      <c r="G2573" s="4">
        <v>3.83</v>
      </c>
      <c r="H2573" s="4">
        <v>4.47</v>
      </c>
      <c r="I2573" s="4">
        <v>3.71</v>
      </c>
      <c r="J2573" s="4">
        <v>3.75</v>
      </c>
      <c r="X2573" s="4">
        <v>4.37</v>
      </c>
    </row>
    <row r="2574">
      <c r="A2574" s="4" t="s">
        <v>5282</v>
      </c>
      <c r="B2574" s="4" t="s">
        <v>770</v>
      </c>
      <c r="C2574" s="4">
        <v>39.0</v>
      </c>
      <c r="D2574" s="4">
        <v>39.0</v>
      </c>
      <c r="E2574" s="4" t="s">
        <v>5283</v>
      </c>
      <c r="F2574" s="4">
        <v>4.0</v>
      </c>
      <c r="G2574" s="4">
        <v>20.45</v>
      </c>
      <c r="H2574" s="4">
        <v>20.46</v>
      </c>
      <c r="I2574" s="4">
        <v>20.32</v>
      </c>
      <c r="J2574" s="4">
        <v>20.36</v>
      </c>
    </row>
    <row r="2575">
      <c r="A2575" s="4" t="s">
        <v>5284</v>
      </c>
      <c r="B2575" s="4" t="s">
        <v>770</v>
      </c>
      <c r="C2575" s="4">
        <v>40.0</v>
      </c>
      <c r="D2575" s="4">
        <v>40.0</v>
      </c>
      <c r="E2575" s="4" t="s">
        <v>5285</v>
      </c>
      <c r="F2575" s="4">
        <v>6.0</v>
      </c>
      <c r="G2575" s="4">
        <v>3.82</v>
      </c>
      <c r="H2575" s="4">
        <v>3.88</v>
      </c>
      <c r="I2575" s="4">
        <v>3.73</v>
      </c>
      <c r="J2575" s="4">
        <v>3.71</v>
      </c>
      <c r="X2575" s="4">
        <v>3.96</v>
      </c>
    </row>
    <row r="2576">
      <c r="A2576" s="4" t="s">
        <v>5286</v>
      </c>
      <c r="B2576" s="4" t="s">
        <v>770</v>
      </c>
      <c r="C2576" s="4">
        <v>41.0</v>
      </c>
      <c r="D2576" s="4">
        <v>41.0</v>
      </c>
      <c r="E2576" s="4" t="s">
        <v>5287</v>
      </c>
      <c r="F2576" s="4">
        <v>6.0</v>
      </c>
      <c r="G2576" s="4">
        <v>23.2</v>
      </c>
      <c r="H2576" s="4">
        <v>23.36</v>
      </c>
      <c r="I2576" s="4">
        <v>23.17</v>
      </c>
      <c r="J2576" s="4">
        <v>23.29</v>
      </c>
      <c r="X2576" s="4">
        <v>22.22</v>
      </c>
    </row>
    <row r="2577">
      <c r="A2577" s="4" t="s">
        <v>5288</v>
      </c>
      <c r="B2577" s="4" t="s">
        <v>779</v>
      </c>
      <c r="C2577" s="4">
        <v>42.0</v>
      </c>
      <c r="D2577" s="4">
        <v>1.0</v>
      </c>
      <c r="E2577" s="4" t="s">
        <v>5207</v>
      </c>
      <c r="F2577" s="4">
        <v>34.0</v>
      </c>
      <c r="G2577" s="4">
        <v>30.3</v>
      </c>
      <c r="H2577" s="4">
        <v>30.2</v>
      </c>
      <c r="I2577" s="4">
        <v>30.18</v>
      </c>
      <c r="J2577" s="4">
        <v>30.27</v>
      </c>
      <c r="X2577" s="4">
        <v>30.18</v>
      </c>
    </row>
    <row r="2578">
      <c r="A2578" s="4" t="s">
        <v>5289</v>
      </c>
      <c r="B2578" s="4" t="s">
        <v>779</v>
      </c>
      <c r="C2578" s="4">
        <v>43.0</v>
      </c>
      <c r="D2578" s="4">
        <v>2.0</v>
      </c>
      <c r="E2578" s="4" t="s">
        <v>5209</v>
      </c>
      <c r="F2578" s="4">
        <v>34.0</v>
      </c>
      <c r="G2578" s="4">
        <v>39.29</v>
      </c>
      <c r="H2578" s="4">
        <v>39.34</v>
      </c>
      <c r="I2578" s="4">
        <v>39.48</v>
      </c>
      <c r="J2578" s="4">
        <v>39.34</v>
      </c>
      <c r="K2578" s="4">
        <v>39.38</v>
      </c>
      <c r="L2578" s="4">
        <v>39.42</v>
      </c>
      <c r="M2578" s="4">
        <v>39.43</v>
      </c>
      <c r="N2578" s="4">
        <v>39.4</v>
      </c>
    </row>
    <row r="2579">
      <c r="A2579" s="4" t="s">
        <v>5290</v>
      </c>
      <c r="B2579" s="4" t="s">
        <v>779</v>
      </c>
      <c r="C2579" s="4">
        <v>44.0</v>
      </c>
      <c r="D2579" s="4">
        <v>3.0</v>
      </c>
      <c r="E2579" s="4" t="s">
        <v>5211</v>
      </c>
      <c r="F2579" s="4">
        <v>34.0</v>
      </c>
      <c r="G2579" s="4">
        <v>6.29</v>
      </c>
      <c r="H2579" s="4">
        <v>6.22</v>
      </c>
      <c r="I2579" s="4">
        <v>6.21</v>
      </c>
      <c r="J2579" s="4">
        <v>6.28</v>
      </c>
      <c r="K2579" s="4">
        <v>6.3</v>
      </c>
      <c r="L2579" s="4">
        <v>6.22</v>
      </c>
      <c r="M2579" s="4">
        <v>6.22</v>
      </c>
      <c r="N2579" s="4">
        <v>6.36</v>
      </c>
      <c r="O2579" s="4">
        <v>6.39</v>
      </c>
      <c r="P2579" s="4">
        <v>6.27</v>
      </c>
      <c r="Q2579" s="4">
        <v>6.28</v>
      </c>
      <c r="R2579" s="4">
        <v>6.33</v>
      </c>
      <c r="S2579" s="4">
        <v>6.3</v>
      </c>
      <c r="T2579" s="4">
        <v>6.26</v>
      </c>
      <c r="U2579" s="4">
        <v>6.21</v>
      </c>
      <c r="V2579" s="4">
        <v>6.35</v>
      </c>
      <c r="W2579" s="4"/>
      <c r="X2579" s="4">
        <v>6.35</v>
      </c>
    </row>
    <row r="2580">
      <c r="A2580" s="4" t="s">
        <v>5291</v>
      </c>
      <c r="B2580" s="4" t="s">
        <v>779</v>
      </c>
      <c r="C2580" s="4">
        <v>45.0</v>
      </c>
      <c r="D2580" s="4">
        <v>4.0</v>
      </c>
      <c r="E2580" s="4" t="s">
        <v>5213</v>
      </c>
      <c r="F2580" s="4">
        <v>14.0</v>
      </c>
      <c r="G2580" s="4">
        <v>5.14</v>
      </c>
      <c r="H2580" s="4">
        <v>5.16</v>
      </c>
      <c r="I2580" s="4">
        <v>5.11</v>
      </c>
      <c r="J2580" s="4">
        <v>5.16</v>
      </c>
      <c r="K2580" s="4">
        <v>5.18</v>
      </c>
      <c r="L2580" s="4">
        <v>5.19</v>
      </c>
      <c r="M2580" s="4">
        <v>4.45</v>
      </c>
      <c r="N2580" s="4">
        <v>5.19</v>
      </c>
      <c r="X2580" s="4">
        <v>5.16</v>
      </c>
    </row>
    <row r="2581">
      <c r="A2581" s="4" t="s">
        <v>5292</v>
      </c>
      <c r="B2581" s="4" t="s">
        <v>779</v>
      </c>
      <c r="C2581" s="4">
        <v>46.0</v>
      </c>
      <c r="D2581" s="4">
        <v>5.0</v>
      </c>
      <c r="E2581" s="4" t="s">
        <v>5215</v>
      </c>
      <c r="F2581" s="4">
        <v>14.0</v>
      </c>
      <c r="G2581" s="4">
        <v>19.09</v>
      </c>
      <c r="H2581" s="4">
        <v>19.1</v>
      </c>
      <c r="I2581" s="4">
        <v>19.19</v>
      </c>
      <c r="J2581" s="4">
        <v>19.17</v>
      </c>
      <c r="X2581" s="4">
        <v>19.05</v>
      </c>
    </row>
    <row r="2582">
      <c r="A2582" s="4" t="s">
        <v>5293</v>
      </c>
      <c r="B2582" s="4" t="s">
        <v>779</v>
      </c>
      <c r="C2582" s="4">
        <v>47.0</v>
      </c>
      <c r="D2582" s="4">
        <v>6.0</v>
      </c>
      <c r="E2582" s="4" t="s">
        <v>5217</v>
      </c>
      <c r="F2582" s="4">
        <v>14.0</v>
      </c>
      <c r="G2582" s="4">
        <v>24.6</v>
      </c>
      <c r="H2582" s="4">
        <v>24.52</v>
      </c>
      <c r="I2582" s="4">
        <v>25.14</v>
      </c>
      <c r="J2582" s="4">
        <v>24.62</v>
      </c>
      <c r="X2582" s="4">
        <v>25.4</v>
      </c>
    </row>
    <row r="2583">
      <c r="A2583" s="4" t="s">
        <v>5294</v>
      </c>
      <c r="B2583" s="4" t="s">
        <v>779</v>
      </c>
      <c r="C2583" s="4">
        <v>48.0</v>
      </c>
      <c r="D2583" s="4">
        <v>7.0</v>
      </c>
      <c r="E2583" s="4" t="s">
        <v>5219</v>
      </c>
      <c r="F2583" s="4">
        <v>6.0</v>
      </c>
      <c r="G2583" s="4">
        <v>3.8</v>
      </c>
      <c r="H2583" s="4">
        <v>3.97</v>
      </c>
      <c r="I2583" s="4">
        <v>4.01</v>
      </c>
      <c r="J2583" s="4">
        <v>4.02</v>
      </c>
      <c r="K2583" s="4">
        <v>3.94</v>
      </c>
      <c r="L2583" s="4">
        <v>3.84</v>
      </c>
      <c r="M2583" s="4">
        <v>3.97</v>
      </c>
      <c r="N2583" s="4">
        <v>4.0</v>
      </c>
      <c r="X2583" s="4">
        <v>3.96</v>
      </c>
    </row>
    <row r="2584">
      <c r="A2584" s="4" t="s">
        <v>5295</v>
      </c>
      <c r="B2584" s="4" t="s">
        <v>779</v>
      </c>
      <c r="C2584" s="4">
        <v>49.0</v>
      </c>
      <c r="D2584" s="4">
        <v>8.0</v>
      </c>
      <c r="E2584" s="4" t="s">
        <v>5221</v>
      </c>
      <c r="F2584" s="4">
        <v>6.0</v>
      </c>
      <c r="G2584" s="4">
        <v>24.41</v>
      </c>
      <c r="H2584" s="4">
        <v>24.0</v>
      </c>
      <c r="I2584" s="4">
        <v>23.91</v>
      </c>
      <c r="J2584" s="4">
        <v>22.59</v>
      </c>
      <c r="X2584" s="4">
        <v>22.22</v>
      </c>
    </row>
    <row r="2585">
      <c r="A2585" s="4" t="s">
        <v>5296</v>
      </c>
      <c r="B2585" s="4" t="s">
        <v>779</v>
      </c>
      <c r="C2585" s="4">
        <v>50.0</v>
      </c>
      <c r="D2585" s="4">
        <v>9.0</v>
      </c>
      <c r="E2585" s="4" t="s">
        <v>5223</v>
      </c>
      <c r="F2585" s="4">
        <v>14.0</v>
      </c>
      <c r="G2585" s="4">
        <v>4.97</v>
      </c>
      <c r="H2585" s="4">
        <v>5.12</v>
      </c>
      <c r="I2585" s="4">
        <v>5.22</v>
      </c>
      <c r="J2585" s="4">
        <v>5.14</v>
      </c>
      <c r="K2585" s="4">
        <v>4.39</v>
      </c>
      <c r="L2585" s="4">
        <v>4.5</v>
      </c>
      <c r="M2585" s="4">
        <v>4.4</v>
      </c>
      <c r="N2585" s="4">
        <v>4.57</v>
      </c>
      <c r="X2585" s="4">
        <v>5.16</v>
      </c>
    </row>
    <row r="2586">
      <c r="A2586" s="4" t="s">
        <v>5297</v>
      </c>
      <c r="B2586" s="4" t="s">
        <v>779</v>
      </c>
      <c r="C2586" s="4">
        <v>51.0</v>
      </c>
      <c r="D2586" s="4">
        <v>10.0</v>
      </c>
      <c r="E2586" s="4" t="s">
        <v>5225</v>
      </c>
      <c r="F2586" s="4">
        <v>14.0</v>
      </c>
      <c r="G2586" s="4">
        <v>19.17</v>
      </c>
      <c r="H2586" s="4">
        <v>20.73</v>
      </c>
      <c r="I2586" s="4">
        <v>19.7</v>
      </c>
      <c r="J2586" s="4">
        <v>21.11</v>
      </c>
      <c r="X2586" s="4">
        <v>20.62</v>
      </c>
    </row>
    <row r="2587">
      <c r="A2587" s="4" t="s">
        <v>5298</v>
      </c>
      <c r="B2587" s="4" t="s">
        <v>779</v>
      </c>
      <c r="C2587" s="4">
        <v>52.0</v>
      </c>
      <c r="D2587" s="4">
        <v>11.0</v>
      </c>
      <c r="E2587" s="4" t="s">
        <v>5227</v>
      </c>
      <c r="F2587" s="4">
        <v>14.0</v>
      </c>
      <c r="G2587" s="4">
        <v>23.67</v>
      </c>
      <c r="H2587" s="4">
        <v>24.22</v>
      </c>
      <c r="I2587" s="4">
        <v>24.21</v>
      </c>
      <c r="J2587" s="4">
        <v>24.22</v>
      </c>
      <c r="X2587" s="4">
        <v>23.83</v>
      </c>
    </row>
    <row r="2588">
      <c r="A2588" s="4" t="s">
        <v>5299</v>
      </c>
      <c r="B2588" s="4" t="s">
        <v>779</v>
      </c>
      <c r="C2588" s="4">
        <v>53.0</v>
      </c>
      <c r="D2588" s="4">
        <v>12.0</v>
      </c>
      <c r="E2588" s="4" t="s">
        <v>5229</v>
      </c>
      <c r="F2588" s="4">
        <v>14.0</v>
      </c>
      <c r="G2588" s="4">
        <v>5.15</v>
      </c>
      <c r="H2588" s="4">
        <v>4.41</v>
      </c>
      <c r="I2588" s="4">
        <v>4.42</v>
      </c>
      <c r="J2588" s="4">
        <v>4.43</v>
      </c>
      <c r="K2588" s="4">
        <v>4.95</v>
      </c>
      <c r="L2588" s="4">
        <v>4.41</v>
      </c>
      <c r="M2588" s="4">
        <v>4.47</v>
      </c>
      <c r="N2588" s="4">
        <v>4.46</v>
      </c>
      <c r="X2588" s="4">
        <v>5.16</v>
      </c>
    </row>
    <row r="2589">
      <c r="A2589" s="4" t="s">
        <v>5300</v>
      </c>
      <c r="B2589" s="4" t="s">
        <v>779</v>
      </c>
      <c r="C2589" s="4">
        <v>54.0</v>
      </c>
      <c r="D2589" s="4">
        <v>13.0</v>
      </c>
      <c r="E2589" s="4" t="s">
        <v>5231</v>
      </c>
      <c r="F2589" s="4">
        <v>14.0</v>
      </c>
      <c r="G2589" s="4">
        <v>19.18</v>
      </c>
      <c r="H2589" s="4">
        <v>19.18</v>
      </c>
      <c r="I2589" s="4">
        <v>19.79</v>
      </c>
      <c r="J2589" s="4">
        <v>20.54</v>
      </c>
      <c r="X2589" s="4">
        <v>20.62</v>
      </c>
    </row>
    <row r="2590">
      <c r="A2590" s="4" t="s">
        <v>5301</v>
      </c>
      <c r="B2590" s="4" t="s">
        <v>779</v>
      </c>
      <c r="C2590" s="4">
        <v>55.0</v>
      </c>
      <c r="D2590" s="4">
        <v>14.0</v>
      </c>
      <c r="E2590" s="4" t="s">
        <v>5233</v>
      </c>
      <c r="F2590" s="4">
        <v>14.0</v>
      </c>
      <c r="G2590" s="4">
        <v>24.6</v>
      </c>
      <c r="H2590" s="4">
        <v>24.52</v>
      </c>
      <c r="I2590" s="4">
        <v>24.52</v>
      </c>
      <c r="J2590" s="4">
        <v>24.61</v>
      </c>
      <c r="X2590" s="4">
        <v>25.4</v>
      </c>
    </row>
    <row r="2591">
      <c r="A2591" s="4" t="s">
        <v>5302</v>
      </c>
      <c r="B2591" s="4" t="s">
        <v>779</v>
      </c>
      <c r="C2591" s="4">
        <v>56.0</v>
      </c>
      <c r="D2591" s="4">
        <v>15.0</v>
      </c>
      <c r="E2591" s="4" t="s">
        <v>5235</v>
      </c>
      <c r="F2591" s="4">
        <v>3.0</v>
      </c>
      <c r="G2591" s="4">
        <v>3.79</v>
      </c>
      <c r="H2591" s="4">
        <v>3.74</v>
      </c>
      <c r="I2591" s="4">
        <v>3.76</v>
      </c>
      <c r="J2591" s="4">
        <v>3.7</v>
      </c>
      <c r="K2591" s="4">
        <v>3.65</v>
      </c>
      <c r="L2591" s="4">
        <v>3.7</v>
      </c>
      <c r="M2591" s="4">
        <v>3.76</v>
      </c>
      <c r="N2591" s="4">
        <v>3.66</v>
      </c>
      <c r="X2591" s="4">
        <v>3.96</v>
      </c>
    </row>
    <row r="2592">
      <c r="A2592" s="4" t="s">
        <v>5303</v>
      </c>
      <c r="B2592" s="4" t="s">
        <v>779</v>
      </c>
      <c r="C2592" s="4">
        <v>57.0</v>
      </c>
      <c r="D2592" s="4">
        <v>16.0</v>
      </c>
      <c r="E2592" s="4" t="s">
        <v>5237</v>
      </c>
      <c r="F2592" s="4">
        <v>3.0</v>
      </c>
      <c r="G2592" s="4">
        <v>20.69</v>
      </c>
      <c r="H2592" s="4">
        <v>20.83</v>
      </c>
      <c r="I2592" s="4">
        <v>20.66</v>
      </c>
      <c r="J2592" s="4">
        <v>22.31</v>
      </c>
    </row>
    <row r="2593">
      <c r="A2593" s="4" t="s">
        <v>5304</v>
      </c>
      <c r="B2593" s="4" t="s">
        <v>779</v>
      </c>
      <c r="C2593" s="4">
        <v>58.0</v>
      </c>
      <c r="D2593" s="4">
        <v>17.0</v>
      </c>
      <c r="E2593" s="4" t="s">
        <v>5239</v>
      </c>
      <c r="F2593" s="4">
        <v>14.0</v>
      </c>
      <c r="G2593" s="4">
        <v>4.47</v>
      </c>
      <c r="H2593" s="4">
        <v>4.45</v>
      </c>
      <c r="I2593" s="4">
        <v>4.49</v>
      </c>
      <c r="J2593" s="4">
        <v>4.4</v>
      </c>
      <c r="K2593" s="4">
        <v>5.25</v>
      </c>
      <c r="L2593" s="4">
        <v>4.47</v>
      </c>
      <c r="M2593" s="4">
        <v>5.19</v>
      </c>
      <c r="N2593" s="4">
        <v>4.42</v>
      </c>
      <c r="X2593" s="4">
        <v>5.33</v>
      </c>
    </row>
    <row r="2594">
      <c r="A2594" s="4" t="s">
        <v>5305</v>
      </c>
      <c r="B2594" s="4" t="s">
        <v>779</v>
      </c>
      <c r="C2594" s="4">
        <v>59.0</v>
      </c>
      <c r="D2594" s="4">
        <v>18.0</v>
      </c>
      <c r="E2594" s="4" t="s">
        <v>5241</v>
      </c>
      <c r="F2594" s="4">
        <v>14.0</v>
      </c>
      <c r="G2594" s="4">
        <v>20.56</v>
      </c>
      <c r="H2594" s="4">
        <v>20.5</v>
      </c>
      <c r="I2594" s="4">
        <v>20.99</v>
      </c>
      <c r="J2594" s="4">
        <v>20.4</v>
      </c>
      <c r="X2594" s="4">
        <v>20.62</v>
      </c>
    </row>
    <row r="2595">
      <c r="A2595" s="4" t="s">
        <v>5306</v>
      </c>
      <c r="B2595" s="4" t="s">
        <v>779</v>
      </c>
      <c r="C2595" s="4">
        <v>60.0</v>
      </c>
      <c r="D2595" s="4">
        <v>19.0</v>
      </c>
      <c r="E2595" s="4" t="s">
        <v>5243</v>
      </c>
      <c r="F2595" s="4">
        <v>14.0</v>
      </c>
      <c r="G2595" s="4">
        <v>25.22</v>
      </c>
      <c r="H2595" s="4">
        <v>24.28</v>
      </c>
      <c r="I2595" s="4">
        <v>24.31</v>
      </c>
      <c r="J2595" s="4">
        <v>24.41</v>
      </c>
      <c r="X2595" s="4">
        <v>25.4</v>
      </c>
    </row>
    <row r="2596">
      <c r="A2596" s="4" t="s">
        <v>5307</v>
      </c>
      <c r="B2596" s="4" t="s">
        <v>779</v>
      </c>
      <c r="C2596" s="4">
        <v>61.0</v>
      </c>
      <c r="D2596" s="4">
        <v>20.0</v>
      </c>
      <c r="E2596" s="4" t="s">
        <v>5245</v>
      </c>
      <c r="F2596" s="4">
        <v>3.0</v>
      </c>
      <c r="G2596" s="4">
        <v>3.74</v>
      </c>
      <c r="H2596" s="4">
        <v>3.75</v>
      </c>
      <c r="I2596" s="4">
        <v>3.67</v>
      </c>
      <c r="J2596" s="4">
        <v>3.66</v>
      </c>
      <c r="K2596" s="4">
        <v>3.86</v>
      </c>
      <c r="L2596" s="4">
        <v>3.74</v>
      </c>
      <c r="M2596" s="4">
        <v>3.84</v>
      </c>
      <c r="N2596" s="4">
        <v>3.86</v>
      </c>
      <c r="X2596" s="4">
        <v>3.96</v>
      </c>
    </row>
    <row r="2597">
      <c r="A2597" s="4" t="s">
        <v>5308</v>
      </c>
      <c r="B2597" s="4" t="s">
        <v>779</v>
      </c>
      <c r="C2597" s="4">
        <v>62.0</v>
      </c>
      <c r="D2597" s="4">
        <v>21.0</v>
      </c>
      <c r="E2597" s="4" t="s">
        <v>5247</v>
      </c>
      <c r="F2597" s="4">
        <v>3.0</v>
      </c>
      <c r="G2597" s="4">
        <v>20.65</v>
      </c>
      <c r="H2597" s="4">
        <v>20.64</v>
      </c>
      <c r="I2597" s="4">
        <v>20.76</v>
      </c>
      <c r="J2597" s="4">
        <v>21.48</v>
      </c>
    </row>
    <row r="2598">
      <c r="A2598" s="4" t="s">
        <v>5309</v>
      </c>
      <c r="B2598" s="4" t="s">
        <v>779</v>
      </c>
      <c r="C2598" s="4">
        <v>63.0</v>
      </c>
      <c r="D2598" s="4">
        <v>22.0</v>
      </c>
      <c r="E2598" s="4" t="s">
        <v>5249</v>
      </c>
      <c r="F2598" s="4">
        <v>4.0</v>
      </c>
      <c r="G2598" s="4">
        <v>3.7</v>
      </c>
      <c r="H2598" s="4">
        <v>3.71</v>
      </c>
      <c r="I2598" s="4">
        <v>3.7</v>
      </c>
      <c r="J2598" s="4">
        <v>3.7</v>
      </c>
      <c r="K2598" s="4">
        <v>3.75</v>
      </c>
      <c r="L2598" s="4">
        <v>3.53</v>
      </c>
      <c r="M2598" s="4">
        <v>3.83</v>
      </c>
      <c r="N2598" s="4">
        <v>3.7</v>
      </c>
      <c r="X2598" s="4">
        <v>3.96</v>
      </c>
    </row>
    <row r="2599">
      <c r="A2599" s="4" t="s">
        <v>5310</v>
      </c>
      <c r="B2599" s="4" t="s">
        <v>779</v>
      </c>
      <c r="C2599" s="4">
        <v>64.0</v>
      </c>
      <c r="D2599" s="4">
        <v>23.0</v>
      </c>
      <c r="E2599" s="4" t="s">
        <v>5251</v>
      </c>
      <c r="F2599" s="4">
        <v>4.0</v>
      </c>
      <c r="G2599" s="4">
        <v>16.53</v>
      </c>
      <c r="H2599" s="4">
        <v>15.75</v>
      </c>
      <c r="I2599" s="4">
        <v>15.66</v>
      </c>
      <c r="J2599" s="4">
        <v>15.77</v>
      </c>
      <c r="X2599" s="4">
        <v>17.12</v>
      </c>
    </row>
    <row r="2600">
      <c r="A2600" s="4" t="s">
        <v>5311</v>
      </c>
      <c r="B2600" s="4" t="s">
        <v>779</v>
      </c>
      <c r="C2600" s="4">
        <v>65.0</v>
      </c>
      <c r="D2600" s="4">
        <v>24.0</v>
      </c>
      <c r="E2600" s="4" t="s">
        <v>5253</v>
      </c>
      <c r="F2600" s="4">
        <v>4.0</v>
      </c>
      <c r="G2600" s="4">
        <v>2.87</v>
      </c>
      <c r="H2600" s="4">
        <v>2.89</v>
      </c>
      <c r="I2600" s="4">
        <v>2.87</v>
      </c>
      <c r="J2600" s="4">
        <v>2.87</v>
      </c>
      <c r="K2600" s="4">
        <v>2.83</v>
      </c>
      <c r="L2600" s="4">
        <v>2.93</v>
      </c>
      <c r="M2600" s="4">
        <v>2.84</v>
      </c>
      <c r="N2600" s="4">
        <v>2.86</v>
      </c>
      <c r="X2600" s="4">
        <v>3.05</v>
      </c>
    </row>
    <row r="2601">
      <c r="A2601" s="4" t="s">
        <v>5312</v>
      </c>
      <c r="B2601" s="4" t="s">
        <v>779</v>
      </c>
      <c r="C2601" s="4">
        <v>66.0</v>
      </c>
      <c r="D2601" s="4">
        <v>25.0</v>
      </c>
      <c r="E2601" s="4" t="s">
        <v>5255</v>
      </c>
      <c r="F2601" s="4">
        <v>4.0</v>
      </c>
      <c r="G2601" s="4">
        <v>15.63</v>
      </c>
      <c r="H2601" s="4">
        <v>15.55</v>
      </c>
      <c r="I2601" s="4">
        <v>15.43</v>
      </c>
      <c r="J2601" s="4">
        <v>15.58</v>
      </c>
      <c r="X2601" s="4">
        <v>17.12</v>
      </c>
    </row>
    <row r="2602">
      <c r="A2602" s="4" t="s">
        <v>5313</v>
      </c>
      <c r="B2602" s="4" t="s">
        <v>779</v>
      </c>
      <c r="C2602" s="4">
        <v>67.0</v>
      </c>
      <c r="D2602" s="4">
        <v>26.0</v>
      </c>
      <c r="E2602" s="4" t="s">
        <v>5257</v>
      </c>
      <c r="F2602" s="4">
        <v>4.0</v>
      </c>
      <c r="G2602" s="4">
        <v>20.81</v>
      </c>
      <c r="H2602" s="4">
        <v>20.79</v>
      </c>
      <c r="I2602" s="4">
        <v>20.83</v>
      </c>
      <c r="J2602" s="4">
        <v>20.79</v>
      </c>
    </row>
    <row r="2603">
      <c r="A2603" s="4" t="s">
        <v>5314</v>
      </c>
      <c r="B2603" s="4" t="s">
        <v>779</v>
      </c>
      <c r="C2603" s="4">
        <v>68.0</v>
      </c>
      <c r="D2603" s="4">
        <v>27.0</v>
      </c>
      <c r="E2603" s="4" t="s">
        <v>5259</v>
      </c>
      <c r="F2603" s="4">
        <v>8.0</v>
      </c>
      <c r="G2603" s="4">
        <v>4.83</v>
      </c>
      <c r="H2603" s="4">
        <v>4.07</v>
      </c>
      <c r="I2603" s="4">
        <v>4.04</v>
      </c>
      <c r="J2603" s="4">
        <v>4.12</v>
      </c>
      <c r="X2603" s="4">
        <v>4.78</v>
      </c>
    </row>
    <row r="2604">
      <c r="A2604" s="4" t="s">
        <v>5315</v>
      </c>
      <c r="B2604" s="4" t="s">
        <v>779</v>
      </c>
      <c r="C2604" s="4">
        <v>69.0</v>
      </c>
      <c r="D2604" s="4">
        <v>28.0</v>
      </c>
      <c r="E2604" s="4" t="s">
        <v>5261</v>
      </c>
      <c r="F2604" s="4">
        <v>8.0</v>
      </c>
      <c r="G2604" s="4">
        <v>16.31</v>
      </c>
      <c r="H2604" s="4">
        <v>16.22</v>
      </c>
      <c r="I2604" s="4">
        <v>15.57</v>
      </c>
      <c r="J2604" s="4">
        <v>16.29</v>
      </c>
      <c r="X2604" s="4">
        <v>15.88</v>
      </c>
    </row>
    <row r="2605">
      <c r="A2605" s="4" t="s">
        <v>5316</v>
      </c>
      <c r="B2605" s="4" t="s">
        <v>779</v>
      </c>
      <c r="C2605" s="4">
        <v>70.0</v>
      </c>
      <c r="D2605" s="4">
        <v>29.0</v>
      </c>
      <c r="E2605" s="4" t="s">
        <v>5263</v>
      </c>
      <c r="F2605" s="4">
        <v>8.0</v>
      </c>
      <c r="G2605" s="4">
        <v>16.14</v>
      </c>
      <c r="H2605" s="4">
        <v>15.54</v>
      </c>
      <c r="I2605" s="4">
        <v>16.05</v>
      </c>
      <c r="J2605" s="4">
        <v>15.79</v>
      </c>
      <c r="X2605" s="4">
        <v>15.88</v>
      </c>
    </row>
    <row r="2606">
      <c r="A2606" s="4" t="s">
        <v>5317</v>
      </c>
      <c r="B2606" s="4" t="s">
        <v>779</v>
      </c>
      <c r="C2606" s="4">
        <v>71.0</v>
      </c>
      <c r="D2606" s="4">
        <v>30.0</v>
      </c>
      <c r="E2606" s="4" t="s">
        <v>5265</v>
      </c>
      <c r="F2606" s="4">
        <v>8.0</v>
      </c>
      <c r="G2606" s="4">
        <v>3.96</v>
      </c>
      <c r="H2606" s="4">
        <v>3.9</v>
      </c>
      <c r="I2606" s="4">
        <v>3.97</v>
      </c>
      <c r="J2606" s="4">
        <v>3.95</v>
      </c>
      <c r="X2606" s="4">
        <v>3.96</v>
      </c>
    </row>
    <row r="2607">
      <c r="A2607" s="4" t="s">
        <v>5318</v>
      </c>
      <c r="B2607" s="4" t="s">
        <v>779</v>
      </c>
      <c r="C2607" s="4">
        <v>72.0</v>
      </c>
      <c r="D2607" s="4">
        <v>31.0</v>
      </c>
      <c r="E2607" s="4" t="s">
        <v>5267</v>
      </c>
      <c r="F2607" s="4">
        <v>8.0</v>
      </c>
      <c r="G2607" s="4">
        <v>15.75</v>
      </c>
      <c r="H2607" s="4">
        <v>14.92</v>
      </c>
      <c r="I2607" s="4">
        <v>15.69</v>
      </c>
      <c r="J2607" s="4">
        <v>15.72</v>
      </c>
      <c r="X2607" s="4">
        <v>15.88</v>
      </c>
    </row>
    <row r="2608">
      <c r="A2608" s="4" t="s">
        <v>5319</v>
      </c>
      <c r="B2608" s="4" t="s">
        <v>779</v>
      </c>
      <c r="C2608" s="4">
        <v>73.0</v>
      </c>
      <c r="D2608" s="4">
        <v>32.0</v>
      </c>
      <c r="E2608" s="4" t="s">
        <v>5269</v>
      </c>
      <c r="F2608" s="4">
        <v>8.0</v>
      </c>
      <c r="G2608" s="4">
        <v>15.52</v>
      </c>
      <c r="H2608" s="4">
        <v>15.57</v>
      </c>
      <c r="I2608" s="4">
        <v>16.12</v>
      </c>
      <c r="J2608" s="4">
        <v>15.55</v>
      </c>
      <c r="X2608" s="4">
        <v>15.88</v>
      </c>
    </row>
    <row r="2609">
      <c r="A2609" s="4" t="s">
        <v>5320</v>
      </c>
      <c r="B2609" s="4" t="s">
        <v>779</v>
      </c>
      <c r="C2609" s="4">
        <v>74.0</v>
      </c>
      <c r="D2609" s="4">
        <v>33.0</v>
      </c>
      <c r="E2609" s="4" t="s">
        <v>5271</v>
      </c>
      <c r="F2609" s="4">
        <v>2.0</v>
      </c>
      <c r="G2609" s="4">
        <v>3.52</v>
      </c>
      <c r="H2609" s="4">
        <v>3.73</v>
      </c>
      <c r="I2609" s="4">
        <v>3.63</v>
      </c>
      <c r="J2609" s="4">
        <v>3.56</v>
      </c>
      <c r="X2609" s="4">
        <v>3.58</v>
      </c>
    </row>
    <row r="2610">
      <c r="A2610" s="4" t="s">
        <v>5321</v>
      </c>
      <c r="B2610" s="4" t="s">
        <v>779</v>
      </c>
      <c r="C2610" s="4">
        <v>75.0</v>
      </c>
      <c r="D2610" s="4">
        <v>34.0</v>
      </c>
      <c r="E2610" s="4" t="s">
        <v>5273</v>
      </c>
      <c r="F2610" s="4">
        <v>2.0</v>
      </c>
      <c r="G2610" s="4">
        <v>18.92</v>
      </c>
      <c r="H2610" s="4">
        <v>18.9</v>
      </c>
      <c r="I2610" s="4">
        <v>18.97</v>
      </c>
      <c r="J2610" s="4">
        <v>19.09</v>
      </c>
    </row>
    <row r="2611">
      <c r="A2611" s="4" t="s">
        <v>5322</v>
      </c>
      <c r="B2611" s="4" t="s">
        <v>779</v>
      </c>
      <c r="C2611" s="4">
        <v>76.0</v>
      </c>
      <c r="D2611" s="4">
        <v>35.0</v>
      </c>
      <c r="E2611" s="4" t="s">
        <v>5275</v>
      </c>
      <c r="F2611" s="4">
        <v>20.0</v>
      </c>
      <c r="G2611" s="4">
        <v>11.75</v>
      </c>
      <c r="H2611" s="4">
        <v>11.63</v>
      </c>
      <c r="I2611" s="4">
        <v>11.87</v>
      </c>
      <c r="J2611" s="4">
        <v>11.79</v>
      </c>
      <c r="X2611" s="4">
        <v>11.91</v>
      </c>
    </row>
    <row r="2612">
      <c r="A2612" s="4" t="s">
        <v>5323</v>
      </c>
      <c r="B2612" s="4" t="s">
        <v>779</v>
      </c>
      <c r="C2612" s="4">
        <v>77.0</v>
      </c>
      <c r="D2612" s="4">
        <v>36.0</v>
      </c>
      <c r="E2612" s="4" t="s">
        <v>5277</v>
      </c>
      <c r="F2612" s="4">
        <v>20.0</v>
      </c>
      <c r="G2612" s="4">
        <v>32.23</v>
      </c>
      <c r="H2612" s="4">
        <v>32.8</v>
      </c>
      <c r="I2612" s="4">
        <v>31.65</v>
      </c>
      <c r="J2612" s="4">
        <v>31.66</v>
      </c>
      <c r="X2612" s="4">
        <v>32.54</v>
      </c>
    </row>
    <row r="2613">
      <c r="A2613" s="4" t="s">
        <v>5324</v>
      </c>
      <c r="B2613" s="4" t="s">
        <v>779</v>
      </c>
      <c r="C2613" s="4">
        <v>78.0</v>
      </c>
      <c r="D2613" s="4">
        <v>37.0</v>
      </c>
      <c r="E2613" s="4" t="s">
        <v>5279</v>
      </c>
      <c r="F2613" s="4">
        <v>20.0</v>
      </c>
      <c r="G2613" s="4">
        <v>32.78</v>
      </c>
      <c r="H2613" s="4">
        <v>32.88</v>
      </c>
      <c r="I2613" s="4">
        <v>32.81</v>
      </c>
      <c r="J2613" s="4">
        <v>32.26</v>
      </c>
      <c r="X2613" s="4">
        <v>32.54</v>
      </c>
    </row>
    <row r="2614">
      <c r="A2614" s="4" t="s">
        <v>5325</v>
      </c>
      <c r="B2614" s="4" t="s">
        <v>779</v>
      </c>
      <c r="C2614" s="4">
        <v>79.0</v>
      </c>
      <c r="D2614" s="4">
        <v>38.0</v>
      </c>
      <c r="E2614" s="4" t="s">
        <v>5281</v>
      </c>
      <c r="F2614" s="4">
        <v>4.0</v>
      </c>
      <c r="G2614" s="4">
        <v>3.81</v>
      </c>
      <c r="H2614" s="4">
        <v>3.84</v>
      </c>
      <c r="I2614" s="4">
        <v>3.89</v>
      </c>
      <c r="J2614" s="4">
        <v>3.8</v>
      </c>
      <c r="X2614" s="4">
        <v>3.96</v>
      </c>
    </row>
    <row r="2615">
      <c r="A2615" s="4" t="s">
        <v>5326</v>
      </c>
      <c r="B2615" s="4" t="s">
        <v>779</v>
      </c>
      <c r="C2615" s="4">
        <v>80.0</v>
      </c>
      <c r="D2615" s="4">
        <v>39.0</v>
      </c>
      <c r="E2615" s="4" t="s">
        <v>5283</v>
      </c>
      <c r="F2615" s="4">
        <v>4.0</v>
      </c>
      <c r="G2615" s="4">
        <v>21.25</v>
      </c>
      <c r="H2615" s="4">
        <v>21.21</v>
      </c>
      <c r="I2615" s="4">
        <v>22.01</v>
      </c>
      <c r="J2615" s="4">
        <v>22.09</v>
      </c>
    </row>
    <row r="2616">
      <c r="A2616" s="4" t="s">
        <v>5327</v>
      </c>
      <c r="B2616" s="4" t="s">
        <v>779</v>
      </c>
      <c r="C2616" s="4">
        <v>81.0</v>
      </c>
      <c r="D2616" s="4">
        <v>40.0</v>
      </c>
      <c r="E2616" s="4" t="s">
        <v>5285</v>
      </c>
      <c r="F2616" s="4">
        <v>6.0</v>
      </c>
      <c r="G2616" s="4">
        <v>3.73</v>
      </c>
      <c r="H2616" s="4">
        <v>3.82</v>
      </c>
      <c r="I2616" s="4">
        <v>3.79</v>
      </c>
      <c r="J2616" s="4">
        <v>3.85</v>
      </c>
      <c r="X2616" s="4">
        <v>3.96</v>
      </c>
    </row>
    <row r="2617">
      <c r="A2617" s="4" t="s">
        <v>5328</v>
      </c>
      <c r="B2617" s="4" t="s">
        <v>779</v>
      </c>
      <c r="C2617" s="4">
        <v>82.0</v>
      </c>
      <c r="D2617" s="4">
        <v>41.0</v>
      </c>
      <c r="E2617" s="4" t="s">
        <v>5287</v>
      </c>
      <c r="F2617" s="4">
        <v>6.0</v>
      </c>
      <c r="G2617" s="4">
        <v>23.87</v>
      </c>
      <c r="H2617" s="4">
        <v>23.16</v>
      </c>
      <c r="I2617" s="4">
        <v>23.92</v>
      </c>
      <c r="J2617" s="4">
        <v>23.9</v>
      </c>
      <c r="X2617" s="4">
        <v>22.22</v>
      </c>
    </row>
    <row r="2618">
      <c r="A2618" s="4" t="s">
        <v>5329</v>
      </c>
      <c r="B2618" s="4" t="s">
        <v>794</v>
      </c>
      <c r="C2618" s="4">
        <v>83.0</v>
      </c>
      <c r="D2618" s="4">
        <v>1.0</v>
      </c>
      <c r="E2618" s="4" t="s">
        <v>5207</v>
      </c>
      <c r="G2618" s="4">
        <v>6.12</v>
      </c>
      <c r="H2618" s="4">
        <v>6.26</v>
      </c>
      <c r="I2618" s="4">
        <v>6.21</v>
      </c>
      <c r="J2618" s="4">
        <v>6.16</v>
      </c>
      <c r="K2618" s="4">
        <v>6.18</v>
      </c>
      <c r="L2618" s="4">
        <v>6.21</v>
      </c>
      <c r="M2618" s="4">
        <v>6.23</v>
      </c>
      <c r="N2618" s="4">
        <v>6.17</v>
      </c>
    </row>
    <row r="2619">
      <c r="A2619" s="4" t="s">
        <v>5330</v>
      </c>
      <c r="B2619" s="4" t="s">
        <v>794</v>
      </c>
      <c r="C2619" s="4">
        <v>84.0</v>
      </c>
      <c r="D2619" s="4">
        <v>2.0</v>
      </c>
      <c r="E2619" s="4" t="s">
        <v>5209</v>
      </c>
      <c r="G2619" s="4">
        <v>5.16</v>
      </c>
      <c r="H2619" s="4">
        <v>5.83</v>
      </c>
      <c r="I2619" s="4">
        <v>5.83</v>
      </c>
      <c r="J2619" s="4">
        <v>5.91</v>
      </c>
      <c r="K2619" s="4">
        <v>5.58</v>
      </c>
      <c r="L2619" s="4">
        <v>5.85</v>
      </c>
      <c r="M2619" s="4">
        <v>5.76</v>
      </c>
      <c r="N2619" s="4">
        <v>5.07</v>
      </c>
    </row>
    <row r="2620">
      <c r="A2620" s="4" t="s">
        <v>5331</v>
      </c>
      <c r="B2620" s="4" t="s">
        <v>794</v>
      </c>
      <c r="C2620" s="4">
        <v>85.0</v>
      </c>
      <c r="D2620" s="4">
        <v>3.0</v>
      </c>
      <c r="E2620" s="4" t="s">
        <v>5211</v>
      </c>
      <c r="G2620" s="4">
        <v>5.46</v>
      </c>
      <c r="H2620" s="4">
        <v>4.86</v>
      </c>
      <c r="I2620" s="4">
        <v>5.38</v>
      </c>
      <c r="J2620" s="4">
        <v>5.39</v>
      </c>
      <c r="K2620" s="4">
        <v>5.44</v>
      </c>
      <c r="L2620" s="4">
        <v>4.57</v>
      </c>
      <c r="M2620" s="4">
        <v>4.6</v>
      </c>
      <c r="N2620" s="4">
        <v>4.58</v>
      </c>
      <c r="O2620" s="4">
        <v>4.63</v>
      </c>
      <c r="P2620" s="4">
        <v>4.66</v>
      </c>
      <c r="Q2620" s="4">
        <v>5.41</v>
      </c>
      <c r="R2620" s="4">
        <v>5.43</v>
      </c>
      <c r="S2620" s="4">
        <v>5.53</v>
      </c>
      <c r="T2620" s="4">
        <v>4.64</v>
      </c>
      <c r="U2620" s="4">
        <v>4.64</v>
      </c>
      <c r="V2620" s="4">
        <v>5.49</v>
      </c>
      <c r="W2620" s="4"/>
    </row>
    <row r="2621">
      <c r="A2621" s="4" t="s">
        <v>5332</v>
      </c>
      <c r="B2621" s="4" t="s">
        <v>787</v>
      </c>
      <c r="C2621" s="4">
        <v>86.0</v>
      </c>
      <c r="D2621" s="4">
        <v>1.0</v>
      </c>
      <c r="E2621" s="4" t="s">
        <v>5207</v>
      </c>
      <c r="F2621" s="4">
        <v>34.0</v>
      </c>
      <c r="G2621" s="4">
        <v>32.19</v>
      </c>
      <c r="H2621" s="4">
        <v>31.22</v>
      </c>
      <c r="I2621" s="4">
        <v>31.34</v>
      </c>
      <c r="J2621" s="4">
        <v>31.48</v>
      </c>
      <c r="X2621" s="4">
        <v>31.75</v>
      </c>
    </row>
    <row r="2622">
      <c r="A2622" s="4" t="s">
        <v>5333</v>
      </c>
      <c r="B2622" s="4" t="s">
        <v>787</v>
      </c>
      <c r="C2622" s="4">
        <v>87.0</v>
      </c>
      <c r="D2622" s="4">
        <v>2.0</v>
      </c>
      <c r="E2622" s="4" t="s">
        <v>5209</v>
      </c>
      <c r="F2622" s="4">
        <v>34.0</v>
      </c>
      <c r="G2622" s="4">
        <v>40.71</v>
      </c>
      <c r="H2622" s="4">
        <v>40.71</v>
      </c>
      <c r="I2622" s="4">
        <v>40.49</v>
      </c>
      <c r="J2622" s="4">
        <v>40.6</v>
      </c>
      <c r="K2622" s="4">
        <v>40.77</v>
      </c>
      <c r="L2622" s="4">
        <v>40.76</v>
      </c>
      <c r="M2622" s="4">
        <v>40.74</v>
      </c>
      <c r="N2622" s="4">
        <v>40.79</v>
      </c>
    </row>
    <row r="2623">
      <c r="A2623" s="4" t="s">
        <v>5334</v>
      </c>
      <c r="B2623" s="4" t="s">
        <v>787</v>
      </c>
      <c r="C2623" s="4">
        <v>88.0</v>
      </c>
      <c r="D2623" s="4">
        <v>3.0</v>
      </c>
      <c r="E2623" s="4" t="s">
        <v>5211</v>
      </c>
      <c r="F2623" s="4">
        <v>34.0</v>
      </c>
      <c r="G2623" s="4">
        <v>6.5</v>
      </c>
      <c r="H2623" s="4">
        <v>6.47</v>
      </c>
      <c r="I2623" s="4">
        <v>6.52</v>
      </c>
      <c r="J2623" s="4">
        <v>6.63</v>
      </c>
      <c r="K2623" s="4">
        <v>6.48</v>
      </c>
      <c r="L2623" s="4">
        <v>6.55</v>
      </c>
      <c r="M2623" s="4">
        <v>6.52</v>
      </c>
      <c r="N2623" s="4">
        <v>6.5</v>
      </c>
      <c r="O2623" s="4">
        <v>6.52</v>
      </c>
      <c r="P2623" s="4">
        <v>6.56</v>
      </c>
      <c r="Q2623" s="4">
        <v>6.69</v>
      </c>
      <c r="R2623" s="4">
        <v>6.56</v>
      </c>
      <c r="S2623" s="4">
        <v>6.47</v>
      </c>
      <c r="T2623" s="4">
        <v>6.52</v>
      </c>
      <c r="U2623" s="4">
        <v>6.5</v>
      </c>
      <c r="V2623" s="4">
        <v>6.47</v>
      </c>
      <c r="W2623" s="4"/>
      <c r="X2623" s="4">
        <v>6.35</v>
      </c>
    </row>
    <row r="2624">
      <c r="A2624" s="4" t="s">
        <v>5335</v>
      </c>
      <c r="B2624" s="4" t="s">
        <v>787</v>
      </c>
      <c r="C2624" s="4">
        <v>89.0</v>
      </c>
      <c r="D2624" s="4">
        <v>4.0</v>
      </c>
      <c r="E2624" s="4" t="s">
        <v>5213</v>
      </c>
      <c r="F2624" s="4">
        <v>14.0</v>
      </c>
      <c r="G2624" s="4">
        <v>5.23</v>
      </c>
      <c r="H2624" s="4">
        <v>5.36</v>
      </c>
      <c r="I2624" s="4">
        <v>5.41</v>
      </c>
      <c r="J2624" s="4">
        <v>5.23</v>
      </c>
      <c r="K2624" s="4">
        <v>5.25</v>
      </c>
      <c r="L2624" s="4">
        <v>5.32</v>
      </c>
      <c r="M2624" s="4">
        <v>5.38</v>
      </c>
      <c r="N2624" s="4">
        <v>5.36</v>
      </c>
      <c r="X2624" s="4">
        <v>5.33</v>
      </c>
    </row>
    <row r="2625">
      <c r="A2625" s="4" t="s">
        <v>5336</v>
      </c>
      <c r="B2625" s="4" t="s">
        <v>787</v>
      </c>
      <c r="C2625" s="4">
        <v>90.0</v>
      </c>
      <c r="D2625" s="4">
        <v>5.0</v>
      </c>
      <c r="E2625" s="4" t="s">
        <v>5215</v>
      </c>
      <c r="F2625" s="4">
        <v>14.0</v>
      </c>
      <c r="G2625" s="4">
        <v>21.08</v>
      </c>
      <c r="H2625" s="4">
        <v>21.04</v>
      </c>
      <c r="I2625" s="4">
        <v>21.03</v>
      </c>
      <c r="J2625" s="4">
        <v>20.35</v>
      </c>
      <c r="X2625" s="4">
        <v>20.62</v>
      </c>
    </row>
    <row r="2626">
      <c r="A2626" s="4" t="s">
        <v>5337</v>
      </c>
      <c r="B2626" s="4" t="s">
        <v>787</v>
      </c>
      <c r="C2626" s="4">
        <v>91.0</v>
      </c>
      <c r="D2626" s="4">
        <v>7.0</v>
      </c>
      <c r="E2626" s="4" t="s">
        <v>5219</v>
      </c>
      <c r="F2626" s="4">
        <v>6.0</v>
      </c>
      <c r="G2626" s="4">
        <v>4.03</v>
      </c>
      <c r="H2626" s="4">
        <v>3.92</v>
      </c>
      <c r="I2626" s="4">
        <v>3.92</v>
      </c>
      <c r="J2626" s="4">
        <v>3.93</v>
      </c>
      <c r="K2626" s="4">
        <v>4.04</v>
      </c>
      <c r="L2626" s="4">
        <v>4.05</v>
      </c>
      <c r="M2626" s="4">
        <v>4.1</v>
      </c>
      <c r="N2626" s="4">
        <v>3.93</v>
      </c>
      <c r="X2626" s="4">
        <v>3.96</v>
      </c>
    </row>
    <row r="2627">
      <c r="A2627" s="4" t="s">
        <v>5338</v>
      </c>
      <c r="B2627" s="4" t="s">
        <v>787</v>
      </c>
      <c r="C2627" s="4">
        <v>92.0</v>
      </c>
      <c r="D2627" s="4">
        <v>8.0</v>
      </c>
      <c r="E2627" s="4" t="s">
        <v>5221</v>
      </c>
      <c r="F2627" s="4">
        <v>6.0</v>
      </c>
      <c r="G2627" s="4">
        <v>23.16</v>
      </c>
      <c r="H2627" s="4">
        <v>23.78</v>
      </c>
      <c r="I2627" s="4">
        <v>23.2</v>
      </c>
      <c r="J2627" s="4">
        <v>23.81</v>
      </c>
      <c r="X2627" s="4">
        <v>22.22</v>
      </c>
    </row>
    <row r="2628">
      <c r="A2628" s="4" t="s">
        <v>5339</v>
      </c>
      <c r="B2628" s="4" t="s">
        <v>787</v>
      </c>
      <c r="C2628" s="4">
        <v>93.0</v>
      </c>
      <c r="D2628" s="4">
        <v>9.0</v>
      </c>
      <c r="E2628" s="4" t="s">
        <v>5223</v>
      </c>
      <c r="F2628" s="4">
        <v>14.0</v>
      </c>
      <c r="G2628" s="4">
        <v>5.26</v>
      </c>
      <c r="H2628" s="4">
        <v>5.23</v>
      </c>
      <c r="I2628" s="4">
        <v>5.23</v>
      </c>
      <c r="J2628" s="4">
        <v>6.11</v>
      </c>
      <c r="K2628" s="4">
        <v>5.17</v>
      </c>
      <c r="L2628" s="4">
        <v>5.27</v>
      </c>
      <c r="M2628" s="4">
        <v>5.29</v>
      </c>
      <c r="N2628" s="4">
        <v>6.27</v>
      </c>
      <c r="X2628" s="4">
        <v>6.35</v>
      </c>
    </row>
    <row r="2629">
      <c r="A2629" s="4" t="s">
        <v>5340</v>
      </c>
      <c r="B2629" s="4" t="s">
        <v>787</v>
      </c>
      <c r="C2629" s="4">
        <v>94.0</v>
      </c>
      <c r="D2629" s="4">
        <v>10.0</v>
      </c>
      <c r="E2629" s="4" t="s">
        <v>5225</v>
      </c>
      <c r="F2629" s="4">
        <v>14.0</v>
      </c>
      <c r="G2629" s="4">
        <v>19.98</v>
      </c>
      <c r="H2629" s="4">
        <v>20.12</v>
      </c>
      <c r="I2629" s="4">
        <v>20.87</v>
      </c>
      <c r="J2629" s="4">
        <v>20.14</v>
      </c>
      <c r="X2629" s="4">
        <v>20.62</v>
      </c>
    </row>
    <row r="2630">
      <c r="A2630" s="4" t="s">
        <v>5341</v>
      </c>
      <c r="B2630" s="4" t="s">
        <v>787</v>
      </c>
      <c r="C2630" s="4">
        <v>95.0</v>
      </c>
      <c r="D2630" s="4">
        <v>12.0</v>
      </c>
      <c r="E2630" s="4" t="s">
        <v>5229</v>
      </c>
      <c r="F2630" s="4">
        <v>14.0</v>
      </c>
      <c r="G2630" s="4">
        <v>5.26</v>
      </c>
      <c r="H2630" s="4">
        <v>5.24</v>
      </c>
      <c r="I2630" s="4">
        <v>5.44</v>
      </c>
      <c r="J2630" s="4">
        <v>5.27</v>
      </c>
      <c r="K2630" s="4">
        <v>5.21</v>
      </c>
      <c r="L2630" s="4">
        <v>5.3</v>
      </c>
      <c r="M2630" s="4">
        <v>5.25</v>
      </c>
      <c r="N2630" s="4">
        <v>5.28</v>
      </c>
      <c r="X2630" s="4">
        <v>5.33</v>
      </c>
    </row>
    <row r="2631">
      <c r="A2631" s="4" t="s">
        <v>5342</v>
      </c>
      <c r="B2631" s="4" t="s">
        <v>787</v>
      </c>
      <c r="C2631" s="4">
        <v>96.0</v>
      </c>
      <c r="D2631" s="4">
        <v>13.0</v>
      </c>
      <c r="E2631" s="4" t="s">
        <v>5231</v>
      </c>
      <c r="F2631" s="4">
        <v>14.0</v>
      </c>
      <c r="G2631" s="4">
        <v>19.46</v>
      </c>
      <c r="H2631" s="4">
        <v>20.24</v>
      </c>
      <c r="I2631" s="4">
        <v>20.25</v>
      </c>
      <c r="J2631" s="4">
        <v>20.32</v>
      </c>
      <c r="X2631" s="4">
        <v>20.62</v>
      </c>
    </row>
    <row r="2632">
      <c r="A2632" s="4" t="s">
        <v>5343</v>
      </c>
      <c r="B2632" s="4" t="s">
        <v>787</v>
      </c>
      <c r="C2632" s="4">
        <v>97.0</v>
      </c>
      <c r="D2632" s="4">
        <v>15.0</v>
      </c>
      <c r="E2632" s="4" t="s">
        <v>5235</v>
      </c>
      <c r="F2632" s="4">
        <v>3.0</v>
      </c>
      <c r="G2632" s="4">
        <v>4.14</v>
      </c>
      <c r="H2632" s="4">
        <v>3.87</v>
      </c>
      <c r="I2632" s="4">
        <v>3.81</v>
      </c>
      <c r="J2632" s="4">
        <v>3.99</v>
      </c>
      <c r="K2632" s="4">
        <v>4.04</v>
      </c>
      <c r="L2632" s="4">
        <v>3.95</v>
      </c>
      <c r="M2632" s="4">
        <v>3.97</v>
      </c>
      <c r="N2632" s="4">
        <v>3.97</v>
      </c>
      <c r="X2632" s="4">
        <v>3.96</v>
      </c>
    </row>
    <row r="2633">
      <c r="A2633" s="4" t="s">
        <v>5344</v>
      </c>
      <c r="B2633" s="4" t="s">
        <v>787</v>
      </c>
      <c r="C2633" s="4">
        <v>98.0</v>
      </c>
      <c r="D2633" s="4">
        <v>16.0</v>
      </c>
      <c r="E2633" s="4" t="s">
        <v>5237</v>
      </c>
      <c r="F2633" s="4">
        <v>3.0</v>
      </c>
      <c r="G2633" s="4">
        <v>21.26</v>
      </c>
      <c r="H2633" s="4">
        <v>21.36</v>
      </c>
      <c r="I2633" s="4">
        <v>21.38</v>
      </c>
      <c r="J2633" s="4">
        <v>21.33</v>
      </c>
    </row>
    <row r="2634">
      <c r="A2634" s="4" t="s">
        <v>5345</v>
      </c>
      <c r="B2634" s="4" t="s">
        <v>787</v>
      </c>
      <c r="C2634" s="4">
        <v>99.0</v>
      </c>
      <c r="D2634" s="4">
        <v>17.0</v>
      </c>
      <c r="E2634" s="4" t="s">
        <v>5239</v>
      </c>
      <c r="F2634" s="4">
        <v>14.0</v>
      </c>
      <c r="G2634" s="4">
        <v>5.31</v>
      </c>
      <c r="H2634" s="4">
        <v>5.3</v>
      </c>
      <c r="I2634" s="4">
        <v>5.33</v>
      </c>
      <c r="J2634" s="4">
        <v>5.35</v>
      </c>
      <c r="K2634" s="4">
        <v>5.35</v>
      </c>
      <c r="L2634" s="4">
        <v>5.24</v>
      </c>
      <c r="M2634" s="4">
        <v>5.34</v>
      </c>
      <c r="N2634" s="4">
        <v>5.32</v>
      </c>
      <c r="X2634" s="4">
        <v>5.33</v>
      </c>
    </row>
    <row r="2635">
      <c r="A2635" s="4" t="s">
        <v>5346</v>
      </c>
      <c r="B2635" s="4" t="s">
        <v>787</v>
      </c>
      <c r="C2635" s="4">
        <v>100.0</v>
      </c>
      <c r="D2635" s="4">
        <v>18.0</v>
      </c>
      <c r="E2635" s="4" t="s">
        <v>5241</v>
      </c>
      <c r="F2635" s="4">
        <v>14.0</v>
      </c>
      <c r="G2635" s="4">
        <v>20.99</v>
      </c>
      <c r="H2635" s="4">
        <v>20.45</v>
      </c>
      <c r="I2635" s="4">
        <v>20.18</v>
      </c>
      <c r="J2635" s="4">
        <v>20.09</v>
      </c>
      <c r="X2635" s="4">
        <v>20.62</v>
      </c>
    </row>
    <row r="2636">
      <c r="A2636" s="4" t="s">
        <v>5347</v>
      </c>
      <c r="B2636" s="4" t="s">
        <v>787</v>
      </c>
      <c r="C2636" s="4">
        <v>101.0</v>
      </c>
      <c r="D2636" s="4">
        <v>20.0</v>
      </c>
      <c r="E2636" s="4" t="s">
        <v>5245</v>
      </c>
      <c r="F2636" s="4">
        <v>3.0</v>
      </c>
      <c r="G2636" s="4">
        <v>4.61</v>
      </c>
      <c r="H2636" s="4">
        <v>3.79</v>
      </c>
      <c r="I2636" s="4">
        <v>3.83</v>
      </c>
      <c r="J2636" s="4">
        <v>4.11</v>
      </c>
      <c r="K2636" s="4">
        <v>3.92</v>
      </c>
      <c r="L2636" s="4">
        <v>3.95</v>
      </c>
      <c r="M2636" s="4">
        <v>3.93</v>
      </c>
      <c r="N2636" s="4">
        <v>3.91</v>
      </c>
      <c r="X2636" s="4">
        <v>4.78</v>
      </c>
    </row>
    <row r="2637">
      <c r="A2637" s="4" t="s">
        <v>5348</v>
      </c>
      <c r="B2637" s="4" t="s">
        <v>787</v>
      </c>
      <c r="C2637" s="4">
        <v>102.0</v>
      </c>
      <c r="D2637" s="4">
        <v>21.0</v>
      </c>
      <c r="E2637" s="4" t="s">
        <v>5247</v>
      </c>
      <c r="F2637" s="4">
        <v>3.0</v>
      </c>
      <c r="G2637" s="4">
        <v>21.28</v>
      </c>
      <c r="H2637" s="4">
        <v>21.35</v>
      </c>
      <c r="I2637" s="4">
        <v>22.08</v>
      </c>
      <c r="J2637" s="4">
        <v>21.33</v>
      </c>
    </row>
    <row r="2638">
      <c r="A2638" s="4" t="s">
        <v>5349</v>
      </c>
      <c r="B2638" s="4" t="s">
        <v>787</v>
      </c>
      <c r="C2638" s="4">
        <v>103.0</v>
      </c>
      <c r="D2638" s="4">
        <v>22.0</v>
      </c>
      <c r="E2638" s="4" t="s">
        <v>5249</v>
      </c>
      <c r="F2638" s="4">
        <v>4.0</v>
      </c>
      <c r="G2638" s="4">
        <v>3.98</v>
      </c>
      <c r="H2638" s="4">
        <v>3.83</v>
      </c>
      <c r="I2638" s="4">
        <v>3.92</v>
      </c>
      <c r="J2638" s="4">
        <v>4.02</v>
      </c>
      <c r="K2638" s="4">
        <v>3.82</v>
      </c>
      <c r="L2638" s="4">
        <v>3.8</v>
      </c>
      <c r="M2638" s="4">
        <v>4.03</v>
      </c>
      <c r="N2638" s="4">
        <v>3.85</v>
      </c>
      <c r="X2638" s="4">
        <v>3.96</v>
      </c>
    </row>
    <row r="2639">
      <c r="A2639" s="4" t="s">
        <v>5350</v>
      </c>
      <c r="B2639" s="4" t="s">
        <v>787</v>
      </c>
      <c r="C2639" s="4">
        <v>104.0</v>
      </c>
      <c r="D2639" s="4">
        <v>23.0</v>
      </c>
      <c r="E2639" s="4" t="s">
        <v>5251</v>
      </c>
      <c r="F2639" s="4">
        <v>4.0</v>
      </c>
      <c r="G2639" s="4">
        <v>16.18</v>
      </c>
      <c r="H2639" s="4">
        <v>16.19</v>
      </c>
      <c r="I2639" s="4">
        <v>16.26</v>
      </c>
      <c r="J2639" s="4">
        <v>16.25</v>
      </c>
      <c r="X2639" s="4">
        <v>17.12</v>
      </c>
    </row>
    <row r="2640">
      <c r="A2640" s="4" t="s">
        <v>5351</v>
      </c>
      <c r="B2640" s="4" t="s">
        <v>787</v>
      </c>
      <c r="C2640" s="4">
        <v>105.0</v>
      </c>
      <c r="D2640" s="4">
        <v>24.0</v>
      </c>
      <c r="E2640" s="4" t="s">
        <v>5253</v>
      </c>
      <c r="F2640" s="4">
        <v>4.0</v>
      </c>
      <c r="G2640" s="4">
        <v>2.97</v>
      </c>
      <c r="H2640" s="4">
        <v>3.02</v>
      </c>
      <c r="I2640" s="4">
        <v>2.96</v>
      </c>
      <c r="J2640" s="4">
        <v>2.95</v>
      </c>
      <c r="K2640" s="4">
        <v>2.92</v>
      </c>
      <c r="L2640" s="4">
        <v>2.96</v>
      </c>
      <c r="M2640" s="4">
        <v>2.97</v>
      </c>
      <c r="N2640" s="4">
        <v>2.98</v>
      </c>
      <c r="X2640" s="4">
        <v>3.05</v>
      </c>
    </row>
    <row r="2641">
      <c r="A2641" s="4" t="s">
        <v>5352</v>
      </c>
      <c r="B2641" s="4" t="s">
        <v>787</v>
      </c>
      <c r="C2641" s="4">
        <v>106.0</v>
      </c>
      <c r="D2641" s="4">
        <v>25.0</v>
      </c>
      <c r="E2641" s="4" t="s">
        <v>5255</v>
      </c>
      <c r="F2641" s="4">
        <v>4.0</v>
      </c>
      <c r="G2641" s="4">
        <v>16.08</v>
      </c>
      <c r="H2641" s="4">
        <v>16.3</v>
      </c>
      <c r="I2641" s="4">
        <v>16.14</v>
      </c>
      <c r="J2641" s="4">
        <v>16.24</v>
      </c>
      <c r="X2641" s="4">
        <v>17.12</v>
      </c>
    </row>
    <row r="2642">
      <c r="A2642" s="4" t="s">
        <v>5353</v>
      </c>
      <c r="B2642" s="4" t="s">
        <v>787</v>
      </c>
      <c r="C2642" s="4">
        <v>107.0</v>
      </c>
      <c r="D2642" s="4">
        <v>26.0</v>
      </c>
      <c r="E2642" s="4" t="s">
        <v>5257</v>
      </c>
      <c r="F2642" s="4">
        <v>4.0</v>
      </c>
      <c r="G2642" s="4">
        <v>21.34</v>
      </c>
      <c r="H2642" s="4">
        <v>22.09</v>
      </c>
      <c r="I2642" s="4">
        <v>22.28</v>
      </c>
      <c r="J2642" s="4">
        <v>21.36</v>
      </c>
    </row>
    <row r="2643">
      <c r="A2643" s="4" t="s">
        <v>5354</v>
      </c>
      <c r="B2643" s="4" t="s">
        <v>787</v>
      </c>
      <c r="C2643" s="4">
        <v>108.0</v>
      </c>
      <c r="D2643" s="4">
        <v>27.0</v>
      </c>
      <c r="E2643" s="4" t="s">
        <v>5259</v>
      </c>
      <c r="F2643" s="4">
        <v>8.0</v>
      </c>
      <c r="G2643" s="4">
        <v>4.82</v>
      </c>
      <c r="H2643" s="4">
        <v>4.22</v>
      </c>
      <c r="I2643" s="4">
        <v>4.25</v>
      </c>
      <c r="J2643" s="4">
        <v>4.26</v>
      </c>
      <c r="X2643" s="4">
        <v>4.78</v>
      </c>
    </row>
    <row r="2644">
      <c r="A2644" s="4" t="s">
        <v>5355</v>
      </c>
      <c r="B2644" s="4" t="s">
        <v>787</v>
      </c>
      <c r="C2644" s="4">
        <v>109.0</v>
      </c>
      <c r="D2644" s="4">
        <v>28.0</v>
      </c>
      <c r="E2644" s="4" t="s">
        <v>5261</v>
      </c>
      <c r="F2644" s="4">
        <v>8.0</v>
      </c>
      <c r="G2644" s="4">
        <v>17.83</v>
      </c>
      <c r="H2644" s="4">
        <v>17.43</v>
      </c>
      <c r="I2644" s="4">
        <v>16.74</v>
      </c>
      <c r="J2644" s="4">
        <v>17.6</v>
      </c>
      <c r="X2644" s="4">
        <v>18.26</v>
      </c>
    </row>
    <row r="2645">
      <c r="A2645" s="4" t="s">
        <v>5356</v>
      </c>
      <c r="B2645" s="4" t="s">
        <v>787</v>
      </c>
      <c r="C2645" s="4">
        <v>110.0</v>
      </c>
      <c r="D2645" s="4">
        <v>30.0</v>
      </c>
      <c r="E2645" s="4" t="s">
        <v>5265</v>
      </c>
      <c r="F2645" s="4">
        <v>8.0</v>
      </c>
      <c r="G2645" s="4">
        <v>3.78</v>
      </c>
      <c r="H2645" s="4">
        <v>3.63</v>
      </c>
      <c r="I2645" s="4">
        <v>3.81</v>
      </c>
      <c r="J2645" s="4">
        <v>3.87</v>
      </c>
      <c r="X2645" s="4">
        <v>3.96</v>
      </c>
    </row>
    <row r="2646">
      <c r="A2646" s="4" t="s">
        <v>5357</v>
      </c>
      <c r="B2646" s="4" t="s">
        <v>787</v>
      </c>
      <c r="C2646" s="4">
        <v>111.0</v>
      </c>
      <c r="D2646" s="4">
        <v>31.0</v>
      </c>
      <c r="E2646" s="4" t="s">
        <v>5267</v>
      </c>
      <c r="F2646" s="4">
        <v>8.0</v>
      </c>
      <c r="G2646" s="4">
        <v>15.99</v>
      </c>
      <c r="H2646" s="4">
        <v>16.09</v>
      </c>
      <c r="I2646" s="4">
        <v>16.12</v>
      </c>
      <c r="J2646" s="4">
        <v>16.03</v>
      </c>
      <c r="X2646" s="4">
        <v>15.88</v>
      </c>
    </row>
    <row r="2647">
      <c r="A2647" s="4" t="s">
        <v>5358</v>
      </c>
      <c r="B2647" s="4" t="s">
        <v>787</v>
      </c>
      <c r="C2647" s="4">
        <v>112.0</v>
      </c>
      <c r="D2647" s="4">
        <v>33.0</v>
      </c>
      <c r="E2647" s="4" t="s">
        <v>5271</v>
      </c>
      <c r="F2647" s="4">
        <v>2.0</v>
      </c>
      <c r="G2647" s="4">
        <v>3.71</v>
      </c>
      <c r="H2647" s="4">
        <v>3.6</v>
      </c>
      <c r="I2647" s="4">
        <v>3.84</v>
      </c>
      <c r="J2647" s="4">
        <v>3.73</v>
      </c>
      <c r="X2647" s="4">
        <v>3.91</v>
      </c>
    </row>
    <row r="2648">
      <c r="A2648" s="4" t="s">
        <v>5359</v>
      </c>
      <c r="B2648" s="4" t="s">
        <v>787</v>
      </c>
      <c r="C2648" s="4">
        <v>113.0</v>
      </c>
      <c r="D2648" s="4">
        <v>34.0</v>
      </c>
      <c r="E2648" s="4" t="s">
        <v>5273</v>
      </c>
      <c r="F2648" s="4">
        <v>2.0</v>
      </c>
      <c r="G2648" s="4">
        <v>19.06</v>
      </c>
      <c r="H2648" s="4">
        <v>18.96</v>
      </c>
      <c r="I2648" s="4">
        <v>18.95</v>
      </c>
      <c r="J2648" s="4">
        <v>19.09</v>
      </c>
    </row>
    <row r="2649">
      <c r="A2649" s="4" t="s">
        <v>5360</v>
      </c>
      <c r="B2649" s="4" t="s">
        <v>787</v>
      </c>
      <c r="C2649" s="4">
        <v>114.0</v>
      </c>
      <c r="D2649" s="4">
        <v>35.0</v>
      </c>
      <c r="E2649" s="4" t="s">
        <v>5275</v>
      </c>
      <c r="F2649" s="4">
        <v>20.0</v>
      </c>
      <c r="G2649" s="4">
        <v>12.41</v>
      </c>
      <c r="H2649" s="4">
        <v>12.35</v>
      </c>
      <c r="I2649" s="4">
        <v>12.43</v>
      </c>
      <c r="J2649" s="4">
        <v>12.41</v>
      </c>
      <c r="X2649" s="4">
        <v>12.7</v>
      </c>
    </row>
    <row r="2650">
      <c r="A2650" s="4" t="s">
        <v>5361</v>
      </c>
      <c r="B2650" s="4" t="s">
        <v>787</v>
      </c>
      <c r="C2650" s="4">
        <v>115.0</v>
      </c>
      <c r="D2650" s="4">
        <v>36.0</v>
      </c>
      <c r="E2650" s="4" t="s">
        <v>5277</v>
      </c>
      <c r="F2650" s="4">
        <v>20.0</v>
      </c>
      <c r="G2650" s="4">
        <v>31.69</v>
      </c>
      <c r="H2650" s="4">
        <v>31.77</v>
      </c>
      <c r="I2650" s="4">
        <v>31.8</v>
      </c>
      <c r="J2650" s="4">
        <v>31.79</v>
      </c>
      <c r="X2650" s="4">
        <v>31.75</v>
      </c>
    </row>
    <row r="2651">
      <c r="A2651" s="4" t="s">
        <v>5362</v>
      </c>
      <c r="B2651" s="4" t="s">
        <v>787</v>
      </c>
      <c r="C2651" s="4">
        <v>116.0</v>
      </c>
      <c r="D2651" s="4">
        <v>37.0</v>
      </c>
      <c r="E2651" s="4" t="s">
        <v>5279</v>
      </c>
      <c r="F2651" s="4">
        <v>20.0</v>
      </c>
      <c r="G2651" s="4">
        <v>32.74</v>
      </c>
      <c r="H2651" s="4">
        <v>32.73</v>
      </c>
      <c r="I2651" s="4">
        <v>32.76</v>
      </c>
      <c r="J2651" s="4">
        <v>33.34</v>
      </c>
      <c r="X2651" s="4">
        <v>33.32</v>
      </c>
    </row>
    <row r="2652">
      <c r="A2652" s="4" t="s">
        <v>5363</v>
      </c>
      <c r="B2652" s="4" t="s">
        <v>787</v>
      </c>
      <c r="C2652" s="4">
        <v>117.0</v>
      </c>
      <c r="D2652" s="4">
        <v>38.0</v>
      </c>
      <c r="E2652" s="4" t="s">
        <v>5281</v>
      </c>
      <c r="F2652" s="4">
        <v>4.0</v>
      </c>
      <c r="G2652" s="4">
        <v>4.74</v>
      </c>
      <c r="H2652" s="4">
        <v>3.83</v>
      </c>
      <c r="I2652" s="4">
        <v>3.88</v>
      </c>
      <c r="J2652" s="4">
        <v>3.93</v>
      </c>
      <c r="X2652" s="4">
        <v>4.78</v>
      </c>
    </row>
    <row r="2653">
      <c r="A2653" s="4" t="s">
        <v>5364</v>
      </c>
      <c r="B2653" s="4" t="s">
        <v>787</v>
      </c>
      <c r="C2653" s="4">
        <v>118.0</v>
      </c>
      <c r="D2653" s="4">
        <v>39.0</v>
      </c>
      <c r="E2653" s="4" t="s">
        <v>5283</v>
      </c>
      <c r="F2653" s="4">
        <v>4.0</v>
      </c>
      <c r="G2653" s="4">
        <v>21.14</v>
      </c>
      <c r="H2653" s="4">
        <v>21.09</v>
      </c>
      <c r="I2653" s="4">
        <v>21.19</v>
      </c>
      <c r="J2653" s="4">
        <v>20.53</v>
      </c>
    </row>
    <row r="2654">
      <c r="A2654" s="4" t="s">
        <v>5365</v>
      </c>
      <c r="B2654" s="4" t="s">
        <v>787</v>
      </c>
      <c r="C2654" s="4">
        <v>119.0</v>
      </c>
      <c r="D2654" s="4">
        <v>40.0</v>
      </c>
      <c r="E2654" s="4" t="s">
        <v>5285</v>
      </c>
      <c r="F2654" s="4">
        <v>6.0</v>
      </c>
      <c r="G2654" s="4">
        <v>4.82</v>
      </c>
      <c r="H2654" s="4">
        <v>4.11</v>
      </c>
      <c r="I2654" s="4">
        <v>3.86</v>
      </c>
      <c r="J2654" s="4">
        <v>4.82</v>
      </c>
      <c r="X2654" s="4">
        <v>4.78</v>
      </c>
    </row>
    <row r="2655">
      <c r="A2655" s="4" t="s">
        <v>5366</v>
      </c>
      <c r="B2655" s="4" t="s">
        <v>787</v>
      </c>
      <c r="C2655" s="4">
        <v>120.0</v>
      </c>
      <c r="D2655" s="4">
        <v>41.0</v>
      </c>
      <c r="E2655" s="4" t="s">
        <v>5287</v>
      </c>
      <c r="F2655" s="4">
        <v>6.0</v>
      </c>
      <c r="G2655" s="4">
        <v>24.58</v>
      </c>
      <c r="H2655" s="4">
        <v>23.91</v>
      </c>
      <c r="I2655" s="4">
        <v>23.88</v>
      </c>
      <c r="J2655" s="4">
        <v>24.0</v>
      </c>
    </row>
    <row r="2656">
      <c r="A2656" s="4" t="s">
        <v>5367</v>
      </c>
      <c r="B2656" s="4" t="s">
        <v>761</v>
      </c>
      <c r="C2656" s="4">
        <v>121.0</v>
      </c>
      <c r="D2656" s="4">
        <v>1.0</v>
      </c>
      <c r="E2656" s="4" t="s">
        <v>5207</v>
      </c>
      <c r="F2656" s="4">
        <v>34.0</v>
      </c>
      <c r="G2656" s="4">
        <v>30.72</v>
      </c>
      <c r="H2656" s="4">
        <v>30.35</v>
      </c>
      <c r="I2656" s="4">
        <v>30.43</v>
      </c>
      <c r="J2656" s="4">
        <v>30.25</v>
      </c>
      <c r="X2656" s="4">
        <v>30.18</v>
      </c>
    </row>
    <row r="2657">
      <c r="A2657" s="4" t="s">
        <v>5368</v>
      </c>
      <c r="B2657" s="4" t="s">
        <v>761</v>
      </c>
      <c r="C2657" s="4">
        <v>122.0</v>
      </c>
      <c r="D2657" s="4">
        <v>2.0</v>
      </c>
      <c r="E2657" s="4" t="s">
        <v>5209</v>
      </c>
      <c r="F2657" s="4">
        <v>34.0</v>
      </c>
      <c r="G2657" s="4">
        <v>39.67</v>
      </c>
      <c r="H2657" s="4">
        <v>39.4</v>
      </c>
      <c r="I2657" s="4">
        <v>39.33</v>
      </c>
      <c r="J2657" s="4">
        <v>40.04</v>
      </c>
      <c r="K2657" s="4">
        <v>39.82</v>
      </c>
      <c r="L2657" s="4">
        <v>39.49</v>
      </c>
      <c r="M2657" s="4">
        <v>39.39</v>
      </c>
      <c r="N2657" s="4">
        <v>40.22</v>
      </c>
    </row>
    <row r="2658">
      <c r="A2658" s="4" t="s">
        <v>5369</v>
      </c>
      <c r="B2658" s="4" t="s">
        <v>761</v>
      </c>
      <c r="C2658" s="4">
        <v>123.0</v>
      </c>
      <c r="D2658" s="4">
        <v>3.0</v>
      </c>
      <c r="E2658" s="4" t="s">
        <v>5211</v>
      </c>
      <c r="F2658" s="4">
        <v>34.0</v>
      </c>
      <c r="G2658" s="4">
        <v>6.24</v>
      </c>
      <c r="H2658" s="4">
        <v>6.35</v>
      </c>
      <c r="I2658" s="4">
        <v>6.27</v>
      </c>
      <c r="J2658" s="4">
        <v>6.29</v>
      </c>
      <c r="K2658" s="4">
        <v>6.36</v>
      </c>
      <c r="L2658" s="4">
        <v>6.36</v>
      </c>
      <c r="M2658" s="4">
        <v>6.28</v>
      </c>
      <c r="N2658" s="4">
        <v>6.33</v>
      </c>
      <c r="O2658" s="4">
        <v>6.36</v>
      </c>
      <c r="P2658" s="4">
        <v>6.35</v>
      </c>
      <c r="Q2658" s="4">
        <v>6.39</v>
      </c>
      <c r="R2658" s="4">
        <v>6.39</v>
      </c>
      <c r="S2658" s="4">
        <v>6.25</v>
      </c>
      <c r="T2658" s="4">
        <v>6.2</v>
      </c>
      <c r="U2658" s="4">
        <v>6.15</v>
      </c>
      <c r="V2658" s="4">
        <v>6.21</v>
      </c>
      <c r="W2658" s="4"/>
      <c r="X2658" s="4">
        <v>6.35</v>
      </c>
    </row>
    <row r="2659">
      <c r="A2659" s="4" t="s">
        <v>5370</v>
      </c>
      <c r="B2659" s="4" t="s">
        <v>761</v>
      </c>
      <c r="C2659" s="4">
        <v>124.0</v>
      </c>
      <c r="D2659" s="4">
        <v>4.0</v>
      </c>
      <c r="E2659" s="4" t="s">
        <v>5213</v>
      </c>
      <c r="F2659" s="4">
        <v>14.0</v>
      </c>
      <c r="G2659" s="4">
        <v>5.17</v>
      </c>
      <c r="H2659" s="4">
        <v>5.23</v>
      </c>
      <c r="I2659" s="4">
        <v>5.2</v>
      </c>
      <c r="J2659" s="4">
        <v>4.96</v>
      </c>
      <c r="K2659" s="4">
        <v>5.15</v>
      </c>
      <c r="L2659" s="4">
        <v>5.15</v>
      </c>
      <c r="M2659" s="4">
        <v>5.03</v>
      </c>
      <c r="N2659" s="4">
        <v>5.03</v>
      </c>
      <c r="X2659" s="4">
        <v>5.16</v>
      </c>
    </row>
    <row r="2660">
      <c r="A2660" s="4" t="s">
        <v>5371</v>
      </c>
      <c r="B2660" s="4" t="s">
        <v>761</v>
      </c>
      <c r="C2660" s="4">
        <v>125.0</v>
      </c>
      <c r="D2660" s="4">
        <v>5.0</v>
      </c>
      <c r="E2660" s="4" t="s">
        <v>5215</v>
      </c>
      <c r="F2660" s="4">
        <v>14.0</v>
      </c>
      <c r="G2660" s="4">
        <v>20.72</v>
      </c>
      <c r="H2660" s="4">
        <v>20.33</v>
      </c>
      <c r="I2660" s="4">
        <v>20.52</v>
      </c>
      <c r="J2660" s="4">
        <v>20.13</v>
      </c>
      <c r="X2660" s="4">
        <v>20.62</v>
      </c>
    </row>
    <row r="2661">
      <c r="A2661" s="4" t="s">
        <v>5372</v>
      </c>
      <c r="B2661" s="4" t="s">
        <v>761</v>
      </c>
      <c r="C2661" s="4">
        <v>126.0</v>
      </c>
      <c r="D2661" s="4">
        <v>6.0</v>
      </c>
      <c r="E2661" s="4" t="s">
        <v>5217</v>
      </c>
      <c r="F2661" s="4">
        <v>14.0</v>
      </c>
      <c r="G2661" s="4">
        <v>24.57</v>
      </c>
      <c r="H2661" s="4">
        <v>24.59</v>
      </c>
      <c r="I2661" s="4">
        <v>25.25</v>
      </c>
      <c r="J2661" s="4">
        <v>25.01</v>
      </c>
      <c r="X2661" s="4">
        <v>25.4</v>
      </c>
    </row>
    <row r="2662">
      <c r="A2662" s="4" t="s">
        <v>5373</v>
      </c>
      <c r="B2662" s="4" t="s">
        <v>761</v>
      </c>
      <c r="C2662" s="4">
        <v>127.0</v>
      </c>
      <c r="D2662" s="4">
        <v>7.0</v>
      </c>
      <c r="E2662" s="4" t="s">
        <v>5219</v>
      </c>
      <c r="F2662" s="4">
        <v>6.0</v>
      </c>
      <c r="G2662" s="4">
        <v>3.92</v>
      </c>
      <c r="H2662" s="4">
        <v>3.94</v>
      </c>
      <c r="I2662" s="4">
        <v>3.88</v>
      </c>
      <c r="J2662" s="4">
        <v>3.99</v>
      </c>
      <c r="K2662" s="4">
        <v>3.83</v>
      </c>
      <c r="L2662" s="4">
        <v>3.93</v>
      </c>
      <c r="M2662" s="4">
        <v>3.91</v>
      </c>
      <c r="N2662" s="4">
        <v>4.07</v>
      </c>
      <c r="X2662" s="4">
        <v>3.96</v>
      </c>
    </row>
    <row r="2663">
      <c r="A2663" s="4" t="s">
        <v>5374</v>
      </c>
      <c r="B2663" s="4" t="s">
        <v>761</v>
      </c>
      <c r="C2663" s="4">
        <v>128.0</v>
      </c>
      <c r="D2663" s="4">
        <v>8.0</v>
      </c>
      <c r="E2663" s="4" t="s">
        <v>5221</v>
      </c>
      <c r="F2663" s="4">
        <v>6.0</v>
      </c>
      <c r="G2663" s="4">
        <v>22.6</v>
      </c>
      <c r="H2663" s="4">
        <v>22.8</v>
      </c>
      <c r="I2663" s="4">
        <v>22.69</v>
      </c>
      <c r="J2663" s="4">
        <v>22.72</v>
      </c>
      <c r="X2663" s="4">
        <v>22.22</v>
      </c>
    </row>
    <row r="2664">
      <c r="A2664" s="4" t="s">
        <v>5375</v>
      </c>
      <c r="B2664" s="4" t="s">
        <v>761</v>
      </c>
      <c r="C2664" s="4">
        <v>129.0</v>
      </c>
      <c r="D2664" s="4">
        <v>9.0</v>
      </c>
      <c r="E2664" s="4" t="s">
        <v>5223</v>
      </c>
      <c r="F2664" s="4">
        <v>14.0</v>
      </c>
      <c r="G2664" s="4">
        <v>5.14</v>
      </c>
      <c r="H2664" s="4">
        <v>5.14</v>
      </c>
      <c r="I2664" s="4">
        <v>5.2</v>
      </c>
      <c r="J2664" s="4">
        <v>5.19</v>
      </c>
      <c r="K2664" s="4">
        <v>5.14</v>
      </c>
      <c r="L2664" s="4">
        <v>5.12</v>
      </c>
      <c r="M2664" s="4">
        <v>5.17</v>
      </c>
      <c r="N2664" s="4">
        <v>5.18</v>
      </c>
      <c r="X2664" s="4">
        <v>5.16</v>
      </c>
    </row>
    <row r="2665">
      <c r="A2665" s="4" t="s">
        <v>5376</v>
      </c>
      <c r="B2665" s="4" t="s">
        <v>761</v>
      </c>
      <c r="C2665" s="4">
        <v>130.0</v>
      </c>
      <c r="D2665" s="4">
        <v>10.0</v>
      </c>
      <c r="E2665" s="4" t="s">
        <v>5225</v>
      </c>
      <c r="F2665" s="4">
        <v>14.0</v>
      </c>
      <c r="G2665" s="4">
        <v>20.04</v>
      </c>
      <c r="H2665" s="4">
        <v>21.46</v>
      </c>
      <c r="I2665" s="4">
        <v>19.96</v>
      </c>
      <c r="J2665" s="4">
        <v>20.61</v>
      </c>
      <c r="X2665" s="4">
        <v>22.22</v>
      </c>
    </row>
    <row r="2666">
      <c r="A2666" s="4" t="s">
        <v>5377</v>
      </c>
      <c r="B2666" s="4" t="s">
        <v>761</v>
      </c>
      <c r="C2666" s="4">
        <v>131.0</v>
      </c>
      <c r="D2666" s="4">
        <v>11.0</v>
      </c>
      <c r="E2666" s="4" t="s">
        <v>5227</v>
      </c>
      <c r="F2666" s="4">
        <v>14.0</v>
      </c>
      <c r="G2666" s="4">
        <v>24.38</v>
      </c>
      <c r="H2666" s="4">
        <v>24.32</v>
      </c>
      <c r="I2666" s="4">
        <v>24.29</v>
      </c>
      <c r="J2666" s="4">
        <v>24.38</v>
      </c>
      <c r="X2666" s="4">
        <v>23.83</v>
      </c>
    </row>
    <row r="2667">
      <c r="A2667" s="4" t="s">
        <v>5378</v>
      </c>
      <c r="B2667" s="4" t="s">
        <v>761</v>
      </c>
      <c r="C2667" s="4">
        <v>132.0</v>
      </c>
      <c r="D2667" s="4">
        <v>12.0</v>
      </c>
      <c r="E2667" s="4" t="s">
        <v>5229</v>
      </c>
      <c r="F2667" s="4">
        <v>14.0</v>
      </c>
      <c r="G2667" s="4">
        <v>5.04</v>
      </c>
      <c r="H2667" s="4">
        <v>5.13</v>
      </c>
      <c r="I2667" s="4">
        <v>5.1</v>
      </c>
      <c r="J2667" s="4">
        <v>5.02</v>
      </c>
      <c r="K2667" s="4">
        <v>4.99</v>
      </c>
      <c r="L2667" s="4">
        <v>5.03</v>
      </c>
      <c r="M2667" s="4">
        <v>5.1</v>
      </c>
      <c r="N2667" s="4">
        <v>5.1</v>
      </c>
      <c r="X2667" s="4">
        <v>5.16</v>
      </c>
    </row>
    <row r="2668">
      <c r="A2668" s="4" t="s">
        <v>5379</v>
      </c>
      <c r="B2668" s="4" t="s">
        <v>761</v>
      </c>
      <c r="C2668" s="4">
        <v>133.0</v>
      </c>
      <c r="D2668" s="4">
        <v>13.0</v>
      </c>
      <c r="E2668" s="4" t="s">
        <v>5231</v>
      </c>
      <c r="F2668" s="4">
        <v>14.0</v>
      </c>
      <c r="G2668" s="4">
        <v>19.84</v>
      </c>
      <c r="H2668" s="4">
        <v>19.96</v>
      </c>
      <c r="I2668" s="4">
        <v>19.98</v>
      </c>
      <c r="J2668" s="4">
        <v>19.85</v>
      </c>
      <c r="X2668" s="4">
        <v>20.62</v>
      </c>
    </row>
    <row r="2669">
      <c r="A2669" s="4" t="s">
        <v>5380</v>
      </c>
      <c r="B2669" s="4" t="s">
        <v>761</v>
      </c>
      <c r="C2669" s="4">
        <v>134.0</v>
      </c>
      <c r="D2669" s="4">
        <v>14.0</v>
      </c>
      <c r="E2669" s="4" t="s">
        <v>5233</v>
      </c>
      <c r="F2669" s="4">
        <v>14.0</v>
      </c>
      <c r="G2669" s="4">
        <v>24.21</v>
      </c>
      <c r="H2669" s="4">
        <v>24.11</v>
      </c>
      <c r="I2669" s="4">
        <v>24.26</v>
      </c>
      <c r="J2669" s="4">
        <v>23.99</v>
      </c>
      <c r="X2669" s="4">
        <v>23.83</v>
      </c>
    </row>
    <row r="2670">
      <c r="A2670" s="4" t="s">
        <v>5381</v>
      </c>
      <c r="B2670" s="4" t="s">
        <v>761</v>
      </c>
      <c r="C2670" s="4">
        <v>135.0</v>
      </c>
      <c r="D2670" s="4">
        <v>15.0</v>
      </c>
      <c r="E2670" s="4" t="s">
        <v>5235</v>
      </c>
      <c r="F2670" s="4">
        <v>3.0</v>
      </c>
      <c r="G2670" s="4">
        <v>3.88</v>
      </c>
      <c r="H2670" s="4">
        <v>3.9</v>
      </c>
      <c r="I2670" s="4">
        <v>3.86</v>
      </c>
      <c r="J2670" s="4">
        <v>3.75</v>
      </c>
      <c r="K2670" s="4">
        <v>3.58</v>
      </c>
      <c r="L2670" s="4">
        <v>3.64</v>
      </c>
      <c r="M2670" s="4">
        <v>3.63</v>
      </c>
      <c r="N2670" s="4">
        <v>3.73</v>
      </c>
      <c r="X2670" s="4">
        <v>3.96</v>
      </c>
    </row>
    <row r="2671">
      <c r="A2671" s="4" t="s">
        <v>5382</v>
      </c>
      <c r="B2671" s="4" t="s">
        <v>761</v>
      </c>
      <c r="C2671" s="4">
        <v>136.0</v>
      </c>
      <c r="D2671" s="4">
        <v>16.0</v>
      </c>
      <c r="E2671" s="4" t="s">
        <v>5237</v>
      </c>
      <c r="F2671" s="4">
        <v>3.0</v>
      </c>
      <c r="G2671" s="4">
        <v>20.16</v>
      </c>
      <c r="H2671" s="4">
        <v>20.91</v>
      </c>
      <c r="I2671" s="4">
        <v>20.74</v>
      </c>
      <c r="J2671" s="4">
        <v>20.02</v>
      </c>
    </row>
    <row r="2672">
      <c r="A2672" s="4" t="s">
        <v>5383</v>
      </c>
      <c r="B2672" s="4" t="s">
        <v>761</v>
      </c>
      <c r="C2672" s="4">
        <v>137.0</v>
      </c>
      <c r="D2672" s="4">
        <v>17.0</v>
      </c>
      <c r="E2672" s="4" t="s">
        <v>5239</v>
      </c>
      <c r="F2672" s="4">
        <v>14.0</v>
      </c>
      <c r="G2672" s="4">
        <v>5.17</v>
      </c>
      <c r="H2672" s="4">
        <v>5.13</v>
      </c>
      <c r="I2672" s="4">
        <v>5.23</v>
      </c>
      <c r="J2672" s="4">
        <v>5.07</v>
      </c>
      <c r="K2672" s="4">
        <v>5.13</v>
      </c>
      <c r="L2672" s="4">
        <v>5.17</v>
      </c>
      <c r="M2672" s="4">
        <v>5.12</v>
      </c>
      <c r="N2672" s="4">
        <v>5.12</v>
      </c>
      <c r="X2672" s="4">
        <v>5.16</v>
      </c>
    </row>
    <row r="2673">
      <c r="A2673" s="4" t="s">
        <v>5384</v>
      </c>
      <c r="B2673" s="4" t="s">
        <v>761</v>
      </c>
      <c r="C2673" s="4">
        <v>138.0</v>
      </c>
      <c r="D2673" s="4">
        <v>18.0</v>
      </c>
      <c r="E2673" s="4" t="s">
        <v>5241</v>
      </c>
      <c r="F2673" s="4">
        <v>14.0</v>
      </c>
      <c r="G2673" s="4">
        <v>19.66</v>
      </c>
      <c r="H2673" s="4">
        <v>20.39</v>
      </c>
      <c r="I2673" s="4">
        <v>20.51</v>
      </c>
      <c r="J2673" s="4">
        <v>19.67</v>
      </c>
      <c r="X2673" s="4">
        <v>20.62</v>
      </c>
    </row>
    <row r="2674">
      <c r="A2674" s="4" t="s">
        <v>5385</v>
      </c>
      <c r="B2674" s="4" t="s">
        <v>761</v>
      </c>
      <c r="C2674" s="4">
        <v>139.0</v>
      </c>
      <c r="D2674" s="4">
        <v>19.0</v>
      </c>
      <c r="E2674" s="4" t="s">
        <v>5243</v>
      </c>
      <c r="F2674" s="4">
        <v>14.0</v>
      </c>
      <c r="G2674" s="4">
        <v>24.3</v>
      </c>
      <c r="H2674" s="4">
        <v>24.34</v>
      </c>
      <c r="I2674" s="4">
        <v>24.17</v>
      </c>
      <c r="J2674" s="4">
        <v>24.23</v>
      </c>
      <c r="X2674" s="4">
        <v>23.83</v>
      </c>
    </row>
    <row r="2675">
      <c r="A2675" s="4" t="s">
        <v>5386</v>
      </c>
      <c r="B2675" s="4" t="s">
        <v>761</v>
      </c>
      <c r="C2675" s="4">
        <v>140.0</v>
      </c>
      <c r="D2675" s="4">
        <v>20.0</v>
      </c>
      <c r="E2675" s="4" t="s">
        <v>5245</v>
      </c>
      <c r="F2675" s="4">
        <v>3.0</v>
      </c>
      <c r="G2675" s="4">
        <v>3.73</v>
      </c>
      <c r="H2675" s="4">
        <v>3.76</v>
      </c>
      <c r="I2675" s="4">
        <v>3.85</v>
      </c>
      <c r="J2675" s="4">
        <v>3.65</v>
      </c>
      <c r="K2675" s="4">
        <v>3.72</v>
      </c>
      <c r="L2675" s="4">
        <v>3.77</v>
      </c>
      <c r="M2675" s="4">
        <v>3.75</v>
      </c>
      <c r="N2675" s="4">
        <v>3.61</v>
      </c>
      <c r="X2675" s="4">
        <v>3.96</v>
      </c>
    </row>
    <row r="2676">
      <c r="A2676" s="4" t="s">
        <v>5387</v>
      </c>
      <c r="B2676" s="4" t="s">
        <v>761</v>
      </c>
      <c r="C2676" s="4">
        <v>141.0</v>
      </c>
      <c r="D2676" s="4">
        <v>21.0</v>
      </c>
      <c r="E2676" s="4" t="s">
        <v>5247</v>
      </c>
      <c r="F2676" s="4">
        <v>3.0</v>
      </c>
      <c r="G2676" s="4">
        <v>20.65</v>
      </c>
      <c r="H2676" s="4">
        <v>20.55</v>
      </c>
      <c r="I2676" s="4">
        <v>20.6</v>
      </c>
      <c r="J2676" s="4">
        <v>20.51</v>
      </c>
    </row>
    <row r="2677">
      <c r="A2677" s="4" t="s">
        <v>5388</v>
      </c>
      <c r="B2677" s="4" t="s">
        <v>761</v>
      </c>
      <c r="C2677" s="4">
        <v>142.0</v>
      </c>
      <c r="D2677" s="4">
        <v>22.0</v>
      </c>
      <c r="E2677" s="4" t="s">
        <v>5249</v>
      </c>
      <c r="F2677" s="4">
        <v>4.0</v>
      </c>
      <c r="G2677" s="4">
        <v>3.89</v>
      </c>
      <c r="H2677" s="4">
        <v>3.71</v>
      </c>
      <c r="I2677" s="4">
        <v>3.89</v>
      </c>
      <c r="J2677" s="4">
        <v>3.76</v>
      </c>
      <c r="K2677" s="4">
        <v>3.66</v>
      </c>
      <c r="L2677" s="4">
        <v>3.77</v>
      </c>
      <c r="M2677" s="4">
        <v>3.84</v>
      </c>
      <c r="N2677" s="4">
        <v>3.73</v>
      </c>
      <c r="X2677" s="4">
        <v>3.96</v>
      </c>
    </row>
    <row r="2678">
      <c r="A2678" s="4" t="s">
        <v>5389</v>
      </c>
      <c r="B2678" s="4" t="s">
        <v>761</v>
      </c>
      <c r="C2678" s="4">
        <v>143.0</v>
      </c>
      <c r="D2678" s="4">
        <v>23.0</v>
      </c>
      <c r="E2678" s="4" t="s">
        <v>5251</v>
      </c>
      <c r="F2678" s="4">
        <v>4.0</v>
      </c>
      <c r="G2678" s="4">
        <v>15.81</v>
      </c>
      <c r="H2678" s="4">
        <v>15.83</v>
      </c>
      <c r="I2678" s="4">
        <v>15.83</v>
      </c>
      <c r="J2678" s="4">
        <v>15.79</v>
      </c>
      <c r="X2678" s="4">
        <v>17.12</v>
      </c>
    </row>
    <row r="2679">
      <c r="A2679" s="4" t="s">
        <v>5390</v>
      </c>
      <c r="B2679" s="4" t="s">
        <v>761</v>
      </c>
      <c r="C2679" s="4">
        <v>144.0</v>
      </c>
      <c r="D2679" s="4">
        <v>24.0</v>
      </c>
      <c r="E2679" s="4" t="s">
        <v>5253</v>
      </c>
      <c r="F2679" s="4">
        <v>4.0</v>
      </c>
      <c r="G2679" s="4">
        <v>2.91</v>
      </c>
      <c r="H2679" s="4">
        <v>2.92</v>
      </c>
      <c r="I2679" s="4">
        <v>2.9</v>
      </c>
      <c r="J2679" s="4">
        <v>2.84</v>
      </c>
      <c r="K2679" s="4">
        <v>2.9</v>
      </c>
      <c r="L2679" s="4">
        <v>2.9</v>
      </c>
      <c r="M2679" s="4">
        <v>2.85</v>
      </c>
      <c r="N2679" s="4">
        <v>2.84</v>
      </c>
      <c r="X2679" s="4">
        <v>3.05</v>
      </c>
    </row>
    <row r="2680">
      <c r="A2680" s="4" t="s">
        <v>5391</v>
      </c>
      <c r="B2680" s="4" t="s">
        <v>761</v>
      </c>
      <c r="C2680" s="4">
        <v>145.0</v>
      </c>
      <c r="D2680" s="4">
        <v>25.0</v>
      </c>
      <c r="E2680" s="4" t="s">
        <v>5255</v>
      </c>
      <c r="F2680" s="4">
        <v>4.0</v>
      </c>
      <c r="G2680" s="4">
        <v>17.45</v>
      </c>
      <c r="H2680" s="4">
        <v>17.47</v>
      </c>
      <c r="I2680" s="4">
        <v>17.61</v>
      </c>
      <c r="J2680" s="4">
        <v>17.42</v>
      </c>
      <c r="X2680" s="4">
        <v>17.12</v>
      </c>
    </row>
    <row r="2681">
      <c r="A2681" s="4" t="s">
        <v>5392</v>
      </c>
      <c r="B2681" s="4" t="s">
        <v>761</v>
      </c>
      <c r="C2681" s="4">
        <v>146.0</v>
      </c>
      <c r="D2681" s="4">
        <v>26.0</v>
      </c>
      <c r="E2681" s="4" t="s">
        <v>5257</v>
      </c>
      <c r="F2681" s="4">
        <v>4.0</v>
      </c>
      <c r="G2681" s="4">
        <v>20.79</v>
      </c>
      <c r="H2681" s="4">
        <v>21.55</v>
      </c>
      <c r="I2681" s="4">
        <v>21.56</v>
      </c>
      <c r="J2681" s="4">
        <v>20.77</v>
      </c>
    </row>
    <row r="2682">
      <c r="A2682" s="4" t="s">
        <v>5393</v>
      </c>
      <c r="B2682" s="4" t="s">
        <v>761</v>
      </c>
      <c r="C2682" s="4">
        <v>147.0</v>
      </c>
      <c r="D2682" s="4">
        <v>27.0</v>
      </c>
      <c r="E2682" s="4" t="s">
        <v>5259</v>
      </c>
      <c r="F2682" s="4">
        <v>8.0</v>
      </c>
      <c r="G2682" s="4">
        <v>4.52</v>
      </c>
      <c r="H2682" s="4">
        <v>3.83</v>
      </c>
      <c r="I2682" s="4">
        <v>4.23</v>
      </c>
      <c r="J2682" s="4">
        <v>3.92</v>
      </c>
      <c r="X2682" s="4">
        <v>4.78</v>
      </c>
    </row>
    <row r="2683">
      <c r="A2683" s="4" t="s">
        <v>5394</v>
      </c>
      <c r="B2683" s="4" t="s">
        <v>761</v>
      </c>
      <c r="C2683" s="4">
        <v>148.0</v>
      </c>
      <c r="D2683" s="4">
        <v>28.0</v>
      </c>
      <c r="E2683" s="4" t="s">
        <v>5261</v>
      </c>
      <c r="F2683" s="4">
        <v>8.0</v>
      </c>
      <c r="G2683" s="4">
        <v>16.01</v>
      </c>
      <c r="H2683" s="4">
        <v>15.98</v>
      </c>
      <c r="I2683" s="4">
        <v>15.92</v>
      </c>
      <c r="J2683" s="4">
        <v>16.38</v>
      </c>
      <c r="X2683" s="4">
        <v>15.88</v>
      </c>
    </row>
    <row r="2684">
      <c r="A2684" s="4" t="s">
        <v>5395</v>
      </c>
      <c r="B2684" s="4" t="s">
        <v>761</v>
      </c>
      <c r="C2684" s="4">
        <v>149.0</v>
      </c>
      <c r="D2684" s="4">
        <v>29.0</v>
      </c>
      <c r="E2684" s="4" t="s">
        <v>5263</v>
      </c>
      <c r="F2684" s="4">
        <v>8.0</v>
      </c>
      <c r="G2684" s="4">
        <v>16.19</v>
      </c>
      <c r="H2684" s="4">
        <v>16.14</v>
      </c>
      <c r="I2684" s="4">
        <v>16.91</v>
      </c>
      <c r="J2684" s="4">
        <v>15.97</v>
      </c>
      <c r="X2684" s="4">
        <v>15.88</v>
      </c>
    </row>
    <row r="2685">
      <c r="A2685" s="4" t="s">
        <v>5396</v>
      </c>
      <c r="B2685" s="4" t="s">
        <v>761</v>
      </c>
      <c r="C2685" s="4">
        <v>150.0</v>
      </c>
      <c r="D2685" s="4">
        <v>30.0</v>
      </c>
      <c r="E2685" s="4" t="s">
        <v>5265</v>
      </c>
      <c r="F2685" s="4">
        <v>8.0</v>
      </c>
      <c r="G2685" s="4">
        <v>3.53</v>
      </c>
      <c r="H2685" s="4">
        <v>3.57</v>
      </c>
      <c r="I2685" s="4">
        <v>3.59</v>
      </c>
      <c r="J2685" s="4">
        <v>3.46</v>
      </c>
      <c r="X2685" s="4">
        <v>3.76</v>
      </c>
    </row>
    <row r="2686">
      <c r="A2686" s="4" t="s">
        <v>5397</v>
      </c>
      <c r="B2686" s="4" t="s">
        <v>761</v>
      </c>
      <c r="C2686" s="4">
        <v>151.0</v>
      </c>
      <c r="D2686" s="4">
        <v>31.0</v>
      </c>
      <c r="E2686" s="4" t="s">
        <v>5267</v>
      </c>
      <c r="F2686" s="4">
        <v>8.0</v>
      </c>
      <c r="G2686" s="4">
        <v>16.28</v>
      </c>
      <c r="H2686" s="4">
        <v>16.23</v>
      </c>
      <c r="I2686" s="4">
        <v>16.5</v>
      </c>
      <c r="J2686" s="4">
        <v>16.39</v>
      </c>
      <c r="X2686" s="4">
        <v>15.88</v>
      </c>
    </row>
    <row r="2687">
      <c r="A2687" s="4" t="s">
        <v>5398</v>
      </c>
      <c r="B2687" s="4" t="s">
        <v>761</v>
      </c>
      <c r="C2687" s="4">
        <v>152.0</v>
      </c>
      <c r="D2687" s="4">
        <v>32.0</v>
      </c>
      <c r="E2687" s="4" t="s">
        <v>5269</v>
      </c>
      <c r="F2687" s="4">
        <v>8.0</v>
      </c>
      <c r="G2687" s="4">
        <v>16.21</v>
      </c>
      <c r="H2687" s="4">
        <v>16.14</v>
      </c>
      <c r="I2687" s="4">
        <v>16.22</v>
      </c>
      <c r="J2687" s="4">
        <v>16.1</v>
      </c>
      <c r="X2687" s="4">
        <v>15.88</v>
      </c>
    </row>
    <row r="2688">
      <c r="A2688" s="4" t="s">
        <v>5399</v>
      </c>
      <c r="B2688" s="4" t="s">
        <v>761</v>
      </c>
      <c r="C2688" s="4">
        <v>153.0</v>
      </c>
      <c r="D2688" s="4">
        <v>33.0</v>
      </c>
      <c r="E2688" s="4" t="s">
        <v>5271</v>
      </c>
      <c r="F2688" s="4">
        <v>2.0</v>
      </c>
      <c r="G2688" s="4">
        <v>3.44</v>
      </c>
      <c r="H2688" s="4">
        <v>3.34</v>
      </c>
      <c r="I2688" s="4">
        <v>3.35</v>
      </c>
      <c r="J2688" s="4">
        <v>3.48</v>
      </c>
      <c r="X2688" s="4">
        <v>3.58</v>
      </c>
    </row>
    <row r="2689">
      <c r="A2689" s="4" t="s">
        <v>5400</v>
      </c>
      <c r="B2689" s="4" t="s">
        <v>761</v>
      </c>
      <c r="C2689" s="4">
        <v>154.0</v>
      </c>
      <c r="D2689" s="4">
        <v>34.0</v>
      </c>
      <c r="E2689" s="4" t="s">
        <v>5273</v>
      </c>
      <c r="F2689" s="4">
        <v>2.0</v>
      </c>
      <c r="G2689" s="4">
        <v>18.61</v>
      </c>
      <c r="H2689" s="4">
        <v>18.58</v>
      </c>
      <c r="I2689" s="4">
        <v>18.59</v>
      </c>
      <c r="J2689" s="4">
        <v>18.66</v>
      </c>
    </row>
    <row r="2690">
      <c r="A2690" s="4" t="s">
        <v>5401</v>
      </c>
      <c r="B2690" s="4" t="s">
        <v>761</v>
      </c>
      <c r="C2690" s="4">
        <v>155.0</v>
      </c>
      <c r="D2690" s="4">
        <v>35.0</v>
      </c>
      <c r="E2690" s="4" t="s">
        <v>5275</v>
      </c>
      <c r="F2690" s="4">
        <v>20.0</v>
      </c>
      <c r="G2690" s="4">
        <v>11.96</v>
      </c>
      <c r="H2690" s="4">
        <v>12.0</v>
      </c>
      <c r="I2690" s="4">
        <v>12.09</v>
      </c>
      <c r="J2690" s="4">
        <v>12.04</v>
      </c>
      <c r="X2690" s="4">
        <v>11.91</v>
      </c>
    </row>
    <row r="2691">
      <c r="A2691" s="4" t="s">
        <v>5402</v>
      </c>
      <c r="B2691" s="4" t="s">
        <v>761</v>
      </c>
      <c r="C2691" s="4">
        <v>156.0</v>
      </c>
      <c r="D2691" s="4">
        <v>36.0</v>
      </c>
      <c r="E2691" s="4" t="s">
        <v>5277</v>
      </c>
      <c r="F2691" s="4">
        <v>20.0</v>
      </c>
      <c r="G2691" s="4">
        <v>31.85</v>
      </c>
      <c r="H2691" s="4">
        <v>31.12</v>
      </c>
      <c r="I2691" s="4">
        <v>31.09</v>
      </c>
      <c r="J2691" s="4">
        <v>31.05</v>
      </c>
      <c r="X2691" s="4">
        <v>31.75</v>
      </c>
    </row>
    <row r="2692">
      <c r="A2692" s="4" t="s">
        <v>5403</v>
      </c>
      <c r="B2692" s="4" t="s">
        <v>761</v>
      </c>
      <c r="C2692" s="4">
        <v>157.0</v>
      </c>
      <c r="D2692" s="4">
        <v>37.0</v>
      </c>
      <c r="E2692" s="4" t="s">
        <v>5279</v>
      </c>
      <c r="F2692" s="4">
        <v>20.0</v>
      </c>
      <c r="G2692" s="4">
        <v>32.62</v>
      </c>
      <c r="H2692" s="4">
        <v>31.89</v>
      </c>
      <c r="I2692" s="4">
        <v>31.91</v>
      </c>
      <c r="J2692" s="4">
        <v>31.95</v>
      </c>
      <c r="X2692" s="4">
        <v>32.54</v>
      </c>
    </row>
    <row r="2693">
      <c r="A2693" s="4" t="s">
        <v>5404</v>
      </c>
      <c r="B2693" s="4" t="s">
        <v>761</v>
      </c>
      <c r="C2693" s="4">
        <v>158.0</v>
      </c>
      <c r="D2693" s="4">
        <v>38.0</v>
      </c>
      <c r="E2693" s="4" t="s">
        <v>5281</v>
      </c>
      <c r="F2693" s="4">
        <v>4.0</v>
      </c>
      <c r="G2693" s="4">
        <v>3.72</v>
      </c>
      <c r="H2693" s="4">
        <v>3.75</v>
      </c>
      <c r="I2693" s="4">
        <v>3.77</v>
      </c>
      <c r="J2693" s="4">
        <v>3.77</v>
      </c>
      <c r="X2693" s="4">
        <v>3.96</v>
      </c>
    </row>
    <row r="2694">
      <c r="A2694" s="4" t="s">
        <v>5405</v>
      </c>
      <c r="B2694" s="4" t="s">
        <v>761</v>
      </c>
      <c r="C2694" s="4">
        <v>159.0</v>
      </c>
      <c r="D2694" s="4">
        <v>39.0</v>
      </c>
      <c r="E2694" s="4" t="s">
        <v>5283</v>
      </c>
      <c r="F2694" s="4">
        <v>4.0</v>
      </c>
      <c r="G2694" s="4">
        <v>20.62</v>
      </c>
      <c r="H2694" s="4">
        <v>20.58</v>
      </c>
      <c r="I2694" s="4">
        <v>20.58</v>
      </c>
      <c r="J2694" s="4">
        <v>20.62</v>
      </c>
    </row>
    <row r="2695">
      <c r="A2695" s="4" t="s">
        <v>5406</v>
      </c>
      <c r="B2695" s="4" t="s">
        <v>761</v>
      </c>
      <c r="C2695" s="4">
        <v>160.0</v>
      </c>
      <c r="D2695" s="4">
        <v>40.0</v>
      </c>
      <c r="E2695" s="4" t="s">
        <v>5285</v>
      </c>
      <c r="F2695" s="4">
        <v>6.0</v>
      </c>
      <c r="G2695" s="4">
        <v>3.82</v>
      </c>
      <c r="H2695" s="4">
        <v>3.88</v>
      </c>
      <c r="I2695" s="4">
        <v>3.73</v>
      </c>
      <c r="J2695" s="4">
        <v>3.71</v>
      </c>
      <c r="X2695" s="4">
        <v>3.96</v>
      </c>
    </row>
    <row r="2696">
      <c r="A2696" s="4" t="s">
        <v>5407</v>
      </c>
      <c r="B2696" s="4" t="s">
        <v>761</v>
      </c>
      <c r="C2696" s="4">
        <v>161.0</v>
      </c>
      <c r="D2696" s="4">
        <v>41.0</v>
      </c>
      <c r="E2696" s="4" t="s">
        <v>5287</v>
      </c>
      <c r="F2696" s="4">
        <v>6.0</v>
      </c>
      <c r="G2696" s="4">
        <v>23.2</v>
      </c>
      <c r="H2696" s="4">
        <v>23.36</v>
      </c>
      <c r="I2696" s="4">
        <v>23.17</v>
      </c>
      <c r="J2696" s="4">
        <v>23.29</v>
      </c>
      <c r="X2696" s="4">
        <v>22.22</v>
      </c>
    </row>
    <row r="2697">
      <c r="A2697" s="4" t="s">
        <v>5408</v>
      </c>
      <c r="B2697" s="4" t="s">
        <v>999</v>
      </c>
      <c r="C2697" s="54" t="s">
        <v>399</v>
      </c>
      <c r="D2697" s="4" t="s">
        <v>5409</v>
      </c>
      <c r="E2697" s="4" t="s">
        <v>4260</v>
      </c>
      <c r="F2697" s="54" t="s">
        <v>351</v>
      </c>
      <c r="G2697" s="4">
        <v>12.76</v>
      </c>
      <c r="H2697" s="4">
        <v>12.76</v>
      </c>
      <c r="I2697" s="4">
        <v>12.84</v>
      </c>
      <c r="J2697" s="4">
        <v>12.73</v>
      </c>
      <c r="K2697" s="4">
        <v>12.84</v>
      </c>
      <c r="L2697" s="4">
        <v>12.73</v>
      </c>
      <c r="M2697" s="4">
        <v>12.84</v>
      </c>
      <c r="N2697" s="4">
        <v>12.76</v>
      </c>
      <c r="O2697" s="4">
        <v>12.8</v>
      </c>
      <c r="P2697" s="4">
        <v>12.91</v>
      </c>
      <c r="Q2697" s="4">
        <v>12.84</v>
      </c>
      <c r="R2697" s="4">
        <v>12.84</v>
      </c>
      <c r="S2697" s="4">
        <v>13.32</v>
      </c>
      <c r="T2697" s="4">
        <v>12.91</v>
      </c>
      <c r="U2697" s="4">
        <v>12.43</v>
      </c>
      <c r="V2697" s="4">
        <v>12.76</v>
      </c>
      <c r="W2697" s="4"/>
      <c r="X2697" s="55" t="str">
        <f t="shared" ref="X2697:X2700" si="4">CALCULAR_NOMINAL_ASME(J2697,K2697:V2697)</f>
        <v>#NAME?</v>
      </c>
    </row>
    <row r="2698">
      <c r="A2698" s="4" t="s">
        <v>5410</v>
      </c>
      <c r="B2698" s="4" t="s">
        <v>999</v>
      </c>
      <c r="C2698" s="54" t="s">
        <v>449</v>
      </c>
      <c r="D2698" s="4" t="s">
        <v>5411</v>
      </c>
      <c r="E2698" s="4" t="s">
        <v>4260</v>
      </c>
      <c r="F2698" s="54" t="s">
        <v>351</v>
      </c>
      <c r="G2698" s="4">
        <v>12.36</v>
      </c>
      <c r="H2698" s="4">
        <v>12.28</v>
      </c>
      <c r="I2698" s="4">
        <v>13.36</v>
      </c>
      <c r="J2698" s="4">
        <v>12.69</v>
      </c>
      <c r="K2698" s="4">
        <v>12.8</v>
      </c>
      <c r="L2698" s="4">
        <v>12.99</v>
      </c>
      <c r="M2698" s="4">
        <v>13.39</v>
      </c>
      <c r="N2698" s="4">
        <v>12.88</v>
      </c>
      <c r="O2698" s="4">
        <v>12.8</v>
      </c>
      <c r="P2698" s="4">
        <v>12.88</v>
      </c>
      <c r="Q2698" s="4">
        <v>12.84</v>
      </c>
      <c r="R2698" s="4">
        <v>12.8</v>
      </c>
      <c r="S2698" s="4">
        <v>12.84</v>
      </c>
      <c r="T2698" s="4">
        <v>12.76</v>
      </c>
      <c r="U2698" s="4">
        <v>13.14</v>
      </c>
      <c r="V2698" s="4">
        <v>13.25</v>
      </c>
      <c r="W2698" s="4"/>
      <c r="X2698" s="55" t="str">
        <f t="shared" si="4"/>
        <v>#NAME?</v>
      </c>
    </row>
    <row r="2699">
      <c r="A2699" s="4" t="s">
        <v>5412</v>
      </c>
      <c r="B2699" s="4" t="s">
        <v>999</v>
      </c>
      <c r="C2699" s="54" t="s">
        <v>292</v>
      </c>
      <c r="D2699" s="4" t="s">
        <v>5413</v>
      </c>
      <c r="E2699" s="4" t="s">
        <v>4260</v>
      </c>
      <c r="F2699" s="54" t="s">
        <v>351</v>
      </c>
      <c r="G2699" s="4">
        <v>13.13</v>
      </c>
      <c r="H2699" s="4">
        <v>13.17</v>
      </c>
      <c r="I2699" s="4">
        <v>12.69</v>
      </c>
      <c r="J2699" s="4">
        <v>12.73</v>
      </c>
      <c r="K2699" s="4">
        <v>12.69</v>
      </c>
      <c r="L2699" s="4">
        <v>12.73</v>
      </c>
      <c r="M2699" s="4">
        <v>13.1</v>
      </c>
      <c r="N2699" s="4">
        <v>12.73</v>
      </c>
      <c r="O2699" s="4">
        <v>13.13</v>
      </c>
      <c r="P2699" s="4">
        <v>12.8</v>
      </c>
      <c r="Q2699" s="4">
        <v>13.28</v>
      </c>
      <c r="R2699" s="4">
        <v>13.25</v>
      </c>
      <c r="S2699" s="4">
        <v>12.84</v>
      </c>
      <c r="T2699" s="4">
        <v>12.76</v>
      </c>
      <c r="U2699" s="4">
        <v>13.28</v>
      </c>
      <c r="V2699" s="4">
        <v>13.32</v>
      </c>
      <c r="X2699" s="55" t="str">
        <f t="shared" si="4"/>
        <v>#NAME?</v>
      </c>
    </row>
    <row r="2700">
      <c r="A2700" s="4" t="s">
        <v>5414</v>
      </c>
      <c r="B2700" s="4" t="s">
        <v>999</v>
      </c>
      <c r="C2700" s="54" t="s">
        <v>405</v>
      </c>
      <c r="D2700" s="4" t="s">
        <v>5415</v>
      </c>
      <c r="E2700" s="4" t="s">
        <v>4260</v>
      </c>
      <c r="F2700" s="54" t="s">
        <v>351</v>
      </c>
      <c r="G2700" s="4">
        <v>13.06</v>
      </c>
      <c r="H2700" s="4">
        <v>13.02</v>
      </c>
      <c r="I2700" s="4">
        <v>12.54</v>
      </c>
      <c r="J2700" s="4">
        <v>13.1</v>
      </c>
      <c r="K2700" s="4">
        <v>12.69</v>
      </c>
      <c r="L2700" s="4">
        <v>12.65</v>
      </c>
      <c r="M2700" s="4">
        <v>12.73</v>
      </c>
      <c r="N2700" s="4">
        <v>13.1</v>
      </c>
      <c r="O2700" s="4">
        <v>13.17</v>
      </c>
      <c r="P2700" s="4">
        <v>13.13</v>
      </c>
      <c r="Q2700" s="4">
        <v>12.65</v>
      </c>
      <c r="R2700" s="4">
        <v>13.17</v>
      </c>
      <c r="S2700" s="4">
        <v>13.25</v>
      </c>
      <c r="T2700" s="4">
        <v>12.76</v>
      </c>
      <c r="U2700" s="4">
        <v>13.25</v>
      </c>
      <c r="V2700" s="4">
        <v>12.73</v>
      </c>
      <c r="X2700" s="55" t="str">
        <f t="shared" si="4"/>
        <v>#NAME?</v>
      </c>
    </row>
    <row r="2701">
      <c r="A2701" s="4" t="s">
        <v>5416</v>
      </c>
      <c r="B2701" s="4" t="s">
        <v>1012</v>
      </c>
      <c r="C2701" s="54" t="s">
        <v>399</v>
      </c>
      <c r="D2701" s="4" t="s">
        <v>5409</v>
      </c>
      <c r="E2701" s="4" t="s">
        <v>4260</v>
      </c>
      <c r="F2701" s="54" t="s">
        <v>351</v>
      </c>
      <c r="G2701" s="4">
        <v>13.13</v>
      </c>
      <c r="H2701" s="4">
        <v>12.76</v>
      </c>
      <c r="I2701" s="4">
        <v>12.73</v>
      </c>
      <c r="J2701" s="4">
        <v>12.76</v>
      </c>
      <c r="K2701" s="4">
        <v>12.8</v>
      </c>
      <c r="L2701" s="4">
        <v>12.76</v>
      </c>
      <c r="M2701" s="4">
        <v>12.88</v>
      </c>
      <c r="N2701" s="4">
        <v>12.76</v>
      </c>
      <c r="O2701" s="4">
        <v>12.73</v>
      </c>
      <c r="P2701" s="4">
        <v>12.84</v>
      </c>
      <c r="Q2701" s="4">
        <v>12.83</v>
      </c>
      <c r="R2701" s="4">
        <v>12.76</v>
      </c>
      <c r="S2701" s="4">
        <v>12.76</v>
      </c>
      <c r="T2701" s="4">
        <v>12.8</v>
      </c>
      <c r="U2701" s="4">
        <v>12.84</v>
      </c>
      <c r="V2701" s="4">
        <v>12.8</v>
      </c>
    </row>
    <row r="2702">
      <c r="A2702" s="4" t="s">
        <v>5417</v>
      </c>
      <c r="B2702" s="4" t="s">
        <v>1012</v>
      </c>
      <c r="C2702" s="54" t="s">
        <v>292</v>
      </c>
      <c r="D2702" s="4" t="s">
        <v>5413</v>
      </c>
      <c r="E2702" s="4" t="s">
        <v>4260</v>
      </c>
      <c r="F2702" s="54" t="s">
        <v>351</v>
      </c>
      <c r="G2702" s="4">
        <v>12.84</v>
      </c>
      <c r="H2702" s="4">
        <v>12.88</v>
      </c>
      <c r="I2702" s="4">
        <v>12.91</v>
      </c>
      <c r="J2702" s="4">
        <v>13.25</v>
      </c>
      <c r="K2702" s="4">
        <v>12.8</v>
      </c>
      <c r="L2702" s="4">
        <v>12.88</v>
      </c>
      <c r="M2702" s="4">
        <v>12.8</v>
      </c>
      <c r="N2702" s="4">
        <v>12.88</v>
      </c>
      <c r="O2702" s="4">
        <v>12.76</v>
      </c>
      <c r="P2702" s="4">
        <v>12.88</v>
      </c>
      <c r="Q2702" s="4">
        <v>12.8</v>
      </c>
      <c r="R2702" s="4">
        <v>12.32</v>
      </c>
      <c r="S2702" s="4">
        <v>12.88</v>
      </c>
      <c r="T2702" s="4">
        <v>12.8</v>
      </c>
      <c r="U2702" s="4">
        <v>12.84</v>
      </c>
      <c r="V2702" s="4">
        <v>13.54</v>
      </c>
    </row>
    <row r="2703">
      <c r="A2703" s="4" t="s">
        <v>5418</v>
      </c>
      <c r="B2703" s="4" t="s">
        <v>1012</v>
      </c>
      <c r="C2703" s="54" t="s">
        <v>405</v>
      </c>
      <c r="D2703" s="4" t="s">
        <v>5415</v>
      </c>
      <c r="E2703" s="4" t="s">
        <v>4260</v>
      </c>
      <c r="F2703" s="54" t="s">
        <v>351</v>
      </c>
      <c r="G2703" s="4">
        <v>12.77</v>
      </c>
      <c r="H2703" s="4">
        <v>13.14</v>
      </c>
      <c r="I2703" s="4">
        <v>12.88</v>
      </c>
      <c r="J2703" s="4">
        <v>12.84</v>
      </c>
      <c r="K2703" s="4">
        <v>13.13</v>
      </c>
      <c r="L2703" s="4">
        <v>13.17</v>
      </c>
      <c r="M2703" s="4">
        <v>12.95</v>
      </c>
      <c r="N2703" s="4">
        <v>13.21</v>
      </c>
      <c r="O2703" s="4">
        <v>12.91</v>
      </c>
      <c r="P2703" s="4">
        <v>13.17</v>
      </c>
      <c r="Q2703" s="4">
        <v>13.25</v>
      </c>
      <c r="R2703" s="4">
        <v>13.21</v>
      </c>
      <c r="S2703" s="4">
        <v>12.84</v>
      </c>
      <c r="T2703" s="4">
        <v>12.73</v>
      </c>
      <c r="U2703" s="4">
        <v>13.21</v>
      </c>
      <c r="V2703" s="4">
        <v>13.25</v>
      </c>
    </row>
    <row r="2704">
      <c r="A2704" s="4" t="s">
        <v>5419</v>
      </c>
      <c r="B2704" s="4" t="s">
        <v>1012</v>
      </c>
      <c r="C2704" s="54" t="s">
        <v>449</v>
      </c>
      <c r="D2704" s="4" t="s">
        <v>5411</v>
      </c>
      <c r="E2704" s="4" t="s">
        <v>4260</v>
      </c>
      <c r="F2704" s="54" t="s">
        <v>351</v>
      </c>
      <c r="G2704" s="4">
        <v>13.13</v>
      </c>
      <c r="H2704" s="4">
        <v>12.58</v>
      </c>
      <c r="I2704" s="4">
        <v>12.62</v>
      </c>
      <c r="J2704" s="4">
        <v>12.65</v>
      </c>
      <c r="K2704" s="4">
        <v>12.62</v>
      </c>
      <c r="L2704" s="4">
        <v>12.62</v>
      </c>
      <c r="M2704" s="4">
        <v>12.58</v>
      </c>
      <c r="N2704" s="4">
        <v>12.99</v>
      </c>
      <c r="O2704" s="4">
        <v>12.65</v>
      </c>
      <c r="P2704" s="4">
        <v>12.95</v>
      </c>
      <c r="Q2704" s="4">
        <v>12.99</v>
      </c>
      <c r="R2704" s="4">
        <v>12.95</v>
      </c>
      <c r="S2704" s="4">
        <v>12.91</v>
      </c>
      <c r="T2704" s="4">
        <v>12.99</v>
      </c>
      <c r="U2704" s="4">
        <v>12.95</v>
      </c>
      <c r="V2704" s="4">
        <v>12.95</v>
      </c>
      <c r="X2704" s="55" t="str">
        <f>CALCULAR_NOMINAL_ASME(K2704,L2704:W2704)</f>
        <v>#NAME?</v>
      </c>
    </row>
    <row r="2705">
      <c r="A2705" s="4" t="s">
        <v>5420</v>
      </c>
      <c r="B2705" s="4" t="s">
        <v>1019</v>
      </c>
      <c r="C2705" s="54" t="s">
        <v>292</v>
      </c>
      <c r="D2705" s="4" t="s">
        <v>5421</v>
      </c>
      <c r="E2705" s="4" t="s">
        <v>1088</v>
      </c>
      <c r="F2705" s="54" t="s">
        <v>274</v>
      </c>
      <c r="G2705" s="4">
        <v>0.66</v>
      </c>
      <c r="H2705" s="4">
        <v>0.65</v>
      </c>
      <c r="I2705" s="4">
        <v>0.67</v>
      </c>
      <c r="J2705" s="4">
        <v>0.67</v>
      </c>
    </row>
    <row r="2706">
      <c r="A2706" s="4" t="s">
        <v>5422</v>
      </c>
      <c r="B2706" s="4" t="s">
        <v>1019</v>
      </c>
      <c r="C2706" s="54" t="s">
        <v>399</v>
      </c>
      <c r="D2706" s="4" t="s">
        <v>5423</v>
      </c>
      <c r="E2706" s="4" t="s">
        <v>4270</v>
      </c>
      <c r="F2706" s="54" t="s">
        <v>274</v>
      </c>
      <c r="G2706" s="4">
        <v>1.18</v>
      </c>
      <c r="H2706" s="4">
        <v>1.17</v>
      </c>
      <c r="I2706" s="4">
        <v>1.17</v>
      </c>
      <c r="J2706" s="4">
        <v>1.17</v>
      </c>
    </row>
    <row r="2707">
      <c r="A2707" s="4" t="s">
        <v>5424</v>
      </c>
      <c r="B2707" s="4" t="s">
        <v>1019</v>
      </c>
      <c r="C2707" s="54" t="s">
        <v>405</v>
      </c>
      <c r="D2707" s="4" t="s">
        <v>4268</v>
      </c>
      <c r="E2707" s="4" t="s">
        <v>1088</v>
      </c>
      <c r="F2707" s="54" t="s">
        <v>534</v>
      </c>
      <c r="G2707" s="4">
        <v>0.47</v>
      </c>
      <c r="H2707" s="4">
        <v>0.48</v>
      </c>
      <c r="I2707" s="4">
        <v>0.49</v>
      </c>
      <c r="J2707" s="4">
        <v>0.48</v>
      </c>
    </row>
    <row r="2708">
      <c r="A2708" s="4" t="s">
        <v>5425</v>
      </c>
      <c r="B2708" s="4" t="s">
        <v>1019</v>
      </c>
      <c r="C2708" s="54" t="s">
        <v>449</v>
      </c>
      <c r="D2708" s="4" t="s">
        <v>5426</v>
      </c>
      <c r="E2708" s="4" t="s">
        <v>4270</v>
      </c>
      <c r="F2708" s="54" t="s">
        <v>534</v>
      </c>
      <c r="G2708" s="4">
        <v>1.11</v>
      </c>
      <c r="H2708" s="4">
        <v>1.1</v>
      </c>
      <c r="I2708" s="4">
        <v>1.11</v>
      </c>
      <c r="J2708" s="4">
        <v>1.1</v>
      </c>
    </row>
    <row r="2709">
      <c r="A2709" s="4" t="s">
        <v>5427</v>
      </c>
      <c r="B2709" s="4" t="s">
        <v>1019</v>
      </c>
      <c r="C2709" s="54" t="s">
        <v>443</v>
      </c>
      <c r="D2709" s="4" t="s">
        <v>5428</v>
      </c>
      <c r="E2709" s="4" t="s">
        <v>1088</v>
      </c>
      <c r="F2709" s="54" t="s">
        <v>683</v>
      </c>
      <c r="G2709" s="4">
        <v>0.48</v>
      </c>
      <c r="H2709" s="4">
        <v>0.49</v>
      </c>
      <c r="I2709" s="4">
        <v>0.48</v>
      </c>
      <c r="J2709" s="4">
        <v>0.49</v>
      </c>
    </row>
    <row r="2710">
      <c r="A2710" s="4" t="s">
        <v>5429</v>
      </c>
      <c r="B2710" s="4" t="s">
        <v>1019</v>
      </c>
      <c r="C2710" s="54" t="s">
        <v>357</v>
      </c>
      <c r="D2710" s="4" t="s">
        <v>5430</v>
      </c>
      <c r="E2710" s="4" t="s">
        <v>4270</v>
      </c>
      <c r="F2710" s="54" t="s">
        <v>683</v>
      </c>
      <c r="G2710" s="4">
        <v>1.68</v>
      </c>
      <c r="H2710" s="4">
        <v>1.66</v>
      </c>
      <c r="I2710" s="4">
        <v>1.67</v>
      </c>
      <c r="J2710" s="4">
        <v>1.68</v>
      </c>
    </row>
    <row r="2711">
      <c r="A2711" s="4" t="s">
        <v>5431</v>
      </c>
      <c r="B2711" s="4" t="s">
        <v>1019</v>
      </c>
      <c r="C2711" s="54" t="s">
        <v>529</v>
      </c>
      <c r="D2711" s="4" t="s">
        <v>5432</v>
      </c>
      <c r="E2711" s="4" t="s">
        <v>1088</v>
      </c>
      <c r="F2711" s="54" t="s">
        <v>963</v>
      </c>
      <c r="G2711" s="4">
        <v>0.49</v>
      </c>
      <c r="H2711" s="4">
        <v>0.49</v>
      </c>
      <c r="I2711" s="4">
        <v>0.49</v>
      </c>
      <c r="J2711" s="4">
        <v>0.49</v>
      </c>
    </row>
    <row r="2712">
      <c r="A2712" s="4" t="s">
        <v>5433</v>
      </c>
      <c r="B2712" s="4" t="s">
        <v>1019</v>
      </c>
      <c r="C2712" s="54" t="s">
        <v>534</v>
      </c>
      <c r="D2712" s="4" t="s">
        <v>5434</v>
      </c>
      <c r="E2712" s="4" t="s">
        <v>4270</v>
      </c>
      <c r="F2712" s="54" t="s">
        <v>963</v>
      </c>
      <c r="G2712" s="4">
        <v>1.62</v>
      </c>
      <c r="H2712" s="4">
        <v>1.63</v>
      </c>
      <c r="I2712" s="4">
        <v>1.64</v>
      </c>
      <c r="J2712" s="4">
        <v>1.64</v>
      </c>
    </row>
    <row r="2713">
      <c r="A2713" s="4" t="s">
        <v>5435</v>
      </c>
      <c r="B2713" s="4" t="s">
        <v>1019</v>
      </c>
      <c r="C2713" s="54" t="s">
        <v>540</v>
      </c>
      <c r="D2713" s="4" t="s">
        <v>5436</v>
      </c>
      <c r="E2713" s="4" t="s">
        <v>1088</v>
      </c>
      <c r="F2713" s="54" t="s">
        <v>534</v>
      </c>
      <c r="G2713" s="4">
        <v>0.36</v>
      </c>
      <c r="H2713" s="4">
        <v>0.35</v>
      </c>
      <c r="I2713" s="4">
        <v>0.36</v>
      </c>
      <c r="J2713" s="4">
        <v>0.34</v>
      </c>
    </row>
    <row r="2714">
      <c r="A2714" s="4" t="s">
        <v>5437</v>
      </c>
      <c r="B2714" s="4" t="s">
        <v>1019</v>
      </c>
      <c r="C2714" s="54" t="s">
        <v>546</v>
      </c>
      <c r="D2714" s="4" t="s">
        <v>5438</v>
      </c>
      <c r="E2714" s="4" t="s">
        <v>4270</v>
      </c>
      <c r="F2714" s="54" t="s">
        <v>534</v>
      </c>
      <c r="G2714" s="4">
        <v>1.12</v>
      </c>
      <c r="H2714" s="4">
        <v>1.1</v>
      </c>
      <c r="I2714" s="4">
        <v>1.1</v>
      </c>
      <c r="J2714" s="4">
        <v>1.13</v>
      </c>
    </row>
    <row r="2715">
      <c r="A2715" s="4" t="s">
        <v>5439</v>
      </c>
      <c r="B2715" s="4" t="s">
        <v>1019</v>
      </c>
      <c r="C2715" s="54" t="s">
        <v>573</v>
      </c>
      <c r="D2715" s="4" t="s">
        <v>3872</v>
      </c>
      <c r="E2715" s="4" t="s">
        <v>1088</v>
      </c>
      <c r="F2715" s="54" t="s">
        <v>534</v>
      </c>
      <c r="G2715" s="4">
        <v>0.47</v>
      </c>
      <c r="H2715" s="4">
        <v>0.48</v>
      </c>
      <c r="I2715" s="4">
        <v>0.48</v>
      </c>
      <c r="J2715" s="4">
        <v>0.48</v>
      </c>
    </row>
    <row r="2716">
      <c r="A2716" s="4" t="s">
        <v>5440</v>
      </c>
      <c r="B2716" s="4" t="s">
        <v>1019</v>
      </c>
      <c r="C2716" s="54" t="s">
        <v>611</v>
      </c>
      <c r="D2716" s="4" t="s">
        <v>5441</v>
      </c>
      <c r="E2716" s="4" t="s">
        <v>4270</v>
      </c>
      <c r="F2716" s="54" t="s">
        <v>534</v>
      </c>
      <c r="G2716" s="4">
        <v>1.08</v>
      </c>
      <c r="H2716" s="4">
        <v>1.1</v>
      </c>
      <c r="I2716" s="4">
        <v>1.09</v>
      </c>
      <c r="J2716" s="4">
        <v>1.08</v>
      </c>
    </row>
    <row r="2717">
      <c r="A2717" s="4" t="s">
        <v>5442</v>
      </c>
      <c r="B2717" s="4" t="s">
        <v>1019</v>
      </c>
      <c r="C2717" s="54" t="s">
        <v>626</v>
      </c>
      <c r="D2717" s="4" t="s">
        <v>5443</v>
      </c>
      <c r="E2717" s="4" t="s">
        <v>1088</v>
      </c>
      <c r="F2717" s="54" t="s">
        <v>534</v>
      </c>
      <c r="G2717" s="4">
        <v>0.49</v>
      </c>
      <c r="H2717" s="4">
        <v>0.48</v>
      </c>
      <c r="I2717" s="4">
        <v>0.48</v>
      </c>
      <c r="J2717" s="4">
        <v>0.5</v>
      </c>
    </row>
    <row r="2718">
      <c r="A2718" s="4" t="s">
        <v>5444</v>
      </c>
      <c r="B2718" s="4" t="s">
        <v>1019</v>
      </c>
      <c r="C2718" s="54" t="s">
        <v>632</v>
      </c>
      <c r="D2718" s="4" t="s">
        <v>5445</v>
      </c>
      <c r="E2718" s="4" t="s">
        <v>4270</v>
      </c>
      <c r="F2718" s="54" t="s">
        <v>534</v>
      </c>
      <c r="G2718" s="4">
        <v>1.11</v>
      </c>
      <c r="H2718" s="4">
        <v>1.1</v>
      </c>
      <c r="I2718" s="4">
        <v>1.1</v>
      </c>
      <c r="J2718" s="4">
        <v>1.09</v>
      </c>
    </row>
    <row r="2719">
      <c r="A2719" s="4" t="s">
        <v>5446</v>
      </c>
      <c r="B2719" s="4" t="s">
        <v>1019</v>
      </c>
      <c r="C2719" s="54" t="s">
        <v>637</v>
      </c>
      <c r="D2719" s="4" t="s">
        <v>5447</v>
      </c>
      <c r="E2719" s="4" t="s">
        <v>1088</v>
      </c>
      <c r="F2719" s="54" t="s">
        <v>449</v>
      </c>
      <c r="G2719" s="4">
        <v>0.33</v>
      </c>
      <c r="H2719" s="4">
        <v>0.33</v>
      </c>
      <c r="I2719" s="4">
        <v>0.31</v>
      </c>
      <c r="J2719" s="4">
        <v>0.31</v>
      </c>
    </row>
    <row r="2720">
      <c r="A2720" s="4" t="s">
        <v>5448</v>
      </c>
      <c r="B2720" s="4" t="s">
        <v>1019</v>
      </c>
      <c r="C2720" s="54" t="s">
        <v>274</v>
      </c>
      <c r="D2720" s="4" t="s">
        <v>5449</v>
      </c>
      <c r="E2720" s="4" t="s">
        <v>4270</v>
      </c>
      <c r="F2720" s="54" t="s">
        <v>449</v>
      </c>
      <c r="G2720" s="4">
        <v>1.38</v>
      </c>
      <c r="H2720" s="4">
        <v>1.38</v>
      </c>
      <c r="I2720" s="4">
        <v>1.36</v>
      </c>
      <c r="J2720" s="4">
        <v>1.37</v>
      </c>
    </row>
    <row r="2721">
      <c r="A2721" s="4" t="s">
        <v>5450</v>
      </c>
      <c r="B2721" s="4" t="s">
        <v>1019</v>
      </c>
      <c r="C2721" s="54" t="s">
        <v>673</v>
      </c>
      <c r="D2721" s="4" t="s">
        <v>5451</v>
      </c>
      <c r="E2721" s="4" t="s">
        <v>4264</v>
      </c>
      <c r="F2721" s="54" t="s">
        <v>351</v>
      </c>
      <c r="G2721" s="4">
        <v>0.56</v>
      </c>
      <c r="H2721" s="4">
        <v>0.56</v>
      </c>
      <c r="I2721" s="4">
        <v>0.57</v>
      </c>
      <c r="J2721" s="4">
        <v>0.58</v>
      </c>
    </row>
    <row r="2722">
      <c r="A2722" s="4" t="s">
        <v>5452</v>
      </c>
      <c r="B2722" s="4" t="s">
        <v>1019</v>
      </c>
      <c r="C2722" s="54" t="s">
        <v>683</v>
      </c>
      <c r="D2722" s="4" t="s">
        <v>5451</v>
      </c>
      <c r="E2722" s="4" t="s">
        <v>4264</v>
      </c>
      <c r="F2722" s="54" t="s">
        <v>351</v>
      </c>
      <c r="G2722" s="4">
        <v>0.55</v>
      </c>
      <c r="H2722" s="4">
        <v>0.57</v>
      </c>
      <c r="I2722" s="4">
        <v>0.57</v>
      </c>
      <c r="J2722" s="4">
        <v>0.57</v>
      </c>
      <c r="X2722" s="55" t="str">
        <f t="shared" ref="X2722:X2803" si="5">CALCULAR_NOMINAL_ASME(K2722,L2722:W2722)</f>
        <v>#NAME?</v>
      </c>
    </row>
    <row r="2723">
      <c r="A2723" s="4" t="s">
        <v>5453</v>
      </c>
      <c r="B2723" s="4" t="s">
        <v>1019</v>
      </c>
      <c r="C2723" s="54" t="s">
        <v>694</v>
      </c>
      <c r="D2723" s="4" t="s">
        <v>5451</v>
      </c>
      <c r="E2723" s="4" t="s">
        <v>4264</v>
      </c>
      <c r="F2723" s="54" t="s">
        <v>351</v>
      </c>
      <c r="G2723" s="4">
        <v>0.58</v>
      </c>
      <c r="H2723" s="4">
        <v>0.58</v>
      </c>
      <c r="I2723" s="4">
        <v>0.58</v>
      </c>
      <c r="J2723" s="4">
        <v>0.6</v>
      </c>
      <c r="X2723" s="55" t="str">
        <f t="shared" si="5"/>
        <v>#NAME?</v>
      </c>
    </row>
    <row r="2724">
      <c r="A2724" s="4" t="s">
        <v>5454</v>
      </c>
      <c r="B2724" s="4" t="s">
        <v>1019</v>
      </c>
      <c r="C2724" s="54" t="s">
        <v>287</v>
      </c>
      <c r="D2724" s="4" t="s">
        <v>4260</v>
      </c>
      <c r="E2724" s="4" t="s">
        <v>4260</v>
      </c>
      <c r="F2724" s="54" t="s">
        <v>351</v>
      </c>
      <c r="G2724" s="4">
        <v>0.49</v>
      </c>
      <c r="H2724" s="4">
        <v>0.5</v>
      </c>
      <c r="I2724" s="4">
        <v>0.49</v>
      </c>
      <c r="J2724" s="4">
        <v>0.49</v>
      </c>
      <c r="X2724" s="55" t="str">
        <f t="shared" si="5"/>
        <v>#NAME?</v>
      </c>
    </row>
    <row r="2725">
      <c r="A2725" s="4" t="s">
        <v>5455</v>
      </c>
      <c r="B2725" s="4" t="s">
        <v>1019</v>
      </c>
      <c r="C2725" s="54" t="s">
        <v>421</v>
      </c>
      <c r="D2725" s="4" t="s">
        <v>4260</v>
      </c>
      <c r="E2725" s="4" t="s">
        <v>4260</v>
      </c>
      <c r="F2725" s="54" t="s">
        <v>351</v>
      </c>
      <c r="G2725" s="4">
        <v>0.49</v>
      </c>
      <c r="H2725" s="4">
        <v>0.49</v>
      </c>
      <c r="I2725" s="4">
        <v>0.5</v>
      </c>
      <c r="J2725" s="4">
        <v>0.5</v>
      </c>
      <c r="X2725" s="55" t="str">
        <f t="shared" si="5"/>
        <v>#NAME?</v>
      </c>
    </row>
    <row r="2726">
      <c r="A2726" s="4" t="s">
        <v>5456</v>
      </c>
      <c r="B2726" s="4" t="s">
        <v>1019</v>
      </c>
      <c r="C2726" s="54" t="s">
        <v>737</v>
      </c>
      <c r="D2726" s="4" t="s">
        <v>4260</v>
      </c>
      <c r="E2726" s="4" t="s">
        <v>4260</v>
      </c>
      <c r="F2726" s="54" t="s">
        <v>351</v>
      </c>
      <c r="G2726" s="4">
        <v>0.49</v>
      </c>
      <c r="H2726" s="4">
        <v>0.49</v>
      </c>
      <c r="I2726" s="4">
        <v>0.5</v>
      </c>
      <c r="J2726" s="4">
        <v>0.49</v>
      </c>
      <c r="X2726" s="55" t="str">
        <f t="shared" si="5"/>
        <v>#NAME?</v>
      </c>
    </row>
    <row r="2727">
      <c r="A2727" s="4" t="s">
        <v>5457</v>
      </c>
      <c r="B2727" s="4" t="s">
        <v>1019</v>
      </c>
      <c r="C2727" s="54" t="s">
        <v>807</v>
      </c>
      <c r="D2727" s="4" t="s">
        <v>5458</v>
      </c>
      <c r="E2727" s="4" t="s">
        <v>4264</v>
      </c>
      <c r="F2727" s="54" t="s">
        <v>351</v>
      </c>
      <c r="G2727" s="4">
        <v>0.56</v>
      </c>
      <c r="H2727" s="4">
        <v>0.55</v>
      </c>
      <c r="I2727" s="4">
        <v>0.55</v>
      </c>
      <c r="J2727" s="4">
        <v>0.5</v>
      </c>
      <c r="X2727" s="55" t="str">
        <f t="shared" si="5"/>
        <v>#NAME?</v>
      </c>
    </row>
    <row r="2728">
      <c r="A2728" s="4" t="s">
        <v>5459</v>
      </c>
      <c r="B2728" s="4" t="s">
        <v>1019</v>
      </c>
      <c r="C2728" s="54" t="s">
        <v>963</v>
      </c>
      <c r="D2728" s="4" t="s">
        <v>5458</v>
      </c>
      <c r="E2728" s="4" t="s">
        <v>4264</v>
      </c>
      <c r="F2728" s="54" t="s">
        <v>351</v>
      </c>
      <c r="G2728" s="4">
        <v>0.57</v>
      </c>
      <c r="H2728" s="4">
        <v>0.51</v>
      </c>
      <c r="I2728" s="4">
        <v>0.5</v>
      </c>
      <c r="J2728" s="4">
        <v>0.48</v>
      </c>
      <c r="X2728" s="55" t="str">
        <f t="shared" si="5"/>
        <v>#NAME?</v>
      </c>
    </row>
    <row r="2729">
      <c r="A2729" s="4" t="s">
        <v>5460</v>
      </c>
      <c r="B2729" s="4" t="s">
        <v>1019</v>
      </c>
      <c r="C2729" s="54" t="s">
        <v>971</v>
      </c>
      <c r="D2729" s="4" t="s">
        <v>5458</v>
      </c>
      <c r="E2729" s="4" t="s">
        <v>4264</v>
      </c>
      <c r="F2729" s="54" t="s">
        <v>351</v>
      </c>
      <c r="G2729" s="4">
        <v>0.57</v>
      </c>
      <c r="H2729" s="4">
        <v>0.55</v>
      </c>
      <c r="I2729" s="4">
        <v>0.53</v>
      </c>
      <c r="J2729" s="4">
        <v>0.5</v>
      </c>
      <c r="X2729" s="55" t="str">
        <f t="shared" si="5"/>
        <v>#NAME?</v>
      </c>
    </row>
    <row r="2730">
      <c r="A2730" s="54" t="s">
        <v>5461</v>
      </c>
      <c r="B2730" s="4" t="s">
        <v>1019</v>
      </c>
      <c r="C2730" s="54" t="s">
        <v>809</v>
      </c>
      <c r="D2730" s="4" t="s">
        <v>5458</v>
      </c>
      <c r="E2730" s="4" t="s">
        <v>4264</v>
      </c>
      <c r="F2730" s="54" t="s">
        <v>351</v>
      </c>
      <c r="G2730" s="4">
        <v>0.58</v>
      </c>
      <c r="H2730" s="4">
        <v>0.55</v>
      </c>
      <c r="I2730" s="4">
        <v>0.53</v>
      </c>
      <c r="J2730" s="4">
        <v>0.5</v>
      </c>
      <c r="X2730" s="55" t="str">
        <f t="shared" si="5"/>
        <v>#NAME?</v>
      </c>
    </row>
    <row r="2731">
      <c r="A2731" s="4" t="s">
        <v>5462</v>
      </c>
      <c r="B2731" s="4" t="s">
        <v>1019</v>
      </c>
      <c r="C2731" s="54" t="s">
        <v>481</v>
      </c>
      <c r="D2731" s="4" t="s">
        <v>5463</v>
      </c>
      <c r="E2731" s="4" t="s">
        <v>4270</v>
      </c>
      <c r="F2731" s="54" t="s">
        <v>963</v>
      </c>
      <c r="G2731" s="4">
        <v>1.6</v>
      </c>
      <c r="H2731" s="4">
        <v>1.61</v>
      </c>
      <c r="I2731" s="4">
        <v>1.63</v>
      </c>
      <c r="J2731" s="4">
        <v>1.62</v>
      </c>
      <c r="X2731" s="55" t="str">
        <f t="shared" si="5"/>
        <v>#NAME?</v>
      </c>
    </row>
    <row r="2732">
      <c r="A2732" s="4" t="s">
        <v>5464</v>
      </c>
      <c r="B2732" s="4" t="s">
        <v>1040</v>
      </c>
      <c r="C2732" s="54" t="s">
        <v>292</v>
      </c>
      <c r="D2732" s="4" t="s">
        <v>5421</v>
      </c>
      <c r="E2732" s="4" t="s">
        <v>1088</v>
      </c>
      <c r="F2732" s="54" t="s">
        <v>274</v>
      </c>
      <c r="G2732" s="4">
        <v>0.65</v>
      </c>
      <c r="H2732" s="4">
        <v>0.67</v>
      </c>
      <c r="I2732" s="4">
        <v>0.72</v>
      </c>
      <c r="J2732" s="4">
        <v>0.68</v>
      </c>
      <c r="X2732" s="55" t="str">
        <f t="shared" si="5"/>
        <v>#NAME?</v>
      </c>
    </row>
    <row r="2733">
      <c r="A2733" s="4" t="s">
        <v>5465</v>
      </c>
      <c r="B2733" s="4" t="s">
        <v>1040</v>
      </c>
      <c r="C2733" s="54" t="s">
        <v>399</v>
      </c>
      <c r="D2733" s="4" t="s">
        <v>5466</v>
      </c>
      <c r="E2733" s="4" t="s">
        <v>4270</v>
      </c>
      <c r="F2733" s="54" t="s">
        <v>274</v>
      </c>
      <c r="G2733" s="4">
        <v>1.19</v>
      </c>
      <c r="H2733" s="4">
        <v>1.17</v>
      </c>
      <c r="I2733" s="4">
        <v>1.19</v>
      </c>
      <c r="J2733" s="4">
        <v>1.17</v>
      </c>
      <c r="X2733" s="55" t="str">
        <f t="shared" si="5"/>
        <v>#NAME?</v>
      </c>
    </row>
    <row r="2734">
      <c r="A2734" s="4" t="s">
        <v>5467</v>
      </c>
      <c r="B2734" s="4" t="s">
        <v>1040</v>
      </c>
      <c r="C2734" s="54" t="s">
        <v>405</v>
      </c>
      <c r="D2734" s="4" t="s">
        <v>4268</v>
      </c>
      <c r="E2734" s="4" t="s">
        <v>1088</v>
      </c>
      <c r="F2734" s="54" t="s">
        <v>534</v>
      </c>
      <c r="G2734" s="4">
        <v>0.46</v>
      </c>
      <c r="H2734" s="4">
        <v>0.48</v>
      </c>
      <c r="I2734" s="4">
        <v>0.5</v>
      </c>
      <c r="J2734" s="4">
        <v>0.5</v>
      </c>
      <c r="X2734" s="55" t="str">
        <f t="shared" si="5"/>
        <v>#NAME?</v>
      </c>
    </row>
    <row r="2735">
      <c r="A2735" s="4" t="s">
        <v>5468</v>
      </c>
      <c r="B2735" s="4" t="s">
        <v>1040</v>
      </c>
      <c r="C2735" s="54" t="s">
        <v>449</v>
      </c>
      <c r="D2735" s="4" t="s">
        <v>5426</v>
      </c>
      <c r="E2735" s="4" t="s">
        <v>4270</v>
      </c>
      <c r="F2735" s="54" t="s">
        <v>534</v>
      </c>
      <c r="G2735" s="4">
        <v>1.1</v>
      </c>
      <c r="H2735" s="4">
        <v>1.11</v>
      </c>
      <c r="I2735" s="4">
        <v>1.13</v>
      </c>
      <c r="J2735" s="4">
        <v>1.12</v>
      </c>
      <c r="X2735" s="55" t="str">
        <f t="shared" si="5"/>
        <v>#NAME?</v>
      </c>
    </row>
    <row r="2736">
      <c r="A2736" s="4" t="s">
        <v>5469</v>
      </c>
      <c r="B2736" s="4" t="s">
        <v>1040</v>
      </c>
      <c r="C2736" s="54" t="s">
        <v>443</v>
      </c>
      <c r="D2736" s="4" t="s">
        <v>5428</v>
      </c>
      <c r="E2736" s="4" t="s">
        <v>1088</v>
      </c>
      <c r="F2736" s="54" t="s">
        <v>683</v>
      </c>
      <c r="G2736" s="4">
        <v>0.49</v>
      </c>
      <c r="H2736" s="4">
        <v>0.5</v>
      </c>
      <c r="I2736" s="4">
        <v>0.49</v>
      </c>
      <c r="J2736" s="4">
        <v>0.48</v>
      </c>
      <c r="X2736" s="55" t="str">
        <f t="shared" si="5"/>
        <v>#NAME?</v>
      </c>
    </row>
    <row r="2737">
      <c r="A2737" s="4" t="s">
        <v>5470</v>
      </c>
      <c r="B2737" s="4" t="s">
        <v>1040</v>
      </c>
      <c r="C2737" s="54" t="s">
        <v>357</v>
      </c>
      <c r="D2737" s="4" t="s">
        <v>5430</v>
      </c>
      <c r="E2737" s="4" t="s">
        <v>4270</v>
      </c>
      <c r="F2737" s="54" t="s">
        <v>534</v>
      </c>
      <c r="G2737" s="4">
        <v>1.68</v>
      </c>
      <c r="H2737" s="4">
        <v>1.68</v>
      </c>
      <c r="I2737" s="4">
        <v>1.69</v>
      </c>
      <c r="J2737" s="4">
        <v>1.69</v>
      </c>
      <c r="X2737" s="55" t="str">
        <f t="shared" si="5"/>
        <v>#NAME?</v>
      </c>
    </row>
    <row r="2738">
      <c r="A2738" s="4" t="s">
        <v>5471</v>
      </c>
      <c r="B2738" s="4" t="s">
        <v>1040</v>
      </c>
      <c r="C2738" s="54" t="s">
        <v>529</v>
      </c>
      <c r="D2738" s="4" t="s">
        <v>5432</v>
      </c>
      <c r="E2738" s="4" t="s">
        <v>1088</v>
      </c>
      <c r="F2738" s="54" t="s">
        <v>963</v>
      </c>
      <c r="G2738" s="4">
        <v>0.48</v>
      </c>
      <c r="H2738" s="4">
        <v>0.49</v>
      </c>
      <c r="I2738" s="4">
        <v>0.49</v>
      </c>
      <c r="J2738" s="4">
        <v>0.49</v>
      </c>
      <c r="X2738" s="55" t="str">
        <f t="shared" si="5"/>
        <v>#NAME?</v>
      </c>
    </row>
    <row r="2739">
      <c r="A2739" s="4" t="s">
        <v>5472</v>
      </c>
      <c r="B2739" s="4" t="s">
        <v>1040</v>
      </c>
      <c r="C2739" s="54" t="s">
        <v>534</v>
      </c>
      <c r="D2739" s="4" t="s">
        <v>5434</v>
      </c>
      <c r="E2739" s="4" t="s">
        <v>4270</v>
      </c>
      <c r="F2739" s="54" t="s">
        <v>963</v>
      </c>
      <c r="G2739" s="4">
        <v>1.64</v>
      </c>
      <c r="H2739" s="4">
        <v>1.65</v>
      </c>
      <c r="I2739" s="4">
        <v>1.66</v>
      </c>
      <c r="J2739" s="4">
        <v>1.66</v>
      </c>
      <c r="X2739" s="55" t="str">
        <f t="shared" si="5"/>
        <v>#NAME?</v>
      </c>
    </row>
    <row r="2740">
      <c r="A2740" s="4" t="s">
        <v>5473</v>
      </c>
      <c r="B2740" s="4" t="s">
        <v>1040</v>
      </c>
      <c r="C2740" s="54" t="s">
        <v>540</v>
      </c>
      <c r="D2740" s="4" t="s">
        <v>5463</v>
      </c>
      <c r="E2740" s="4" t="s">
        <v>4270</v>
      </c>
      <c r="F2740" s="54" t="s">
        <v>963</v>
      </c>
      <c r="G2740" s="4">
        <v>1.62</v>
      </c>
      <c r="H2740" s="4">
        <v>1.64</v>
      </c>
      <c r="I2740" s="4">
        <v>1.67</v>
      </c>
      <c r="J2740" s="4">
        <v>1.67</v>
      </c>
      <c r="X2740" s="55" t="str">
        <f t="shared" si="5"/>
        <v>#NAME?</v>
      </c>
    </row>
    <row r="2741">
      <c r="A2741" s="4" t="s">
        <v>5474</v>
      </c>
      <c r="B2741" s="4" t="s">
        <v>1040</v>
      </c>
      <c r="C2741" s="54" t="s">
        <v>546</v>
      </c>
      <c r="D2741" s="4" t="s">
        <v>5436</v>
      </c>
      <c r="E2741" s="4" t="s">
        <v>1088</v>
      </c>
      <c r="F2741" s="54" t="s">
        <v>534</v>
      </c>
      <c r="G2741" s="4">
        <v>0.33</v>
      </c>
      <c r="H2741" s="4">
        <v>0.34</v>
      </c>
      <c r="I2741" s="4">
        <v>0.34</v>
      </c>
      <c r="J2741" s="4">
        <v>0.32</v>
      </c>
      <c r="X2741" s="55" t="str">
        <f t="shared" si="5"/>
        <v>#NAME?</v>
      </c>
    </row>
    <row r="2742">
      <c r="A2742" s="4" t="s">
        <v>5475</v>
      </c>
      <c r="B2742" s="4" t="s">
        <v>1040</v>
      </c>
      <c r="C2742" s="54" t="s">
        <v>573</v>
      </c>
      <c r="D2742" s="4" t="s">
        <v>5438</v>
      </c>
      <c r="E2742" s="4" t="s">
        <v>4270</v>
      </c>
      <c r="F2742" s="54" t="s">
        <v>534</v>
      </c>
      <c r="G2742" s="4">
        <v>1.1</v>
      </c>
      <c r="H2742" s="4">
        <v>1.11</v>
      </c>
      <c r="I2742" s="4">
        <v>1.11</v>
      </c>
      <c r="J2742" s="4">
        <v>1.12</v>
      </c>
      <c r="X2742" s="55" t="str">
        <f t="shared" si="5"/>
        <v>#NAME?</v>
      </c>
    </row>
    <row r="2743">
      <c r="A2743" s="4" t="s">
        <v>5476</v>
      </c>
      <c r="B2743" s="4" t="s">
        <v>1040</v>
      </c>
      <c r="C2743" s="54" t="s">
        <v>611</v>
      </c>
      <c r="D2743" s="4" t="s">
        <v>3872</v>
      </c>
      <c r="E2743" s="4" t="s">
        <v>1088</v>
      </c>
      <c r="F2743" s="54" t="s">
        <v>534</v>
      </c>
      <c r="G2743" s="4">
        <v>0.47</v>
      </c>
      <c r="H2743" s="4">
        <v>0.48</v>
      </c>
      <c r="I2743" s="4">
        <v>0.48</v>
      </c>
      <c r="J2743" s="4">
        <v>0.49</v>
      </c>
      <c r="X2743" s="55" t="str">
        <f t="shared" si="5"/>
        <v>#NAME?</v>
      </c>
    </row>
    <row r="2744">
      <c r="A2744" s="4" t="s">
        <v>5477</v>
      </c>
      <c r="B2744" s="4" t="s">
        <v>1040</v>
      </c>
      <c r="C2744" s="54" t="s">
        <v>626</v>
      </c>
      <c r="D2744" s="4" t="s">
        <v>5441</v>
      </c>
      <c r="E2744" s="4" t="s">
        <v>4270</v>
      </c>
      <c r="F2744" s="54" t="s">
        <v>534</v>
      </c>
      <c r="G2744" s="4">
        <v>1.11</v>
      </c>
      <c r="H2744" s="4">
        <v>1.12</v>
      </c>
      <c r="I2744" s="4">
        <v>1.12</v>
      </c>
      <c r="J2744" s="4">
        <v>1.13</v>
      </c>
      <c r="X2744" s="55" t="str">
        <f t="shared" si="5"/>
        <v>#NAME?</v>
      </c>
    </row>
    <row r="2745">
      <c r="A2745" s="4" t="s">
        <v>5478</v>
      </c>
      <c r="B2745" s="4" t="s">
        <v>1040</v>
      </c>
      <c r="C2745" s="54" t="s">
        <v>632</v>
      </c>
      <c r="D2745" s="4" t="s">
        <v>5443</v>
      </c>
      <c r="E2745" s="4" t="s">
        <v>1088</v>
      </c>
      <c r="F2745" s="54" t="s">
        <v>534</v>
      </c>
      <c r="G2745" s="4">
        <v>0.5</v>
      </c>
      <c r="H2745" s="4">
        <v>0.49</v>
      </c>
      <c r="I2745" s="4">
        <v>0.49</v>
      </c>
      <c r="J2745" s="4">
        <v>0.48</v>
      </c>
      <c r="X2745" s="55" t="str">
        <f t="shared" si="5"/>
        <v>#NAME?</v>
      </c>
    </row>
    <row r="2746">
      <c r="A2746" s="4" t="s">
        <v>5479</v>
      </c>
      <c r="B2746" s="4" t="s">
        <v>1040</v>
      </c>
      <c r="C2746" s="54" t="s">
        <v>637</v>
      </c>
      <c r="D2746" s="4" t="s">
        <v>5445</v>
      </c>
      <c r="E2746" s="4" t="s">
        <v>4270</v>
      </c>
      <c r="F2746" s="54" t="s">
        <v>534</v>
      </c>
      <c r="G2746" s="4">
        <v>1.13</v>
      </c>
      <c r="H2746" s="4">
        <v>1.11</v>
      </c>
      <c r="I2746" s="4">
        <v>1.12</v>
      </c>
      <c r="J2746" s="4">
        <v>1.11</v>
      </c>
      <c r="X2746" s="55" t="str">
        <f t="shared" si="5"/>
        <v>#NAME?</v>
      </c>
    </row>
    <row r="2747">
      <c r="A2747" s="4" t="s">
        <v>5480</v>
      </c>
      <c r="B2747" s="4" t="s">
        <v>1040</v>
      </c>
      <c r="C2747" s="54" t="s">
        <v>274</v>
      </c>
      <c r="D2747" s="4" t="s">
        <v>5481</v>
      </c>
      <c r="E2747" s="4" t="s">
        <v>4264</v>
      </c>
      <c r="F2747" s="54" t="s">
        <v>351</v>
      </c>
      <c r="G2747" s="4">
        <v>0.5</v>
      </c>
      <c r="H2747" s="4">
        <v>0.5</v>
      </c>
      <c r="I2747" s="4">
        <v>0.5</v>
      </c>
      <c r="J2747" s="4">
        <v>0.52</v>
      </c>
      <c r="X2747" s="55" t="str">
        <f t="shared" si="5"/>
        <v>#NAME?</v>
      </c>
    </row>
    <row r="2748">
      <c r="A2748" s="4" t="s">
        <v>5482</v>
      </c>
      <c r="B2748" s="4" t="s">
        <v>1040</v>
      </c>
      <c r="C2748" s="54" t="s">
        <v>673</v>
      </c>
      <c r="D2748" s="4" t="s">
        <v>5481</v>
      </c>
      <c r="E2748" s="4" t="s">
        <v>4264</v>
      </c>
      <c r="F2748" s="54" t="s">
        <v>351</v>
      </c>
      <c r="G2748" s="4">
        <v>0.5</v>
      </c>
      <c r="H2748" s="4">
        <v>0.5</v>
      </c>
      <c r="I2748" s="4">
        <v>0.5</v>
      </c>
      <c r="J2748" s="4">
        <v>0.5</v>
      </c>
      <c r="X2748" s="55" t="str">
        <f t="shared" si="5"/>
        <v>#NAME?</v>
      </c>
    </row>
    <row r="2749">
      <c r="A2749" s="4" t="s">
        <v>5483</v>
      </c>
      <c r="B2749" s="4" t="s">
        <v>1040</v>
      </c>
      <c r="C2749" s="54" t="s">
        <v>683</v>
      </c>
      <c r="D2749" s="4" t="s">
        <v>5481</v>
      </c>
      <c r="E2749" s="4" t="s">
        <v>4264</v>
      </c>
      <c r="F2749" s="54" t="s">
        <v>351</v>
      </c>
      <c r="G2749" s="4">
        <v>0.5</v>
      </c>
      <c r="H2749" s="4">
        <v>0.5</v>
      </c>
      <c r="I2749" s="4">
        <v>0.5</v>
      </c>
      <c r="J2749" s="4">
        <v>0.5</v>
      </c>
      <c r="X2749" s="55" t="str">
        <f t="shared" si="5"/>
        <v>#NAME?</v>
      </c>
    </row>
    <row r="2750">
      <c r="A2750" s="4" t="s">
        <v>5484</v>
      </c>
      <c r="B2750" s="4" t="s">
        <v>1040</v>
      </c>
      <c r="C2750" s="54" t="s">
        <v>694</v>
      </c>
      <c r="D2750" s="4" t="s">
        <v>5481</v>
      </c>
      <c r="E2750" s="4" t="s">
        <v>4264</v>
      </c>
      <c r="F2750" s="54" t="s">
        <v>351</v>
      </c>
      <c r="G2750" s="4">
        <v>0.5</v>
      </c>
      <c r="H2750" s="4">
        <v>0.51</v>
      </c>
      <c r="I2750" s="4">
        <v>0.49</v>
      </c>
      <c r="J2750" s="4">
        <v>0.5</v>
      </c>
      <c r="X2750" s="55" t="str">
        <f t="shared" si="5"/>
        <v>#NAME?</v>
      </c>
    </row>
    <row r="2751">
      <c r="A2751" s="4" t="s">
        <v>5485</v>
      </c>
      <c r="B2751" s="4" t="s">
        <v>1040</v>
      </c>
      <c r="C2751" s="54" t="s">
        <v>287</v>
      </c>
      <c r="D2751" s="4" t="s">
        <v>4260</v>
      </c>
      <c r="E2751" s="4" t="s">
        <v>4260</v>
      </c>
      <c r="F2751" s="54" t="s">
        <v>351</v>
      </c>
      <c r="G2751" s="4">
        <v>0.59</v>
      </c>
      <c r="H2751" s="4">
        <v>0.63</v>
      </c>
      <c r="I2751" s="4">
        <v>0.63</v>
      </c>
      <c r="J2751" s="4">
        <v>0.62</v>
      </c>
      <c r="X2751" s="55" t="str">
        <f t="shared" si="5"/>
        <v>#NAME?</v>
      </c>
    </row>
    <row r="2752">
      <c r="A2752" s="4" t="s">
        <v>5486</v>
      </c>
      <c r="B2752" s="4" t="s">
        <v>1040</v>
      </c>
      <c r="C2752" s="54" t="s">
        <v>421</v>
      </c>
      <c r="D2752" s="4" t="s">
        <v>4260</v>
      </c>
      <c r="E2752" s="4" t="s">
        <v>4260</v>
      </c>
      <c r="F2752" s="54" t="s">
        <v>351</v>
      </c>
      <c r="G2752" s="4">
        <v>0.61</v>
      </c>
      <c r="H2752" s="4">
        <v>0.62</v>
      </c>
      <c r="I2752" s="4">
        <v>0.63</v>
      </c>
      <c r="J2752" s="4">
        <v>0.59</v>
      </c>
      <c r="X2752" s="55" t="str">
        <f t="shared" si="5"/>
        <v>#NAME?</v>
      </c>
    </row>
    <row r="2753">
      <c r="A2753" s="4" t="s">
        <v>5487</v>
      </c>
      <c r="B2753" s="4" t="s">
        <v>1040</v>
      </c>
      <c r="C2753" s="54" t="s">
        <v>737</v>
      </c>
      <c r="D2753" s="4" t="s">
        <v>4260</v>
      </c>
      <c r="E2753" s="4" t="s">
        <v>4260</v>
      </c>
      <c r="F2753" s="54" t="s">
        <v>351</v>
      </c>
      <c r="G2753" s="4">
        <v>0.59</v>
      </c>
      <c r="H2753" s="4">
        <v>0.6</v>
      </c>
      <c r="I2753" s="4">
        <v>0.62</v>
      </c>
      <c r="J2753" s="4">
        <v>0.63</v>
      </c>
      <c r="X2753" s="55" t="str">
        <f t="shared" si="5"/>
        <v>#NAME?</v>
      </c>
    </row>
    <row r="2754">
      <c r="A2754" s="4" t="s">
        <v>5488</v>
      </c>
      <c r="B2754" s="4" t="s">
        <v>1040</v>
      </c>
      <c r="C2754" s="54" t="s">
        <v>807</v>
      </c>
      <c r="D2754" s="4" t="s">
        <v>4260</v>
      </c>
      <c r="E2754" s="4" t="s">
        <v>4260</v>
      </c>
      <c r="F2754" s="54" t="s">
        <v>351</v>
      </c>
      <c r="G2754" s="4">
        <v>0.64</v>
      </c>
      <c r="H2754" s="4">
        <v>0.63</v>
      </c>
      <c r="I2754" s="4">
        <v>0.64</v>
      </c>
      <c r="J2754" s="4">
        <v>0.62</v>
      </c>
      <c r="X2754" s="55" t="str">
        <f t="shared" si="5"/>
        <v>#NAME?</v>
      </c>
    </row>
    <row r="2755">
      <c r="A2755" s="4" t="s">
        <v>5489</v>
      </c>
      <c r="B2755" s="4" t="s">
        <v>1040</v>
      </c>
      <c r="C2755" s="54" t="s">
        <v>963</v>
      </c>
      <c r="D2755" s="4" t="s">
        <v>5458</v>
      </c>
      <c r="E2755" s="4" t="s">
        <v>4264</v>
      </c>
      <c r="F2755" s="54" t="s">
        <v>351</v>
      </c>
      <c r="G2755" s="4">
        <v>0.59</v>
      </c>
      <c r="H2755" s="4">
        <v>0.56</v>
      </c>
      <c r="I2755" s="4">
        <v>0.55</v>
      </c>
      <c r="J2755" s="4">
        <v>0.51</v>
      </c>
      <c r="X2755" s="55" t="str">
        <f t="shared" si="5"/>
        <v>#NAME?</v>
      </c>
    </row>
    <row r="2756">
      <c r="A2756" s="4" t="s">
        <v>5490</v>
      </c>
      <c r="B2756" s="4" t="s">
        <v>1040</v>
      </c>
      <c r="C2756" s="54" t="s">
        <v>971</v>
      </c>
      <c r="D2756" s="4" t="s">
        <v>5458</v>
      </c>
      <c r="E2756" s="4" t="s">
        <v>4264</v>
      </c>
      <c r="F2756" s="54" t="s">
        <v>351</v>
      </c>
      <c r="G2756" s="4">
        <v>0.57</v>
      </c>
      <c r="H2756" s="4">
        <v>0.56</v>
      </c>
      <c r="I2756" s="4">
        <v>0.53</v>
      </c>
      <c r="J2756" s="4">
        <v>0.53</v>
      </c>
      <c r="X2756" s="55" t="str">
        <f t="shared" si="5"/>
        <v>#NAME?</v>
      </c>
    </row>
    <row r="2757">
      <c r="A2757" s="4" t="s">
        <v>5491</v>
      </c>
      <c r="B2757" s="4" t="s">
        <v>1040</v>
      </c>
      <c r="C2757" s="54" t="s">
        <v>809</v>
      </c>
      <c r="D2757" s="4" t="s">
        <v>5458</v>
      </c>
      <c r="E2757" s="4" t="s">
        <v>4264</v>
      </c>
      <c r="F2757" s="54" t="s">
        <v>351</v>
      </c>
      <c r="G2757" s="4">
        <v>0.56</v>
      </c>
      <c r="H2757" s="4">
        <v>0.53</v>
      </c>
      <c r="I2757" s="4">
        <v>0.54</v>
      </c>
      <c r="J2757" s="4">
        <v>0.53</v>
      </c>
      <c r="X2757" s="55" t="str">
        <f t="shared" si="5"/>
        <v>#NAME?</v>
      </c>
    </row>
    <row r="2758">
      <c r="A2758" s="4" t="s">
        <v>5492</v>
      </c>
      <c r="B2758" s="4" t="s">
        <v>1040</v>
      </c>
      <c r="C2758" s="54" t="s">
        <v>481</v>
      </c>
      <c r="D2758" s="4" t="s">
        <v>5458</v>
      </c>
      <c r="E2758" s="4" t="s">
        <v>4264</v>
      </c>
      <c r="F2758" s="54" t="s">
        <v>351</v>
      </c>
      <c r="G2758" s="4">
        <v>0.57</v>
      </c>
      <c r="H2758" s="4">
        <v>0.55</v>
      </c>
      <c r="I2758" s="4">
        <v>0.52</v>
      </c>
      <c r="J2758" s="4">
        <v>0.52</v>
      </c>
      <c r="X2758" s="55" t="str">
        <f t="shared" si="5"/>
        <v>#NAME?</v>
      </c>
    </row>
    <row r="2759">
      <c r="A2759" s="54" t="s">
        <v>5493</v>
      </c>
      <c r="B2759" s="4" t="s">
        <v>1054</v>
      </c>
      <c r="C2759" s="54" t="s">
        <v>292</v>
      </c>
      <c r="D2759" s="4" t="s">
        <v>5494</v>
      </c>
      <c r="E2759" s="4" t="s">
        <v>4260</v>
      </c>
      <c r="F2759" s="54" t="s">
        <v>963</v>
      </c>
      <c r="G2759" s="4">
        <v>0.23</v>
      </c>
      <c r="H2759" s="4">
        <v>0.22</v>
      </c>
      <c r="I2759" s="4">
        <v>0.23</v>
      </c>
      <c r="J2759" s="4">
        <v>0.23</v>
      </c>
      <c r="X2759" s="55" t="str">
        <f t="shared" si="5"/>
        <v>#NAME?</v>
      </c>
    </row>
    <row r="2760">
      <c r="A2760" s="4" t="s">
        <v>5495</v>
      </c>
      <c r="B2760" s="4" t="s">
        <v>1054</v>
      </c>
      <c r="C2760" s="54" t="s">
        <v>399</v>
      </c>
      <c r="D2760" s="4" t="s">
        <v>5496</v>
      </c>
      <c r="E2760" s="4" t="s">
        <v>1088</v>
      </c>
      <c r="F2760" s="54" t="s">
        <v>963</v>
      </c>
      <c r="G2760" s="4">
        <v>0.23</v>
      </c>
      <c r="H2760" s="4">
        <v>0.23</v>
      </c>
      <c r="I2760" s="4">
        <v>0.24</v>
      </c>
      <c r="J2760" s="4">
        <v>0.23</v>
      </c>
      <c r="X2760" s="55" t="str">
        <f t="shared" si="5"/>
        <v>#NAME?</v>
      </c>
    </row>
    <row r="2761">
      <c r="A2761" s="4" t="s">
        <v>5497</v>
      </c>
      <c r="B2761" s="4" t="s">
        <v>1054</v>
      </c>
      <c r="C2761" s="54" t="s">
        <v>405</v>
      </c>
      <c r="D2761" s="4" t="s">
        <v>5466</v>
      </c>
      <c r="E2761" s="4" t="s">
        <v>4270</v>
      </c>
      <c r="F2761" s="54" t="s">
        <v>963</v>
      </c>
      <c r="G2761" s="4">
        <v>0.22</v>
      </c>
      <c r="H2761" s="4">
        <v>0.22</v>
      </c>
      <c r="I2761" s="4">
        <v>0.23</v>
      </c>
      <c r="J2761" s="4">
        <v>0.22</v>
      </c>
      <c r="X2761" s="55" t="str">
        <f t="shared" si="5"/>
        <v>#NAME?</v>
      </c>
    </row>
    <row r="2762">
      <c r="A2762" s="4" t="s">
        <v>5498</v>
      </c>
      <c r="B2762" s="4" t="s">
        <v>1054</v>
      </c>
      <c r="C2762" s="54" t="s">
        <v>449</v>
      </c>
      <c r="D2762" s="4" t="s">
        <v>5499</v>
      </c>
      <c r="E2762" s="4" t="s">
        <v>4270</v>
      </c>
      <c r="F2762" s="54" t="s">
        <v>963</v>
      </c>
      <c r="G2762" s="4">
        <v>0.23</v>
      </c>
      <c r="H2762" s="4">
        <v>0.22</v>
      </c>
      <c r="I2762" s="4">
        <v>0.21</v>
      </c>
      <c r="J2762" s="4">
        <v>0.22</v>
      </c>
      <c r="X2762" s="55" t="str">
        <f t="shared" si="5"/>
        <v>#NAME?</v>
      </c>
    </row>
    <row r="2763">
      <c r="A2763" s="4" t="s">
        <v>5500</v>
      </c>
      <c r="B2763" s="4" t="s">
        <v>1054</v>
      </c>
      <c r="C2763" s="54" t="s">
        <v>443</v>
      </c>
      <c r="D2763" s="4" t="s">
        <v>5501</v>
      </c>
      <c r="E2763" s="4" t="s">
        <v>4260</v>
      </c>
      <c r="F2763" s="54" t="s">
        <v>357</v>
      </c>
      <c r="G2763" s="4">
        <v>0.22</v>
      </c>
      <c r="H2763" s="4">
        <v>0.22</v>
      </c>
      <c r="I2763" s="4">
        <v>0.23</v>
      </c>
      <c r="J2763" s="4">
        <v>0.23</v>
      </c>
      <c r="X2763" s="55" t="str">
        <f t="shared" si="5"/>
        <v>#NAME?</v>
      </c>
    </row>
    <row r="2764">
      <c r="A2764" s="4" t="s">
        <v>5502</v>
      </c>
      <c r="B2764" s="4" t="s">
        <v>1054</v>
      </c>
      <c r="C2764" s="54" t="s">
        <v>357</v>
      </c>
      <c r="D2764" s="4" t="s">
        <v>5503</v>
      </c>
      <c r="E2764" s="4" t="s">
        <v>1088</v>
      </c>
      <c r="F2764" s="54" t="s">
        <v>357</v>
      </c>
      <c r="G2764" s="4">
        <v>0.4</v>
      </c>
      <c r="H2764" s="4">
        <v>0.4</v>
      </c>
      <c r="I2764" s="4">
        <v>0.42</v>
      </c>
      <c r="J2764" s="4">
        <v>0.42</v>
      </c>
      <c r="X2764" s="55" t="str">
        <f t="shared" si="5"/>
        <v>#NAME?</v>
      </c>
    </row>
    <row r="2765">
      <c r="A2765" s="4" t="s">
        <v>5504</v>
      </c>
      <c r="B2765" s="4" t="s">
        <v>1054</v>
      </c>
      <c r="C2765" s="54" t="s">
        <v>529</v>
      </c>
      <c r="D2765" s="4" t="s">
        <v>5426</v>
      </c>
      <c r="E2765" s="4" t="s">
        <v>4270</v>
      </c>
      <c r="F2765" s="54" t="s">
        <v>357</v>
      </c>
      <c r="G2765" s="4">
        <v>0.99</v>
      </c>
      <c r="H2765" s="4">
        <v>0.98</v>
      </c>
      <c r="I2765" s="4">
        <v>0.97</v>
      </c>
      <c r="J2765" s="4">
        <v>0.97</v>
      </c>
      <c r="X2765" s="55" t="str">
        <f t="shared" si="5"/>
        <v>#NAME?</v>
      </c>
    </row>
    <row r="2766">
      <c r="A2766" s="4" t="s">
        <v>5505</v>
      </c>
      <c r="B2766" s="4" t="s">
        <v>1054</v>
      </c>
      <c r="C2766" s="54" t="s">
        <v>534</v>
      </c>
      <c r="D2766" s="4" t="s">
        <v>5426</v>
      </c>
      <c r="E2766" s="4" t="s">
        <v>4270</v>
      </c>
      <c r="F2766" s="54" t="s">
        <v>357</v>
      </c>
      <c r="G2766" s="4">
        <v>0.99</v>
      </c>
      <c r="H2766" s="4">
        <v>0.99</v>
      </c>
      <c r="I2766" s="4">
        <v>0.98</v>
      </c>
      <c r="J2766" s="4">
        <v>0.99</v>
      </c>
      <c r="X2766" s="55" t="str">
        <f t="shared" si="5"/>
        <v>#NAME?</v>
      </c>
    </row>
    <row r="2767">
      <c r="A2767" s="4" t="s">
        <v>5506</v>
      </c>
      <c r="B2767" s="4" t="s">
        <v>1054</v>
      </c>
      <c r="C2767" s="54" t="s">
        <v>540</v>
      </c>
      <c r="D2767" s="4" t="s">
        <v>5503</v>
      </c>
      <c r="E2767" s="4" t="s">
        <v>1088</v>
      </c>
      <c r="F2767" s="54" t="s">
        <v>357</v>
      </c>
      <c r="G2767" s="4">
        <v>0.3</v>
      </c>
      <c r="H2767" s="4">
        <v>0.3</v>
      </c>
      <c r="I2767" s="4">
        <v>0.27</v>
      </c>
      <c r="J2767" s="4">
        <v>0.29</v>
      </c>
      <c r="X2767" s="55" t="str">
        <f t="shared" si="5"/>
        <v>#NAME?</v>
      </c>
    </row>
    <row r="2768">
      <c r="A2768" s="4" t="s">
        <v>5507</v>
      </c>
      <c r="B2768" s="4" t="s">
        <v>1054</v>
      </c>
      <c r="C2768" s="54" t="s">
        <v>546</v>
      </c>
      <c r="D2768" s="4" t="s">
        <v>4268</v>
      </c>
      <c r="E2768" s="4" t="s">
        <v>1098</v>
      </c>
      <c r="F2768" s="54" t="s">
        <v>357</v>
      </c>
      <c r="G2768" s="4">
        <v>0.33</v>
      </c>
      <c r="H2768" s="4">
        <v>0.33</v>
      </c>
      <c r="I2768" s="4">
        <v>0.32</v>
      </c>
      <c r="J2768" s="4">
        <v>0.31</v>
      </c>
      <c r="K2768" s="4">
        <v>0.31</v>
      </c>
      <c r="L2768" s="4">
        <v>0.34</v>
      </c>
      <c r="M2768" s="4">
        <v>0.3</v>
      </c>
      <c r="N2768" s="4">
        <v>0.28</v>
      </c>
      <c r="O2768" s="4">
        <v>0.33</v>
      </c>
      <c r="P2768" s="4">
        <v>0.35</v>
      </c>
      <c r="Q2768" s="4">
        <v>0.32</v>
      </c>
      <c r="R2768" s="4">
        <v>0.35</v>
      </c>
      <c r="X2768" s="55" t="str">
        <f t="shared" si="5"/>
        <v>#NAME?</v>
      </c>
    </row>
    <row r="2769">
      <c r="A2769" s="4" t="s">
        <v>5508</v>
      </c>
      <c r="B2769" s="4" t="s">
        <v>1054</v>
      </c>
      <c r="C2769" s="54" t="s">
        <v>573</v>
      </c>
      <c r="D2769" s="4" t="s">
        <v>4268</v>
      </c>
      <c r="E2769" s="4" t="s">
        <v>1098</v>
      </c>
      <c r="F2769" s="54" t="s">
        <v>357</v>
      </c>
      <c r="G2769" s="4">
        <v>0.3</v>
      </c>
      <c r="H2769" s="4">
        <v>0.3</v>
      </c>
      <c r="I2769" s="4">
        <v>0.28</v>
      </c>
      <c r="J2769" s="4">
        <v>0.28</v>
      </c>
      <c r="K2769" s="4">
        <v>0.29</v>
      </c>
      <c r="L2769" s="4">
        <v>0.27</v>
      </c>
      <c r="M2769" s="4">
        <v>0.26</v>
      </c>
      <c r="N2769" s="4">
        <v>0.28</v>
      </c>
      <c r="O2769" s="4">
        <v>0.32</v>
      </c>
      <c r="P2769" s="4">
        <v>0.3</v>
      </c>
      <c r="Q2769" s="4">
        <v>0.25</v>
      </c>
      <c r="R2769" s="4">
        <v>0.29</v>
      </c>
      <c r="X2769" s="55" t="str">
        <f t="shared" si="5"/>
        <v>#NAME?</v>
      </c>
    </row>
    <row r="2770">
      <c r="A2770" s="4" t="s">
        <v>5509</v>
      </c>
      <c r="B2770" s="4" t="s">
        <v>1054</v>
      </c>
      <c r="C2770" s="54" t="s">
        <v>611</v>
      </c>
      <c r="D2770" s="4" t="s">
        <v>5510</v>
      </c>
      <c r="E2770" s="4" t="s">
        <v>4264</v>
      </c>
      <c r="F2770" s="54" t="s">
        <v>1646</v>
      </c>
      <c r="G2770" s="4">
        <v>0.22</v>
      </c>
      <c r="H2770" s="4">
        <v>0.21</v>
      </c>
      <c r="I2770" s="4">
        <v>0.22</v>
      </c>
      <c r="J2770" s="4">
        <v>0.22</v>
      </c>
      <c r="K2770" s="4">
        <v>0.22</v>
      </c>
      <c r="L2770" s="4">
        <v>0.22</v>
      </c>
      <c r="M2770" s="4">
        <v>0.21</v>
      </c>
      <c r="N2770" s="4">
        <v>0.22</v>
      </c>
      <c r="X2770" s="55" t="str">
        <f t="shared" si="5"/>
        <v>#NAME?</v>
      </c>
    </row>
    <row r="2771">
      <c r="A2771" s="4" t="s">
        <v>5511</v>
      </c>
      <c r="B2771" s="4" t="s">
        <v>1054</v>
      </c>
      <c r="C2771" s="54" t="s">
        <v>626</v>
      </c>
      <c r="D2771" s="4" t="s">
        <v>5512</v>
      </c>
      <c r="E2771" s="4" t="s">
        <v>4264</v>
      </c>
      <c r="F2771" s="54" t="s">
        <v>1646</v>
      </c>
      <c r="G2771" s="4">
        <v>0.22</v>
      </c>
      <c r="H2771" s="4">
        <v>0.22</v>
      </c>
      <c r="I2771" s="4">
        <v>0.23</v>
      </c>
      <c r="J2771" s="4">
        <v>0.22</v>
      </c>
      <c r="K2771" s="4">
        <v>0.22</v>
      </c>
      <c r="L2771" s="4">
        <v>0.22</v>
      </c>
      <c r="M2771" s="4">
        <v>0.23</v>
      </c>
      <c r="N2771" s="4">
        <v>0.22</v>
      </c>
      <c r="X2771" s="55" t="str">
        <f t="shared" si="5"/>
        <v>#NAME?</v>
      </c>
    </row>
    <row r="2772">
      <c r="A2772" s="4" t="s">
        <v>5513</v>
      </c>
      <c r="B2772" s="4" t="s">
        <v>1054</v>
      </c>
      <c r="C2772" s="54" t="s">
        <v>632</v>
      </c>
      <c r="D2772" s="4" t="s">
        <v>5514</v>
      </c>
      <c r="E2772" s="4" t="s">
        <v>4264</v>
      </c>
      <c r="F2772" s="54" t="s">
        <v>1646</v>
      </c>
      <c r="G2772" s="4">
        <v>0.22</v>
      </c>
      <c r="H2772" s="4">
        <v>0.22</v>
      </c>
      <c r="I2772" s="4">
        <v>0.21</v>
      </c>
      <c r="J2772" s="4">
        <v>0.21</v>
      </c>
      <c r="K2772" s="4">
        <v>0.21</v>
      </c>
      <c r="L2772" s="4">
        <v>0.22</v>
      </c>
      <c r="M2772" s="4">
        <v>0.21</v>
      </c>
      <c r="N2772" s="4">
        <v>0.22</v>
      </c>
      <c r="X2772" s="55" t="str">
        <f t="shared" si="5"/>
        <v>#NAME?</v>
      </c>
    </row>
    <row r="2773">
      <c r="A2773" s="4" t="s">
        <v>5515</v>
      </c>
      <c r="B2773" s="4" t="s">
        <v>1054</v>
      </c>
      <c r="C2773" s="54" t="s">
        <v>637</v>
      </c>
      <c r="D2773" s="4" t="s">
        <v>5516</v>
      </c>
      <c r="E2773" s="4" t="s">
        <v>4260</v>
      </c>
      <c r="F2773" s="54" t="s">
        <v>1646</v>
      </c>
      <c r="G2773" s="4">
        <v>0.34</v>
      </c>
      <c r="H2773" s="4">
        <v>0.35</v>
      </c>
      <c r="I2773" s="4">
        <v>0.35</v>
      </c>
      <c r="J2773" s="4">
        <v>0.35</v>
      </c>
      <c r="K2773" s="4">
        <v>0.34</v>
      </c>
      <c r="L2773" s="4">
        <v>0.34</v>
      </c>
      <c r="M2773" s="4">
        <v>0.35</v>
      </c>
      <c r="N2773" s="4">
        <v>0.35</v>
      </c>
      <c r="O2773" s="4">
        <v>0.34</v>
      </c>
      <c r="X2773" s="55" t="str">
        <f t="shared" si="5"/>
        <v>#NAME?</v>
      </c>
    </row>
    <row r="2774">
      <c r="A2774" s="4" t="s">
        <v>5517</v>
      </c>
      <c r="B2774" s="4" t="s">
        <v>1054</v>
      </c>
      <c r="C2774" s="54" t="s">
        <v>274</v>
      </c>
      <c r="D2774" s="4" t="s">
        <v>5518</v>
      </c>
      <c r="E2774" s="4" t="s">
        <v>4260</v>
      </c>
      <c r="F2774" s="54" t="s">
        <v>1646</v>
      </c>
      <c r="G2774" s="4">
        <v>0.3</v>
      </c>
      <c r="H2774" s="4">
        <v>0.3</v>
      </c>
      <c r="I2774" s="4">
        <v>0.31</v>
      </c>
      <c r="J2774" s="4">
        <v>0.31</v>
      </c>
      <c r="K2774" s="4">
        <v>0.32</v>
      </c>
      <c r="L2774" s="4">
        <v>0.3</v>
      </c>
      <c r="M2774" s="4">
        <v>0.31</v>
      </c>
      <c r="N2774" s="4">
        <v>0.31</v>
      </c>
      <c r="X2774" s="55" t="str">
        <f t="shared" si="5"/>
        <v>#NAME?</v>
      </c>
    </row>
    <row r="2775">
      <c r="A2775" s="4" t="s">
        <v>5519</v>
      </c>
      <c r="B2775" s="4" t="s">
        <v>1054</v>
      </c>
      <c r="C2775" s="54" t="s">
        <v>673</v>
      </c>
      <c r="D2775" s="4" t="s">
        <v>5520</v>
      </c>
      <c r="E2775" s="4" t="s">
        <v>4260</v>
      </c>
      <c r="F2775" s="54" t="s">
        <v>1646</v>
      </c>
      <c r="G2775" s="4">
        <v>0.23</v>
      </c>
      <c r="H2775" s="4">
        <v>0.23</v>
      </c>
      <c r="I2775" s="4">
        <v>0.23</v>
      </c>
      <c r="J2775" s="4">
        <v>0.24</v>
      </c>
      <c r="K2775" s="4">
        <v>0.24</v>
      </c>
      <c r="L2775" s="4">
        <v>0.23</v>
      </c>
      <c r="M2775" s="4">
        <v>0.23</v>
      </c>
      <c r="N2775" s="4">
        <v>0.24</v>
      </c>
      <c r="O2775" s="4">
        <v>0.24</v>
      </c>
      <c r="X2775" s="55" t="str">
        <f t="shared" si="5"/>
        <v>#NAME?</v>
      </c>
    </row>
    <row r="2776">
      <c r="A2776" s="4" t="s">
        <v>5521</v>
      </c>
      <c r="B2776" s="4" t="s">
        <v>1054</v>
      </c>
      <c r="C2776" s="54" t="s">
        <v>683</v>
      </c>
      <c r="D2776" s="4" t="s">
        <v>5522</v>
      </c>
      <c r="E2776" s="4" t="s">
        <v>4260</v>
      </c>
      <c r="F2776" s="54" t="s">
        <v>1646</v>
      </c>
      <c r="G2776" s="4">
        <v>0.23</v>
      </c>
      <c r="H2776" s="4">
        <v>0.23</v>
      </c>
      <c r="I2776" s="4">
        <v>0.25</v>
      </c>
      <c r="J2776" s="4">
        <v>0.23</v>
      </c>
      <c r="K2776" s="4">
        <v>0.23</v>
      </c>
      <c r="L2776" s="4">
        <v>0.24</v>
      </c>
      <c r="M2776" s="4">
        <v>0.24</v>
      </c>
      <c r="N2776" s="4">
        <v>0.24</v>
      </c>
      <c r="O2776" s="4">
        <v>0.24</v>
      </c>
      <c r="X2776" s="55" t="str">
        <f t="shared" si="5"/>
        <v>#NAME?</v>
      </c>
    </row>
    <row r="2777">
      <c r="A2777" s="4" t="s">
        <v>5523</v>
      </c>
      <c r="B2777" s="4" t="s">
        <v>1054</v>
      </c>
      <c r="C2777" s="54" t="s">
        <v>694</v>
      </c>
      <c r="D2777" s="4" t="s">
        <v>5524</v>
      </c>
      <c r="E2777" s="4" t="s">
        <v>4264</v>
      </c>
      <c r="F2777" s="54" t="s">
        <v>1646</v>
      </c>
      <c r="G2777" s="4">
        <v>0.35</v>
      </c>
      <c r="H2777" s="4">
        <v>0.36</v>
      </c>
      <c r="I2777" s="4">
        <v>0.36</v>
      </c>
      <c r="J2777" s="4">
        <v>0.35</v>
      </c>
      <c r="K2777" s="4">
        <v>0.34</v>
      </c>
      <c r="L2777" s="4">
        <v>0.35</v>
      </c>
      <c r="M2777" s="4">
        <v>0.36</v>
      </c>
      <c r="N2777" s="4">
        <v>0.35</v>
      </c>
      <c r="O2777" s="4">
        <v>0.34</v>
      </c>
      <c r="X2777" s="55" t="str">
        <f t="shared" si="5"/>
        <v>#NAME?</v>
      </c>
    </row>
    <row r="2778">
      <c r="A2778" s="4" t="s">
        <v>5525</v>
      </c>
      <c r="B2778" s="4" t="s">
        <v>1054</v>
      </c>
      <c r="C2778" s="54" t="s">
        <v>287</v>
      </c>
      <c r="D2778" s="4" t="s">
        <v>5526</v>
      </c>
      <c r="E2778" s="4" t="s">
        <v>4264</v>
      </c>
      <c r="F2778" s="54" t="s">
        <v>1646</v>
      </c>
      <c r="G2778" s="4">
        <v>0.35</v>
      </c>
      <c r="H2778" s="4">
        <v>0.35</v>
      </c>
      <c r="I2778" s="4">
        <v>0.35</v>
      </c>
      <c r="J2778" s="4">
        <v>0.39</v>
      </c>
      <c r="K2778" s="4">
        <v>0.36</v>
      </c>
      <c r="L2778" s="4">
        <v>0.36</v>
      </c>
      <c r="M2778" s="4">
        <v>0.35</v>
      </c>
      <c r="N2778" s="4">
        <v>0.35</v>
      </c>
      <c r="O2778" s="4">
        <v>0.35</v>
      </c>
      <c r="X2778" s="55" t="str">
        <f t="shared" si="5"/>
        <v>#NAME?</v>
      </c>
    </row>
    <row r="2779">
      <c r="A2779" s="4" t="s">
        <v>5527</v>
      </c>
      <c r="B2779" s="4" t="s">
        <v>1054</v>
      </c>
      <c r="C2779" s="54" t="s">
        <v>421</v>
      </c>
      <c r="D2779" s="4" t="s">
        <v>5528</v>
      </c>
      <c r="E2779" s="4" t="s">
        <v>4260</v>
      </c>
      <c r="F2779" s="54" t="s">
        <v>357</v>
      </c>
      <c r="G2779" s="4">
        <v>0.28</v>
      </c>
      <c r="H2779" s="4">
        <v>0.31</v>
      </c>
      <c r="I2779" s="4">
        <v>0.32</v>
      </c>
      <c r="J2779" s="4">
        <v>0.32</v>
      </c>
      <c r="X2779" s="55" t="str">
        <f t="shared" si="5"/>
        <v>#NAME?</v>
      </c>
    </row>
    <row r="2780">
      <c r="A2780" s="4" t="s">
        <v>5529</v>
      </c>
      <c r="B2780" s="4" t="s">
        <v>1054</v>
      </c>
      <c r="C2780" s="54" t="s">
        <v>737</v>
      </c>
      <c r="D2780" s="4" t="s">
        <v>5530</v>
      </c>
      <c r="E2780" s="4" t="s">
        <v>1088</v>
      </c>
      <c r="F2780" s="54" t="s">
        <v>357</v>
      </c>
      <c r="G2780" s="4">
        <v>0.4</v>
      </c>
      <c r="H2780" s="4">
        <v>0.43</v>
      </c>
      <c r="I2780" s="4">
        <v>0.43</v>
      </c>
      <c r="J2780" s="4">
        <v>0.42</v>
      </c>
      <c r="X2780" s="55" t="str">
        <f t="shared" si="5"/>
        <v>#NAME?</v>
      </c>
    </row>
    <row r="2781">
      <c r="A2781" s="4" t="s">
        <v>5531</v>
      </c>
      <c r="B2781" s="4" t="s">
        <v>1054</v>
      </c>
      <c r="C2781" s="54" t="s">
        <v>807</v>
      </c>
      <c r="D2781" s="4" t="s">
        <v>5447</v>
      </c>
      <c r="E2781" s="4" t="s">
        <v>4270</v>
      </c>
      <c r="F2781" s="54" t="s">
        <v>357</v>
      </c>
      <c r="G2781" s="4">
        <v>0.9</v>
      </c>
      <c r="H2781" s="4">
        <v>0.93</v>
      </c>
      <c r="I2781" s="4">
        <v>0.91</v>
      </c>
      <c r="J2781" s="4">
        <v>0.92</v>
      </c>
      <c r="X2781" s="55" t="str">
        <f t="shared" si="5"/>
        <v>#NAME?</v>
      </c>
    </row>
    <row r="2782">
      <c r="A2782" s="4" t="s">
        <v>5532</v>
      </c>
      <c r="B2782" s="4" t="s">
        <v>1060</v>
      </c>
      <c r="C2782" s="54" t="s">
        <v>292</v>
      </c>
      <c r="D2782" s="4" t="s">
        <v>5494</v>
      </c>
      <c r="E2782" s="4" t="s">
        <v>4260</v>
      </c>
      <c r="F2782" s="54" t="s">
        <v>963</v>
      </c>
      <c r="G2782" s="4">
        <v>0.33</v>
      </c>
      <c r="H2782" s="4">
        <v>0.35</v>
      </c>
      <c r="I2782" s="4">
        <v>0.35</v>
      </c>
      <c r="J2782" s="4">
        <v>0.35</v>
      </c>
      <c r="X2782" s="55" t="str">
        <f t="shared" si="5"/>
        <v>#NAME?</v>
      </c>
    </row>
    <row r="2783">
      <c r="A2783" s="4" t="s">
        <v>5533</v>
      </c>
      <c r="B2783" s="4" t="s">
        <v>1060</v>
      </c>
      <c r="C2783" s="54" t="s">
        <v>399</v>
      </c>
      <c r="D2783" s="4" t="s">
        <v>5496</v>
      </c>
      <c r="E2783" s="4" t="s">
        <v>1088</v>
      </c>
      <c r="F2783" s="54" t="s">
        <v>963</v>
      </c>
      <c r="G2783" s="4">
        <v>0.22</v>
      </c>
      <c r="H2783" s="4">
        <v>0.21</v>
      </c>
      <c r="I2783" s="4">
        <v>0.22</v>
      </c>
      <c r="J2783" s="4">
        <v>0.23</v>
      </c>
      <c r="X2783" s="55" t="str">
        <f t="shared" si="5"/>
        <v>#NAME?</v>
      </c>
    </row>
    <row r="2784">
      <c r="A2784" s="4" t="s">
        <v>5534</v>
      </c>
      <c r="B2784" s="4" t="s">
        <v>1060</v>
      </c>
      <c r="C2784" s="54" t="s">
        <v>405</v>
      </c>
      <c r="D2784" s="4" t="s">
        <v>5466</v>
      </c>
      <c r="E2784" s="4" t="s">
        <v>4270</v>
      </c>
      <c r="F2784" s="54" t="s">
        <v>963</v>
      </c>
      <c r="G2784" s="4">
        <v>0.22</v>
      </c>
      <c r="H2784" s="4">
        <v>0.23</v>
      </c>
      <c r="I2784" s="4">
        <v>0.22</v>
      </c>
      <c r="J2784" s="4">
        <v>0.23</v>
      </c>
      <c r="X2784" s="55" t="str">
        <f t="shared" si="5"/>
        <v>#NAME?</v>
      </c>
    </row>
    <row r="2785">
      <c r="A2785" s="4" t="s">
        <v>5535</v>
      </c>
      <c r="B2785" s="4" t="s">
        <v>1060</v>
      </c>
      <c r="C2785" s="54" t="s">
        <v>449</v>
      </c>
      <c r="D2785" s="4" t="s">
        <v>5536</v>
      </c>
      <c r="E2785" s="4" t="s">
        <v>4270</v>
      </c>
      <c r="F2785" s="54" t="s">
        <v>963</v>
      </c>
      <c r="G2785" s="4">
        <v>0.23</v>
      </c>
      <c r="H2785" s="4">
        <v>0.23</v>
      </c>
      <c r="I2785" s="4">
        <v>0.22</v>
      </c>
      <c r="J2785" s="4">
        <v>0.22</v>
      </c>
      <c r="X2785" s="55" t="str">
        <f t="shared" si="5"/>
        <v>#NAME?</v>
      </c>
    </row>
    <row r="2786">
      <c r="A2786" s="4" t="s">
        <v>5537</v>
      </c>
      <c r="B2786" s="4" t="s">
        <v>1060</v>
      </c>
      <c r="C2786" s="54" t="s">
        <v>443</v>
      </c>
      <c r="D2786" s="4" t="s">
        <v>5501</v>
      </c>
      <c r="E2786" s="4" t="s">
        <v>4260</v>
      </c>
      <c r="F2786" s="54" t="s">
        <v>357</v>
      </c>
      <c r="G2786" s="4">
        <v>0.35</v>
      </c>
      <c r="H2786" s="4">
        <v>0.35</v>
      </c>
      <c r="I2786" s="4">
        <v>0.35</v>
      </c>
      <c r="J2786" s="4">
        <v>0.35</v>
      </c>
      <c r="X2786" s="55" t="str">
        <f t="shared" si="5"/>
        <v>#NAME?</v>
      </c>
    </row>
    <row r="2787">
      <c r="A2787" s="4" t="s">
        <v>5538</v>
      </c>
      <c r="B2787" s="4" t="s">
        <v>1060</v>
      </c>
      <c r="C2787" s="54" t="s">
        <v>357</v>
      </c>
      <c r="D2787" s="4" t="s">
        <v>5503</v>
      </c>
      <c r="E2787" s="4" t="s">
        <v>1088</v>
      </c>
      <c r="F2787" s="54" t="s">
        <v>357</v>
      </c>
      <c r="G2787" s="4">
        <v>0.41</v>
      </c>
      <c r="H2787" s="4">
        <v>0.39</v>
      </c>
      <c r="I2787" s="4">
        <v>0.4</v>
      </c>
      <c r="J2787" s="4">
        <v>0.4</v>
      </c>
      <c r="X2787" s="55" t="str">
        <f t="shared" si="5"/>
        <v>#NAME?</v>
      </c>
    </row>
    <row r="2788">
      <c r="A2788" s="4" t="s">
        <v>5539</v>
      </c>
      <c r="B2788" s="4" t="s">
        <v>1060</v>
      </c>
      <c r="C2788" s="54" t="s">
        <v>529</v>
      </c>
      <c r="D2788" s="4" t="s">
        <v>5426</v>
      </c>
      <c r="E2788" s="4" t="s">
        <v>4270</v>
      </c>
      <c r="F2788" s="54" t="s">
        <v>357</v>
      </c>
      <c r="G2788" s="4">
        <v>0.97</v>
      </c>
      <c r="H2788" s="4">
        <v>0.96</v>
      </c>
      <c r="I2788" s="4">
        <v>0.97</v>
      </c>
      <c r="J2788" s="4">
        <v>0.96</v>
      </c>
      <c r="X2788" s="55" t="str">
        <f t="shared" si="5"/>
        <v>#NAME?</v>
      </c>
    </row>
    <row r="2789">
      <c r="A2789" s="4" t="s">
        <v>5540</v>
      </c>
      <c r="B2789" s="4" t="s">
        <v>1060</v>
      </c>
      <c r="C2789" s="54" t="s">
        <v>534</v>
      </c>
      <c r="D2789" s="4" t="s">
        <v>5426</v>
      </c>
      <c r="E2789" s="4" t="s">
        <v>4270</v>
      </c>
      <c r="F2789" s="54" t="s">
        <v>357</v>
      </c>
      <c r="G2789" s="4">
        <v>0.96</v>
      </c>
      <c r="H2789" s="4">
        <v>0.96</v>
      </c>
      <c r="I2789" s="4">
        <v>0.97</v>
      </c>
      <c r="J2789" s="4">
        <v>0.96</v>
      </c>
      <c r="X2789" s="55" t="str">
        <f t="shared" si="5"/>
        <v>#NAME?</v>
      </c>
    </row>
    <row r="2790">
      <c r="A2790" s="4" t="s">
        <v>5541</v>
      </c>
      <c r="B2790" s="4" t="s">
        <v>1060</v>
      </c>
      <c r="C2790" s="54" t="s">
        <v>540</v>
      </c>
      <c r="D2790" s="4" t="s">
        <v>5503</v>
      </c>
      <c r="E2790" s="4" t="s">
        <v>1088</v>
      </c>
      <c r="F2790" s="54" t="s">
        <v>357</v>
      </c>
      <c r="G2790" s="4">
        <v>0.23</v>
      </c>
      <c r="H2790" s="4">
        <v>0.26</v>
      </c>
      <c r="I2790" s="4">
        <v>0.26</v>
      </c>
      <c r="J2790" s="4">
        <v>0.28</v>
      </c>
      <c r="X2790" s="55" t="str">
        <f t="shared" si="5"/>
        <v>#NAME?</v>
      </c>
    </row>
    <row r="2791">
      <c r="A2791" s="4" t="s">
        <v>5542</v>
      </c>
      <c r="B2791" s="4" t="s">
        <v>1060</v>
      </c>
      <c r="C2791" s="54" t="s">
        <v>546</v>
      </c>
      <c r="D2791" s="4" t="s">
        <v>5543</v>
      </c>
      <c r="E2791" s="4" t="s">
        <v>1098</v>
      </c>
      <c r="F2791" s="54" t="s">
        <v>357</v>
      </c>
      <c r="G2791" s="4">
        <v>0.31</v>
      </c>
      <c r="H2791" s="4">
        <v>0.3</v>
      </c>
      <c r="I2791" s="4">
        <v>0.31</v>
      </c>
      <c r="J2791" s="4">
        <v>0.29</v>
      </c>
      <c r="K2791" s="4">
        <v>0.3</v>
      </c>
      <c r="L2791" s="4">
        <v>0.31</v>
      </c>
      <c r="M2791" s="4">
        <v>0.28</v>
      </c>
      <c r="N2791" s="4">
        <v>0.3</v>
      </c>
      <c r="O2791" s="4">
        <v>0.31</v>
      </c>
      <c r="P2791" s="4">
        <v>0.3</v>
      </c>
      <c r="Q2791" s="4">
        <v>0.31</v>
      </c>
      <c r="R2791" s="4">
        <v>0.3</v>
      </c>
      <c r="X2791" s="55" t="str">
        <f t="shared" si="5"/>
        <v>#NAME?</v>
      </c>
    </row>
    <row r="2792">
      <c r="A2792" s="4" t="s">
        <v>5544</v>
      </c>
      <c r="B2792" s="4" t="s">
        <v>1060</v>
      </c>
      <c r="C2792" s="54" t="s">
        <v>573</v>
      </c>
      <c r="D2792" s="4" t="s">
        <v>5543</v>
      </c>
      <c r="E2792" s="4" t="s">
        <v>1098</v>
      </c>
      <c r="F2792" s="54" t="s">
        <v>357</v>
      </c>
      <c r="G2792" s="4">
        <v>0.3</v>
      </c>
      <c r="H2792" s="4">
        <v>0.29</v>
      </c>
      <c r="I2792" s="4">
        <v>0.3</v>
      </c>
      <c r="J2792" s="4">
        <v>0.28</v>
      </c>
      <c r="K2792" s="4">
        <v>0.29</v>
      </c>
      <c r="L2792" s="4">
        <v>0.3</v>
      </c>
      <c r="M2792" s="4">
        <v>0.3</v>
      </c>
      <c r="N2792" s="4">
        <v>0.29</v>
      </c>
      <c r="O2792" s="4">
        <v>0.29</v>
      </c>
      <c r="P2792" s="4">
        <v>0.27</v>
      </c>
      <c r="Q2792" s="4">
        <v>0.27</v>
      </c>
      <c r="R2792" s="4">
        <v>0.28</v>
      </c>
      <c r="X2792" s="55" t="str">
        <f t="shared" si="5"/>
        <v>#NAME?</v>
      </c>
    </row>
    <row r="2793">
      <c r="A2793" s="4" t="s">
        <v>5545</v>
      </c>
      <c r="B2793" s="4" t="s">
        <v>1060</v>
      </c>
      <c r="C2793" s="54" t="s">
        <v>611</v>
      </c>
      <c r="D2793" s="4" t="s">
        <v>5546</v>
      </c>
      <c r="E2793" s="4" t="s">
        <v>4264</v>
      </c>
      <c r="F2793" s="54" t="s">
        <v>1646</v>
      </c>
      <c r="G2793" s="4">
        <v>0.22</v>
      </c>
      <c r="H2793" s="4">
        <v>0.22</v>
      </c>
      <c r="I2793" s="4">
        <v>0.22</v>
      </c>
      <c r="J2793" s="4">
        <v>0.22</v>
      </c>
      <c r="K2793" s="4">
        <v>0.22</v>
      </c>
      <c r="L2793" s="4">
        <v>0.22</v>
      </c>
      <c r="M2793" s="4">
        <v>0.22</v>
      </c>
      <c r="N2793" s="4">
        <v>0.22</v>
      </c>
      <c r="O2793" s="4">
        <v>0.22</v>
      </c>
      <c r="P2793" s="4">
        <v>0.22</v>
      </c>
      <c r="X2793" s="55" t="str">
        <f t="shared" si="5"/>
        <v>#NAME?</v>
      </c>
    </row>
    <row r="2794">
      <c r="A2794" s="4" t="s">
        <v>5547</v>
      </c>
      <c r="B2794" s="4" t="s">
        <v>1060</v>
      </c>
      <c r="C2794" s="54" t="s">
        <v>626</v>
      </c>
      <c r="D2794" s="4" t="s">
        <v>5548</v>
      </c>
      <c r="E2794" s="4" t="s">
        <v>4264</v>
      </c>
      <c r="F2794" s="54" t="s">
        <v>1646</v>
      </c>
      <c r="G2794" s="4">
        <v>0.22</v>
      </c>
      <c r="H2794" s="4">
        <v>0.22</v>
      </c>
      <c r="I2794" s="4">
        <v>0.22</v>
      </c>
      <c r="J2794" s="4">
        <v>0.22</v>
      </c>
      <c r="K2794" s="4">
        <v>0.22</v>
      </c>
      <c r="L2794" s="4">
        <v>0.22</v>
      </c>
      <c r="M2794" s="4">
        <v>0.22</v>
      </c>
      <c r="N2794" s="4">
        <v>0.22</v>
      </c>
      <c r="O2794" s="4">
        <v>0.22</v>
      </c>
      <c r="P2794" s="4">
        <v>0.22</v>
      </c>
      <c r="X2794" s="55" t="str">
        <f t="shared" si="5"/>
        <v>#NAME?</v>
      </c>
    </row>
    <row r="2795">
      <c r="A2795" s="4" t="s">
        <v>5549</v>
      </c>
      <c r="B2795" s="4" t="s">
        <v>1060</v>
      </c>
      <c r="C2795" s="54" t="s">
        <v>632</v>
      </c>
      <c r="D2795" s="4" t="s">
        <v>5550</v>
      </c>
      <c r="E2795" s="4" t="s">
        <v>4264</v>
      </c>
      <c r="F2795" s="54" t="s">
        <v>1646</v>
      </c>
      <c r="G2795" s="4">
        <v>0.22</v>
      </c>
      <c r="H2795" s="4">
        <v>0.22</v>
      </c>
      <c r="I2795" s="4">
        <v>0.22</v>
      </c>
      <c r="J2795" s="4">
        <v>0.22</v>
      </c>
      <c r="K2795" s="4">
        <v>0.22</v>
      </c>
      <c r="L2795" s="4">
        <v>0.22</v>
      </c>
      <c r="M2795" s="4">
        <v>0.22</v>
      </c>
      <c r="N2795" s="4">
        <v>0.22</v>
      </c>
      <c r="O2795" s="4">
        <v>0.22</v>
      </c>
      <c r="P2795" s="4">
        <v>0.22</v>
      </c>
      <c r="X2795" s="55" t="str">
        <f t="shared" si="5"/>
        <v>#NAME?</v>
      </c>
    </row>
    <row r="2796">
      <c r="A2796" s="4" t="s">
        <v>5551</v>
      </c>
      <c r="B2796" s="4" t="s">
        <v>1060</v>
      </c>
      <c r="C2796" s="54" t="s">
        <v>637</v>
      </c>
      <c r="D2796" s="4" t="s">
        <v>5524</v>
      </c>
      <c r="E2796" s="4" t="s">
        <v>4260</v>
      </c>
      <c r="F2796" s="54" t="s">
        <v>1646</v>
      </c>
      <c r="G2796" s="4">
        <v>0.35</v>
      </c>
      <c r="H2796" s="4">
        <v>0.34</v>
      </c>
      <c r="I2796" s="4">
        <v>0.34</v>
      </c>
      <c r="J2796" s="4">
        <v>0.34</v>
      </c>
      <c r="K2796" s="4">
        <v>0.34</v>
      </c>
      <c r="L2796" s="4">
        <v>0.34</v>
      </c>
      <c r="M2796" s="4">
        <v>0.35</v>
      </c>
      <c r="N2796" s="4">
        <v>0.34</v>
      </c>
      <c r="O2796" s="4">
        <v>0.34</v>
      </c>
      <c r="P2796" s="4">
        <v>0.34</v>
      </c>
      <c r="X2796" s="55" t="str">
        <f t="shared" si="5"/>
        <v>#NAME?</v>
      </c>
    </row>
    <row r="2797">
      <c r="A2797" s="4" t="s">
        <v>5552</v>
      </c>
      <c r="B2797" s="4" t="s">
        <v>1060</v>
      </c>
      <c r="C2797" s="54" t="s">
        <v>274</v>
      </c>
      <c r="D2797" s="4" t="s">
        <v>5526</v>
      </c>
      <c r="E2797" s="4" t="s">
        <v>4260</v>
      </c>
      <c r="F2797" s="54" t="s">
        <v>1646</v>
      </c>
      <c r="G2797" s="4">
        <v>0.34</v>
      </c>
      <c r="H2797" s="4">
        <v>0.34</v>
      </c>
      <c r="I2797" s="4">
        <v>0.34</v>
      </c>
      <c r="J2797" s="4">
        <v>0.34</v>
      </c>
      <c r="K2797" s="4">
        <v>0.34</v>
      </c>
      <c r="L2797" s="4">
        <v>0.34</v>
      </c>
      <c r="M2797" s="4">
        <v>0.34</v>
      </c>
      <c r="N2797" s="4">
        <v>0.34</v>
      </c>
      <c r="O2797" s="4">
        <v>0.33</v>
      </c>
      <c r="P2797" s="4">
        <v>0.34</v>
      </c>
      <c r="X2797" s="55" t="str">
        <f t="shared" si="5"/>
        <v>#NAME?</v>
      </c>
    </row>
    <row r="2798">
      <c r="A2798" s="4" t="s">
        <v>5553</v>
      </c>
      <c r="B2798" s="4" t="s">
        <v>1060</v>
      </c>
      <c r="C2798" s="54" t="s">
        <v>673</v>
      </c>
      <c r="D2798" s="4" t="s">
        <v>5516</v>
      </c>
      <c r="E2798" s="4" t="s">
        <v>4260</v>
      </c>
      <c r="F2798" s="54" t="s">
        <v>1646</v>
      </c>
      <c r="G2798" s="4">
        <v>0.34</v>
      </c>
      <c r="H2798" s="4">
        <v>0.34</v>
      </c>
      <c r="I2798" s="4">
        <v>0.34</v>
      </c>
      <c r="J2798" s="4">
        <v>0.34</v>
      </c>
      <c r="K2798" s="4">
        <v>0.34</v>
      </c>
      <c r="L2798" s="4">
        <v>0.34</v>
      </c>
      <c r="M2798" s="4">
        <v>0.34</v>
      </c>
      <c r="N2798" s="4">
        <v>0.34</v>
      </c>
      <c r="O2798" s="4">
        <v>0.34</v>
      </c>
      <c r="P2798" s="4">
        <v>0.34</v>
      </c>
      <c r="X2798" s="55" t="str">
        <f t="shared" si="5"/>
        <v>#NAME?</v>
      </c>
    </row>
    <row r="2799">
      <c r="A2799" s="4" t="s">
        <v>5554</v>
      </c>
      <c r="B2799" s="4" t="s">
        <v>1060</v>
      </c>
      <c r="C2799" s="54" t="s">
        <v>683</v>
      </c>
      <c r="D2799" s="4" t="s">
        <v>5518</v>
      </c>
      <c r="E2799" s="4" t="s">
        <v>4260</v>
      </c>
      <c r="F2799" s="54" t="s">
        <v>1646</v>
      </c>
      <c r="G2799" s="4">
        <v>0.3</v>
      </c>
      <c r="H2799" s="4">
        <v>0.3</v>
      </c>
      <c r="I2799" s="4">
        <v>0.3</v>
      </c>
      <c r="J2799" s="4">
        <v>0.3</v>
      </c>
      <c r="K2799" s="4">
        <v>0.3</v>
      </c>
      <c r="L2799" s="4">
        <v>0.3</v>
      </c>
      <c r="M2799" s="4">
        <v>0.3</v>
      </c>
      <c r="N2799" s="4">
        <v>0.3</v>
      </c>
      <c r="O2799" s="4">
        <v>0.31</v>
      </c>
      <c r="P2799" s="4">
        <v>0.31</v>
      </c>
      <c r="X2799" s="55" t="str">
        <f t="shared" si="5"/>
        <v>#NAME?</v>
      </c>
    </row>
    <row r="2800">
      <c r="A2800" s="4" t="s">
        <v>5555</v>
      </c>
      <c r="B2800" s="4" t="s">
        <v>1060</v>
      </c>
      <c r="C2800" s="54" t="s">
        <v>694</v>
      </c>
      <c r="D2800" s="4" t="s">
        <v>5520</v>
      </c>
      <c r="E2800" s="4" t="s">
        <v>4260</v>
      </c>
      <c r="F2800" s="54" t="s">
        <v>1646</v>
      </c>
      <c r="G2800" s="4">
        <v>0.22</v>
      </c>
      <c r="H2800" s="4">
        <v>0.22</v>
      </c>
      <c r="I2800" s="4">
        <v>0.22</v>
      </c>
      <c r="J2800" s="4">
        <v>0.21</v>
      </c>
      <c r="K2800" s="4">
        <v>0.22</v>
      </c>
      <c r="L2800" s="4">
        <v>0.22</v>
      </c>
      <c r="M2800" s="4">
        <v>0.22</v>
      </c>
      <c r="N2800" s="4">
        <v>0.22</v>
      </c>
      <c r="O2800" s="4">
        <v>0.22</v>
      </c>
      <c r="P2800" s="4">
        <v>0.22</v>
      </c>
      <c r="X2800" s="55" t="str">
        <f t="shared" si="5"/>
        <v>#NAME?</v>
      </c>
    </row>
    <row r="2801">
      <c r="A2801" s="4" t="s">
        <v>5556</v>
      </c>
      <c r="B2801" s="4" t="s">
        <v>1060</v>
      </c>
      <c r="C2801" s="54" t="s">
        <v>287</v>
      </c>
      <c r="D2801" s="4" t="s">
        <v>5522</v>
      </c>
      <c r="E2801" s="4" t="s">
        <v>4260</v>
      </c>
      <c r="F2801" s="54" t="s">
        <v>1646</v>
      </c>
      <c r="G2801" s="4">
        <v>0.22</v>
      </c>
      <c r="H2801" s="4">
        <v>0.22</v>
      </c>
      <c r="I2801" s="4">
        <v>0.22</v>
      </c>
      <c r="J2801" s="4">
        <v>0.22</v>
      </c>
      <c r="K2801" s="4">
        <v>0.22</v>
      </c>
      <c r="L2801" s="4">
        <v>0.22</v>
      </c>
      <c r="M2801" s="4">
        <v>0.22</v>
      </c>
      <c r="N2801" s="4">
        <v>0.22</v>
      </c>
      <c r="O2801" s="4">
        <v>0.22</v>
      </c>
      <c r="P2801" s="4">
        <v>0.22</v>
      </c>
      <c r="X2801" s="55" t="str">
        <f t="shared" si="5"/>
        <v>#NAME?</v>
      </c>
    </row>
    <row r="2802">
      <c r="A2802" s="4" t="s">
        <v>5557</v>
      </c>
      <c r="B2802" s="4" t="s">
        <v>1060</v>
      </c>
      <c r="C2802" s="54" t="s">
        <v>421</v>
      </c>
      <c r="D2802" s="4" t="s">
        <v>5530</v>
      </c>
      <c r="E2802" s="4" t="s">
        <v>1088</v>
      </c>
      <c r="F2802" s="54" t="s">
        <v>449</v>
      </c>
      <c r="G2802" s="4">
        <v>0.34</v>
      </c>
      <c r="H2802" s="4">
        <v>0.33</v>
      </c>
      <c r="I2802" s="4">
        <v>0.35</v>
      </c>
      <c r="J2802" s="4">
        <v>0.35</v>
      </c>
      <c r="X2802" s="55" t="str">
        <f t="shared" si="5"/>
        <v>#NAME?</v>
      </c>
    </row>
    <row r="2803">
      <c r="A2803" s="4" t="s">
        <v>5558</v>
      </c>
      <c r="B2803" s="4" t="s">
        <v>1060</v>
      </c>
      <c r="C2803" s="54" t="s">
        <v>737</v>
      </c>
      <c r="D2803" s="4" t="s">
        <v>5449</v>
      </c>
      <c r="E2803" s="4" t="s">
        <v>4270</v>
      </c>
      <c r="F2803" s="54" t="s">
        <v>449</v>
      </c>
      <c r="G2803" s="4">
        <v>0.9</v>
      </c>
      <c r="H2803" s="4">
        <v>0.93</v>
      </c>
      <c r="I2803" s="4">
        <v>0.9</v>
      </c>
      <c r="J2803" s="4">
        <v>0.93</v>
      </c>
      <c r="X2803" s="55" t="str">
        <f t="shared" si="5"/>
        <v>#NAME?</v>
      </c>
    </row>
    <row r="2804">
      <c r="A2804" s="74" t="s">
        <v>5559</v>
      </c>
      <c r="B2804" s="74" t="s">
        <v>1019</v>
      </c>
      <c r="C2804" s="74">
        <v>1.0</v>
      </c>
      <c r="D2804" s="74" t="s">
        <v>5560</v>
      </c>
      <c r="E2804" s="74" t="s">
        <v>4268</v>
      </c>
      <c r="F2804" s="74">
        <v>6.0</v>
      </c>
      <c r="G2804" s="74">
        <v>0.478</v>
      </c>
      <c r="H2804" s="74">
        <v>0.48</v>
      </c>
      <c r="I2804" s="74">
        <v>0.488</v>
      </c>
      <c r="J2804" s="74">
        <v>0.483</v>
      </c>
      <c r="K2804" s="75"/>
      <c r="L2804" s="75"/>
      <c r="M2804" s="75"/>
      <c r="N2804" s="75"/>
      <c r="O2804" s="75"/>
      <c r="P2804" s="75"/>
      <c r="Q2804" s="75"/>
      <c r="R2804" s="75"/>
      <c r="S2804" s="75"/>
      <c r="T2804" s="75"/>
      <c r="U2804" s="75"/>
      <c r="V2804" s="75"/>
      <c r="W2804" s="75"/>
      <c r="X2804" s="74">
        <v>0.5</v>
      </c>
    </row>
    <row r="2805">
      <c r="A2805" s="76" t="s">
        <v>5561</v>
      </c>
      <c r="B2805" s="76" t="s">
        <v>1019</v>
      </c>
      <c r="C2805" s="74">
        <v>2.0</v>
      </c>
      <c r="D2805" s="76" t="s">
        <v>5560</v>
      </c>
      <c r="E2805" s="76" t="s">
        <v>5562</v>
      </c>
      <c r="F2805" s="76">
        <v>6.0</v>
      </c>
      <c r="G2805" s="76">
        <v>1.113</v>
      </c>
      <c r="H2805" s="76">
        <v>1.104</v>
      </c>
      <c r="I2805" s="76">
        <v>1.117</v>
      </c>
      <c r="J2805" s="76">
        <v>1.104</v>
      </c>
      <c r="K2805" s="77"/>
      <c r="L2805" s="77"/>
      <c r="M2805" s="77"/>
      <c r="N2805" s="77"/>
      <c r="O2805" s="77"/>
      <c r="P2805" s="77"/>
      <c r="Q2805" s="77"/>
      <c r="R2805" s="77"/>
      <c r="S2805" s="77"/>
      <c r="T2805" s="77"/>
      <c r="U2805" s="77"/>
      <c r="V2805" s="77"/>
      <c r="W2805" s="77"/>
      <c r="X2805" s="76">
        <v>1.0</v>
      </c>
    </row>
    <row r="2806">
      <c r="A2806" s="74" t="s">
        <v>5563</v>
      </c>
      <c r="B2806" s="74" t="s">
        <v>1019</v>
      </c>
      <c r="C2806" s="74">
        <v>3.0</v>
      </c>
      <c r="D2806" s="74" t="s">
        <v>5560</v>
      </c>
      <c r="E2806" s="74" t="s">
        <v>5421</v>
      </c>
      <c r="F2806" s="74">
        <v>24.0</v>
      </c>
      <c r="G2806" s="74">
        <v>0.666</v>
      </c>
      <c r="H2806" s="74">
        <v>0.656</v>
      </c>
      <c r="I2806" s="74">
        <v>0.67</v>
      </c>
      <c r="J2806" s="74">
        <v>0.675</v>
      </c>
      <c r="K2806" s="75"/>
      <c r="L2806" s="75"/>
      <c r="M2806" s="75"/>
      <c r="N2806" s="75"/>
      <c r="O2806" s="75"/>
      <c r="P2806" s="75"/>
      <c r="Q2806" s="75"/>
      <c r="R2806" s="75"/>
      <c r="S2806" s="75"/>
      <c r="T2806" s="75"/>
      <c r="U2806" s="75"/>
      <c r="V2806" s="75"/>
      <c r="W2806" s="75"/>
      <c r="X2806" s="74">
        <v>0.688</v>
      </c>
    </row>
    <row r="2807">
      <c r="A2807" s="76" t="s">
        <v>5564</v>
      </c>
      <c r="B2807" s="76" t="s">
        <v>1019</v>
      </c>
      <c r="C2807" s="74">
        <v>4.0</v>
      </c>
      <c r="D2807" s="76" t="s">
        <v>5560</v>
      </c>
      <c r="E2807" s="76" t="s">
        <v>5565</v>
      </c>
      <c r="F2807" s="76">
        <v>24.0</v>
      </c>
      <c r="G2807" s="76">
        <v>1.179</v>
      </c>
      <c r="H2807" s="76">
        <v>1.176</v>
      </c>
      <c r="I2807" s="76">
        <v>1.175</v>
      </c>
      <c r="J2807" s="76">
        <v>1.174</v>
      </c>
      <c r="K2807" s="77"/>
      <c r="L2807" s="77"/>
      <c r="M2807" s="77"/>
      <c r="N2807" s="77"/>
      <c r="O2807" s="77"/>
      <c r="P2807" s="77"/>
      <c r="Q2807" s="77"/>
      <c r="R2807" s="77"/>
      <c r="S2807" s="77"/>
      <c r="T2807" s="77"/>
      <c r="U2807" s="77"/>
      <c r="V2807" s="77"/>
      <c r="W2807" s="77"/>
      <c r="X2807" s="76">
        <v>1.125</v>
      </c>
    </row>
    <row r="2808">
      <c r="A2808" s="74" t="s">
        <v>5566</v>
      </c>
      <c r="B2808" s="74" t="s">
        <v>1019</v>
      </c>
      <c r="C2808" s="74">
        <v>5.0</v>
      </c>
      <c r="D2808" s="74" t="s">
        <v>5560</v>
      </c>
      <c r="E2808" s="74" t="s">
        <v>5428</v>
      </c>
      <c r="F2808" s="74">
        <v>6.0</v>
      </c>
      <c r="G2808" s="74">
        <v>0.481</v>
      </c>
      <c r="H2808" s="74">
        <v>0.488</v>
      </c>
      <c r="I2808" s="74">
        <v>0.483</v>
      </c>
      <c r="J2808" s="74">
        <v>0.489</v>
      </c>
      <c r="K2808" s="75"/>
      <c r="L2808" s="75"/>
      <c r="M2808" s="75"/>
      <c r="N2808" s="75"/>
      <c r="O2808" s="75"/>
      <c r="P2808" s="75"/>
      <c r="Q2808" s="75"/>
      <c r="R2808" s="75"/>
      <c r="S2808" s="75"/>
      <c r="T2808" s="75"/>
      <c r="U2808" s="75"/>
      <c r="V2808" s="75"/>
      <c r="W2808" s="75"/>
      <c r="X2808" s="74">
        <v>0.5</v>
      </c>
    </row>
    <row r="2809">
      <c r="A2809" s="76" t="s">
        <v>5567</v>
      </c>
      <c r="B2809" s="76" t="s">
        <v>1019</v>
      </c>
      <c r="C2809" s="74">
        <v>6.0</v>
      </c>
      <c r="D2809" s="76" t="s">
        <v>5560</v>
      </c>
      <c r="E2809" s="76" t="s">
        <v>5568</v>
      </c>
      <c r="F2809" s="76">
        <v>6.0</v>
      </c>
      <c r="G2809" s="76">
        <v>1.679</v>
      </c>
      <c r="H2809" s="76">
        <v>1.663</v>
      </c>
      <c r="I2809" s="76">
        <v>1.672</v>
      </c>
      <c r="J2809" s="76">
        <v>1.678</v>
      </c>
      <c r="K2809" s="77"/>
      <c r="L2809" s="77"/>
      <c r="M2809" s="77"/>
      <c r="N2809" s="77"/>
      <c r="O2809" s="77"/>
      <c r="P2809" s="77"/>
      <c r="Q2809" s="77"/>
      <c r="R2809" s="77"/>
      <c r="S2809" s="77"/>
      <c r="T2809" s="77"/>
      <c r="U2809" s="77"/>
      <c r="V2809" s="77"/>
      <c r="W2809" s="77"/>
      <c r="X2809" s="76">
        <v>1.0</v>
      </c>
    </row>
    <row r="2810">
      <c r="A2810" s="74" t="s">
        <v>5569</v>
      </c>
      <c r="B2810" s="74" t="s">
        <v>1019</v>
      </c>
      <c r="C2810" s="74">
        <v>7.0</v>
      </c>
      <c r="D2810" s="74" t="s">
        <v>5560</v>
      </c>
      <c r="E2810" s="74" t="s">
        <v>5447</v>
      </c>
      <c r="F2810" s="74">
        <v>4.0</v>
      </c>
      <c r="G2810" s="74">
        <v>0.331</v>
      </c>
      <c r="H2810" s="74">
        <v>0.328</v>
      </c>
      <c r="I2810" s="74">
        <v>0.313</v>
      </c>
      <c r="J2810" s="74">
        <v>0.312</v>
      </c>
      <c r="K2810" s="75"/>
      <c r="L2810" s="75"/>
      <c r="M2810" s="75"/>
      <c r="N2810" s="75"/>
      <c r="O2810" s="75"/>
      <c r="P2810" s="75"/>
      <c r="Q2810" s="75"/>
      <c r="R2810" s="75"/>
      <c r="S2810" s="75"/>
      <c r="T2810" s="75"/>
      <c r="U2810" s="75"/>
      <c r="V2810" s="75"/>
      <c r="W2810" s="75"/>
      <c r="X2810" s="74">
        <v>0.337</v>
      </c>
    </row>
    <row r="2811">
      <c r="A2811" s="76" t="s">
        <v>5570</v>
      </c>
      <c r="B2811" s="76" t="s">
        <v>1019</v>
      </c>
      <c r="C2811" s="74">
        <v>8.0</v>
      </c>
      <c r="D2811" s="76" t="s">
        <v>5560</v>
      </c>
      <c r="E2811" s="76" t="s">
        <v>5571</v>
      </c>
      <c r="F2811" s="76">
        <v>4.0</v>
      </c>
      <c r="G2811" s="76">
        <v>1.379</v>
      </c>
      <c r="H2811" s="76">
        <v>1.381</v>
      </c>
      <c r="I2811" s="76">
        <v>1.362</v>
      </c>
      <c r="J2811" s="76">
        <v>1.371</v>
      </c>
      <c r="K2811" s="77"/>
      <c r="L2811" s="77"/>
      <c r="M2811" s="77"/>
      <c r="N2811" s="77"/>
      <c r="O2811" s="77"/>
      <c r="P2811" s="77"/>
      <c r="Q2811" s="77"/>
      <c r="R2811" s="77"/>
      <c r="S2811" s="77"/>
      <c r="T2811" s="77"/>
      <c r="U2811" s="77"/>
      <c r="V2811" s="77"/>
      <c r="W2811" s="77"/>
      <c r="X2811" s="76">
        <v>0.674</v>
      </c>
    </row>
    <row r="2812">
      <c r="A2812" s="74" t="s">
        <v>5572</v>
      </c>
      <c r="B2812" s="74" t="s">
        <v>1019</v>
      </c>
      <c r="C2812" s="74">
        <v>9.0</v>
      </c>
      <c r="D2812" s="74" t="s">
        <v>5560</v>
      </c>
      <c r="E2812" s="74" t="s">
        <v>5436</v>
      </c>
      <c r="F2812" s="74">
        <v>4.0</v>
      </c>
      <c r="G2812" s="74">
        <v>0.365</v>
      </c>
      <c r="H2812" s="74">
        <v>0.356</v>
      </c>
      <c r="I2812" s="74">
        <v>0.363</v>
      </c>
      <c r="J2812" s="74">
        <v>0.343</v>
      </c>
      <c r="K2812" s="75"/>
      <c r="L2812" s="75"/>
      <c r="M2812" s="75"/>
      <c r="N2812" s="75"/>
      <c r="O2812" s="75"/>
      <c r="P2812" s="75"/>
      <c r="Q2812" s="75"/>
      <c r="R2812" s="75"/>
      <c r="S2812" s="75"/>
      <c r="T2812" s="75"/>
      <c r="U2812" s="75"/>
      <c r="V2812" s="75"/>
      <c r="W2812" s="75"/>
      <c r="X2812" s="74">
        <v>0.337</v>
      </c>
    </row>
    <row r="2813">
      <c r="A2813" s="76" t="s">
        <v>5573</v>
      </c>
      <c r="B2813" s="76" t="s">
        <v>1019</v>
      </c>
      <c r="C2813" s="74">
        <v>10.0</v>
      </c>
      <c r="D2813" s="76" t="s">
        <v>5560</v>
      </c>
      <c r="E2813" s="76" t="s">
        <v>5574</v>
      </c>
      <c r="F2813" s="76">
        <v>4.0</v>
      </c>
      <c r="G2813" s="76">
        <v>1.121</v>
      </c>
      <c r="H2813" s="76">
        <v>1.091</v>
      </c>
      <c r="I2813" s="76">
        <v>1.108</v>
      </c>
      <c r="J2813" s="76">
        <v>1.135</v>
      </c>
      <c r="K2813" s="77"/>
      <c r="L2813" s="77"/>
      <c r="M2813" s="77"/>
      <c r="N2813" s="77"/>
      <c r="O2813" s="77"/>
      <c r="P2813" s="77"/>
      <c r="Q2813" s="77"/>
      <c r="R2813" s="77"/>
      <c r="S2813" s="77"/>
      <c r="T2813" s="77"/>
      <c r="U2813" s="77"/>
      <c r="V2813" s="77"/>
      <c r="W2813" s="77"/>
      <c r="X2813" s="76">
        <v>0.674</v>
      </c>
    </row>
    <row r="2814">
      <c r="A2814" s="74" t="s">
        <v>5575</v>
      </c>
      <c r="B2814" s="74" t="s">
        <v>1019</v>
      </c>
      <c r="C2814" s="74">
        <v>11.0</v>
      </c>
      <c r="D2814" s="74" t="s">
        <v>5560</v>
      </c>
      <c r="E2814" s="74" t="s">
        <v>4260</v>
      </c>
      <c r="F2814" s="74" t="s">
        <v>5576</v>
      </c>
      <c r="G2814" s="74">
        <v>0.495</v>
      </c>
      <c r="H2814" s="74">
        <v>0.497</v>
      </c>
      <c r="I2814" s="74">
        <v>0.492</v>
      </c>
      <c r="J2814" s="74">
        <v>0.495</v>
      </c>
      <c r="K2814" s="75"/>
      <c r="L2814" s="75"/>
      <c r="M2814" s="75"/>
      <c r="N2814" s="75"/>
      <c r="O2814" s="75"/>
      <c r="P2814" s="75"/>
      <c r="Q2814" s="75"/>
      <c r="R2814" s="75"/>
      <c r="S2814" s="75"/>
      <c r="T2814" s="75"/>
      <c r="U2814" s="75"/>
      <c r="V2814" s="75"/>
      <c r="W2814" s="75"/>
      <c r="X2814" s="74">
        <v>0.5</v>
      </c>
    </row>
    <row r="2815">
      <c r="A2815" s="76" t="s">
        <v>5577</v>
      </c>
      <c r="B2815" s="76" t="s">
        <v>1019</v>
      </c>
      <c r="C2815" s="74">
        <v>12.0</v>
      </c>
      <c r="D2815" s="76" t="s">
        <v>5560</v>
      </c>
      <c r="E2815" s="76" t="s">
        <v>4260</v>
      </c>
      <c r="F2815" s="76" t="s">
        <v>5576</v>
      </c>
      <c r="G2815" s="76">
        <v>0.494</v>
      </c>
      <c r="H2815" s="76">
        <v>0.494</v>
      </c>
      <c r="I2815" s="76">
        <v>0.497</v>
      </c>
      <c r="J2815" s="76">
        <v>0.497</v>
      </c>
      <c r="K2815" s="77"/>
      <c r="L2815" s="77"/>
      <c r="M2815" s="77"/>
      <c r="N2815" s="77"/>
      <c r="O2815" s="77"/>
      <c r="P2815" s="77"/>
      <c r="Q2815" s="77"/>
      <c r="R2815" s="77"/>
      <c r="S2815" s="77"/>
      <c r="T2815" s="77"/>
      <c r="U2815" s="77"/>
      <c r="V2815" s="77"/>
      <c r="W2815" s="77"/>
      <c r="X2815" s="76">
        <v>0.5</v>
      </c>
    </row>
    <row r="2816">
      <c r="A2816" s="74" t="s">
        <v>5578</v>
      </c>
      <c r="B2816" s="74" t="s">
        <v>1019</v>
      </c>
      <c r="C2816" s="74">
        <v>13.0</v>
      </c>
      <c r="D2816" s="74" t="s">
        <v>5560</v>
      </c>
      <c r="E2816" s="74" t="s">
        <v>4260</v>
      </c>
      <c r="F2816" s="74" t="s">
        <v>5576</v>
      </c>
      <c r="G2816" s="74">
        <v>0.495</v>
      </c>
      <c r="H2816" s="74">
        <v>0.497</v>
      </c>
      <c r="I2816" s="74">
        <v>0.498</v>
      </c>
      <c r="J2816" s="74">
        <v>0.495</v>
      </c>
      <c r="K2816" s="75"/>
      <c r="L2816" s="75"/>
      <c r="M2816" s="75"/>
      <c r="N2816" s="75"/>
      <c r="O2816" s="75"/>
      <c r="P2816" s="75"/>
      <c r="Q2816" s="75"/>
      <c r="R2816" s="75"/>
      <c r="S2816" s="75"/>
      <c r="T2816" s="75"/>
      <c r="U2816" s="75"/>
      <c r="V2816" s="75"/>
      <c r="W2816" s="75"/>
      <c r="X2816" s="74">
        <v>0.5</v>
      </c>
    </row>
    <row r="2817">
      <c r="A2817" s="76" t="s">
        <v>5579</v>
      </c>
      <c r="B2817" s="76" t="s">
        <v>1019</v>
      </c>
      <c r="C2817" s="74">
        <v>14.0</v>
      </c>
      <c r="D2817" s="76" t="s">
        <v>5560</v>
      </c>
      <c r="E2817" s="76" t="s">
        <v>5458</v>
      </c>
      <c r="F2817" s="76" t="s">
        <v>5576</v>
      </c>
      <c r="G2817" s="76">
        <v>0.566</v>
      </c>
      <c r="H2817" s="76">
        <v>0.554</v>
      </c>
      <c r="I2817" s="76">
        <v>0.554</v>
      </c>
      <c r="J2817" s="76">
        <v>0.495</v>
      </c>
      <c r="K2817" s="77"/>
      <c r="L2817" s="77"/>
      <c r="M2817" s="77"/>
      <c r="N2817" s="77"/>
      <c r="O2817" s="77"/>
      <c r="P2817" s="77"/>
      <c r="Q2817" s="77"/>
      <c r="R2817" s="77"/>
      <c r="S2817" s="77"/>
      <c r="T2817" s="77"/>
      <c r="U2817" s="77"/>
      <c r="V2817" s="77"/>
      <c r="W2817" s="77"/>
      <c r="X2817" s="76">
        <v>0.5</v>
      </c>
    </row>
    <row r="2818">
      <c r="A2818" s="74" t="s">
        <v>5580</v>
      </c>
      <c r="B2818" s="74" t="s">
        <v>1019</v>
      </c>
      <c r="C2818" s="74">
        <v>15.0</v>
      </c>
      <c r="D2818" s="74" t="s">
        <v>5560</v>
      </c>
      <c r="E2818" s="74" t="s">
        <v>5458</v>
      </c>
      <c r="F2818" s="74" t="s">
        <v>5576</v>
      </c>
      <c r="G2818" s="74">
        <v>0.575</v>
      </c>
      <c r="H2818" s="74">
        <v>0.515</v>
      </c>
      <c r="I2818" s="74">
        <v>0.509</v>
      </c>
      <c r="J2818" s="74">
        <v>0.485</v>
      </c>
      <c r="K2818" s="75"/>
      <c r="L2818" s="75"/>
      <c r="M2818" s="75"/>
      <c r="N2818" s="75"/>
      <c r="O2818" s="75"/>
      <c r="P2818" s="75"/>
      <c r="Q2818" s="75"/>
      <c r="R2818" s="75"/>
      <c r="S2818" s="75"/>
      <c r="T2818" s="75"/>
      <c r="U2818" s="75"/>
      <c r="V2818" s="75"/>
      <c r="W2818" s="75"/>
      <c r="X2818" s="74">
        <v>0.5</v>
      </c>
    </row>
    <row r="2819">
      <c r="A2819" s="76" t="s">
        <v>5581</v>
      </c>
      <c r="B2819" s="76" t="s">
        <v>1019</v>
      </c>
      <c r="C2819" s="74">
        <v>16.0</v>
      </c>
      <c r="D2819" s="76" t="s">
        <v>5560</v>
      </c>
      <c r="E2819" s="76" t="s">
        <v>5458</v>
      </c>
      <c r="F2819" s="76" t="s">
        <v>5576</v>
      </c>
      <c r="G2819" s="76">
        <v>0.579</v>
      </c>
      <c r="H2819" s="76">
        <v>0.553</v>
      </c>
      <c r="I2819" s="76">
        <v>0.531</v>
      </c>
      <c r="J2819" s="76">
        <v>0.498</v>
      </c>
      <c r="K2819" s="77"/>
      <c r="L2819" s="77"/>
      <c r="M2819" s="77"/>
      <c r="N2819" s="77"/>
      <c r="O2819" s="77"/>
      <c r="P2819" s="77"/>
      <c r="Q2819" s="77"/>
      <c r="R2819" s="77"/>
      <c r="S2819" s="77"/>
      <c r="T2819" s="77"/>
      <c r="U2819" s="77"/>
      <c r="V2819" s="77"/>
      <c r="W2819" s="77"/>
      <c r="X2819" s="76">
        <v>0.5</v>
      </c>
    </row>
    <row r="2820">
      <c r="A2820" s="74" t="s">
        <v>5582</v>
      </c>
      <c r="B2820" s="74" t="s">
        <v>1019</v>
      </c>
      <c r="C2820" s="74">
        <v>17.0</v>
      </c>
      <c r="D2820" s="74" t="s">
        <v>5560</v>
      </c>
      <c r="E2820" s="74" t="s">
        <v>5458</v>
      </c>
      <c r="F2820" s="74" t="s">
        <v>5576</v>
      </c>
      <c r="G2820" s="74">
        <v>0.584</v>
      </c>
      <c r="H2820" s="74">
        <v>0.553</v>
      </c>
      <c r="I2820" s="74">
        <v>0.536</v>
      </c>
      <c r="J2820" s="74">
        <v>0.507</v>
      </c>
      <c r="K2820" s="75"/>
      <c r="L2820" s="75"/>
      <c r="M2820" s="75"/>
      <c r="N2820" s="75"/>
      <c r="O2820" s="75"/>
      <c r="P2820" s="75"/>
      <c r="Q2820" s="75"/>
      <c r="R2820" s="75"/>
      <c r="S2820" s="75"/>
      <c r="T2820" s="75"/>
      <c r="U2820" s="75"/>
      <c r="V2820" s="75"/>
      <c r="W2820" s="75"/>
      <c r="X2820" s="74">
        <v>0.5</v>
      </c>
    </row>
    <row r="2821">
      <c r="A2821" s="76" t="s">
        <v>5583</v>
      </c>
      <c r="B2821" s="76" t="s">
        <v>1019</v>
      </c>
      <c r="C2821" s="74">
        <v>18.0</v>
      </c>
      <c r="D2821" s="76" t="s">
        <v>5560</v>
      </c>
      <c r="E2821" s="76" t="s">
        <v>5451</v>
      </c>
      <c r="F2821" s="76" t="s">
        <v>5576</v>
      </c>
      <c r="G2821" s="76">
        <v>0.564</v>
      </c>
      <c r="H2821" s="76">
        <v>0.567</v>
      </c>
      <c r="I2821" s="76">
        <v>0.577</v>
      </c>
      <c r="J2821" s="76">
        <v>0.588</v>
      </c>
      <c r="K2821" s="77"/>
      <c r="L2821" s="77"/>
      <c r="M2821" s="77"/>
      <c r="N2821" s="77"/>
      <c r="O2821" s="77"/>
      <c r="P2821" s="77"/>
      <c r="Q2821" s="77"/>
      <c r="R2821" s="77"/>
      <c r="S2821" s="77"/>
      <c r="T2821" s="77"/>
      <c r="U2821" s="77"/>
      <c r="V2821" s="77"/>
      <c r="W2821" s="77"/>
      <c r="X2821" s="76">
        <v>0.5</v>
      </c>
    </row>
    <row r="2822">
      <c r="A2822" s="74" t="s">
        <v>5584</v>
      </c>
      <c r="B2822" s="74" t="s">
        <v>1019</v>
      </c>
      <c r="C2822" s="74">
        <v>19.0</v>
      </c>
      <c r="D2822" s="74" t="s">
        <v>5560</v>
      </c>
      <c r="E2822" s="74" t="s">
        <v>5451</v>
      </c>
      <c r="F2822" s="74" t="s">
        <v>5576</v>
      </c>
      <c r="G2822" s="74">
        <v>0.556</v>
      </c>
      <c r="H2822" s="74">
        <v>0.572</v>
      </c>
      <c r="I2822" s="74">
        <v>0.573</v>
      </c>
      <c r="J2822" s="74">
        <v>0.573</v>
      </c>
      <c r="K2822" s="75"/>
      <c r="L2822" s="75"/>
      <c r="M2822" s="75"/>
      <c r="N2822" s="75"/>
      <c r="O2822" s="75"/>
      <c r="P2822" s="75"/>
      <c r="Q2822" s="75"/>
      <c r="R2822" s="75"/>
      <c r="S2822" s="75"/>
      <c r="T2822" s="75"/>
      <c r="U2822" s="75"/>
      <c r="V2822" s="75"/>
      <c r="W2822" s="75"/>
      <c r="X2822" s="74">
        <v>0.5</v>
      </c>
    </row>
    <row r="2823">
      <c r="A2823" s="76" t="s">
        <v>5585</v>
      </c>
      <c r="B2823" s="76" t="s">
        <v>1019</v>
      </c>
      <c r="C2823" s="74">
        <v>20.0</v>
      </c>
      <c r="D2823" s="76" t="s">
        <v>5560</v>
      </c>
      <c r="E2823" s="76" t="s">
        <v>5451</v>
      </c>
      <c r="F2823" s="76" t="s">
        <v>5576</v>
      </c>
      <c r="G2823" s="76">
        <v>0.587</v>
      </c>
      <c r="H2823" s="76">
        <v>0.587</v>
      </c>
      <c r="I2823" s="76">
        <v>0.587</v>
      </c>
      <c r="J2823" s="76">
        <v>0.602</v>
      </c>
      <c r="K2823" s="77"/>
      <c r="L2823" s="77"/>
      <c r="M2823" s="77"/>
      <c r="N2823" s="77"/>
      <c r="O2823" s="77"/>
      <c r="P2823" s="77"/>
      <c r="Q2823" s="77"/>
      <c r="R2823" s="77"/>
      <c r="S2823" s="77"/>
      <c r="T2823" s="77"/>
      <c r="U2823" s="77"/>
      <c r="V2823" s="77"/>
      <c r="W2823" s="77"/>
      <c r="X2823" s="76">
        <v>0.5</v>
      </c>
    </row>
    <row r="2824">
      <c r="A2824" s="74" t="s">
        <v>5586</v>
      </c>
      <c r="B2824" s="74" t="s">
        <v>1019</v>
      </c>
      <c r="C2824" s="74">
        <v>21.0</v>
      </c>
      <c r="D2824" s="74" t="s">
        <v>5560</v>
      </c>
      <c r="E2824" s="74" t="s">
        <v>5432</v>
      </c>
      <c r="F2824" s="74">
        <v>24.0</v>
      </c>
      <c r="G2824" s="74">
        <v>0.495</v>
      </c>
      <c r="H2824" s="74">
        <v>0.492</v>
      </c>
      <c r="I2824" s="74">
        <v>0.493</v>
      </c>
      <c r="J2824" s="74">
        <v>0.495</v>
      </c>
      <c r="K2824" s="75"/>
      <c r="L2824" s="75"/>
      <c r="M2824" s="75"/>
      <c r="N2824" s="75"/>
      <c r="O2824" s="75"/>
      <c r="P2824" s="75"/>
      <c r="Q2824" s="75"/>
      <c r="R2824" s="75"/>
      <c r="S2824" s="75"/>
      <c r="T2824" s="75"/>
      <c r="U2824" s="75"/>
      <c r="V2824" s="75"/>
      <c r="W2824" s="75"/>
      <c r="X2824" s="74">
        <v>0.5</v>
      </c>
    </row>
    <row r="2825">
      <c r="A2825" s="76" t="s">
        <v>5587</v>
      </c>
      <c r="B2825" s="76" t="s">
        <v>1019</v>
      </c>
      <c r="C2825" s="74">
        <v>22.0</v>
      </c>
      <c r="D2825" s="76" t="s">
        <v>5560</v>
      </c>
      <c r="E2825" s="76" t="s">
        <v>5588</v>
      </c>
      <c r="F2825" s="76">
        <v>24.0</v>
      </c>
      <c r="G2825" s="76">
        <v>1.621</v>
      </c>
      <c r="H2825" s="76">
        <v>1.632</v>
      </c>
      <c r="I2825" s="76">
        <v>1.646</v>
      </c>
      <c r="J2825" s="76">
        <v>1.647</v>
      </c>
      <c r="K2825" s="77"/>
      <c r="L2825" s="77"/>
      <c r="M2825" s="77"/>
      <c r="N2825" s="77"/>
      <c r="O2825" s="77"/>
      <c r="P2825" s="77"/>
      <c r="Q2825" s="77"/>
      <c r="R2825" s="77"/>
      <c r="S2825" s="77"/>
      <c r="T2825" s="77"/>
      <c r="U2825" s="77"/>
      <c r="V2825" s="77"/>
      <c r="W2825" s="77"/>
      <c r="X2825" s="76">
        <v>1.125</v>
      </c>
    </row>
    <row r="2826">
      <c r="A2826" s="74" t="s">
        <v>5589</v>
      </c>
      <c r="B2826" s="74" t="s">
        <v>1019</v>
      </c>
      <c r="C2826" s="74">
        <v>23.0</v>
      </c>
      <c r="D2826" s="74" t="s">
        <v>5560</v>
      </c>
      <c r="E2826" s="74" t="s">
        <v>5590</v>
      </c>
      <c r="F2826" s="74">
        <v>24.0</v>
      </c>
      <c r="G2826" s="74">
        <v>1.602</v>
      </c>
      <c r="H2826" s="74">
        <v>1.611</v>
      </c>
      <c r="I2826" s="74">
        <v>1.635</v>
      </c>
      <c r="J2826" s="74">
        <v>1.623</v>
      </c>
      <c r="K2826" s="75"/>
      <c r="L2826" s="75"/>
      <c r="M2826" s="75"/>
      <c r="N2826" s="75"/>
      <c r="O2826" s="75"/>
      <c r="P2826" s="75"/>
      <c r="Q2826" s="75"/>
      <c r="R2826" s="75"/>
      <c r="S2826" s="75"/>
      <c r="T2826" s="75"/>
      <c r="U2826" s="75"/>
      <c r="V2826" s="75"/>
      <c r="W2826" s="75"/>
      <c r="X2826" s="74">
        <v>1.125</v>
      </c>
    </row>
    <row r="2827">
      <c r="A2827" s="76" t="s">
        <v>5591</v>
      </c>
      <c r="B2827" s="76" t="s">
        <v>1019</v>
      </c>
      <c r="C2827" s="74">
        <v>24.0</v>
      </c>
      <c r="D2827" s="76" t="s">
        <v>5560</v>
      </c>
      <c r="E2827" s="76" t="s">
        <v>5443</v>
      </c>
      <c r="F2827" s="76">
        <v>6.0</v>
      </c>
      <c r="G2827" s="76">
        <v>0.487</v>
      </c>
      <c r="H2827" s="76">
        <v>0.48</v>
      </c>
      <c r="I2827" s="76">
        <v>0.483</v>
      </c>
      <c r="J2827" s="76">
        <v>0.503</v>
      </c>
      <c r="K2827" s="77"/>
      <c r="L2827" s="77"/>
      <c r="M2827" s="77"/>
      <c r="N2827" s="77"/>
      <c r="O2827" s="77"/>
      <c r="P2827" s="77"/>
      <c r="Q2827" s="77"/>
      <c r="R2827" s="77"/>
      <c r="S2827" s="77"/>
      <c r="T2827" s="77"/>
      <c r="U2827" s="77"/>
      <c r="V2827" s="77"/>
      <c r="W2827" s="77"/>
      <c r="X2827" s="76">
        <v>0.5</v>
      </c>
    </row>
    <row r="2828">
      <c r="A2828" s="74" t="s">
        <v>5592</v>
      </c>
      <c r="B2828" s="74" t="s">
        <v>1019</v>
      </c>
      <c r="C2828" s="74">
        <v>25.0</v>
      </c>
      <c r="D2828" s="74" t="s">
        <v>5560</v>
      </c>
      <c r="E2828" s="74" t="s">
        <v>5593</v>
      </c>
      <c r="F2828" s="74">
        <v>6.0</v>
      </c>
      <c r="G2828" s="74">
        <v>1.111</v>
      </c>
      <c r="H2828" s="74">
        <v>1.1</v>
      </c>
      <c r="I2828" s="74">
        <v>1.102</v>
      </c>
      <c r="J2828" s="74">
        <v>1.094</v>
      </c>
      <c r="K2828" s="75"/>
      <c r="L2828" s="75"/>
      <c r="M2828" s="75"/>
      <c r="N2828" s="75"/>
      <c r="O2828" s="75"/>
      <c r="P2828" s="75"/>
      <c r="Q2828" s="75"/>
      <c r="R2828" s="75"/>
      <c r="S2828" s="75"/>
      <c r="T2828" s="75"/>
      <c r="U2828" s="75"/>
      <c r="V2828" s="75"/>
      <c r="W2828" s="75"/>
      <c r="X2828" s="74">
        <v>1.0</v>
      </c>
    </row>
    <row r="2829">
      <c r="A2829" s="76" t="s">
        <v>5594</v>
      </c>
      <c r="B2829" s="76" t="s">
        <v>1019</v>
      </c>
      <c r="C2829" s="74">
        <v>26.0</v>
      </c>
      <c r="D2829" s="76" t="s">
        <v>5560</v>
      </c>
      <c r="E2829" s="76" t="s">
        <v>3872</v>
      </c>
      <c r="F2829" s="76">
        <v>6.0</v>
      </c>
      <c r="G2829" s="76">
        <v>0.473</v>
      </c>
      <c r="H2829" s="76">
        <v>0.48</v>
      </c>
      <c r="I2829" s="76">
        <v>0.48</v>
      </c>
      <c r="J2829" s="76">
        <v>0.482</v>
      </c>
      <c r="K2829" s="77"/>
      <c r="L2829" s="77"/>
      <c r="M2829" s="77"/>
      <c r="N2829" s="77"/>
      <c r="O2829" s="77"/>
      <c r="P2829" s="77"/>
      <c r="Q2829" s="77"/>
      <c r="R2829" s="77"/>
      <c r="S2829" s="77"/>
      <c r="T2829" s="77"/>
      <c r="U2829" s="77"/>
      <c r="V2829" s="77"/>
      <c r="W2829" s="77"/>
      <c r="X2829" s="76">
        <v>0.5</v>
      </c>
    </row>
    <row r="2830">
      <c r="A2830" s="74" t="s">
        <v>5595</v>
      </c>
      <c r="B2830" s="74" t="s">
        <v>1019</v>
      </c>
      <c r="C2830" s="74">
        <v>27.0</v>
      </c>
      <c r="D2830" s="74" t="s">
        <v>5560</v>
      </c>
      <c r="E2830" s="74" t="s">
        <v>5596</v>
      </c>
      <c r="F2830" s="74">
        <v>6.0</v>
      </c>
      <c r="G2830" s="74">
        <v>1.083</v>
      </c>
      <c r="H2830" s="74">
        <v>1.101</v>
      </c>
      <c r="I2830" s="74">
        <v>1.092</v>
      </c>
      <c r="J2830" s="74">
        <v>1.089</v>
      </c>
      <c r="K2830" s="75"/>
      <c r="L2830" s="75"/>
      <c r="M2830" s="75"/>
      <c r="N2830" s="75"/>
      <c r="O2830" s="75"/>
      <c r="P2830" s="75"/>
      <c r="Q2830" s="75"/>
      <c r="R2830" s="75"/>
      <c r="S2830" s="75"/>
      <c r="T2830" s="75"/>
      <c r="U2830" s="75"/>
      <c r="V2830" s="75"/>
      <c r="W2830" s="75"/>
      <c r="X2830" s="74">
        <v>1.0</v>
      </c>
    </row>
    <row r="2831">
      <c r="A2831" s="76" t="s">
        <v>5597</v>
      </c>
      <c r="B2831" s="76" t="s">
        <v>1040</v>
      </c>
      <c r="C2831" s="76">
        <v>1.0</v>
      </c>
      <c r="D2831" s="76" t="s">
        <v>5598</v>
      </c>
      <c r="E2831" s="76" t="s">
        <v>5599</v>
      </c>
      <c r="F2831" s="76" t="s">
        <v>5576</v>
      </c>
      <c r="G2831" s="76">
        <v>0.5031</v>
      </c>
      <c r="H2831" s="76">
        <v>0.5035</v>
      </c>
      <c r="I2831" s="76">
        <v>0.5035</v>
      </c>
      <c r="J2831" s="76">
        <v>0.5205</v>
      </c>
      <c r="K2831" s="77"/>
      <c r="L2831" s="77"/>
      <c r="M2831" s="77"/>
      <c r="N2831" s="77"/>
      <c r="O2831" s="77"/>
      <c r="P2831" s="77"/>
      <c r="Q2831" s="77"/>
      <c r="R2831" s="77"/>
      <c r="S2831" s="77"/>
      <c r="T2831" s="77"/>
      <c r="U2831" s="77"/>
      <c r="V2831" s="77"/>
      <c r="W2831" s="77"/>
      <c r="X2831" s="76">
        <v>0.5</v>
      </c>
    </row>
    <row r="2832">
      <c r="A2832" s="74" t="s">
        <v>5600</v>
      </c>
      <c r="B2832" s="74" t="s">
        <v>1040</v>
      </c>
      <c r="C2832" s="76">
        <v>2.0</v>
      </c>
      <c r="D2832" s="74" t="s">
        <v>5598</v>
      </c>
      <c r="E2832" s="74" t="s">
        <v>5599</v>
      </c>
      <c r="F2832" s="74" t="s">
        <v>5576</v>
      </c>
      <c r="G2832" s="74">
        <v>0.5028</v>
      </c>
      <c r="H2832" s="74">
        <v>0.5039</v>
      </c>
      <c r="I2832" s="74">
        <v>0.5024</v>
      </c>
      <c r="J2832" s="74">
        <v>0.5008</v>
      </c>
      <c r="K2832" s="75"/>
      <c r="L2832" s="75"/>
      <c r="M2832" s="75"/>
      <c r="N2832" s="75"/>
      <c r="O2832" s="75"/>
      <c r="P2832" s="75"/>
      <c r="Q2832" s="75"/>
      <c r="R2832" s="75"/>
      <c r="S2832" s="75"/>
      <c r="T2832" s="75"/>
      <c r="U2832" s="75"/>
      <c r="V2832" s="75"/>
      <c r="W2832" s="75"/>
      <c r="X2832" s="74">
        <v>0.5</v>
      </c>
    </row>
    <row r="2833">
      <c r="A2833" s="76" t="s">
        <v>5601</v>
      </c>
      <c r="B2833" s="76" t="s">
        <v>1040</v>
      </c>
      <c r="C2833" s="76">
        <v>3.0</v>
      </c>
      <c r="D2833" s="76" t="s">
        <v>5598</v>
      </c>
      <c r="E2833" s="76" t="s">
        <v>5599</v>
      </c>
      <c r="F2833" s="76" t="s">
        <v>5576</v>
      </c>
      <c r="G2833" s="76">
        <v>0.5059</v>
      </c>
      <c r="H2833" s="76">
        <v>0.5051</v>
      </c>
      <c r="I2833" s="76">
        <v>0.5051</v>
      </c>
      <c r="J2833" s="76">
        <v>0.5024</v>
      </c>
      <c r="K2833" s="77"/>
      <c r="L2833" s="77"/>
      <c r="M2833" s="77"/>
      <c r="N2833" s="77"/>
      <c r="O2833" s="77"/>
      <c r="P2833" s="77"/>
      <c r="Q2833" s="77"/>
      <c r="R2833" s="77"/>
      <c r="S2833" s="77"/>
      <c r="T2833" s="77"/>
      <c r="U2833" s="77"/>
      <c r="V2833" s="77"/>
      <c r="W2833" s="77"/>
      <c r="X2833" s="76">
        <v>0.5</v>
      </c>
    </row>
    <row r="2834">
      <c r="A2834" s="74" t="s">
        <v>5602</v>
      </c>
      <c r="B2834" s="74" t="s">
        <v>1040</v>
      </c>
      <c r="C2834" s="76">
        <v>4.0</v>
      </c>
      <c r="D2834" s="74" t="s">
        <v>5598</v>
      </c>
      <c r="E2834" s="74" t="s">
        <v>5599</v>
      </c>
      <c r="F2834" s="74" t="s">
        <v>5576</v>
      </c>
      <c r="G2834" s="74">
        <v>0.5016</v>
      </c>
      <c r="H2834" s="74">
        <v>0.5146</v>
      </c>
      <c r="I2834" s="74">
        <v>0.498</v>
      </c>
      <c r="J2834" s="74">
        <v>0.5004</v>
      </c>
      <c r="K2834" s="75"/>
      <c r="L2834" s="75"/>
      <c r="M2834" s="75"/>
      <c r="N2834" s="75"/>
      <c r="O2834" s="75"/>
      <c r="P2834" s="75"/>
      <c r="Q2834" s="75"/>
      <c r="R2834" s="75"/>
      <c r="S2834" s="75"/>
      <c r="T2834" s="75"/>
      <c r="U2834" s="75"/>
      <c r="V2834" s="75"/>
      <c r="W2834" s="75"/>
      <c r="X2834" s="74">
        <v>0.5</v>
      </c>
    </row>
    <row r="2835">
      <c r="A2835" s="76" t="s">
        <v>5603</v>
      </c>
      <c r="B2835" s="76" t="s">
        <v>1040</v>
      </c>
      <c r="C2835" s="76">
        <v>5.0</v>
      </c>
      <c r="D2835" s="76" t="s">
        <v>5598</v>
      </c>
      <c r="E2835" s="76" t="s">
        <v>4260</v>
      </c>
      <c r="F2835" s="76" t="s">
        <v>5576</v>
      </c>
      <c r="G2835" s="76">
        <v>0.5937</v>
      </c>
      <c r="H2835" s="76">
        <v>0.6386</v>
      </c>
      <c r="I2835" s="76">
        <v>0.6315</v>
      </c>
      <c r="J2835" s="76">
        <v>0.6276</v>
      </c>
      <c r="K2835" s="77"/>
      <c r="L2835" s="77"/>
      <c r="M2835" s="77"/>
      <c r="N2835" s="77"/>
      <c r="O2835" s="77"/>
      <c r="P2835" s="77"/>
      <c r="Q2835" s="77"/>
      <c r="R2835" s="77"/>
      <c r="S2835" s="77"/>
      <c r="T2835" s="77"/>
      <c r="U2835" s="77"/>
      <c r="V2835" s="77"/>
      <c r="W2835" s="77"/>
      <c r="X2835" s="76">
        <v>0.5</v>
      </c>
    </row>
    <row r="2836">
      <c r="A2836" s="74" t="s">
        <v>5604</v>
      </c>
      <c r="B2836" s="74" t="s">
        <v>1040</v>
      </c>
      <c r="C2836" s="76">
        <v>6.0</v>
      </c>
      <c r="D2836" s="74" t="s">
        <v>5598</v>
      </c>
      <c r="E2836" s="74" t="s">
        <v>4260</v>
      </c>
      <c r="F2836" s="74" t="s">
        <v>5576</v>
      </c>
      <c r="G2836" s="74">
        <v>0.6102</v>
      </c>
      <c r="H2836" s="74">
        <v>0.6252</v>
      </c>
      <c r="I2836" s="74">
        <v>0.635</v>
      </c>
      <c r="J2836" s="74">
        <v>0.5953</v>
      </c>
      <c r="K2836" s="75"/>
      <c r="L2836" s="75"/>
      <c r="M2836" s="75"/>
      <c r="N2836" s="75"/>
      <c r="O2836" s="75"/>
      <c r="P2836" s="75"/>
      <c r="Q2836" s="75"/>
      <c r="R2836" s="75"/>
      <c r="S2836" s="75"/>
      <c r="T2836" s="75"/>
      <c r="U2836" s="75"/>
      <c r="V2836" s="75"/>
      <c r="W2836" s="75"/>
      <c r="X2836" s="74">
        <v>0.5</v>
      </c>
    </row>
    <row r="2837">
      <c r="A2837" s="76" t="s">
        <v>5605</v>
      </c>
      <c r="B2837" s="76" t="s">
        <v>1040</v>
      </c>
      <c r="C2837" s="76">
        <v>7.0</v>
      </c>
      <c r="D2837" s="76" t="s">
        <v>5598</v>
      </c>
      <c r="E2837" s="76" t="s">
        <v>4260</v>
      </c>
      <c r="F2837" s="76" t="s">
        <v>5576</v>
      </c>
      <c r="G2837" s="76">
        <v>0.5961</v>
      </c>
      <c r="H2837" s="76">
        <v>0.6091</v>
      </c>
      <c r="I2837" s="76">
        <v>0.624</v>
      </c>
      <c r="J2837" s="76">
        <v>0.6358</v>
      </c>
      <c r="K2837" s="77"/>
      <c r="L2837" s="77"/>
      <c r="M2837" s="77"/>
      <c r="N2837" s="77"/>
      <c r="O2837" s="77"/>
      <c r="P2837" s="77"/>
      <c r="Q2837" s="77"/>
      <c r="R2837" s="77"/>
      <c r="S2837" s="77"/>
      <c r="T2837" s="77"/>
      <c r="U2837" s="77"/>
      <c r="V2837" s="77"/>
      <c r="W2837" s="77"/>
      <c r="X2837" s="76">
        <v>0.5</v>
      </c>
    </row>
    <row r="2838">
      <c r="A2838" s="74" t="s">
        <v>5606</v>
      </c>
      <c r="B2838" s="74" t="s">
        <v>1040</v>
      </c>
      <c r="C2838" s="76">
        <v>8.0</v>
      </c>
      <c r="D2838" s="74" t="s">
        <v>5598</v>
      </c>
      <c r="E2838" s="74" t="s">
        <v>4260</v>
      </c>
      <c r="F2838" s="74" t="s">
        <v>5576</v>
      </c>
      <c r="G2838" s="74">
        <v>0.639</v>
      </c>
      <c r="H2838" s="74">
        <v>0.6315</v>
      </c>
      <c r="I2838" s="74">
        <v>0.6469</v>
      </c>
      <c r="J2838" s="74">
        <v>0.6232</v>
      </c>
      <c r="K2838" s="75"/>
      <c r="L2838" s="75"/>
      <c r="M2838" s="75"/>
      <c r="N2838" s="75"/>
      <c r="O2838" s="75"/>
      <c r="P2838" s="75"/>
      <c r="Q2838" s="75"/>
      <c r="R2838" s="75"/>
      <c r="S2838" s="75"/>
      <c r="T2838" s="75"/>
      <c r="U2838" s="75"/>
      <c r="V2838" s="75"/>
      <c r="W2838" s="75"/>
      <c r="X2838" s="74">
        <v>0.5</v>
      </c>
    </row>
    <row r="2839">
      <c r="A2839" s="76" t="s">
        <v>5607</v>
      </c>
      <c r="B2839" s="76" t="s">
        <v>1040</v>
      </c>
      <c r="C2839" s="76">
        <v>9.0</v>
      </c>
      <c r="D2839" s="76" t="s">
        <v>5598</v>
      </c>
      <c r="E2839" s="76" t="s">
        <v>5608</v>
      </c>
      <c r="F2839" s="76">
        <v>24.0</v>
      </c>
      <c r="G2839" s="76">
        <v>0.6567</v>
      </c>
      <c r="H2839" s="76">
        <v>0.6748</v>
      </c>
      <c r="I2839" s="76">
        <v>0.7236</v>
      </c>
      <c r="J2839" s="76">
        <v>0.6827</v>
      </c>
      <c r="K2839" s="77"/>
      <c r="L2839" s="77"/>
      <c r="M2839" s="77"/>
      <c r="N2839" s="77"/>
      <c r="O2839" s="77"/>
      <c r="P2839" s="77"/>
      <c r="Q2839" s="77"/>
      <c r="R2839" s="77"/>
      <c r="S2839" s="77"/>
      <c r="T2839" s="77"/>
      <c r="U2839" s="77"/>
      <c r="V2839" s="77"/>
      <c r="W2839" s="77"/>
      <c r="X2839" s="76">
        <v>0.75</v>
      </c>
    </row>
    <row r="2840">
      <c r="A2840" s="74" t="s">
        <v>5609</v>
      </c>
      <c r="B2840" s="74" t="s">
        <v>1040</v>
      </c>
      <c r="C2840" s="76">
        <v>10.0</v>
      </c>
      <c r="D2840" s="74" t="s">
        <v>5598</v>
      </c>
      <c r="E2840" s="74" t="s">
        <v>5610</v>
      </c>
      <c r="F2840" s="74">
        <v>24.0</v>
      </c>
      <c r="G2840" s="74">
        <v>1.1953</v>
      </c>
      <c r="H2840" s="74">
        <v>1.1787</v>
      </c>
      <c r="I2840" s="74">
        <v>1.1902</v>
      </c>
      <c r="J2840" s="74">
        <v>1.1764</v>
      </c>
      <c r="K2840" s="75"/>
      <c r="L2840" s="75"/>
      <c r="M2840" s="75"/>
      <c r="N2840" s="75"/>
      <c r="O2840" s="75"/>
      <c r="P2840" s="75"/>
      <c r="Q2840" s="75"/>
      <c r="R2840" s="75"/>
      <c r="S2840" s="75"/>
      <c r="T2840" s="75"/>
      <c r="U2840" s="75"/>
      <c r="V2840" s="75"/>
      <c r="W2840" s="75"/>
      <c r="X2840" s="74">
        <v>1.125</v>
      </c>
    </row>
    <row r="2841">
      <c r="A2841" s="76" t="s">
        <v>5611</v>
      </c>
      <c r="B2841" s="76" t="s">
        <v>1040</v>
      </c>
      <c r="C2841" s="76">
        <v>11.0</v>
      </c>
      <c r="D2841" s="76" t="s">
        <v>5598</v>
      </c>
      <c r="E2841" s="76" t="s">
        <v>5612</v>
      </c>
      <c r="F2841" s="76">
        <v>6.0</v>
      </c>
      <c r="G2841" s="76">
        <v>0.4933</v>
      </c>
      <c r="H2841" s="76">
        <v>0.5</v>
      </c>
      <c r="I2841" s="76">
        <v>0.4933</v>
      </c>
      <c r="J2841" s="76">
        <v>0.4894</v>
      </c>
      <c r="K2841" s="77"/>
      <c r="L2841" s="77"/>
      <c r="M2841" s="77"/>
      <c r="N2841" s="77"/>
      <c r="O2841" s="77"/>
      <c r="P2841" s="77"/>
      <c r="Q2841" s="77"/>
      <c r="R2841" s="77"/>
      <c r="S2841" s="77"/>
      <c r="T2841" s="77"/>
      <c r="U2841" s="77"/>
      <c r="V2841" s="77"/>
      <c r="W2841" s="77"/>
      <c r="X2841" s="76">
        <v>0.5</v>
      </c>
    </row>
    <row r="2842">
      <c r="A2842" s="74" t="s">
        <v>5613</v>
      </c>
      <c r="B2842" s="74" t="s">
        <v>1040</v>
      </c>
      <c r="C2842" s="76">
        <v>12.0</v>
      </c>
      <c r="D2842" s="74" t="s">
        <v>5598</v>
      </c>
      <c r="E2842" s="74" t="s">
        <v>5614</v>
      </c>
      <c r="F2842" s="74">
        <v>6.0</v>
      </c>
      <c r="G2842" s="74">
        <v>1.6846</v>
      </c>
      <c r="H2842" s="74">
        <v>1.6823</v>
      </c>
      <c r="I2842" s="74">
        <v>1.6882</v>
      </c>
      <c r="J2842" s="74">
        <v>1.6909</v>
      </c>
      <c r="K2842" s="75"/>
      <c r="L2842" s="75"/>
      <c r="M2842" s="75"/>
      <c r="N2842" s="75"/>
      <c r="O2842" s="75"/>
      <c r="P2842" s="75"/>
      <c r="Q2842" s="75"/>
      <c r="R2842" s="75"/>
      <c r="S2842" s="75"/>
      <c r="T2842" s="75"/>
      <c r="U2842" s="75"/>
      <c r="V2842" s="75"/>
      <c r="W2842" s="75"/>
      <c r="X2842" s="74">
        <v>1.0</v>
      </c>
    </row>
    <row r="2843">
      <c r="A2843" s="76" t="s">
        <v>5615</v>
      </c>
      <c r="B2843" s="76" t="s">
        <v>1040</v>
      </c>
      <c r="C2843" s="76">
        <v>13.0</v>
      </c>
      <c r="D2843" s="76" t="s">
        <v>5598</v>
      </c>
      <c r="E2843" s="76" t="s">
        <v>5616</v>
      </c>
      <c r="F2843" s="76">
        <v>6.0</v>
      </c>
      <c r="G2843" s="76">
        <v>0.4669</v>
      </c>
      <c r="H2843" s="76">
        <v>0.489</v>
      </c>
      <c r="I2843" s="76">
        <v>0.5087</v>
      </c>
      <c r="J2843" s="76">
        <v>0.5043</v>
      </c>
      <c r="K2843" s="77"/>
      <c r="L2843" s="77"/>
      <c r="M2843" s="77"/>
      <c r="N2843" s="77"/>
      <c r="O2843" s="77"/>
      <c r="P2843" s="77"/>
      <c r="Q2843" s="77"/>
      <c r="R2843" s="77"/>
      <c r="S2843" s="77"/>
      <c r="T2843" s="77"/>
      <c r="U2843" s="77"/>
      <c r="V2843" s="77"/>
      <c r="W2843" s="77"/>
      <c r="X2843" s="76">
        <v>0.5</v>
      </c>
    </row>
    <row r="2844">
      <c r="A2844" s="74" t="s">
        <v>5617</v>
      </c>
      <c r="B2844" s="74" t="s">
        <v>1040</v>
      </c>
      <c r="C2844" s="76">
        <v>14.0</v>
      </c>
      <c r="D2844" s="74" t="s">
        <v>5598</v>
      </c>
      <c r="E2844" s="74" t="s">
        <v>5618</v>
      </c>
      <c r="F2844" s="74">
        <v>6.0</v>
      </c>
      <c r="G2844" s="74">
        <v>1.1094</v>
      </c>
      <c r="H2844" s="74">
        <v>1.1138</v>
      </c>
      <c r="I2844" s="74">
        <v>1.1295</v>
      </c>
      <c r="J2844" s="74">
        <v>1.1209</v>
      </c>
      <c r="K2844" s="75"/>
      <c r="L2844" s="75"/>
      <c r="M2844" s="75"/>
      <c r="N2844" s="75"/>
      <c r="O2844" s="75"/>
      <c r="P2844" s="75"/>
      <c r="Q2844" s="75"/>
      <c r="R2844" s="75"/>
      <c r="S2844" s="75"/>
      <c r="T2844" s="75"/>
      <c r="U2844" s="75"/>
      <c r="V2844" s="75"/>
      <c r="W2844" s="75"/>
      <c r="X2844" s="74">
        <v>1.0</v>
      </c>
    </row>
    <row r="2845">
      <c r="A2845" s="76" t="s">
        <v>5619</v>
      </c>
      <c r="B2845" s="76" t="s">
        <v>1040</v>
      </c>
      <c r="C2845" s="76">
        <v>15.0</v>
      </c>
      <c r="D2845" s="76" t="s">
        <v>5598</v>
      </c>
      <c r="E2845" s="76" t="s">
        <v>5620</v>
      </c>
      <c r="F2845" s="76">
        <v>4.0</v>
      </c>
      <c r="G2845" s="76">
        <v>0.315</v>
      </c>
      <c r="H2845" s="76">
        <v>0.324</v>
      </c>
      <c r="I2845" s="76">
        <v>0.3232</v>
      </c>
      <c r="J2845" s="76">
        <v>0.3004</v>
      </c>
      <c r="K2845" s="77"/>
      <c r="L2845" s="77"/>
      <c r="M2845" s="77"/>
      <c r="N2845" s="77"/>
      <c r="O2845" s="77"/>
      <c r="P2845" s="77"/>
      <c r="Q2845" s="77"/>
      <c r="R2845" s="77"/>
      <c r="S2845" s="77"/>
      <c r="T2845" s="77"/>
      <c r="U2845" s="77"/>
      <c r="V2845" s="77"/>
      <c r="W2845" s="77"/>
      <c r="X2845" s="76">
        <v>0.312</v>
      </c>
    </row>
    <row r="2846">
      <c r="A2846" s="74" t="s">
        <v>5621</v>
      </c>
      <c r="B2846" s="74" t="s">
        <v>1040</v>
      </c>
      <c r="C2846" s="76">
        <v>16.0</v>
      </c>
      <c r="D2846" s="74" t="s">
        <v>5598</v>
      </c>
      <c r="E2846" s="74" t="s">
        <v>5622</v>
      </c>
      <c r="F2846" s="74">
        <v>4.0</v>
      </c>
      <c r="G2846" s="74">
        <v>0.9406</v>
      </c>
      <c r="H2846" s="74">
        <v>0.9417</v>
      </c>
      <c r="I2846" s="74">
        <v>0.9425</v>
      </c>
      <c r="J2846" s="74">
        <v>0.9461</v>
      </c>
      <c r="K2846" s="75"/>
      <c r="L2846" s="75"/>
      <c r="M2846" s="75"/>
      <c r="N2846" s="75"/>
      <c r="O2846" s="75"/>
      <c r="P2846" s="75"/>
      <c r="Q2846" s="75"/>
      <c r="R2846" s="75"/>
      <c r="S2846" s="75"/>
      <c r="T2846" s="75"/>
      <c r="U2846" s="75"/>
      <c r="V2846" s="75"/>
      <c r="W2846" s="75"/>
      <c r="X2846" s="74">
        <v>0.674</v>
      </c>
    </row>
    <row r="2847">
      <c r="A2847" s="76" t="s">
        <v>5623</v>
      </c>
      <c r="B2847" s="76" t="s">
        <v>1040</v>
      </c>
      <c r="C2847" s="76">
        <v>17.0</v>
      </c>
      <c r="D2847" s="76" t="s">
        <v>5598</v>
      </c>
      <c r="E2847" s="76" t="s">
        <v>5624</v>
      </c>
      <c r="F2847" s="76">
        <v>4.0</v>
      </c>
      <c r="G2847" s="76">
        <v>0.3331</v>
      </c>
      <c r="H2847" s="76">
        <v>0.3449</v>
      </c>
      <c r="I2847" s="76">
        <v>0.3465</v>
      </c>
      <c r="J2847" s="76">
        <v>0.3205</v>
      </c>
      <c r="K2847" s="77"/>
      <c r="L2847" s="77"/>
      <c r="M2847" s="77"/>
      <c r="N2847" s="77"/>
      <c r="O2847" s="77"/>
      <c r="P2847" s="77"/>
      <c r="Q2847" s="77"/>
      <c r="R2847" s="77"/>
      <c r="S2847" s="77"/>
      <c r="T2847" s="77"/>
      <c r="U2847" s="77"/>
      <c r="V2847" s="77"/>
      <c r="W2847" s="77"/>
      <c r="X2847" s="76">
        <v>0.337</v>
      </c>
    </row>
    <row r="2848">
      <c r="A2848" s="74" t="s">
        <v>5625</v>
      </c>
      <c r="B2848" s="74" t="s">
        <v>1040</v>
      </c>
      <c r="C2848" s="76">
        <v>18.0</v>
      </c>
      <c r="D2848" s="74" t="s">
        <v>5598</v>
      </c>
      <c r="E2848" s="74" t="s">
        <v>5574</v>
      </c>
      <c r="F2848" s="74">
        <v>4.0</v>
      </c>
      <c r="G2848" s="74">
        <v>1.1075</v>
      </c>
      <c r="H2848" s="74">
        <v>1.1146</v>
      </c>
      <c r="I2848" s="74">
        <v>1.1094</v>
      </c>
      <c r="J2848" s="74">
        <v>1.1268</v>
      </c>
      <c r="K2848" s="75"/>
      <c r="L2848" s="75"/>
      <c r="M2848" s="75"/>
      <c r="N2848" s="75"/>
      <c r="O2848" s="75"/>
      <c r="P2848" s="75"/>
      <c r="Q2848" s="75"/>
      <c r="R2848" s="75"/>
      <c r="S2848" s="75"/>
      <c r="T2848" s="75"/>
      <c r="U2848" s="75"/>
      <c r="V2848" s="75"/>
      <c r="W2848" s="75"/>
      <c r="X2848" s="74">
        <v>0.674</v>
      </c>
    </row>
    <row r="2849">
      <c r="A2849" s="76" t="s">
        <v>5626</v>
      </c>
      <c r="B2849" s="76" t="s">
        <v>1040</v>
      </c>
      <c r="C2849" s="76">
        <v>19.0</v>
      </c>
      <c r="D2849" s="76" t="s">
        <v>5598</v>
      </c>
      <c r="E2849" s="76" t="s">
        <v>5627</v>
      </c>
      <c r="F2849" s="76" t="s">
        <v>5576</v>
      </c>
      <c r="G2849" s="76">
        <v>0.5929</v>
      </c>
      <c r="H2849" s="76">
        <v>0.5654</v>
      </c>
      <c r="I2849" s="76">
        <v>0.5528</v>
      </c>
      <c r="J2849" s="76">
        <v>0.5008</v>
      </c>
      <c r="K2849" s="77"/>
      <c r="L2849" s="77"/>
      <c r="M2849" s="77"/>
      <c r="N2849" s="77"/>
      <c r="O2849" s="77"/>
      <c r="P2849" s="77"/>
      <c r="Q2849" s="77"/>
      <c r="R2849" s="77"/>
      <c r="S2849" s="77"/>
      <c r="T2849" s="77"/>
      <c r="U2849" s="77"/>
      <c r="V2849" s="77"/>
      <c r="W2849" s="77"/>
      <c r="X2849" s="76">
        <v>0.5</v>
      </c>
    </row>
    <row r="2850">
      <c r="A2850" s="74" t="s">
        <v>5628</v>
      </c>
      <c r="B2850" s="74" t="s">
        <v>1040</v>
      </c>
      <c r="C2850" s="76">
        <v>20.0</v>
      </c>
      <c r="D2850" s="74" t="s">
        <v>5598</v>
      </c>
      <c r="E2850" s="74" t="s">
        <v>5627</v>
      </c>
      <c r="F2850" s="74" t="s">
        <v>5576</v>
      </c>
      <c r="G2850" s="74">
        <v>0.5768</v>
      </c>
      <c r="H2850" s="74">
        <v>0.5598</v>
      </c>
      <c r="I2850" s="74">
        <v>0.5343</v>
      </c>
      <c r="J2850" s="74">
        <v>0.5319</v>
      </c>
      <c r="K2850" s="75"/>
      <c r="L2850" s="75"/>
      <c r="M2850" s="75"/>
      <c r="N2850" s="75"/>
      <c r="O2850" s="75"/>
      <c r="P2850" s="75"/>
      <c r="Q2850" s="75"/>
      <c r="R2850" s="75"/>
      <c r="S2850" s="75"/>
      <c r="T2850" s="75"/>
      <c r="U2850" s="75"/>
      <c r="V2850" s="75"/>
      <c r="W2850" s="75"/>
      <c r="X2850" s="74">
        <v>0.5</v>
      </c>
    </row>
    <row r="2851">
      <c r="A2851" s="76" t="s">
        <v>5629</v>
      </c>
      <c r="B2851" s="76" t="s">
        <v>1040</v>
      </c>
      <c r="C2851" s="76">
        <v>21.0</v>
      </c>
      <c r="D2851" s="76" t="s">
        <v>5598</v>
      </c>
      <c r="E2851" s="76" t="s">
        <v>5627</v>
      </c>
      <c r="F2851" s="76" t="s">
        <v>5576</v>
      </c>
      <c r="G2851" s="76">
        <v>0.5642</v>
      </c>
      <c r="H2851" s="76">
        <v>0.5394</v>
      </c>
      <c r="I2851" s="76">
        <v>0.5398</v>
      </c>
      <c r="J2851" s="76">
        <v>0.5354</v>
      </c>
      <c r="K2851" s="77"/>
      <c r="L2851" s="77"/>
      <c r="M2851" s="77"/>
      <c r="N2851" s="77"/>
      <c r="O2851" s="77"/>
      <c r="P2851" s="77"/>
      <c r="Q2851" s="77"/>
      <c r="R2851" s="77"/>
      <c r="S2851" s="77"/>
      <c r="T2851" s="77"/>
      <c r="U2851" s="77"/>
      <c r="V2851" s="77"/>
      <c r="W2851" s="77"/>
      <c r="X2851" s="76">
        <v>0.5</v>
      </c>
    </row>
    <row r="2852">
      <c r="A2852" s="74" t="s">
        <v>5630</v>
      </c>
      <c r="B2852" s="74" t="s">
        <v>1040</v>
      </c>
      <c r="C2852" s="76">
        <v>22.0</v>
      </c>
      <c r="D2852" s="74" t="s">
        <v>5598</v>
      </c>
      <c r="E2852" s="74" t="s">
        <v>5627</v>
      </c>
      <c r="F2852" s="74" t="s">
        <v>5576</v>
      </c>
      <c r="G2852" s="74">
        <v>0.5724</v>
      </c>
      <c r="H2852" s="74">
        <v>0.5516</v>
      </c>
      <c r="I2852" s="74">
        <v>0.5232</v>
      </c>
      <c r="J2852" s="74">
        <v>0.5232</v>
      </c>
      <c r="K2852" s="75"/>
      <c r="L2852" s="75"/>
      <c r="M2852" s="75"/>
      <c r="N2852" s="75"/>
      <c r="O2852" s="75"/>
      <c r="P2852" s="75"/>
      <c r="Q2852" s="75"/>
      <c r="R2852" s="75"/>
      <c r="S2852" s="75"/>
      <c r="T2852" s="75"/>
      <c r="U2852" s="75"/>
      <c r="V2852" s="75"/>
      <c r="W2852" s="75"/>
      <c r="X2852" s="74">
        <v>0.5</v>
      </c>
    </row>
    <row r="2853">
      <c r="A2853" s="76" t="s">
        <v>5631</v>
      </c>
      <c r="B2853" s="76" t="s">
        <v>1040</v>
      </c>
      <c r="C2853" s="76">
        <v>23.0</v>
      </c>
      <c r="D2853" s="76" t="s">
        <v>5598</v>
      </c>
      <c r="E2853" s="76" t="s">
        <v>5632</v>
      </c>
      <c r="F2853" s="76">
        <v>24.0</v>
      </c>
      <c r="G2853" s="76">
        <v>0.487</v>
      </c>
      <c r="H2853" s="76">
        <v>0.4969</v>
      </c>
      <c r="I2853" s="76">
        <v>0.4969</v>
      </c>
      <c r="J2853" s="76">
        <v>0.4953</v>
      </c>
      <c r="K2853" s="77"/>
      <c r="L2853" s="77"/>
      <c r="M2853" s="77"/>
      <c r="N2853" s="77"/>
      <c r="O2853" s="77"/>
      <c r="P2853" s="77"/>
      <c r="Q2853" s="77"/>
      <c r="R2853" s="77"/>
      <c r="S2853" s="77"/>
      <c r="T2853" s="77"/>
      <c r="U2853" s="77"/>
      <c r="V2853" s="77"/>
      <c r="W2853" s="77"/>
      <c r="X2853" s="76">
        <v>0.5</v>
      </c>
    </row>
    <row r="2854">
      <c r="A2854" s="74" t="s">
        <v>5633</v>
      </c>
      <c r="B2854" s="74" t="s">
        <v>1040</v>
      </c>
      <c r="C2854" s="76">
        <v>24.0</v>
      </c>
      <c r="D2854" s="74" t="s">
        <v>5598</v>
      </c>
      <c r="E2854" s="74" t="s">
        <v>5634</v>
      </c>
      <c r="F2854" s="74">
        <v>24.0</v>
      </c>
      <c r="G2854" s="74">
        <v>1.6445</v>
      </c>
      <c r="H2854" s="74">
        <v>1.652</v>
      </c>
      <c r="I2854" s="74">
        <v>1.6669</v>
      </c>
      <c r="J2854" s="74">
        <v>1.6642</v>
      </c>
      <c r="K2854" s="75"/>
      <c r="L2854" s="75"/>
      <c r="M2854" s="75"/>
      <c r="N2854" s="75"/>
      <c r="O2854" s="75"/>
      <c r="P2854" s="75"/>
      <c r="Q2854" s="75"/>
      <c r="R2854" s="75"/>
      <c r="S2854" s="75"/>
      <c r="T2854" s="75"/>
      <c r="U2854" s="75"/>
      <c r="V2854" s="75"/>
      <c r="W2854" s="75"/>
      <c r="X2854" s="74">
        <v>1.125</v>
      </c>
    </row>
    <row r="2855">
      <c r="A2855" s="76" t="s">
        <v>5635</v>
      </c>
      <c r="B2855" s="76" t="s">
        <v>1040</v>
      </c>
      <c r="C2855" s="76">
        <v>25.0</v>
      </c>
      <c r="D2855" s="76" t="s">
        <v>5598</v>
      </c>
      <c r="E2855" s="76" t="s">
        <v>5636</v>
      </c>
      <c r="F2855" s="76">
        <v>24.0</v>
      </c>
      <c r="G2855" s="76">
        <v>1.6232</v>
      </c>
      <c r="H2855" s="76">
        <v>1.6465</v>
      </c>
      <c r="I2855" s="76">
        <v>1.6748</v>
      </c>
      <c r="J2855" s="76">
        <v>1.6697</v>
      </c>
      <c r="K2855" s="77"/>
      <c r="L2855" s="77"/>
      <c r="M2855" s="77"/>
      <c r="N2855" s="77"/>
      <c r="O2855" s="77"/>
      <c r="P2855" s="77"/>
      <c r="Q2855" s="77"/>
      <c r="R2855" s="77"/>
      <c r="S2855" s="77"/>
      <c r="T2855" s="77"/>
      <c r="U2855" s="77"/>
      <c r="V2855" s="77"/>
      <c r="W2855" s="77"/>
      <c r="X2855" s="76">
        <v>1.125</v>
      </c>
    </row>
    <row r="2856">
      <c r="A2856" s="74" t="s">
        <v>5637</v>
      </c>
      <c r="B2856" s="74" t="s">
        <v>1040</v>
      </c>
      <c r="C2856" s="76">
        <v>26.0</v>
      </c>
      <c r="D2856" s="74" t="s">
        <v>5598</v>
      </c>
      <c r="E2856" s="74" t="s">
        <v>5638</v>
      </c>
      <c r="F2856" s="74">
        <v>6.0</v>
      </c>
      <c r="G2856" s="74">
        <v>0.4799</v>
      </c>
      <c r="H2856" s="74">
        <v>0.4862</v>
      </c>
      <c r="I2856" s="74">
        <v>0.487</v>
      </c>
      <c r="J2856" s="74">
        <v>0.4957</v>
      </c>
      <c r="K2856" s="75"/>
      <c r="L2856" s="75"/>
      <c r="M2856" s="75"/>
      <c r="N2856" s="75"/>
      <c r="O2856" s="75"/>
      <c r="P2856" s="75"/>
      <c r="Q2856" s="75"/>
      <c r="R2856" s="75"/>
      <c r="S2856" s="75"/>
      <c r="T2856" s="75"/>
      <c r="U2856" s="75"/>
      <c r="V2856" s="75"/>
      <c r="W2856" s="75"/>
      <c r="X2856" s="74">
        <v>0.5</v>
      </c>
    </row>
    <row r="2857">
      <c r="A2857" s="76" t="s">
        <v>5639</v>
      </c>
      <c r="B2857" s="76" t="s">
        <v>1040</v>
      </c>
      <c r="C2857" s="76">
        <v>27.0</v>
      </c>
      <c r="D2857" s="76" t="s">
        <v>5598</v>
      </c>
      <c r="E2857" s="76" t="s">
        <v>5640</v>
      </c>
      <c r="F2857" s="76">
        <v>6.0</v>
      </c>
      <c r="G2857" s="76">
        <v>1.113</v>
      </c>
      <c r="H2857" s="76">
        <v>1.1205</v>
      </c>
      <c r="I2857" s="76">
        <v>1.1217</v>
      </c>
      <c r="J2857" s="76">
        <v>1.1303</v>
      </c>
      <c r="K2857" s="77"/>
      <c r="L2857" s="77"/>
      <c r="M2857" s="77"/>
      <c r="N2857" s="77"/>
      <c r="O2857" s="77"/>
      <c r="P2857" s="77"/>
      <c r="Q2857" s="77"/>
      <c r="R2857" s="77"/>
      <c r="S2857" s="77"/>
      <c r="T2857" s="77"/>
      <c r="U2857" s="77"/>
      <c r="V2857" s="77"/>
      <c r="W2857" s="77"/>
      <c r="X2857" s="76">
        <v>1.0</v>
      </c>
    </row>
    <row r="2858">
      <c r="A2858" s="74" t="s">
        <v>5641</v>
      </c>
      <c r="B2858" s="74" t="s">
        <v>1040</v>
      </c>
      <c r="C2858" s="76">
        <v>28.0</v>
      </c>
      <c r="D2858" s="74" t="s">
        <v>5598</v>
      </c>
      <c r="E2858" s="74" t="s">
        <v>5642</v>
      </c>
      <c r="F2858" s="74">
        <v>6.0</v>
      </c>
      <c r="G2858" s="74">
        <v>0.5087</v>
      </c>
      <c r="H2858" s="74">
        <v>0.4909</v>
      </c>
      <c r="I2858" s="74">
        <v>0.4925</v>
      </c>
      <c r="J2858" s="74">
        <v>0.4819</v>
      </c>
      <c r="K2858" s="75"/>
      <c r="L2858" s="75"/>
      <c r="M2858" s="75"/>
      <c r="N2858" s="75"/>
      <c r="O2858" s="75"/>
      <c r="P2858" s="75"/>
      <c r="Q2858" s="75"/>
      <c r="R2858" s="75"/>
      <c r="S2858" s="75"/>
      <c r="T2858" s="75"/>
      <c r="U2858" s="75"/>
      <c r="V2858" s="75"/>
      <c r="W2858" s="75"/>
      <c r="X2858" s="74">
        <v>0.5</v>
      </c>
    </row>
    <row r="2859">
      <c r="A2859" s="76" t="s">
        <v>5643</v>
      </c>
      <c r="B2859" s="76" t="s">
        <v>1040</v>
      </c>
      <c r="C2859" s="76">
        <v>29.0</v>
      </c>
      <c r="D2859" s="76" t="s">
        <v>5598</v>
      </c>
      <c r="E2859" s="76" t="s">
        <v>5644</v>
      </c>
      <c r="F2859" s="76">
        <v>6.0</v>
      </c>
      <c r="G2859" s="76">
        <v>1.1374</v>
      </c>
      <c r="H2859" s="76">
        <v>1.1169</v>
      </c>
      <c r="I2859" s="76">
        <v>1.1244</v>
      </c>
      <c r="J2859" s="76">
        <v>1.1134</v>
      </c>
      <c r="K2859" s="77"/>
      <c r="L2859" s="77"/>
      <c r="M2859" s="77"/>
      <c r="N2859" s="77"/>
      <c r="O2859" s="77"/>
      <c r="P2859" s="77"/>
      <c r="Q2859" s="77"/>
      <c r="R2859" s="77"/>
      <c r="S2859" s="77"/>
      <c r="T2859" s="77"/>
      <c r="U2859" s="77"/>
      <c r="V2859" s="77"/>
      <c r="W2859" s="77"/>
      <c r="X2859" s="76">
        <v>1.0</v>
      </c>
    </row>
    <row r="2860">
      <c r="A2860" s="74" t="s">
        <v>5645</v>
      </c>
      <c r="B2860" s="74" t="s">
        <v>1060</v>
      </c>
      <c r="C2860" s="74">
        <v>1.0</v>
      </c>
      <c r="D2860" s="74" t="s">
        <v>5646</v>
      </c>
      <c r="E2860" s="74" t="s">
        <v>5647</v>
      </c>
      <c r="F2860" s="74">
        <v>24.0</v>
      </c>
      <c r="G2860" s="74">
        <v>0.3343</v>
      </c>
      <c r="H2860" s="74">
        <v>0.3504</v>
      </c>
      <c r="I2860" s="74">
        <v>0.3516</v>
      </c>
      <c r="J2860" s="74">
        <v>0.3508</v>
      </c>
      <c r="K2860" s="75"/>
      <c r="L2860" s="75"/>
      <c r="M2860" s="75"/>
      <c r="N2860" s="75"/>
      <c r="O2860" s="75"/>
      <c r="P2860" s="75"/>
      <c r="Q2860" s="75"/>
      <c r="R2860" s="75"/>
      <c r="S2860" s="75"/>
      <c r="T2860" s="75"/>
      <c r="U2860" s="75"/>
      <c r="V2860" s="75"/>
      <c r="W2860" s="75"/>
      <c r="X2860" s="74">
        <v>0.344</v>
      </c>
    </row>
    <row r="2861">
      <c r="A2861" s="76" t="s">
        <v>5648</v>
      </c>
      <c r="B2861" s="76" t="s">
        <v>1060</v>
      </c>
      <c r="C2861" s="74">
        <v>2.0</v>
      </c>
      <c r="D2861" s="76" t="s">
        <v>5646</v>
      </c>
      <c r="E2861" s="76" t="s">
        <v>5608</v>
      </c>
      <c r="F2861" s="76">
        <v>24.0</v>
      </c>
      <c r="G2861" s="76">
        <v>0.2224</v>
      </c>
      <c r="H2861" s="76">
        <v>0.2177</v>
      </c>
      <c r="I2861" s="76">
        <v>0.2264</v>
      </c>
      <c r="J2861" s="76">
        <v>0.237</v>
      </c>
      <c r="K2861" s="77"/>
      <c r="L2861" s="77"/>
      <c r="M2861" s="77"/>
      <c r="N2861" s="77"/>
      <c r="O2861" s="77"/>
      <c r="P2861" s="77"/>
      <c r="Q2861" s="77"/>
      <c r="R2861" s="77"/>
      <c r="S2861" s="77"/>
      <c r="T2861" s="77"/>
      <c r="U2861" s="77"/>
      <c r="V2861" s="77"/>
      <c r="W2861" s="77"/>
      <c r="X2861" s="76">
        <v>0.25</v>
      </c>
    </row>
    <row r="2862">
      <c r="A2862" s="74" t="s">
        <v>5649</v>
      </c>
      <c r="B2862" s="74" t="s">
        <v>1060</v>
      </c>
      <c r="C2862" s="74">
        <v>3.0</v>
      </c>
      <c r="D2862" s="74" t="s">
        <v>5646</v>
      </c>
      <c r="E2862" s="74" t="s">
        <v>5650</v>
      </c>
      <c r="F2862" s="74">
        <v>24.0</v>
      </c>
      <c r="G2862" s="74">
        <v>0.2264</v>
      </c>
      <c r="H2862" s="74">
        <v>0.2394</v>
      </c>
      <c r="I2862" s="74">
        <v>0.2272</v>
      </c>
      <c r="J2862" s="74">
        <v>0.2283</v>
      </c>
      <c r="K2862" s="75"/>
      <c r="L2862" s="75"/>
      <c r="M2862" s="75"/>
      <c r="N2862" s="75"/>
      <c r="O2862" s="75"/>
      <c r="P2862" s="75"/>
      <c r="Q2862" s="75"/>
      <c r="R2862" s="75"/>
      <c r="S2862" s="75"/>
      <c r="T2862" s="75"/>
      <c r="U2862" s="75"/>
      <c r="V2862" s="75"/>
      <c r="W2862" s="75"/>
      <c r="X2862" s="74">
        <v>0.25</v>
      </c>
    </row>
    <row r="2863">
      <c r="A2863" s="76" t="s">
        <v>5651</v>
      </c>
      <c r="B2863" s="76" t="s">
        <v>1060</v>
      </c>
      <c r="C2863" s="74">
        <v>4.0</v>
      </c>
      <c r="D2863" s="76" t="s">
        <v>5646</v>
      </c>
      <c r="E2863" s="76" t="s">
        <v>5652</v>
      </c>
      <c r="F2863" s="76">
        <v>24.0</v>
      </c>
      <c r="G2863" s="76">
        <v>0.2321</v>
      </c>
      <c r="H2863" s="76">
        <v>0.2352</v>
      </c>
      <c r="I2863" s="76">
        <v>0.2286</v>
      </c>
      <c r="J2863" s="76">
        <v>0.2212</v>
      </c>
      <c r="K2863" s="77"/>
      <c r="L2863" s="77"/>
      <c r="M2863" s="77"/>
      <c r="N2863" s="77"/>
      <c r="O2863" s="77"/>
      <c r="P2863" s="77"/>
      <c r="Q2863" s="77"/>
      <c r="R2863" s="77"/>
      <c r="S2863" s="77"/>
      <c r="T2863" s="77"/>
      <c r="U2863" s="77"/>
      <c r="V2863" s="77"/>
      <c r="W2863" s="77"/>
      <c r="X2863" s="76">
        <v>0.25</v>
      </c>
    </row>
    <row r="2864">
      <c r="A2864" s="74" t="s">
        <v>5653</v>
      </c>
      <c r="B2864" s="74" t="s">
        <v>1060</v>
      </c>
      <c r="C2864" s="74">
        <v>5.0</v>
      </c>
      <c r="D2864" s="74" t="s">
        <v>5646</v>
      </c>
      <c r="E2864" s="74" t="s">
        <v>5654</v>
      </c>
      <c r="F2864" s="74">
        <v>6.0</v>
      </c>
      <c r="G2864" s="74">
        <v>0.3512</v>
      </c>
      <c r="H2864" s="74">
        <v>0.3508</v>
      </c>
      <c r="I2864" s="74">
        <v>0.3504</v>
      </c>
      <c r="J2864" s="74">
        <v>0.3504</v>
      </c>
      <c r="K2864" s="75"/>
      <c r="L2864" s="75"/>
      <c r="M2864" s="75"/>
      <c r="N2864" s="75"/>
      <c r="O2864" s="75"/>
      <c r="P2864" s="75"/>
      <c r="Q2864" s="75"/>
      <c r="R2864" s="75"/>
      <c r="S2864" s="75"/>
      <c r="T2864" s="75"/>
      <c r="U2864" s="75"/>
      <c r="V2864" s="75"/>
      <c r="W2864" s="75"/>
      <c r="X2864" s="74">
        <v>0.344</v>
      </c>
    </row>
    <row r="2865">
      <c r="A2865" s="76" t="s">
        <v>5655</v>
      </c>
      <c r="B2865" s="76" t="s">
        <v>1060</v>
      </c>
      <c r="C2865" s="74">
        <v>6.0</v>
      </c>
      <c r="D2865" s="76" t="s">
        <v>5646</v>
      </c>
      <c r="E2865" s="76" t="s">
        <v>5616</v>
      </c>
      <c r="F2865" s="76">
        <v>6.0</v>
      </c>
      <c r="G2865" s="76">
        <v>0.4114</v>
      </c>
      <c r="H2865" s="76">
        <v>0.3984</v>
      </c>
      <c r="I2865" s="76">
        <v>0.4039</v>
      </c>
      <c r="J2865" s="76">
        <v>0.4047</v>
      </c>
      <c r="K2865" s="77"/>
      <c r="L2865" s="77"/>
      <c r="M2865" s="77"/>
      <c r="N2865" s="77"/>
      <c r="O2865" s="77"/>
      <c r="P2865" s="77"/>
      <c r="Q2865" s="77"/>
      <c r="R2865" s="77"/>
      <c r="S2865" s="77"/>
      <c r="T2865" s="77"/>
      <c r="U2865" s="77"/>
      <c r="V2865" s="77"/>
      <c r="W2865" s="77"/>
      <c r="X2865" s="76">
        <v>0.406</v>
      </c>
    </row>
    <row r="2866">
      <c r="A2866" s="74" t="s">
        <v>5656</v>
      </c>
      <c r="B2866" s="74" t="s">
        <v>1060</v>
      </c>
      <c r="C2866" s="74">
        <v>7.0</v>
      </c>
      <c r="D2866" s="74" t="s">
        <v>5646</v>
      </c>
      <c r="E2866" s="74" t="s">
        <v>5618</v>
      </c>
      <c r="F2866" s="74">
        <v>6.0</v>
      </c>
      <c r="G2866" s="74">
        <v>0.9764</v>
      </c>
      <c r="H2866" s="74">
        <v>0.9657</v>
      </c>
      <c r="I2866" s="74">
        <v>0.972</v>
      </c>
      <c r="J2866" s="74">
        <v>0.9661</v>
      </c>
      <c r="K2866" s="75"/>
      <c r="L2866" s="75"/>
      <c r="M2866" s="75"/>
      <c r="N2866" s="75"/>
      <c r="O2866" s="75"/>
      <c r="P2866" s="75"/>
      <c r="Q2866" s="75"/>
      <c r="R2866" s="75"/>
      <c r="S2866" s="75"/>
      <c r="T2866" s="75"/>
      <c r="U2866" s="75"/>
      <c r="V2866" s="75"/>
      <c r="W2866" s="75"/>
      <c r="X2866" s="74">
        <v>1.0</v>
      </c>
    </row>
    <row r="2867">
      <c r="A2867" s="76" t="s">
        <v>5657</v>
      </c>
      <c r="B2867" s="76" t="s">
        <v>1060</v>
      </c>
      <c r="C2867" s="74">
        <v>8.0</v>
      </c>
      <c r="D2867" s="76" t="s">
        <v>5646</v>
      </c>
      <c r="E2867" s="76" t="s">
        <v>5618</v>
      </c>
      <c r="F2867" s="76">
        <v>6.0</v>
      </c>
      <c r="G2867" s="76">
        <v>0.961</v>
      </c>
      <c r="H2867" s="76">
        <v>0.9665</v>
      </c>
      <c r="I2867" s="76">
        <v>0.9709</v>
      </c>
      <c r="J2867" s="76">
        <v>0.9657</v>
      </c>
      <c r="K2867" s="77"/>
      <c r="L2867" s="77"/>
      <c r="M2867" s="77"/>
      <c r="N2867" s="77"/>
      <c r="O2867" s="77"/>
      <c r="P2867" s="77"/>
      <c r="Q2867" s="77"/>
      <c r="R2867" s="77"/>
      <c r="S2867" s="77"/>
      <c r="T2867" s="77"/>
      <c r="U2867" s="77"/>
      <c r="V2867" s="77"/>
      <c r="W2867" s="77"/>
      <c r="X2867" s="76">
        <v>1.0</v>
      </c>
    </row>
    <row r="2868">
      <c r="A2868" s="74" t="s">
        <v>5658</v>
      </c>
      <c r="B2868" s="74" t="s">
        <v>1060</v>
      </c>
      <c r="C2868" s="74">
        <v>9.0</v>
      </c>
      <c r="D2868" s="74" t="s">
        <v>5646</v>
      </c>
      <c r="E2868" s="74" t="s">
        <v>5616</v>
      </c>
      <c r="F2868" s="74">
        <v>6.0</v>
      </c>
      <c r="G2868" s="74">
        <v>0.2366</v>
      </c>
      <c r="H2868" s="74">
        <v>0.2638</v>
      </c>
      <c r="I2868" s="74">
        <v>0.2598</v>
      </c>
      <c r="J2868" s="74">
        <v>0.2835</v>
      </c>
      <c r="K2868" s="75"/>
      <c r="L2868" s="75"/>
      <c r="M2868" s="75"/>
      <c r="N2868" s="75"/>
      <c r="O2868" s="75"/>
      <c r="P2868" s="75"/>
      <c r="Q2868" s="75"/>
      <c r="R2868" s="75"/>
      <c r="S2868" s="75"/>
      <c r="T2868" s="75"/>
      <c r="U2868" s="75"/>
      <c r="V2868" s="75"/>
      <c r="W2868" s="75"/>
      <c r="X2868" s="74">
        <v>0.277</v>
      </c>
    </row>
    <row r="2869">
      <c r="A2869" s="76" t="s">
        <v>5659</v>
      </c>
      <c r="B2869" s="76" t="s">
        <v>1060</v>
      </c>
      <c r="C2869" s="74">
        <v>10.0</v>
      </c>
      <c r="D2869" s="76" t="s">
        <v>5646</v>
      </c>
      <c r="E2869" s="76" t="s">
        <v>5660</v>
      </c>
      <c r="F2869" s="76">
        <v>6.0</v>
      </c>
      <c r="G2869" s="76">
        <v>0.3134</v>
      </c>
      <c r="H2869" s="76">
        <v>0.3043</v>
      </c>
      <c r="I2869" s="76">
        <v>0.313</v>
      </c>
      <c r="J2869" s="76">
        <v>0.298</v>
      </c>
      <c r="K2869" s="76">
        <v>0.3039</v>
      </c>
      <c r="L2869" s="76">
        <v>0.3154</v>
      </c>
      <c r="M2869" s="76">
        <v>0.2858</v>
      </c>
      <c r="N2869" s="76">
        <v>0.3028</v>
      </c>
      <c r="O2869" s="76">
        <v>0.3134</v>
      </c>
      <c r="P2869" s="76">
        <v>0.3079</v>
      </c>
      <c r="Q2869" s="76">
        <v>0.3142</v>
      </c>
      <c r="R2869" s="76">
        <v>0.3016</v>
      </c>
      <c r="S2869" s="77"/>
      <c r="T2869" s="77"/>
      <c r="U2869" s="77"/>
      <c r="V2869" s="77"/>
      <c r="W2869" s="77"/>
      <c r="X2869" s="76">
        <v>0.322</v>
      </c>
    </row>
    <row r="2870">
      <c r="A2870" s="74" t="s">
        <v>5661</v>
      </c>
      <c r="B2870" s="74" t="s">
        <v>1060</v>
      </c>
      <c r="C2870" s="74">
        <v>11.0</v>
      </c>
      <c r="D2870" s="74" t="s">
        <v>5646</v>
      </c>
      <c r="E2870" s="74" t="s">
        <v>5660</v>
      </c>
      <c r="F2870" s="74">
        <v>6.0</v>
      </c>
      <c r="G2870" s="74">
        <v>0.3004</v>
      </c>
      <c r="H2870" s="74">
        <v>0.2933</v>
      </c>
      <c r="I2870" s="74">
        <v>0.2996</v>
      </c>
      <c r="J2870" s="74">
        <v>0.2807</v>
      </c>
      <c r="K2870" s="74">
        <v>0.2941</v>
      </c>
      <c r="L2870" s="74">
        <v>0.3063</v>
      </c>
      <c r="M2870" s="74">
        <v>0.3</v>
      </c>
      <c r="N2870" s="74">
        <v>0.2933</v>
      </c>
      <c r="O2870" s="74">
        <v>0.2925</v>
      </c>
      <c r="P2870" s="74">
        <v>0.2717</v>
      </c>
      <c r="Q2870" s="74">
        <v>0.2752</v>
      </c>
      <c r="R2870" s="74">
        <v>0.2874</v>
      </c>
      <c r="S2870" s="75"/>
      <c r="T2870" s="75"/>
      <c r="U2870" s="75"/>
      <c r="V2870" s="75"/>
      <c r="W2870" s="75"/>
      <c r="X2870" s="74">
        <v>0.307</v>
      </c>
    </row>
    <row r="2871">
      <c r="A2871" s="76" t="s">
        <v>5662</v>
      </c>
      <c r="B2871" s="76" t="s">
        <v>1060</v>
      </c>
      <c r="C2871" s="74">
        <v>12.0</v>
      </c>
      <c r="D2871" s="76" t="s">
        <v>5646</v>
      </c>
      <c r="E2871" s="76" t="s">
        <v>5663</v>
      </c>
      <c r="F2871" s="76">
        <v>150.0</v>
      </c>
      <c r="G2871" s="76">
        <v>0.227</v>
      </c>
      <c r="H2871" s="76">
        <v>0.227</v>
      </c>
      <c r="I2871" s="76">
        <v>0.226</v>
      </c>
      <c r="J2871" s="76">
        <v>0.227</v>
      </c>
      <c r="K2871" s="76">
        <v>0.227</v>
      </c>
      <c r="L2871" s="76">
        <v>0.227</v>
      </c>
      <c r="M2871" s="76">
        <v>0.225</v>
      </c>
      <c r="N2871" s="76">
        <v>0.227</v>
      </c>
      <c r="O2871" s="76">
        <v>0.228</v>
      </c>
      <c r="P2871" s="76">
        <v>0.227</v>
      </c>
      <c r="Q2871" s="77"/>
      <c r="R2871" s="77"/>
      <c r="S2871" s="77"/>
      <c r="T2871" s="77"/>
      <c r="U2871" s="77"/>
      <c r="V2871" s="77"/>
      <c r="W2871" s="77"/>
      <c r="X2871" s="76">
        <v>0.2362</v>
      </c>
    </row>
    <row r="2872">
      <c r="A2872" s="74" t="s">
        <v>5664</v>
      </c>
      <c r="B2872" s="74" t="s">
        <v>1060</v>
      </c>
      <c r="C2872" s="74">
        <v>13.0</v>
      </c>
      <c r="D2872" s="74" t="s">
        <v>5646</v>
      </c>
      <c r="E2872" s="74" t="s">
        <v>5665</v>
      </c>
      <c r="F2872" s="76">
        <v>150.0</v>
      </c>
      <c r="G2872" s="74">
        <v>0.225</v>
      </c>
      <c r="H2872" s="74">
        <v>0.226</v>
      </c>
      <c r="I2872" s="74">
        <v>0.225</v>
      </c>
      <c r="J2872" s="74">
        <v>0.224</v>
      </c>
      <c r="K2872" s="74">
        <v>0.224</v>
      </c>
      <c r="L2872" s="74">
        <v>0.224</v>
      </c>
      <c r="M2872" s="74">
        <v>0.226</v>
      </c>
      <c r="N2872" s="74">
        <v>0.226</v>
      </c>
      <c r="O2872" s="74">
        <v>0.226</v>
      </c>
      <c r="P2872" s="74">
        <v>0.227</v>
      </c>
      <c r="Q2872" s="75"/>
      <c r="R2872" s="75"/>
      <c r="S2872" s="75"/>
      <c r="T2872" s="75"/>
      <c r="U2872" s="75"/>
      <c r="V2872" s="75"/>
      <c r="W2872" s="75"/>
      <c r="X2872" s="74">
        <v>0.2362</v>
      </c>
    </row>
    <row r="2873">
      <c r="A2873" s="76" t="s">
        <v>5666</v>
      </c>
      <c r="B2873" s="76" t="s">
        <v>1060</v>
      </c>
      <c r="C2873" s="74">
        <v>14.0</v>
      </c>
      <c r="D2873" s="76" t="s">
        <v>5646</v>
      </c>
      <c r="E2873" s="76" t="s">
        <v>5667</v>
      </c>
      <c r="F2873" s="76">
        <v>150.0</v>
      </c>
      <c r="G2873" s="76">
        <v>0.226</v>
      </c>
      <c r="H2873" s="76">
        <v>0.226</v>
      </c>
      <c r="I2873" s="76">
        <v>0.234</v>
      </c>
      <c r="J2873" s="76">
        <v>0.228</v>
      </c>
      <c r="K2873" s="76">
        <v>0.228</v>
      </c>
      <c r="L2873" s="76">
        <v>0.226</v>
      </c>
      <c r="M2873" s="76">
        <v>0.228</v>
      </c>
      <c r="N2873" s="76">
        <v>0.226</v>
      </c>
      <c r="O2873" s="76">
        <v>0.227</v>
      </c>
      <c r="P2873" s="76">
        <v>0.227</v>
      </c>
      <c r="Q2873" s="77"/>
      <c r="R2873" s="77"/>
      <c r="S2873" s="77"/>
      <c r="T2873" s="77"/>
      <c r="U2873" s="77"/>
      <c r="V2873" s="77"/>
      <c r="W2873" s="77"/>
      <c r="X2873" s="76">
        <v>0.2362</v>
      </c>
    </row>
    <row r="2874">
      <c r="A2874" s="74" t="s">
        <v>5668</v>
      </c>
      <c r="B2874" s="74" t="s">
        <v>1060</v>
      </c>
      <c r="C2874" s="74">
        <v>15.0</v>
      </c>
      <c r="D2874" s="74" t="s">
        <v>5646</v>
      </c>
      <c r="E2874" s="74" t="s">
        <v>5516</v>
      </c>
      <c r="F2874" s="76">
        <v>150.0</v>
      </c>
      <c r="G2874" s="74">
        <v>0.35</v>
      </c>
      <c r="H2874" s="74">
        <v>0.348</v>
      </c>
      <c r="I2874" s="74">
        <v>0.348</v>
      </c>
      <c r="J2874" s="74">
        <v>0.349</v>
      </c>
      <c r="K2874" s="74">
        <v>0.348</v>
      </c>
      <c r="L2874" s="74">
        <v>0.349</v>
      </c>
      <c r="M2874" s="74">
        <v>0.35</v>
      </c>
      <c r="N2874" s="74">
        <v>0.349</v>
      </c>
      <c r="O2874" s="74">
        <v>0.349</v>
      </c>
      <c r="P2874" s="74">
        <v>0.348</v>
      </c>
      <c r="Q2874" s="75"/>
      <c r="R2874" s="75"/>
      <c r="S2874" s="75"/>
      <c r="T2874" s="75"/>
      <c r="U2874" s="75"/>
      <c r="V2874" s="75"/>
      <c r="W2874" s="75"/>
      <c r="X2874" s="74">
        <v>0.3543</v>
      </c>
    </row>
    <row r="2875">
      <c r="A2875" s="76" t="s">
        <v>5669</v>
      </c>
      <c r="B2875" s="76" t="s">
        <v>1060</v>
      </c>
      <c r="C2875" s="74">
        <v>16.0</v>
      </c>
      <c r="D2875" s="76" t="s">
        <v>5646</v>
      </c>
      <c r="E2875" s="76" t="s">
        <v>5518</v>
      </c>
      <c r="F2875" s="76">
        <v>150.0</v>
      </c>
      <c r="G2875" s="76">
        <v>0.349</v>
      </c>
      <c r="H2875" s="76">
        <v>0.346</v>
      </c>
      <c r="I2875" s="76">
        <v>0.347</v>
      </c>
      <c r="J2875" s="76">
        <v>0.348</v>
      </c>
      <c r="K2875" s="76">
        <v>0.347</v>
      </c>
      <c r="L2875" s="76">
        <v>0.347</v>
      </c>
      <c r="M2875" s="76">
        <v>0.347</v>
      </c>
      <c r="N2875" s="76">
        <v>0.342</v>
      </c>
      <c r="O2875" s="76">
        <v>0.333</v>
      </c>
      <c r="P2875" s="76">
        <v>0.342</v>
      </c>
      <c r="Q2875" s="77"/>
      <c r="R2875" s="77"/>
      <c r="S2875" s="77"/>
      <c r="T2875" s="77"/>
      <c r="U2875" s="77"/>
      <c r="V2875" s="77"/>
      <c r="W2875" s="77"/>
      <c r="X2875" s="76">
        <v>0.3543</v>
      </c>
    </row>
    <row r="2876">
      <c r="A2876" s="74" t="s">
        <v>5670</v>
      </c>
      <c r="B2876" s="74" t="s">
        <v>1060</v>
      </c>
      <c r="C2876" s="74">
        <v>17.0</v>
      </c>
      <c r="D2876" s="74" t="s">
        <v>5646</v>
      </c>
      <c r="E2876" s="74" t="s">
        <v>5520</v>
      </c>
      <c r="F2876" s="76">
        <v>150.0</v>
      </c>
      <c r="G2876" s="74">
        <v>0.346</v>
      </c>
      <c r="H2876" s="74">
        <v>0.347</v>
      </c>
      <c r="I2876" s="74">
        <v>0.346</v>
      </c>
      <c r="J2876" s="74">
        <v>0.346</v>
      </c>
      <c r="K2876" s="74">
        <v>0.348</v>
      </c>
      <c r="L2876" s="74">
        <v>0.347</v>
      </c>
      <c r="M2876" s="74">
        <v>0.348</v>
      </c>
      <c r="N2876" s="74">
        <v>0.347</v>
      </c>
      <c r="O2876" s="74">
        <v>0.347</v>
      </c>
      <c r="P2876" s="74">
        <v>0.347</v>
      </c>
      <c r="Q2876" s="75"/>
      <c r="R2876" s="75"/>
      <c r="S2876" s="75"/>
      <c r="T2876" s="75"/>
      <c r="U2876" s="75"/>
      <c r="V2876" s="75"/>
      <c r="W2876" s="75"/>
      <c r="X2876" s="74">
        <v>0.3543</v>
      </c>
    </row>
    <row r="2877">
      <c r="A2877" s="76" t="s">
        <v>5671</v>
      </c>
      <c r="B2877" s="76" t="s">
        <v>1060</v>
      </c>
      <c r="C2877" s="74">
        <v>18.0</v>
      </c>
      <c r="D2877" s="76" t="s">
        <v>5646</v>
      </c>
      <c r="E2877" s="76" t="s">
        <v>5522</v>
      </c>
      <c r="F2877" s="76">
        <v>150.0</v>
      </c>
      <c r="G2877" s="76">
        <v>0.302</v>
      </c>
      <c r="H2877" s="76">
        <v>0.302</v>
      </c>
      <c r="I2877" s="76">
        <v>0.305</v>
      </c>
      <c r="J2877" s="76">
        <v>0.306</v>
      </c>
      <c r="K2877" s="76">
        <v>0.304</v>
      </c>
      <c r="L2877" s="76">
        <v>0.305</v>
      </c>
      <c r="M2877" s="76">
        <v>0.308</v>
      </c>
      <c r="N2877" s="76">
        <v>0.308</v>
      </c>
      <c r="O2877" s="76">
        <v>0.31</v>
      </c>
      <c r="P2877" s="76">
        <v>0.31</v>
      </c>
      <c r="Q2877" s="77"/>
      <c r="R2877" s="77"/>
      <c r="S2877" s="77"/>
      <c r="T2877" s="77"/>
      <c r="U2877" s="77"/>
      <c r="V2877" s="77"/>
      <c r="W2877" s="77"/>
      <c r="X2877" s="76">
        <v>0.3125</v>
      </c>
    </row>
    <row r="2878">
      <c r="A2878" s="74" t="s">
        <v>5672</v>
      </c>
      <c r="B2878" s="74" t="s">
        <v>1060</v>
      </c>
      <c r="C2878" s="74">
        <v>19.0</v>
      </c>
      <c r="D2878" s="74" t="s">
        <v>5646</v>
      </c>
      <c r="E2878" s="74" t="s">
        <v>5673</v>
      </c>
      <c r="F2878" s="76">
        <v>150.0</v>
      </c>
      <c r="G2878" s="74">
        <v>0.224</v>
      </c>
      <c r="H2878" s="74">
        <v>0.222</v>
      </c>
      <c r="I2878" s="74">
        <v>0.225</v>
      </c>
      <c r="J2878" s="74">
        <v>0.212</v>
      </c>
      <c r="K2878" s="74">
        <v>0.225</v>
      </c>
      <c r="L2878" s="74">
        <v>0.226</v>
      </c>
      <c r="M2878" s="74">
        <v>0.225</v>
      </c>
      <c r="N2878" s="74">
        <v>0.225</v>
      </c>
      <c r="O2878" s="74">
        <v>0.225</v>
      </c>
      <c r="P2878" s="74">
        <v>0.226</v>
      </c>
      <c r="Q2878" s="75"/>
      <c r="R2878" s="75"/>
      <c r="S2878" s="75"/>
      <c r="T2878" s="75"/>
      <c r="U2878" s="75"/>
      <c r="V2878" s="75"/>
      <c r="W2878" s="75"/>
      <c r="X2878" s="74">
        <v>0.2362</v>
      </c>
    </row>
    <row r="2879">
      <c r="A2879" s="76" t="s">
        <v>5674</v>
      </c>
      <c r="B2879" s="76" t="s">
        <v>1060</v>
      </c>
      <c r="C2879" s="74">
        <v>20.0</v>
      </c>
      <c r="D2879" s="76" t="s">
        <v>5646</v>
      </c>
      <c r="E2879" s="76" t="s">
        <v>5675</v>
      </c>
      <c r="F2879" s="76">
        <v>150.0</v>
      </c>
      <c r="G2879" s="76">
        <v>0.224</v>
      </c>
      <c r="H2879" s="76">
        <v>0.225</v>
      </c>
      <c r="I2879" s="76">
        <v>0.226</v>
      </c>
      <c r="J2879" s="76">
        <v>0.225</v>
      </c>
      <c r="K2879" s="76">
        <v>0.226</v>
      </c>
      <c r="L2879" s="76">
        <v>0.225</v>
      </c>
      <c r="M2879" s="76">
        <v>0.225</v>
      </c>
      <c r="N2879" s="76">
        <v>0.224</v>
      </c>
      <c r="O2879" s="76">
        <v>0.224</v>
      </c>
      <c r="P2879" s="76">
        <v>0.225</v>
      </c>
      <c r="Q2879" s="77"/>
      <c r="R2879" s="77"/>
      <c r="S2879" s="77"/>
      <c r="T2879" s="77"/>
      <c r="U2879" s="77"/>
      <c r="V2879" s="77"/>
      <c r="W2879" s="77"/>
      <c r="X2879" s="76">
        <v>0.2362</v>
      </c>
    </row>
    <row r="2880">
      <c r="A2880" s="74" t="s">
        <v>5676</v>
      </c>
      <c r="B2880" s="74" t="s">
        <v>1060</v>
      </c>
      <c r="C2880" s="74">
        <v>21.0</v>
      </c>
      <c r="D2880" s="74" t="s">
        <v>5646</v>
      </c>
      <c r="E2880" s="74" t="s">
        <v>5620</v>
      </c>
      <c r="F2880" s="74">
        <v>6.0</v>
      </c>
      <c r="G2880" s="74">
        <v>0.3472</v>
      </c>
      <c r="H2880" s="74">
        <v>0.3394</v>
      </c>
      <c r="I2880" s="74">
        <v>0.3508</v>
      </c>
      <c r="J2880" s="74">
        <v>0.3504</v>
      </c>
      <c r="K2880" s="75"/>
      <c r="L2880" s="75"/>
      <c r="M2880" s="75"/>
      <c r="N2880" s="75"/>
      <c r="O2880" s="75"/>
      <c r="P2880" s="75"/>
      <c r="Q2880" s="75"/>
      <c r="R2880" s="75"/>
      <c r="S2880" s="75"/>
      <c r="T2880" s="75"/>
      <c r="U2880" s="75"/>
      <c r="V2880" s="75"/>
      <c r="W2880" s="75"/>
      <c r="X2880" s="74">
        <v>0.344</v>
      </c>
    </row>
    <row r="2881">
      <c r="A2881" s="76" t="s">
        <v>5677</v>
      </c>
      <c r="B2881" s="76" t="s">
        <v>1060</v>
      </c>
      <c r="C2881" s="74">
        <v>22.0</v>
      </c>
      <c r="D2881" s="76" t="s">
        <v>5646</v>
      </c>
      <c r="E2881" s="76" t="s">
        <v>5622</v>
      </c>
      <c r="F2881" s="76">
        <v>6.0</v>
      </c>
      <c r="G2881" s="76">
        <v>0.9067</v>
      </c>
      <c r="H2881" s="76">
        <v>0.9307</v>
      </c>
      <c r="I2881" s="76">
        <v>0.9071</v>
      </c>
      <c r="J2881" s="76">
        <v>0.9295</v>
      </c>
      <c r="K2881" s="77"/>
      <c r="L2881" s="77"/>
      <c r="M2881" s="77"/>
      <c r="N2881" s="77"/>
      <c r="O2881" s="77"/>
      <c r="P2881" s="77"/>
      <c r="Q2881" s="77"/>
      <c r="R2881" s="77"/>
      <c r="S2881" s="77"/>
      <c r="T2881" s="77"/>
      <c r="U2881" s="77"/>
      <c r="V2881" s="77"/>
      <c r="W2881" s="77"/>
      <c r="X2881" s="76">
        <v>0.906</v>
      </c>
    </row>
    <row r="2882">
      <c r="A2882" s="74" t="s">
        <v>5678</v>
      </c>
      <c r="B2882" s="74" t="s">
        <v>1054</v>
      </c>
      <c r="C2882" s="74">
        <v>1.0</v>
      </c>
      <c r="D2882" s="74" t="s">
        <v>5679</v>
      </c>
      <c r="E2882" s="74" t="s">
        <v>5608</v>
      </c>
      <c r="F2882" s="74">
        <v>24.0</v>
      </c>
      <c r="G2882" s="74">
        <v>0.2283</v>
      </c>
      <c r="H2882" s="74">
        <v>0.2252</v>
      </c>
      <c r="I2882" s="74">
        <v>0.228</v>
      </c>
      <c r="J2882" s="74">
        <v>0.2283</v>
      </c>
      <c r="K2882" s="75"/>
      <c r="L2882" s="75"/>
      <c r="M2882" s="75"/>
      <c r="N2882" s="75"/>
      <c r="O2882" s="75"/>
      <c r="P2882" s="75"/>
      <c r="Q2882" s="75"/>
      <c r="R2882" s="75"/>
      <c r="S2882" s="75"/>
      <c r="T2882" s="75"/>
      <c r="U2882" s="75"/>
      <c r="V2882" s="75"/>
      <c r="W2882" s="75"/>
      <c r="X2882" s="74">
        <v>0.218</v>
      </c>
    </row>
    <row r="2883">
      <c r="A2883" s="76" t="s">
        <v>5680</v>
      </c>
      <c r="B2883" s="76" t="s">
        <v>1054</v>
      </c>
      <c r="C2883" s="74">
        <v>2.0</v>
      </c>
      <c r="D2883" s="76" t="s">
        <v>5679</v>
      </c>
      <c r="E2883" s="76" t="s">
        <v>5650</v>
      </c>
      <c r="F2883" s="76">
        <v>24.0</v>
      </c>
      <c r="G2883" s="76">
        <v>0.2319</v>
      </c>
      <c r="H2883" s="76">
        <v>0.2311</v>
      </c>
      <c r="I2883" s="76">
        <v>0.2406</v>
      </c>
      <c r="J2883" s="76">
        <v>0.2291</v>
      </c>
      <c r="K2883" s="77"/>
      <c r="L2883" s="77"/>
      <c r="M2883" s="77"/>
      <c r="N2883" s="77"/>
      <c r="O2883" s="77"/>
      <c r="P2883" s="77"/>
      <c r="Q2883" s="77"/>
      <c r="R2883" s="77"/>
      <c r="S2883" s="77"/>
      <c r="T2883" s="77"/>
      <c r="U2883" s="77"/>
      <c r="V2883" s="77"/>
      <c r="W2883" s="77"/>
      <c r="X2883" s="76">
        <v>0.25</v>
      </c>
    </row>
    <row r="2884">
      <c r="A2884" s="74" t="s">
        <v>5681</v>
      </c>
      <c r="B2884" s="74" t="s">
        <v>1054</v>
      </c>
      <c r="C2884" s="74">
        <v>3.0</v>
      </c>
      <c r="D2884" s="74" t="s">
        <v>5679</v>
      </c>
      <c r="E2884" s="74" t="s">
        <v>5647</v>
      </c>
      <c r="F2884" s="74">
        <v>24.0</v>
      </c>
      <c r="G2884" s="74">
        <v>0.2217</v>
      </c>
      <c r="H2884" s="74">
        <v>0.2185</v>
      </c>
      <c r="I2884" s="74">
        <v>0.2276</v>
      </c>
      <c r="J2884" s="74">
        <v>0.2209</v>
      </c>
      <c r="K2884" s="75"/>
      <c r="L2884" s="75"/>
      <c r="M2884" s="75"/>
      <c r="N2884" s="75"/>
      <c r="O2884" s="75"/>
      <c r="P2884" s="75"/>
      <c r="Q2884" s="75"/>
      <c r="R2884" s="75"/>
      <c r="S2884" s="75"/>
      <c r="T2884" s="75"/>
      <c r="U2884" s="75"/>
      <c r="V2884" s="75"/>
      <c r="W2884" s="75"/>
      <c r="X2884" s="74">
        <v>0.218</v>
      </c>
    </row>
    <row r="2885">
      <c r="A2885" s="76" t="s">
        <v>5682</v>
      </c>
      <c r="B2885" s="76" t="s">
        <v>1054</v>
      </c>
      <c r="C2885" s="74">
        <v>4.0</v>
      </c>
      <c r="D2885" s="76" t="s">
        <v>5679</v>
      </c>
      <c r="E2885" s="76" t="s">
        <v>5652</v>
      </c>
      <c r="F2885" s="76">
        <v>24.0</v>
      </c>
      <c r="G2885" s="76">
        <v>0.2274</v>
      </c>
      <c r="H2885" s="76">
        <v>0.2182</v>
      </c>
      <c r="I2885" s="76">
        <v>0.2234</v>
      </c>
      <c r="J2885" s="76">
        <v>0.2201</v>
      </c>
      <c r="K2885" s="77"/>
      <c r="L2885" s="77"/>
      <c r="M2885" s="77"/>
      <c r="N2885" s="77"/>
      <c r="O2885" s="77"/>
      <c r="P2885" s="77"/>
      <c r="Q2885" s="77"/>
      <c r="R2885" s="77"/>
      <c r="S2885" s="77"/>
      <c r="T2885" s="77"/>
      <c r="U2885" s="77"/>
      <c r="V2885" s="77"/>
      <c r="W2885" s="77"/>
      <c r="X2885" s="76">
        <v>0.218</v>
      </c>
    </row>
    <row r="2886">
      <c r="A2886" s="74" t="s">
        <v>5683</v>
      </c>
      <c r="B2886" s="74" t="s">
        <v>1054</v>
      </c>
      <c r="C2886" s="74">
        <v>5.0</v>
      </c>
      <c r="D2886" s="74" t="s">
        <v>5679</v>
      </c>
      <c r="E2886" s="74" t="s">
        <v>5654</v>
      </c>
      <c r="F2886" s="74">
        <v>6.0</v>
      </c>
      <c r="G2886" s="74">
        <v>0.224</v>
      </c>
      <c r="H2886" s="74">
        <v>0.2224</v>
      </c>
      <c r="I2886" s="74">
        <v>0.2295</v>
      </c>
      <c r="J2886" s="74">
        <v>0.237</v>
      </c>
      <c r="K2886" s="75"/>
      <c r="L2886" s="75"/>
      <c r="M2886" s="75"/>
      <c r="N2886" s="75"/>
      <c r="O2886" s="75"/>
      <c r="P2886" s="75"/>
      <c r="Q2886" s="75"/>
      <c r="R2886" s="75"/>
      <c r="S2886" s="75"/>
      <c r="T2886" s="75"/>
      <c r="U2886" s="75"/>
      <c r="V2886" s="75"/>
      <c r="W2886" s="75"/>
      <c r="X2886" s="74">
        <v>0.25</v>
      </c>
    </row>
    <row r="2887">
      <c r="A2887" s="76" t="s">
        <v>5684</v>
      </c>
      <c r="B2887" s="76" t="s">
        <v>1054</v>
      </c>
      <c r="C2887" s="74">
        <v>6.0</v>
      </c>
      <c r="D2887" s="76" t="s">
        <v>5679</v>
      </c>
      <c r="E2887" s="76" t="s">
        <v>5616</v>
      </c>
      <c r="F2887" s="76">
        <v>6.0</v>
      </c>
      <c r="G2887" s="76">
        <v>0.4031</v>
      </c>
      <c r="H2887" s="76">
        <v>0.3972</v>
      </c>
      <c r="I2887" s="76">
        <v>0.4028</v>
      </c>
      <c r="J2887" s="76">
        <v>0.4209</v>
      </c>
      <c r="K2887" s="77"/>
      <c r="L2887" s="77"/>
      <c r="M2887" s="77"/>
      <c r="N2887" s="77"/>
      <c r="O2887" s="77"/>
      <c r="P2887" s="77"/>
      <c r="Q2887" s="77"/>
      <c r="R2887" s="77"/>
      <c r="S2887" s="77"/>
      <c r="T2887" s="77"/>
      <c r="U2887" s="77"/>
      <c r="V2887" s="77"/>
      <c r="W2887" s="77"/>
      <c r="X2887" s="76">
        <v>0.406</v>
      </c>
    </row>
    <row r="2888">
      <c r="A2888" s="74" t="s">
        <v>5685</v>
      </c>
      <c r="B2888" s="74" t="s">
        <v>1054</v>
      </c>
      <c r="C2888" s="74">
        <v>7.0</v>
      </c>
      <c r="D2888" s="74" t="s">
        <v>5679</v>
      </c>
      <c r="E2888" s="74" t="s">
        <v>5618</v>
      </c>
      <c r="F2888" s="74">
        <v>6.0</v>
      </c>
      <c r="G2888" s="74">
        <v>0.9933</v>
      </c>
      <c r="H2888" s="74">
        <v>0.9811</v>
      </c>
      <c r="I2888" s="74">
        <v>0.9748</v>
      </c>
      <c r="J2888" s="74">
        <v>0.9709</v>
      </c>
      <c r="K2888" s="75"/>
      <c r="L2888" s="75"/>
      <c r="M2888" s="75"/>
      <c r="N2888" s="75"/>
      <c r="O2888" s="75"/>
      <c r="P2888" s="75"/>
      <c r="Q2888" s="75"/>
      <c r="R2888" s="75"/>
      <c r="S2888" s="75"/>
      <c r="T2888" s="75"/>
      <c r="U2888" s="75"/>
      <c r="V2888" s="75"/>
      <c r="W2888" s="75"/>
      <c r="X2888" s="74">
        <v>1.0</v>
      </c>
    </row>
    <row r="2889">
      <c r="A2889" s="76" t="s">
        <v>5686</v>
      </c>
      <c r="B2889" s="76" t="s">
        <v>1054</v>
      </c>
      <c r="C2889" s="74">
        <v>8.0</v>
      </c>
      <c r="D2889" s="76" t="s">
        <v>5679</v>
      </c>
      <c r="E2889" s="76" t="s">
        <v>5618</v>
      </c>
      <c r="F2889" s="76">
        <v>6.0</v>
      </c>
      <c r="G2889" s="76">
        <v>0.9945</v>
      </c>
      <c r="H2889" s="76">
        <v>0.9894</v>
      </c>
      <c r="I2889" s="76">
        <v>0.9787</v>
      </c>
      <c r="J2889" s="76">
        <v>0.9913</v>
      </c>
      <c r="K2889" s="77"/>
      <c r="L2889" s="77"/>
      <c r="M2889" s="77"/>
      <c r="N2889" s="77"/>
      <c r="O2889" s="77"/>
      <c r="P2889" s="77"/>
      <c r="Q2889" s="77"/>
      <c r="R2889" s="77"/>
      <c r="S2889" s="77"/>
      <c r="T2889" s="77"/>
      <c r="U2889" s="77"/>
      <c r="V2889" s="77"/>
      <c r="W2889" s="77"/>
      <c r="X2889" s="76">
        <v>1.0</v>
      </c>
    </row>
    <row r="2890">
      <c r="A2890" s="74" t="s">
        <v>5687</v>
      </c>
      <c r="B2890" s="74" t="s">
        <v>1054</v>
      </c>
      <c r="C2890" s="74">
        <v>9.0</v>
      </c>
      <c r="D2890" s="74" t="s">
        <v>5679</v>
      </c>
      <c r="E2890" s="74" t="s">
        <v>5616</v>
      </c>
      <c r="F2890" s="74">
        <v>6.0</v>
      </c>
      <c r="G2890" s="74">
        <v>0.3087</v>
      </c>
      <c r="H2890" s="74">
        <v>0.3071</v>
      </c>
      <c r="I2890" s="74">
        <v>0.2756</v>
      </c>
      <c r="J2890" s="74">
        <v>0.2913</v>
      </c>
      <c r="K2890" s="75"/>
      <c r="L2890" s="75"/>
      <c r="M2890" s="75"/>
      <c r="N2890" s="75"/>
      <c r="O2890" s="75"/>
      <c r="P2890" s="75"/>
      <c r="Q2890" s="75"/>
      <c r="R2890" s="75"/>
      <c r="S2890" s="75"/>
      <c r="T2890" s="75"/>
      <c r="U2890" s="75"/>
      <c r="V2890" s="75"/>
      <c r="W2890" s="75"/>
      <c r="X2890" s="74">
        <v>0.307</v>
      </c>
    </row>
    <row r="2891">
      <c r="A2891" s="76" t="s">
        <v>5688</v>
      </c>
      <c r="B2891" s="76" t="s">
        <v>1054</v>
      </c>
      <c r="C2891" s="74">
        <v>10.0</v>
      </c>
      <c r="D2891" s="76" t="s">
        <v>5679</v>
      </c>
      <c r="E2891" s="76" t="s">
        <v>5660</v>
      </c>
      <c r="F2891" s="76">
        <v>6.0</v>
      </c>
      <c r="G2891" s="76">
        <v>0.3315</v>
      </c>
      <c r="H2891" s="76">
        <v>0.3264</v>
      </c>
      <c r="I2891" s="76">
        <v>0.322</v>
      </c>
      <c r="J2891" s="76">
        <v>0.3122</v>
      </c>
      <c r="K2891" s="76">
        <v>0.3193</v>
      </c>
      <c r="L2891" s="76">
        <v>0.3421</v>
      </c>
      <c r="M2891" s="76">
        <v>0.3055</v>
      </c>
      <c r="N2891" s="76">
        <v>0.2846</v>
      </c>
      <c r="O2891" s="76">
        <v>0.3366</v>
      </c>
      <c r="P2891" s="76">
        <v>0.3535</v>
      </c>
      <c r="Q2891" s="76">
        <v>0.3252</v>
      </c>
      <c r="R2891" s="76">
        <v>0.352</v>
      </c>
      <c r="S2891" s="77"/>
      <c r="T2891" s="77"/>
      <c r="U2891" s="77"/>
      <c r="V2891" s="77"/>
      <c r="W2891" s="77"/>
      <c r="X2891" s="76">
        <v>0.344</v>
      </c>
    </row>
    <row r="2892">
      <c r="A2892" s="74" t="s">
        <v>5689</v>
      </c>
      <c r="B2892" s="74" t="s">
        <v>1054</v>
      </c>
      <c r="C2892" s="74">
        <v>11.0</v>
      </c>
      <c r="D2892" s="74" t="s">
        <v>5679</v>
      </c>
      <c r="E2892" s="74" t="s">
        <v>5660</v>
      </c>
      <c r="F2892" s="74">
        <v>6.0</v>
      </c>
      <c r="G2892" s="74">
        <v>0.3047</v>
      </c>
      <c r="H2892" s="74">
        <v>0.3063</v>
      </c>
      <c r="I2892" s="74">
        <v>0.2795</v>
      </c>
      <c r="J2892" s="74">
        <v>0.2862</v>
      </c>
      <c r="K2892" s="74">
        <v>0.2921</v>
      </c>
      <c r="L2892" s="74">
        <v>0.274</v>
      </c>
      <c r="M2892" s="74">
        <v>0.2646</v>
      </c>
      <c r="N2892" s="74">
        <v>0.2894</v>
      </c>
      <c r="O2892" s="74">
        <v>0.3236</v>
      </c>
      <c r="P2892" s="74">
        <v>0.3039</v>
      </c>
      <c r="Q2892" s="74">
        <v>0.2504</v>
      </c>
      <c r="R2892" s="74">
        <v>0.2882</v>
      </c>
      <c r="S2892" s="75"/>
      <c r="T2892" s="75"/>
      <c r="U2892" s="75"/>
      <c r="V2892" s="75"/>
      <c r="W2892" s="75"/>
      <c r="X2892" s="74">
        <v>0.322</v>
      </c>
    </row>
    <row r="2893">
      <c r="A2893" s="76" t="s">
        <v>5690</v>
      </c>
      <c r="B2893" s="76" t="s">
        <v>1054</v>
      </c>
      <c r="C2893" s="74">
        <v>12.0</v>
      </c>
      <c r="D2893" s="76" t="s">
        <v>5679</v>
      </c>
      <c r="E2893" s="76" t="s">
        <v>5691</v>
      </c>
      <c r="F2893" s="76">
        <v>150.0</v>
      </c>
      <c r="G2893" s="76">
        <v>0.2232</v>
      </c>
      <c r="H2893" s="76">
        <v>0.2185</v>
      </c>
      <c r="I2893" s="76">
        <v>0.2193</v>
      </c>
      <c r="J2893" s="76">
        <v>0.2256</v>
      </c>
      <c r="K2893" s="76">
        <v>0.221</v>
      </c>
      <c r="L2893" s="76">
        <v>0.225</v>
      </c>
      <c r="M2893" s="76">
        <v>0.218</v>
      </c>
      <c r="N2893" s="76">
        <v>0.225</v>
      </c>
      <c r="O2893" s="77"/>
      <c r="P2893" s="77"/>
      <c r="Q2893" s="77"/>
      <c r="R2893" s="77"/>
      <c r="S2893" s="77"/>
      <c r="T2893" s="77"/>
      <c r="U2893" s="77"/>
      <c r="V2893" s="77"/>
      <c r="W2893" s="77"/>
      <c r="X2893" s="76">
        <v>0.2362</v>
      </c>
    </row>
    <row r="2894">
      <c r="A2894" s="74" t="s">
        <v>5692</v>
      </c>
      <c r="B2894" s="74" t="s">
        <v>1054</v>
      </c>
      <c r="C2894" s="74">
        <v>13.0</v>
      </c>
      <c r="D2894" s="74" t="s">
        <v>5679</v>
      </c>
      <c r="E2894" s="74" t="s">
        <v>5693</v>
      </c>
      <c r="F2894" s="76">
        <v>150.0</v>
      </c>
      <c r="G2894" s="74">
        <v>0.2256</v>
      </c>
      <c r="H2894" s="74">
        <v>0.2213</v>
      </c>
      <c r="I2894" s="74">
        <v>0.2319</v>
      </c>
      <c r="J2894" s="74">
        <v>0.2224</v>
      </c>
      <c r="K2894" s="74">
        <v>0.225</v>
      </c>
      <c r="L2894" s="74">
        <v>0.22</v>
      </c>
      <c r="M2894" s="74">
        <v>0.231</v>
      </c>
      <c r="N2894" s="74">
        <v>0.226</v>
      </c>
      <c r="O2894" s="75"/>
      <c r="P2894" s="75"/>
      <c r="Q2894" s="75"/>
      <c r="R2894" s="75"/>
      <c r="S2894" s="75"/>
      <c r="T2894" s="75"/>
      <c r="U2894" s="75"/>
      <c r="V2894" s="75"/>
      <c r="W2894" s="75"/>
      <c r="X2894" s="74">
        <v>0.2362</v>
      </c>
    </row>
    <row r="2895">
      <c r="A2895" s="76" t="s">
        <v>5694</v>
      </c>
      <c r="B2895" s="76" t="s">
        <v>1054</v>
      </c>
      <c r="C2895" s="74">
        <v>14.0</v>
      </c>
      <c r="D2895" s="76" t="s">
        <v>5679</v>
      </c>
      <c r="E2895" s="76" t="s">
        <v>5695</v>
      </c>
      <c r="F2895" s="76">
        <v>150.0</v>
      </c>
      <c r="G2895" s="76">
        <v>0.2177</v>
      </c>
      <c r="H2895" s="76">
        <v>0.2189</v>
      </c>
      <c r="I2895" s="76">
        <v>0.2165</v>
      </c>
      <c r="J2895" s="76">
        <v>0.2146</v>
      </c>
      <c r="K2895" s="76">
        <v>0.214</v>
      </c>
      <c r="L2895" s="76">
        <v>0.218</v>
      </c>
      <c r="M2895" s="76">
        <v>0.216</v>
      </c>
      <c r="N2895" s="76">
        <v>0.224</v>
      </c>
      <c r="O2895" s="77"/>
      <c r="P2895" s="77"/>
      <c r="Q2895" s="77"/>
      <c r="R2895" s="77"/>
      <c r="S2895" s="77"/>
      <c r="T2895" s="77"/>
      <c r="U2895" s="77"/>
      <c r="V2895" s="77"/>
      <c r="W2895" s="77"/>
      <c r="X2895" s="76">
        <v>0.2362</v>
      </c>
    </row>
    <row r="2896">
      <c r="A2896" s="74" t="s">
        <v>5696</v>
      </c>
      <c r="B2896" s="74" t="s">
        <v>1054</v>
      </c>
      <c r="C2896" s="74">
        <v>15.0</v>
      </c>
      <c r="D2896" s="74" t="s">
        <v>5679</v>
      </c>
      <c r="E2896" s="74" t="s">
        <v>5522</v>
      </c>
      <c r="F2896" s="76">
        <v>150.0</v>
      </c>
      <c r="G2896" s="74">
        <v>0.2331</v>
      </c>
      <c r="H2896" s="74">
        <v>0.2315</v>
      </c>
      <c r="I2896" s="74">
        <v>0.2531</v>
      </c>
      <c r="J2896" s="74">
        <v>0.2378</v>
      </c>
      <c r="K2896" s="74">
        <v>0.2339</v>
      </c>
      <c r="L2896" s="74">
        <v>0.2398</v>
      </c>
      <c r="M2896" s="74">
        <v>0.2413</v>
      </c>
      <c r="N2896" s="74">
        <v>0.2409</v>
      </c>
      <c r="O2896" s="74">
        <v>0.2433</v>
      </c>
      <c r="P2896" s="75"/>
      <c r="Q2896" s="75"/>
      <c r="R2896" s="75"/>
      <c r="S2896" s="75"/>
      <c r="T2896" s="75"/>
      <c r="U2896" s="75"/>
      <c r="V2896" s="75"/>
      <c r="W2896" s="75"/>
      <c r="X2896" s="74">
        <v>0.25</v>
      </c>
    </row>
    <row r="2897">
      <c r="A2897" s="76" t="s">
        <v>5697</v>
      </c>
      <c r="B2897" s="76" t="s">
        <v>1054</v>
      </c>
      <c r="C2897" s="74">
        <v>16.0</v>
      </c>
      <c r="D2897" s="76" t="s">
        <v>5679</v>
      </c>
      <c r="E2897" s="76" t="s">
        <v>5520</v>
      </c>
      <c r="F2897" s="76">
        <v>150.0</v>
      </c>
      <c r="G2897" s="76">
        <v>0.2382</v>
      </c>
      <c r="H2897" s="76">
        <v>0.2362</v>
      </c>
      <c r="I2897" s="76">
        <v>0.2335</v>
      </c>
      <c r="J2897" s="76">
        <v>0.2402</v>
      </c>
      <c r="K2897" s="76">
        <v>0.2402</v>
      </c>
      <c r="L2897" s="76">
        <v>0.2374</v>
      </c>
      <c r="M2897" s="76">
        <v>0.2386</v>
      </c>
      <c r="N2897" s="76">
        <v>0.2461</v>
      </c>
      <c r="O2897" s="76">
        <v>0.2398</v>
      </c>
      <c r="P2897" s="77"/>
      <c r="Q2897" s="77"/>
      <c r="R2897" s="77"/>
      <c r="S2897" s="77"/>
      <c r="T2897" s="77"/>
      <c r="U2897" s="77"/>
      <c r="V2897" s="77"/>
      <c r="W2897" s="77"/>
      <c r="X2897" s="76">
        <v>0.25</v>
      </c>
    </row>
    <row r="2898">
      <c r="A2898" s="74" t="s">
        <v>5698</v>
      </c>
      <c r="B2898" s="74" t="s">
        <v>1054</v>
      </c>
      <c r="C2898" s="74">
        <v>17.0</v>
      </c>
      <c r="D2898" s="74" t="s">
        <v>5679</v>
      </c>
      <c r="E2898" s="74" t="s">
        <v>5518</v>
      </c>
      <c r="F2898" s="76">
        <v>150.0</v>
      </c>
      <c r="G2898" s="74">
        <v>0.3016</v>
      </c>
      <c r="H2898" s="74">
        <v>0.3083</v>
      </c>
      <c r="I2898" s="74">
        <v>0.3106</v>
      </c>
      <c r="J2898" s="74">
        <v>0.3098</v>
      </c>
      <c r="K2898" s="74">
        <v>0.3256</v>
      </c>
      <c r="L2898" s="74">
        <v>0.3067</v>
      </c>
      <c r="M2898" s="74">
        <v>0.3083</v>
      </c>
      <c r="N2898" s="74">
        <v>0.3106</v>
      </c>
      <c r="O2898" s="74">
        <v>0.3201</v>
      </c>
      <c r="P2898" s="75"/>
      <c r="Q2898" s="75"/>
      <c r="R2898" s="75"/>
      <c r="S2898" s="75"/>
      <c r="T2898" s="75"/>
      <c r="U2898" s="75"/>
      <c r="V2898" s="75"/>
      <c r="W2898" s="75"/>
      <c r="X2898" s="74">
        <v>0.3125</v>
      </c>
    </row>
    <row r="2899">
      <c r="A2899" s="76" t="s">
        <v>5699</v>
      </c>
      <c r="B2899" s="76" t="s">
        <v>1054</v>
      </c>
      <c r="C2899" s="74">
        <v>18.0</v>
      </c>
      <c r="D2899" s="76" t="s">
        <v>5679</v>
      </c>
      <c r="E2899" s="76" t="s">
        <v>5516</v>
      </c>
      <c r="F2899" s="76">
        <v>150.0</v>
      </c>
      <c r="G2899" s="76">
        <v>0.3461</v>
      </c>
      <c r="H2899" s="76">
        <v>0.3539</v>
      </c>
      <c r="I2899" s="76">
        <v>0.3539</v>
      </c>
      <c r="J2899" s="76">
        <v>0.3547</v>
      </c>
      <c r="K2899" s="76">
        <v>0.3469</v>
      </c>
      <c r="L2899" s="76">
        <v>0.3492</v>
      </c>
      <c r="M2899" s="76">
        <v>0.3516</v>
      </c>
      <c r="N2899" s="76">
        <v>0.3559</v>
      </c>
      <c r="O2899" s="76">
        <v>0.35</v>
      </c>
      <c r="P2899" s="77"/>
      <c r="Q2899" s="77"/>
      <c r="R2899" s="77"/>
      <c r="S2899" s="77"/>
      <c r="T2899" s="77"/>
      <c r="U2899" s="77"/>
      <c r="V2899" s="77"/>
      <c r="W2899" s="77"/>
      <c r="X2899" s="76">
        <v>0.3543</v>
      </c>
    </row>
    <row r="2900">
      <c r="A2900" s="74" t="s">
        <v>5700</v>
      </c>
      <c r="B2900" s="74" t="s">
        <v>1054</v>
      </c>
      <c r="C2900" s="74">
        <v>19.0</v>
      </c>
      <c r="D2900" s="74" t="s">
        <v>5679</v>
      </c>
      <c r="E2900" s="74" t="s">
        <v>5526</v>
      </c>
      <c r="F2900" s="76">
        <v>150.0</v>
      </c>
      <c r="G2900" s="74">
        <v>0.3496</v>
      </c>
      <c r="H2900" s="74">
        <v>0.3528</v>
      </c>
      <c r="I2900" s="74">
        <v>0.3563</v>
      </c>
      <c r="J2900" s="74">
        <v>0.3969</v>
      </c>
      <c r="K2900" s="74">
        <v>0.3598</v>
      </c>
      <c r="L2900" s="74">
        <v>0.3598</v>
      </c>
      <c r="M2900" s="74">
        <v>0.3563</v>
      </c>
      <c r="N2900" s="74">
        <v>0.3563</v>
      </c>
      <c r="O2900" s="74">
        <v>0.3559</v>
      </c>
      <c r="P2900" s="75"/>
      <c r="Q2900" s="75"/>
      <c r="R2900" s="75"/>
      <c r="S2900" s="75"/>
      <c r="T2900" s="75"/>
      <c r="U2900" s="75"/>
      <c r="V2900" s="75"/>
      <c r="W2900" s="75"/>
      <c r="X2900" s="74">
        <v>0.375</v>
      </c>
    </row>
    <row r="2901">
      <c r="A2901" s="76" t="s">
        <v>5701</v>
      </c>
      <c r="B2901" s="76" t="s">
        <v>1054</v>
      </c>
      <c r="C2901" s="74">
        <v>20.0</v>
      </c>
      <c r="D2901" s="76" t="s">
        <v>5679</v>
      </c>
      <c r="E2901" s="76" t="s">
        <v>5524</v>
      </c>
      <c r="F2901" s="76">
        <v>150.0</v>
      </c>
      <c r="G2901" s="76">
        <v>0.3508</v>
      </c>
      <c r="H2901" s="76">
        <v>0.3571</v>
      </c>
      <c r="I2901" s="76">
        <v>0.3571</v>
      </c>
      <c r="J2901" s="76">
        <v>0.3504</v>
      </c>
      <c r="K2901" s="76">
        <v>0.3484</v>
      </c>
      <c r="L2901" s="76">
        <v>0.3559</v>
      </c>
      <c r="M2901" s="76">
        <v>0.3677</v>
      </c>
      <c r="N2901" s="76">
        <v>0.3512</v>
      </c>
      <c r="O2901" s="76">
        <v>0.3445</v>
      </c>
      <c r="P2901" s="77"/>
      <c r="Q2901" s="77"/>
      <c r="R2901" s="77"/>
      <c r="S2901" s="77"/>
      <c r="T2901" s="77"/>
      <c r="U2901" s="77"/>
      <c r="V2901" s="77"/>
      <c r="W2901" s="77"/>
      <c r="X2901" s="76">
        <v>0.375</v>
      </c>
    </row>
    <row r="2902">
      <c r="A2902" s="74" t="s">
        <v>5702</v>
      </c>
      <c r="B2902" s="74" t="s">
        <v>1054</v>
      </c>
      <c r="C2902" s="74">
        <v>21.0</v>
      </c>
      <c r="D2902" s="74" t="s">
        <v>5679</v>
      </c>
      <c r="E2902" s="74" t="s">
        <v>5703</v>
      </c>
      <c r="F2902" s="74">
        <v>6.0</v>
      </c>
      <c r="G2902" s="74">
        <v>0.2866</v>
      </c>
      <c r="H2902" s="74">
        <v>0.3098</v>
      </c>
      <c r="I2902" s="74">
        <v>0.3209</v>
      </c>
      <c r="J2902" s="74">
        <v>0.3236</v>
      </c>
      <c r="K2902" s="75"/>
      <c r="L2902" s="75"/>
      <c r="M2902" s="75"/>
      <c r="N2902" s="75"/>
      <c r="O2902" s="75"/>
      <c r="P2902" s="75"/>
      <c r="Q2902" s="75"/>
      <c r="R2902" s="75"/>
      <c r="S2902" s="75"/>
      <c r="T2902" s="75"/>
      <c r="U2902" s="75"/>
      <c r="V2902" s="75"/>
      <c r="W2902" s="75"/>
      <c r="X2902" s="74">
        <v>0.322</v>
      </c>
    </row>
    <row r="2903">
      <c r="A2903" s="76" t="s">
        <v>5704</v>
      </c>
      <c r="B2903" s="76" t="s">
        <v>1054</v>
      </c>
      <c r="C2903" s="74">
        <v>22.0</v>
      </c>
      <c r="D2903" s="76" t="s">
        <v>5679</v>
      </c>
      <c r="E2903" s="76" t="s">
        <v>5620</v>
      </c>
      <c r="F2903" s="76">
        <v>6.0</v>
      </c>
      <c r="G2903" s="76">
        <v>0.4055</v>
      </c>
      <c r="H2903" s="76">
        <v>0.4315</v>
      </c>
      <c r="I2903" s="76">
        <v>0.4311</v>
      </c>
      <c r="J2903" s="76">
        <v>0.4248</v>
      </c>
      <c r="K2903" s="77"/>
      <c r="L2903" s="77"/>
      <c r="M2903" s="77"/>
      <c r="N2903" s="77"/>
      <c r="O2903" s="77"/>
      <c r="P2903" s="77"/>
      <c r="Q2903" s="77"/>
      <c r="R2903" s="77"/>
      <c r="S2903" s="77"/>
      <c r="T2903" s="77"/>
      <c r="U2903" s="77"/>
      <c r="V2903" s="77"/>
      <c r="W2903" s="77"/>
      <c r="X2903" s="76">
        <v>0.438</v>
      </c>
    </row>
    <row r="2904">
      <c r="A2904" s="74" t="s">
        <v>5705</v>
      </c>
      <c r="B2904" s="74" t="s">
        <v>1054</v>
      </c>
      <c r="C2904" s="74">
        <v>23.0</v>
      </c>
      <c r="D2904" s="74" t="s">
        <v>5679</v>
      </c>
      <c r="E2904" s="74" t="s">
        <v>5622</v>
      </c>
      <c r="F2904" s="74">
        <v>6.0</v>
      </c>
      <c r="G2904" s="74">
        <v>0.9031</v>
      </c>
      <c r="H2904" s="74">
        <v>0.9331</v>
      </c>
      <c r="I2904" s="74">
        <v>0.9169</v>
      </c>
      <c r="J2904" s="74">
        <v>0.9201</v>
      </c>
      <c r="K2904" s="75"/>
      <c r="L2904" s="75"/>
      <c r="M2904" s="75"/>
      <c r="N2904" s="75"/>
      <c r="O2904" s="75"/>
      <c r="P2904" s="75"/>
      <c r="Q2904" s="75"/>
      <c r="R2904" s="75"/>
      <c r="S2904" s="75"/>
      <c r="T2904" s="75"/>
      <c r="U2904" s="75"/>
      <c r="V2904" s="75"/>
      <c r="W2904" s="75"/>
      <c r="X2904" s="74">
        <v>0.906</v>
      </c>
    </row>
    <row r="2905">
      <c r="A2905" s="76" t="s">
        <v>5706</v>
      </c>
      <c r="B2905" s="76" t="s">
        <v>1064</v>
      </c>
      <c r="C2905" s="76">
        <v>1.0</v>
      </c>
      <c r="D2905" s="76" t="s">
        <v>5707</v>
      </c>
      <c r="E2905" s="76" t="s">
        <v>5708</v>
      </c>
      <c r="F2905" s="76">
        <v>150.0</v>
      </c>
      <c r="G2905" s="76">
        <v>0.339</v>
      </c>
      <c r="H2905" s="76">
        <v>0.339</v>
      </c>
      <c r="I2905" s="76">
        <v>0.338</v>
      </c>
      <c r="J2905" s="76">
        <v>0.338</v>
      </c>
      <c r="K2905" s="76">
        <v>0.336</v>
      </c>
      <c r="L2905" s="77"/>
      <c r="M2905" s="77"/>
      <c r="N2905" s="77"/>
      <c r="O2905" s="77"/>
      <c r="P2905" s="77"/>
      <c r="Q2905" s="77"/>
      <c r="R2905" s="77"/>
      <c r="S2905" s="77"/>
      <c r="T2905" s="77"/>
      <c r="U2905" s="77"/>
      <c r="V2905" s="77"/>
      <c r="W2905" s="77"/>
      <c r="X2905" s="76">
        <v>0.3543</v>
      </c>
    </row>
    <row r="2906">
      <c r="A2906" s="74" t="s">
        <v>5709</v>
      </c>
      <c r="B2906" s="74" t="s">
        <v>1064</v>
      </c>
      <c r="C2906" s="76">
        <v>2.0</v>
      </c>
      <c r="D2906" s="74" t="s">
        <v>5707</v>
      </c>
      <c r="E2906" s="74" t="s">
        <v>5710</v>
      </c>
      <c r="F2906" s="76">
        <v>150.0</v>
      </c>
      <c r="G2906" s="74">
        <v>0.349</v>
      </c>
      <c r="H2906" s="74">
        <v>0.348</v>
      </c>
      <c r="I2906" s="74">
        <v>0.349</v>
      </c>
      <c r="J2906" s="74">
        <v>0.347</v>
      </c>
      <c r="K2906" s="74">
        <v>0.349</v>
      </c>
      <c r="L2906" s="75"/>
      <c r="M2906" s="75"/>
      <c r="N2906" s="75"/>
      <c r="O2906" s="75"/>
      <c r="P2906" s="75"/>
      <c r="Q2906" s="75"/>
      <c r="R2906" s="75"/>
      <c r="S2906" s="75"/>
      <c r="T2906" s="75"/>
      <c r="U2906" s="75"/>
      <c r="V2906" s="75"/>
      <c r="W2906" s="75"/>
      <c r="X2906" s="74">
        <v>0.3543</v>
      </c>
    </row>
    <row r="2907">
      <c r="A2907" s="76" t="s">
        <v>5711</v>
      </c>
      <c r="B2907" s="76" t="s">
        <v>1064</v>
      </c>
      <c r="C2907" s="76">
        <v>3.0</v>
      </c>
      <c r="D2907" s="76" t="s">
        <v>5707</v>
      </c>
      <c r="E2907" s="76" t="s">
        <v>5518</v>
      </c>
      <c r="F2907" s="76">
        <v>150.0</v>
      </c>
      <c r="G2907" s="76">
        <v>0.35</v>
      </c>
      <c r="H2907" s="76">
        <v>0.348</v>
      </c>
      <c r="I2907" s="76">
        <v>0.347</v>
      </c>
      <c r="J2907" s="76">
        <v>0.35</v>
      </c>
      <c r="K2907" s="76">
        <v>0.348</v>
      </c>
      <c r="L2907" s="76">
        <v>0.35</v>
      </c>
      <c r="M2907" s="76">
        <v>0.349</v>
      </c>
      <c r="N2907" s="76">
        <v>0.348</v>
      </c>
      <c r="O2907" s="76">
        <v>0.348</v>
      </c>
      <c r="P2907" s="76">
        <v>0.348</v>
      </c>
      <c r="Q2907" s="77"/>
      <c r="R2907" s="77"/>
      <c r="S2907" s="77"/>
      <c r="T2907" s="77"/>
      <c r="U2907" s="77"/>
      <c r="V2907" s="77"/>
      <c r="W2907" s="77"/>
      <c r="X2907" s="76">
        <v>0.3543</v>
      </c>
    </row>
    <row r="2908">
      <c r="A2908" s="74" t="s">
        <v>5712</v>
      </c>
      <c r="B2908" s="74" t="s">
        <v>1064</v>
      </c>
      <c r="C2908" s="76">
        <v>4.0</v>
      </c>
      <c r="D2908" s="74" t="s">
        <v>5707</v>
      </c>
      <c r="E2908" s="74" t="s">
        <v>5520</v>
      </c>
      <c r="F2908" s="76">
        <v>150.0</v>
      </c>
      <c r="G2908" s="74">
        <v>0.349</v>
      </c>
      <c r="H2908" s="74">
        <v>0.35</v>
      </c>
      <c r="I2908" s="74">
        <v>0.351</v>
      </c>
      <c r="J2908" s="74">
        <v>0.35</v>
      </c>
      <c r="K2908" s="74">
        <v>0.347</v>
      </c>
      <c r="L2908" s="74">
        <v>0.348</v>
      </c>
      <c r="M2908" s="74">
        <v>0.349</v>
      </c>
      <c r="N2908" s="74">
        <v>0.348</v>
      </c>
      <c r="O2908" s="74">
        <v>0.344</v>
      </c>
      <c r="P2908" s="74">
        <v>0.348</v>
      </c>
      <c r="Q2908" s="75"/>
      <c r="R2908" s="75"/>
      <c r="S2908" s="75"/>
      <c r="T2908" s="75"/>
      <c r="U2908" s="75"/>
      <c r="V2908" s="75"/>
      <c r="W2908" s="75"/>
      <c r="X2908" s="74">
        <v>0.3543</v>
      </c>
    </row>
    <row r="2909">
      <c r="A2909" s="76" t="s">
        <v>5713</v>
      </c>
      <c r="B2909" s="76" t="s">
        <v>1064</v>
      </c>
      <c r="C2909" s="76">
        <v>5.0</v>
      </c>
      <c r="D2909" s="76" t="s">
        <v>5707</v>
      </c>
      <c r="E2909" s="76" t="s">
        <v>5522</v>
      </c>
      <c r="F2909" s="76">
        <v>150.0</v>
      </c>
      <c r="G2909" s="76">
        <v>0.308</v>
      </c>
      <c r="H2909" s="76">
        <v>0.309</v>
      </c>
      <c r="I2909" s="76">
        <v>0.31</v>
      </c>
      <c r="J2909" s="76">
        <v>0.308</v>
      </c>
      <c r="K2909" s="76">
        <v>0.309</v>
      </c>
      <c r="L2909" s="76">
        <v>0.311</v>
      </c>
      <c r="M2909" s="76">
        <v>0.307</v>
      </c>
      <c r="N2909" s="76">
        <v>0.307</v>
      </c>
      <c r="O2909" s="76">
        <v>0.308</v>
      </c>
      <c r="P2909" s="76">
        <v>0.31</v>
      </c>
      <c r="Q2909" s="77"/>
      <c r="R2909" s="77"/>
      <c r="S2909" s="77"/>
      <c r="T2909" s="77"/>
      <c r="U2909" s="77"/>
      <c r="V2909" s="77"/>
      <c r="W2909" s="77"/>
      <c r="X2909" s="76">
        <v>0.3125</v>
      </c>
    </row>
    <row r="2910">
      <c r="A2910" s="74" t="s">
        <v>5714</v>
      </c>
      <c r="B2910" s="74" t="s">
        <v>1064</v>
      </c>
      <c r="C2910" s="76">
        <v>6.0</v>
      </c>
      <c r="D2910" s="74" t="s">
        <v>5707</v>
      </c>
      <c r="E2910" s="74" t="s">
        <v>5673</v>
      </c>
      <c r="F2910" s="76">
        <v>150.0</v>
      </c>
      <c r="G2910" s="74">
        <v>0.244</v>
      </c>
      <c r="H2910" s="74">
        <v>0.246</v>
      </c>
      <c r="I2910" s="74">
        <v>0.245</v>
      </c>
      <c r="J2910" s="74">
        <v>0.249</v>
      </c>
      <c r="K2910" s="74">
        <v>0.249</v>
      </c>
      <c r="L2910" s="74">
        <v>0.242</v>
      </c>
      <c r="M2910" s="74">
        <v>0.242</v>
      </c>
      <c r="N2910" s="74">
        <v>0.241</v>
      </c>
      <c r="O2910" s="74">
        <v>0.241</v>
      </c>
      <c r="P2910" s="74">
        <v>0.241</v>
      </c>
      <c r="Q2910" s="75"/>
      <c r="R2910" s="75"/>
      <c r="S2910" s="75"/>
      <c r="T2910" s="75"/>
      <c r="U2910" s="75"/>
      <c r="V2910" s="75"/>
      <c r="W2910" s="75"/>
      <c r="X2910" s="74">
        <v>0.25</v>
      </c>
    </row>
    <row r="2911">
      <c r="A2911" s="76" t="s">
        <v>5715</v>
      </c>
      <c r="B2911" s="76" t="s">
        <v>1064</v>
      </c>
      <c r="C2911" s="76">
        <v>7.0</v>
      </c>
      <c r="D2911" s="76" t="s">
        <v>5707</v>
      </c>
      <c r="E2911" s="76" t="s">
        <v>5675</v>
      </c>
      <c r="F2911" s="76">
        <v>150.0</v>
      </c>
      <c r="G2911" s="76">
        <v>0.242</v>
      </c>
      <c r="H2911" s="76">
        <v>0.249</v>
      </c>
      <c r="I2911" s="76">
        <v>0.247</v>
      </c>
      <c r="J2911" s="76">
        <v>0.25</v>
      </c>
      <c r="K2911" s="76">
        <v>0.25</v>
      </c>
      <c r="L2911" s="76">
        <v>0.243</v>
      </c>
      <c r="M2911" s="76">
        <v>0.249</v>
      </c>
      <c r="N2911" s="76">
        <v>0.25</v>
      </c>
      <c r="O2911" s="76">
        <v>0.246</v>
      </c>
      <c r="P2911" s="76">
        <v>0.248</v>
      </c>
      <c r="Q2911" s="77"/>
      <c r="R2911" s="77"/>
      <c r="S2911" s="77"/>
      <c r="T2911" s="77"/>
      <c r="U2911" s="77"/>
      <c r="V2911" s="77"/>
      <c r="W2911" s="77"/>
      <c r="X2911" s="76">
        <v>0.25</v>
      </c>
    </row>
    <row r="2912">
      <c r="A2912" s="74" t="s">
        <v>5716</v>
      </c>
      <c r="B2912" s="74" t="s">
        <v>1064</v>
      </c>
      <c r="C2912" s="76">
        <v>8.0</v>
      </c>
      <c r="D2912" s="74" t="s">
        <v>5707</v>
      </c>
      <c r="E2912" s="74" t="s">
        <v>5717</v>
      </c>
      <c r="F2912" s="76">
        <v>150.0</v>
      </c>
      <c r="G2912" s="74">
        <v>0.245</v>
      </c>
      <c r="H2912" s="74">
        <v>0.245</v>
      </c>
      <c r="I2912" s="74">
        <v>0.247</v>
      </c>
      <c r="J2912" s="74">
        <v>0.247</v>
      </c>
      <c r="K2912" s="74">
        <v>0.249</v>
      </c>
      <c r="L2912" s="74">
        <v>0.25</v>
      </c>
      <c r="M2912" s="74">
        <v>0.248</v>
      </c>
      <c r="N2912" s="74">
        <v>0.25</v>
      </c>
      <c r="O2912" s="74">
        <v>0.251</v>
      </c>
      <c r="P2912" s="74">
        <v>0.252</v>
      </c>
      <c r="Q2912" s="75"/>
      <c r="R2912" s="75"/>
      <c r="S2912" s="75"/>
      <c r="T2912" s="75"/>
      <c r="U2912" s="75"/>
      <c r="V2912" s="75"/>
      <c r="W2912" s="75"/>
      <c r="X2912" s="74">
        <v>0.25</v>
      </c>
    </row>
    <row r="2913">
      <c r="A2913" s="76" t="s">
        <v>5718</v>
      </c>
      <c r="B2913" s="76" t="s">
        <v>1064</v>
      </c>
      <c r="C2913" s="76">
        <v>9.0</v>
      </c>
      <c r="D2913" s="76" t="s">
        <v>5707</v>
      </c>
      <c r="E2913" s="76" t="s">
        <v>5719</v>
      </c>
      <c r="F2913" s="76">
        <v>150.0</v>
      </c>
      <c r="G2913" s="76">
        <v>0.248</v>
      </c>
      <c r="H2913" s="76">
        <v>0.249</v>
      </c>
      <c r="I2913" s="76">
        <v>0.248</v>
      </c>
      <c r="J2913" s="76">
        <v>0.249</v>
      </c>
      <c r="K2913" s="76">
        <v>0.251</v>
      </c>
      <c r="L2913" s="76">
        <v>0.252</v>
      </c>
      <c r="M2913" s="76">
        <v>0.246</v>
      </c>
      <c r="N2913" s="76">
        <v>0.246</v>
      </c>
      <c r="O2913" s="76">
        <v>0.25</v>
      </c>
      <c r="P2913" s="76">
        <v>0.251</v>
      </c>
      <c r="Q2913" s="77"/>
      <c r="R2913" s="77"/>
      <c r="S2913" s="77"/>
      <c r="T2913" s="77"/>
      <c r="U2913" s="77"/>
      <c r="V2913" s="77"/>
      <c r="W2913" s="77"/>
      <c r="X2913" s="76">
        <v>0.25</v>
      </c>
    </row>
    <row r="2914">
      <c r="A2914" s="74" t="s">
        <v>5720</v>
      </c>
      <c r="B2914" s="74" t="s">
        <v>1064</v>
      </c>
      <c r="C2914" s="76">
        <v>10.0</v>
      </c>
      <c r="D2914" s="74" t="s">
        <v>5707</v>
      </c>
      <c r="E2914" s="74" t="s">
        <v>5494</v>
      </c>
      <c r="F2914" s="76">
        <v>150.0</v>
      </c>
      <c r="G2914" s="74">
        <v>0.249</v>
      </c>
      <c r="H2914" s="74">
        <v>0.249</v>
      </c>
      <c r="I2914" s="74">
        <v>0.249</v>
      </c>
      <c r="J2914" s="74">
        <v>0.248</v>
      </c>
      <c r="K2914" s="75"/>
      <c r="L2914" s="75"/>
      <c r="M2914" s="75"/>
      <c r="N2914" s="75"/>
      <c r="O2914" s="75"/>
      <c r="P2914" s="75"/>
      <c r="Q2914" s="75"/>
      <c r="R2914" s="75"/>
      <c r="S2914" s="75"/>
      <c r="T2914" s="75"/>
      <c r="U2914" s="75"/>
      <c r="V2914" s="75"/>
      <c r="W2914" s="75"/>
      <c r="X2914" s="74">
        <v>0.25</v>
      </c>
    </row>
    <row r="2915">
      <c r="A2915" s="76" t="s">
        <v>5721</v>
      </c>
      <c r="B2915" s="76" t="s">
        <v>1064</v>
      </c>
      <c r="C2915" s="76">
        <v>11.0</v>
      </c>
      <c r="D2915" s="76" t="s">
        <v>5707</v>
      </c>
      <c r="E2915" s="76" t="s">
        <v>5496</v>
      </c>
      <c r="F2915" s="76">
        <v>24.0</v>
      </c>
      <c r="G2915" s="76">
        <v>0.245</v>
      </c>
      <c r="H2915" s="76">
        <v>0.247</v>
      </c>
      <c r="I2915" s="76">
        <v>0.249</v>
      </c>
      <c r="J2915" s="76">
        <v>0.249</v>
      </c>
      <c r="K2915" s="77"/>
      <c r="L2915" s="77"/>
      <c r="M2915" s="77"/>
      <c r="N2915" s="77"/>
      <c r="O2915" s="77"/>
      <c r="P2915" s="77"/>
      <c r="Q2915" s="77"/>
      <c r="R2915" s="77"/>
      <c r="S2915" s="77"/>
      <c r="T2915" s="77"/>
      <c r="U2915" s="77"/>
      <c r="V2915" s="77"/>
      <c r="W2915" s="77"/>
      <c r="X2915" s="76">
        <v>0.25</v>
      </c>
    </row>
    <row r="2916">
      <c r="A2916" s="74" t="s">
        <v>5722</v>
      </c>
      <c r="B2916" s="74" t="s">
        <v>1064</v>
      </c>
      <c r="C2916" s="76">
        <v>12.0</v>
      </c>
      <c r="D2916" s="74" t="s">
        <v>5707</v>
      </c>
      <c r="E2916" s="74" t="s">
        <v>5466</v>
      </c>
      <c r="F2916" s="76">
        <v>150.0</v>
      </c>
      <c r="G2916" s="74">
        <v>0.246</v>
      </c>
      <c r="H2916" s="74">
        <v>0.246</v>
      </c>
      <c r="I2916" s="74">
        <v>0.246</v>
      </c>
      <c r="J2916" s="74">
        <v>0.246</v>
      </c>
      <c r="K2916" s="75"/>
      <c r="L2916" s="75"/>
      <c r="M2916" s="75"/>
      <c r="N2916" s="75"/>
      <c r="O2916" s="75"/>
      <c r="P2916" s="75"/>
      <c r="Q2916" s="75"/>
      <c r="R2916" s="75"/>
      <c r="S2916" s="75"/>
      <c r="T2916" s="75"/>
      <c r="U2916" s="75"/>
      <c r="V2916" s="75"/>
      <c r="W2916" s="75"/>
      <c r="X2916" s="74">
        <v>0.25</v>
      </c>
    </row>
    <row r="2917">
      <c r="A2917" s="76" t="s">
        <v>5723</v>
      </c>
      <c r="B2917" s="76" t="s">
        <v>1064</v>
      </c>
      <c r="C2917" s="76">
        <v>13.0</v>
      </c>
      <c r="D2917" s="76" t="s">
        <v>5707</v>
      </c>
      <c r="E2917" s="76" t="s">
        <v>5501</v>
      </c>
      <c r="F2917" s="76">
        <v>150.0</v>
      </c>
      <c r="G2917" s="76">
        <v>0.251</v>
      </c>
      <c r="H2917" s="76">
        <v>0.252</v>
      </c>
      <c r="I2917" s="76">
        <v>0.254</v>
      </c>
      <c r="J2917" s="76">
        <v>0.252</v>
      </c>
      <c r="K2917" s="77"/>
      <c r="L2917" s="77"/>
      <c r="M2917" s="77"/>
      <c r="N2917" s="77"/>
      <c r="O2917" s="77"/>
      <c r="P2917" s="77"/>
      <c r="Q2917" s="77"/>
      <c r="R2917" s="77"/>
      <c r="S2917" s="77"/>
      <c r="T2917" s="77"/>
      <c r="U2917" s="77"/>
      <c r="V2917" s="77"/>
      <c r="W2917" s="77"/>
      <c r="X2917" s="76">
        <v>0.25</v>
      </c>
    </row>
    <row r="2918">
      <c r="A2918" s="74" t="s">
        <v>5724</v>
      </c>
      <c r="B2918" s="74" t="s">
        <v>1064</v>
      </c>
      <c r="C2918" s="76">
        <v>14.0</v>
      </c>
      <c r="D2918" s="74" t="s">
        <v>5707</v>
      </c>
      <c r="E2918" s="74" t="s">
        <v>5503</v>
      </c>
      <c r="F2918" s="74">
        <v>6.0</v>
      </c>
      <c r="G2918" s="74">
        <v>0.397</v>
      </c>
      <c r="H2918" s="74">
        <v>0.401</v>
      </c>
      <c r="I2918" s="74">
        <v>0.413</v>
      </c>
      <c r="J2918" s="74">
        <v>0.404</v>
      </c>
      <c r="K2918" s="75"/>
      <c r="L2918" s="75"/>
      <c r="M2918" s="75"/>
      <c r="N2918" s="75"/>
      <c r="O2918" s="75"/>
      <c r="P2918" s="75"/>
      <c r="Q2918" s="75"/>
      <c r="R2918" s="75"/>
      <c r="S2918" s="75"/>
      <c r="T2918" s="75"/>
      <c r="U2918" s="75"/>
      <c r="V2918" s="75"/>
      <c r="W2918" s="75"/>
      <c r="X2918" s="74">
        <v>0.406</v>
      </c>
    </row>
    <row r="2919">
      <c r="A2919" s="76" t="s">
        <v>5725</v>
      </c>
      <c r="B2919" s="76" t="s">
        <v>1064</v>
      </c>
      <c r="C2919" s="76">
        <v>15.0</v>
      </c>
      <c r="D2919" s="76" t="s">
        <v>5707</v>
      </c>
      <c r="E2919" s="76" t="s">
        <v>5426</v>
      </c>
      <c r="F2919" s="76">
        <v>150.0</v>
      </c>
      <c r="G2919" s="76">
        <v>0.955</v>
      </c>
      <c r="H2919" s="76">
        <v>0.956</v>
      </c>
      <c r="I2919" s="76">
        <v>0.948</v>
      </c>
      <c r="J2919" s="76">
        <v>0.964</v>
      </c>
      <c r="K2919" s="77"/>
      <c r="L2919" s="77"/>
      <c r="M2919" s="77"/>
      <c r="N2919" s="77"/>
      <c r="O2919" s="77"/>
      <c r="P2919" s="77"/>
      <c r="Q2919" s="77"/>
      <c r="R2919" s="77"/>
      <c r="S2919" s="77"/>
      <c r="T2919" s="77"/>
      <c r="U2919" s="77"/>
      <c r="V2919" s="77"/>
      <c r="W2919" s="77"/>
      <c r="X2919" s="76">
        <v>0.5</v>
      </c>
    </row>
    <row r="2920">
      <c r="A2920" s="74" t="s">
        <v>5726</v>
      </c>
      <c r="B2920" s="74" t="s">
        <v>1064</v>
      </c>
      <c r="C2920" s="76">
        <v>16.0</v>
      </c>
      <c r="D2920" s="74" t="s">
        <v>5707</v>
      </c>
      <c r="E2920" s="74" t="s">
        <v>5503</v>
      </c>
      <c r="F2920" s="74">
        <v>6.0</v>
      </c>
      <c r="G2920" s="74">
        <v>0.272</v>
      </c>
      <c r="H2920" s="74">
        <v>0.256</v>
      </c>
      <c r="I2920" s="74">
        <v>0.277</v>
      </c>
      <c r="J2920" s="74">
        <v>0.282</v>
      </c>
      <c r="K2920" s="75"/>
      <c r="L2920" s="75"/>
      <c r="M2920" s="75"/>
      <c r="N2920" s="75"/>
      <c r="O2920" s="75"/>
      <c r="P2920" s="75"/>
      <c r="Q2920" s="75"/>
      <c r="R2920" s="75"/>
      <c r="S2920" s="75"/>
      <c r="T2920" s="75"/>
      <c r="U2920" s="75"/>
      <c r="V2920" s="75"/>
      <c r="W2920" s="75"/>
      <c r="X2920" s="74">
        <v>0.277</v>
      </c>
    </row>
    <row r="2921">
      <c r="A2921" s="76" t="s">
        <v>5727</v>
      </c>
      <c r="B2921" s="76" t="s">
        <v>1064</v>
      </c>
      <c r="C2921" s="76">
        <v>17.0</v>
      </c>
      <c r="D2921" s="76" t="s">
        <v>5707</v>
      </c>
      <c r="E2921" s="76" t="s">
        <v>5728</v>
      </c>
      <c r="F2921" s="76">
        <v>6.0</v>
      </c>
      <c r="G2921" s="76">
        <v>0.248</v>
      </c>
      <c r="H2921" s="76">
        <v>0.234</v>
      </c>
      <c r="I2921" s="76">
        <v>0.232</v>
      </c>
      <c r="J2921" s="76">
        <v>0.243</v>
      </c>
      <c r="K2921" s="76">
        <v>0.25</v>
      </c>
      <c r="L2921" s="76">
        <v>0.235</v>
      </c>
      <c r="M2921" s="76">
        <v>0.233</v>
      </c>
      <c r="N2921" s="76">
        <v>0.251</v>
      </c>
      <c r="O2921" s="76">
        <v>0.234</v>
      </c>
      <c r="P2921" s="76">
        <v>0.243</v>
      </c>
      <c r="Q2921" s="76">
        <v>0.224</v>
      </c>
      <c r="R2921" s="76">
        <v>0.243</v>
      </c>
      <c r="S2921" s="77"/>
      <c r="T2921" s="77"/>
      <c r="U2921" s="77"/>
      <c r="V2921" s="77"/>
      <c r="W2921" s="77"/>
      <c r="X2921" s="76">
        <v>0.25</v>
      </c>
    </row>
    <row r="2922">
      <c r="A2922" s="74" t="s">
        <v>5729</v>
      </c>
      <c r="B2922" s="74" t="s">
        <v>1064</v>
      </c>
      <c r="C2922" s="76">
        <v>18.0</v>
      </c>
      <c r="D2922" s="74" t="s">
        <v>5707</v>
      </c>
      <c r="E2922" s="74" t="s">
        <v>5728</v>
      </c>
      <c r="F2922" s="74">
        <v>6.0</v>
      </c>
      <c r="G2922" s="74">
        <v>0.219</v>
      </c>
      <c r="H2922" s="74">
        <v>0.225</v>
      </c>
      <c r="I2922" s="74">
        <v>0.207</v>
      </c>
      <c r="J2922" s="74">
        <v>0.235</v>
      </c>
      <c r="K2922" s="74">
        <v>0.22</v>
      </c>
      <c r="L2922" s="74">
        <v>0.228</v>
      </c>
      <c r="M2922" s="74">
        <v>0.229</v>
      </c>
      <c r="N2922" s="74">
        <v>0.228</v>
      </c>
      <c r="O2922" s="74">
        <v>0.219</v>
      </c>
      <c r="P2922" s="74">
        <v>0.207</v>
      </c>
      <c r="Q2922" s="74">
        <v>0.23</v>
      </c>
      <c r="R2922" s="74">
        <v>0.233</v>
      </c>
      <c r="S2922" s="75"/>
      <c r="T2922" s="75"/>
      <c r="U2922" s="75"/>
      <c r="V2922" s="75"/>
      <c r="W2922" s="75"/>
      <c r="X2922" s="74">
        <v>0.25</v>
      </c>
    </row>
    <row r="2923">
      <c r="A2923" s="76" t="s">
        <v>5730</v>
      </c>
      <c r="B2923" s="76" t="s">
        <v>1064</v>
      </c>
      <c r="C2923" s="76">
        <v>19.0</v>
      </c>
      <c r="D2923" s="76" t="s">
        <v>5707</v>
      </c>
      <c r="E2923" s="76" t="s">
        <v>5731</v>
      </c>
      <c r="F2923" s="76">
        <v>150.0</v>
      </c>
      <c r="G2923" s="76">
        <v>0.254</v>
      </c>
      <c r="H2923" s="76">
        <v>0.253</v>
      </c>
      <c r="I2923" s="76">
        <v>0.253</v>
      </c>
      <c r="J2923" s="76">
        <v>0.251</v>
      </c>
      <c r="K2923" s="77"/>
      <c r="L2923" s="77"/>
      <c r="M2923" s="77"/>
      <c r="N2923" s="77"/>
      <c r="O2923" s="77"/>
      <c r="P2923" s="77"/>
      <c r="Q2923" s="77"/>
      <c r="R2923" s="77"/>
      <c r="S2923" s="77"/>
      <c r="T2923" s="77"/>
      <c r="U2923" s="77"/>
      <c r="V2923" s="77"/>
      <c r="W2923" s="77"/>
      <c r="X2923" s="76">
        <v>0.25</v>
      </c>
    </row>
    <row r="2924">
      <c r="A2924" s="74" t="s">
        <v>5732</v>
      </c>
      <c r="B2924" s="74" t="s">
        <v>1064</v>
      </c>
      <c r="C2924" s="76">
        <v>20.0</v>
      </c>
      <c r="D2924" s="74" t="s">
        <v>5707</v>
      </c>
      <c r="E2924" s="74" t="s">
        <v>5733</v>
      </c>
      <c r="F2924" s="74">
        <v>6.0</v>
      </c>
      <c r="G2924" s="74">
        <v>0.409</v>
      </c>
      <c r="H2924" s="74">
        <v>0.397</v>
      </c>
      <c r="I2924" s="74">
        <v>0.403</v>
      </c>
      <c r="J2924" s="74">
        <v>0.407</v>
      </c>
      <c r="K2924" s="75"/>
      <c r="L2924" s="75"/>
      <c r="M2924" s="75"/>
      <c r="N2924" s="75"/>
      <c r="O2924" s="75"/>
      <c r="P2924" s="75"/>
      <c r="Q2924" s="75"/>
      <c r="R2924" s="75"/>
      <c r="S2924" s="75"/>
      <c r="T2924" s="75"/>
      <c r="U2924" s="75"/>
      <c r="V2924" s="75"/>
      <c r="W2924" s="75"/>
      <c r="X2924" s="74">
        <v>0.406</v>
      </c>
    </row>
    <row r="2925">
      <c r="A2925" s="76" t="s">
        <v>5734</v>
      </c>
      <c r="B2925" s="76" t="s">
        <v>1064</v>
      </c>
      <c r="C2925" s="76">
        <v>21.0</v>
      </c>
      <c r="D2925" s="76" t="s">
        <v>5707</v>
      </c>
      <c r="E2925" s="76" t="s">
        <v>5441</v>
      </c>
      <c r="F2925" s="76">
        <v>150.0</v>
      </c>
      <c r="G2925" s="76">
        <v>0.967</v>
      </c>
      <c r="H2925" s="76">
        <v>0.945</v>
      </c>
      <c r="I2925" s="76">
        <v>0.952</v>
      </c>
      <c r="J2925" s="76">
        <v>0.951</v>
      </c>
      <c r="K2925" s="77"/>
      <c r="L2925" s="77"/>
      <c r="M2925" s="77"/>
      <c r="N2925" s="77"/>
      <c r="O2925" s="77"/>
      <c r="P2925" s="77"/>
      <c r="Q2925" s="77"/>
      <c r="R2925" s="77"/>
      <c r="S2925" s="77"/>
      <c r="T2925" s="77"/>
      <c r="U2925" s="77"/>
      <c r="V2925" s="77"/>
      <c r="W2925" s="77"/>
      <c r="X2925" s="76">
        <v>0.5</v>
      </c>
    </row>
    <row r="2926">
      <c r="A2926" s="74" t="s">
        <v>5735</v>
      </c>
      <c r="B2926" s="74" t="s">
        <v>1064</v>
      </c>
      <c r="C2926" s="76">
        <v>22.0</v>
      </c>
      <c r="D2926" s="74" t="s">
        <v>5707</v>
      </c>
      <c r="E2926" s="74" t="s">
        <v>5736</v>
      </c>
      <c r="F2926" s="76">
        <v>150.0</v>
      </c>
      <c r="G2926" s="74">
        <v>0.347</v>
      </c>
      <c r="H2926" s="74">
        <v>0.348</v>
      </c>
      <c r="I2926" s="74">
        <v>0.346</v>
      </c>
      <c r="J2926" s="74">
        <v>0.347</v>
      </c>
      <c r="K2926" s="75"/>
      <c r="L2926" s="75"/>
      <c r="M2926" s="75"/>
      <c r="N2926" s="75"/>
      <c r="O2926" s="75"/>
      <c r="P2926" s="75"/>
      <c r="Q2926" s="75"/>
      <c r="R2926" s="75"/>
      <c r="S2926" s="75"/>
      <c r="T2926" s="75"/>
      <c r="U2926" s="75"/>
      <c r="V2926" s="75"/>
      <c r="W2926" s="75"/>
      <c r="X2926" s="74">
        <v>0.3543</v>
      </c>
    </row>
    <row r="2927">
      <c r="A2927" s="76" t="s">
        <v>5737</v>
      </c>
      <c r="B2927" s="76" t="s">
        <v>1064</v>
      </c>
      <c r="C2927" s="76">
        <v>23.0</v>
      </c>
      <c r="D2927" s="76" t="s">
        <v>5707</v>
      </c>
      <c r="E2927" s="76" t="s">
        <v>5738</v>
      </c>
      <c r="F2927" s="76">
        <v>4.0</v>
      </c>
      <c r="G2927" s="76">
        <v>0.331</v>
      </c>
      <c r="H2927" s="76">
        <v>0.349</v>
      </c>
      <c r="I2927" s="76">
        <v>0.334</v>
      </c>
      <c r="J2927" s="76">
        <v>0.335</v>
      </c>
      <c r="K2927" s="77"/>
      <c r="L2927" s="77"/>
      <c r="M2927" s="77"/>
      <c r="N2927" s="77"/>
      <c r="O2927" s="77"/>
      <c r="P2927" s="77"/>
      <c r="Q2927" s="77"/>
      <c r="R2927" s="77"/>
      <c r="S2927" s="77"/>
      <c r="T2927" s="77"/>
      <c r="U2927" s="77"/>
      <c r="V2927" s="77"/>
      <c r="W2927" s="77"/>
      <c r="X2927" s="76">
        <v>0.337</v>
      </c>
    </row>
    <row r="2928">
      <c r="A2928" s="74" t="s">
        <v>5739</v>
      </c>
      <c r="B2928" s="74" t="s">
        <v>1064</v>
      </c>
      <c r="C2928" s="76">
        <v>24.0</v>
      </c>
      <c r="D2928" s="74" t="s">
        <v>5707</v>
      </c>
      <c r="E2928" s="74" t="s">
        <v>5445</v>
      </c>
      <c r="F2928" s="74">
        <v>150.0</v>
      </c>
      <c r="G2928" s="74">
        <v>0.891</v>
      </c>
      <c r="H2928" s="74">
        <v>0.895</v>
      </c>
      <c r="I2928" s="74">
        <v>0.893</v>
      </c>
      <c r="J2928" s="74">
        <v>0.887</v>
      </c>
      <c r="K2928" s="75"/>
      <c r="L2928" s="75"/>
      <c r="M2928" s="75"/>
      <c r="N2928" s="75"/>
      <c r="O2928" s="75"/>
      <c r="P2928" s="75"/>
      <c r="Q2928" s="75"/>
      <c r="R2928" s="75"/>
      <c r="S2928" s="75"/>
      <c r="T2928" s="75"/>
      <c r="U2928" s="75"/>
      <c r="V2928" s="75"/>
      <c r="W2928" s="75"/>
      <c r="X2928" s="74">
        <v>0.5</v>
      </c>
    </row>
    <row r="2929">
      <c r="A2929" s="76" t="s">
        <v>5740</v>
      </c>
      <c r="B2929" s="76" t="s">
        <v>1064</v>
      </c>
      <c r="C2929" s="76">
        <v>25.0</v>
      </c>
      <c r="D2929" s="76" t="s">
        <v>5707</v>
      </c>
      <c r="E2929" s="76" t="s">
        <v>5528</v>
      </c>
      <c r="F2929" s="74">
        <v>150.0</v>
      </c>
      <c r="G2929" s="76">
        <v>0.35</v>
      </c>
      <c r="H2929" s="76">
        <v>0.349</v>
      </c>
      <c r="I2929" s="76">
        <v>0.35</v>
      </c>
      <c r="J2929" s="76">
        <v>0.351</v>
      </c>
      <c r="K2929" s="77"/>
      <c r="L2929" s="77"/>
      <c r="M2929" s="77"/>
      <c r="N2929" s="77"/>
      <c r="O2929" s="77"/>
      <c r="P2929" s="77"/>
      <c r="Q2929" s="77"/>
      <c r="R2929" s="77"/>
      <c r="S2929" s="77"/>
      <c r="T2929" s="77"/>
      <c r="U2929" s="77"/>
      <c r="V2929" s="77"/>
      <c r="W2929" s="77"/>
      <c r="X2929" s="76">
        <v>0.3543</v>
      </c>
    </row>
    <row r="2930">
      <c r="A2930" s="74" t="s">
        <v>5741</v>
      </c>
      <c r="B2930" s="74" t="s">
        <v>1064</v>
      </c>
      <c r="C2930" s="76">
        <v>26.0</v>
      </c>
      <c r="D2930" s="74" t="s">
        <v>5707</v>
      </c>
      <c r="E2930" s="74" t="s">
        <v>5449</v>
      </c>
      <c r="F2930" s="74">
        <v>150.0</v>
      </c>
      <c r="G2930" s="74">
        <v>0.845</v>
      </c>
      <c r="H2930" s="74">
        <v>0.846</v>
      </c>
      <c r="I2930" s="74">
        <v>0.846</v>
      </c>
      <c r="J2930" s="74">
        <v>0.845</v>
      </c>
      <c r="K2930" s="75"/>
      <c r="L2930" s="75"/>
      <c r="M2930" s="75"/>
      <c r="N2930" s="75"/>
      <c r="O2930" s="75"/>
      <c r="P2930" s="75"/>
      <c r="Q2930" s="75"/>
      <c r="R2930" s="75"/>
      <c r="S2930" s="75"/>
      <c r="T2930" s="75"/>
      <c r="U2930" s="75"/>
      <c r="V2930" s="75"/>
      <c r="W2930" s="75"/>
      <c r="X2930" s="74">
        <v>0.5</v>
      </c>
    </row>
    <row r="2931">
      <c r="A2931" s="76" t="s">
        <v>5742</v>
      </c>
      <c r="B2931" s="76" t="s">
        <v>1047</v>
      </c>
      <c r="C2931" s="76">
        <v>1.0</v>
      </c>
      <c r="D2931" s="76" t="s">
        <v>5646</v>
      </c>
      <c r="E2931" s="76" t="s">
        <v>5743</v>
      </c>
      <c r="F2931" s="74">
        <v>150.0</v>
      </c>
      <c r="G2931" s="76">
        <v>0.3469</v>
      </c>
      <c r="H2931" s="76">
        <v>0.3512</v>
      </c>
      <c r="I2931" s="76">
        <v>0.3512</v>
      </c>
      <c r="J2931" s="76">
        <v>0.348</v>
      </c>
      <c r="K2931" s="77"/>
      <c r="L2931" s="77"/>
      <c r="M2931" s="77"/>
      <c r="N2931" s="77"/>
      <c r="O2931" s="77"/>
      <c r="P2931" s="77"/>
      <c r="Q2931" s="77"/>
      <c r="R2931" s="77"/>
      <c r="S2931" s="77"/>
      <c r="T2931" s="77"/>
      <c r="U2931" s="77"/>
      <c r="V2931" s="77"/>
      <c r="W2931" s="77"/>
      <c r="X2931" s="76">
        <v>0.3543</v>
      </c>
    </row>
    <row r="2932">
      <c r="A2932" s="74" t="s">
        <v>5744</v>
      </c>
      <c r="B2932" s="74" t="s">
        <v>1047</v>
      </c>
      <c r="C2932" s="76">
        <v>2.0</v>
      </c>
      <c r="D2932" s="74" t="s">
        <v>5646</v>
      </c>
      <c r="E2932" s="74" t="s">
        <v>5743</v>
      </c>
      <c r="F2932" s="74">
        <v>150.0</v>
      </c>
      <c r="G2932" s="74">
        <v>0.3469</v>
      </c>
      <c r="H2932" s="74">
        <v>0.3496</v>
      </c>
      <c r="I2932" s="74">
        <v>0.3496</v>
      </c>
      <c r="J2932" s="74">
        <v>0.3512</v>
      </c>
      <c r="K2932" s="75"/>
      <c r="L2932" s="75"/>
      <c r="M2932" s="75"/>
      <c r="N2932" s="75"/>
      <c r="O2932" s="75"/>
      <c r="P2932" s="75"/>
      <c r="Q2932" s="75"/>
      <c r="R2932" s="75"/>
      <c r="S2932" s="75"/>
      <c r="T2932" s="75"/>
      <c r="U2932" s="75"/>
      <c r="V2932" s="75"/>
      <c r="W2932" s="75"/>
      <c r="X2932" s="74">
        <v>0.3543</v>
      </c>
    </row>
    <row r="2933">
      <c r="A2933" s="76" t="s">
        <v>5745</v>
      </c>
      <c r="B2933" s="76" t="s">
        <v>1047</v>
      </c>
      <c r="C2933" s="76">
        <v>3.0</v>
      </c>
      <c r="D2933" s="76" t="s">
        <v>5646</v>
      </c>
      <c r="E2933" s="76" t="s">
        <v>5743</v>
      </c>
      <c r="F2933" s="74">
        <v>150.0</v>
      </c>
      <c r="G2933" s="76">
        <v>0.348</v>
      </c>
      <c r="H2933" s="76">
        <v>0.3717</v>
      </c>
      <c r="I2933" s="76">
        <v>0.3496</v>
      </c>
      <c r="J2933" s="76">
        <v>0.3512</v>
      </c>
      <c r="K2933" s="77"/>
      <c r="L2933" s="77"/>
      <c r="M2933" s="77"/>
      <c r="N2933" s="77"/>
      <c r="O2933" s="77"/>
      <c r="P2933" s="77"/>
      <c r="Q2933" s="77"/>
      <c r="R2933" s="77"/>
      <c r="S2933" s="77"/>
      <c r="T2933" s="77"/>
      <c r="U2933" s="77"/>
      <c r="V2933" s="77"/>
      <c r="W2933" s="77"/>
      <c r="X2933" s="76">
        <v>0.375</v>
      </c>
    </row>
    <row r="2934">
      <c r="A2934" s="74" t="s">
        <v>5746</v>
      </c>
      <c r="B2934" s="74" t="s">
        <v>1047</v>
      </c>
      <c r="C2934" s="76">
        <v>4.0</v>
      </c>
      <c r="D2934" s="74" t="s">
        <v>5646</v>
      </c>
      <c r="E2934" s="74" t="s">
        <v>5743</v>
      </c>
      <c r="F2934" s="74">
        <v>150.0</v>
      </c>
      <c r="G2934" s="74">
        <v>0.3657</v>
      </c>
      <c r="H2934" s="74">
        <v>0.3453</v>
      </c>
      <c r="I2934" s="74">
        <v>0.3512</v>
      </c>
      <c r="J2934" s="74">
        <v>0.3496</v>
      </c>
      <c r="K2934" s="75"/>
      <c r="L2934" s="75"/>
      <c r="M2934" s="75"/>
      <c r="N2934" s="75"/>
      <c r="O2934" s="75"/>
      <c r="P2934" s="75"/>
      <c r="Q2934" s="75"/>
      <c r="R2934" s="75"/>
      <c r="S2934" s="75"/>
      <c r="T2934" s="75"/>
      <c r="U2934" s="75"/>
      <c r="V2934" s="75"/>
      <c r="W2934" s="75"/>
      <c r="X2934" s="74">
        <v>0.375</v>
      </c>
    </row>
    <row r="2935">
      <c r="A2935" s="76" t="s">
        <v>5747</v>
      </c>
      <c r="B2935" s="76" t="s">
        <v>1047</v>
      </c>
      <c r="C2935" s="76">
        <v>5.0</v>
      </c>
      <c r="D2935" s="76" t="s">
        <v>5646</v>
      </c>
      <c r="E2935" s="76" t="s">
        <v>5743</v>
      </c>
      <c r="F2935" s="74">
        <v>150.0</v>
      </c>
      <c r="G2935" s="76">
        <v>0.348</v>
      </c>
      <c r="H2935" s="76">
        <v>0.3685</v>
      </c>
      <c r="I2935" s="76">
        <v>0.348</v>
      </c>
      <c r="J2935" s="76">
        <v>0.3496</v>
      </c>
      <c r="K2935" s="77"/>
      <c r="L2935" s="77"/>
      <c r="M2935" s="77"/>
      <c r="N2935" s="77"/>
      <c r="O2935" s="77"/>
      <c r="P2935" s="77"/>
      <c r="Q2935" s="77"/>
      <c r="R2935" s="77"/>
      <c r="S2935" s="77"/>
      <c r="T2935" s="77"/>
      <c r="U2935" s="77"/>
      <c r="V2935" s="77"/>
      <c r="W2935" s="77"/>
      <c r="X2935" s="76">
        <v>0.375</v>
      </c>
    </row>
    <row r="2936">
      <c r="A2936" s="74" t="s">
        <v>5748</v>
      </c>
      <c r="B2936" s="74" t="s">
        <v>1047</v>
      </c>
      <c r="C2936" s="76">
        <v>6.0</v>
      </c>
      <c r="D2936" s="74" t="s">
        <v>5646</v>
      </c>
      <c r="E2936" s="74" t="s">
        <v>5743</v>
      </c>
      <c r="F2936" s="74">
        <v>150.0</v>
      </c>
      <c r="G2936" s="74">
        <v>0.348</v>
      </c>
      <c r="H2936" s="74">
        <v>0.3669</v>
      </c>
      <c r="I2936" s="74">
        <v>0.3685</v>
      </c>
      <c r="J2936" s="74">
        <v>0.348</v>
      </c>
      <c r="K2936" s="75"/>
      <c r="L2936" s="75"/>
      <c r="M2936" s="75"/>
      <c r="N2936" s="75"/>
      <c r="O2936" s="75"/>
      <c r="P2936" s="75"/>
      <c r="Q2936" s="75"/>
      <c r="R2936" s="75"/>
      <c r="S2936" s="75"/>
      <c r="T2936" s="75"/>
      <c r="U2936" s="75"/>
      <c r="V2936" s="75"/>
      <c r="W2936" s="75"/>
      <c r="X2936" s="74">
        <v>0.375</v>
      </c>
    </row>
    <row r="2937">
      <c r="A2937" s="76" t="s">
        <v>5749</v>
      </c>
      <c r="B2937" s="76" t="s">
        <v>1047</v>
      </c>
      <c r="C2937" s="76">
        <v>7.0</v>
      </c>
      <c r="D2937" s="76" t="s">
        <v>5646</v>
      </c>
      <c r="E2937" s="76" t="s">
        <v>5743</v>
      </c>
      <c r="F2937" s="74">
        <v>150.0</v>
      </c>
      <c r="G2937" s="76">
        <v>0.3496</v>
      </c>
      <c r="H2937" s="76">
        <v>0.3685</v>
      </c>
      <c r="I2937" s="76">
        <v>0.3512</v>
      </c>
      <c r="J2937" s="76">
        <v>0.348</v>
      </c>
      <c r="K2937" s="77"/>
      <c r="L2937" s="77"/>
      <c r="M2937" s="77"/>
      <c r="N2937" s="77"/>
      <c r="O2937" s="77"/>
      <c r="P2937" s="77"/>
      <c r="Q2937" s="77"/>
      <c r="R2937" s="77"/>
      <c r="S2937" s="77"/>
      <c r="T2937" s="77"/>
      <c r="U2937" s="77"/>
      <c r="V2937" s="77"/>
      <c r="W2937" s="77"/>
      <c r="X2937" s="76">
        <v>0.375</v>
      </c>
    </row>
    <row r="2938">
      <c r="A2938" s="74" t="s">
        <v>5750</v>
      </c>
      <c r="B2938" s="74" t="s">
        <v>1047</v>
      </c>
      <c r="C2938" s="76">
        <v>8.0</v>
      </c>
      <c r="D2938" s="74" t="s">
        <v>5646</v>
      </c>
      <c r="E2938" s="74" t="s">
        <v>5743</v>
      </c>
      <c r="F2938" s="74">
        <v>150.0</v>
      </c>
      <c r="G2938" s="74">
        <v>0.3496</v>
      </c>
      <c r="H2938" s="74">
        <v>0.348</v>
      </c>
      <c r="I2938" s="74">
        <v>0.3512</v>
      </c>
      <c r="J2938" s="74">
        <v>0.348</v>
      </c>
      <c r="K2938" s="75"/>
      <c r="L2938" s="75"/>
      <c r="M2938" s="75"/>
      <c r="N2938" s="75"/>
      <c r="O2938" s="75"/>
      <c r="P2938" s="75"/>
      <c r="Q2938" s="75"/>
      <c r="R2938" s="75"/>
      <c r="S2938" s="75"/>
      <c r="T2938" s="75"/>
      <c r="U2938" s="75"/>
      <c r="V2938" s="75"/>
      <c r="W2938" s="75"/>
      <c r="X2938" s="74">
        <v>0.3543</v>
      </c>
    </row>
    <row r="2939">
      <c r="A2939" s="76" t="s">
        <v>5751</v>
      </c>
      <c r="B2939" s="76" t="s">
        <v>1047</v>
      </c>
      <c r="C2939" s="76">
        <v>9.0</v>
      </c>
      <c r="D2939" s="76" t="s">
        <v>5646</v>
      </c>
      <c r="E2939" s="76" t="s">
        <v>5743</v>
      </c>
      <c r="F2939" s="74">
        <v>150.0</v>
      </c>
      <c r="G2939" s="76">
        <v>0.3496</v>
      </c>
      <c r="H2939" s="76">
        <v>0.3669</v>
      </c>
      <c r="I2939" s="76">
        <v>0.3512</v>
      </c>
      <c r="J2939" s="76">
        <v>0.3496</v>
      </c>
      <c r="K2939" s="77"/>
      <c r="L2939" s="77"/>
      <c r="M2939" s="77"/>
      <c r="N2939" s="77"/>
      <c r="O2939" s="77"/>
      <c r="P2939" s="77"/>
      <c r="Q2939" s="77"/>
      <c r="R2939" s="77"/>
      <c r="S2939" s="77"/>
      <c r="T2939" s="77"/>
      <c r="U2939" s="77"/>
      <c r="V2939" s="77"/>
      <c r="W2939" s="77"/>
      <c r="X2939" s="76">
        <v>0.375</v>
      </c>
    </row>
    <row r="2940">
      <c r="A2940" s="74" t="s">
        <v>5752</v>
      </c>
      <c r="B2940" s="74" t="s">
        <v>1047</v>
      </c>
      <c r="C2940" s="76">
        <v>10.0</v>
      </c>
      <c r="D2940" s="74" t="s">
        <v>5646</v>
      </c>
      <c r="E2940" s="74" t="s">
        <v>5743</v>
      </c>
      <c r="F2940" s="74">
        <v>150.0</v>
      </c>
      <c r="G2940" s="74">
        <v>0.348</v>
      </c>
      <c r="H2940" s="74">
        <v>0.3512</v>
      </c>
      <c r="I2940" s="74">
        <v>0.3512</v>
      </c>
      <c r="J2940" s="74">
        <v>0.348</v>
      </c>
      <c r="K2940" s="75"/>
      <c r="L2940" s="75"/>
      <c r="M2940" s="75"/>
      <c r="N2940" s="75"/>
      <c r="O2940" s="75"/>
      <c r="P2940" s="75"/>
      <c r="Q2940" s="75"/>
      <c r="R2940" s="75"/>
      <c r="S2940" s="75"/>
      <c r="T2940" s="75"/>
      <c r="U2940" s="75"/>
      <c r="V2940" s="75"/>
      <c r="W2940" s="75"/>
      <c r="X2940" s="74">
        <v>0.3543</v>
      </c>
    </row>
    <row r="2941">
      <c r="A2941" s="76" t="s">
        <v>5753</v>
      </c>
      <c r="B2941" s="76" t="s">
        <v>1047</v>
      </c>
      <c r="C2941" s="76">
        <v>11.0</v>
      </c>
      <c r="D2941" s="76" t="s">
        <v>5646</v>
      </c>
      <c r="E2941" s="76" t="s">
        <v>5743</v>
      </c>
      <c r="F2941" s="74">
        <v>150.0</v>
      </c>
      <c r="G2941" s="76">
        <v>0.3496</v>
      </c>
      <c r="H2941" s="76">
        <v>0.3512</v>
      </c>
      <c r="I2941" s="76">
        <v>0.3496</v>
      </c>
      <c r="J2941" s="76">
        <v>0.3496</v>
      </c>
      <c r="K2941" s="77"/>
      <c r="L2941" s="77"/>
      <c r="M2941" s="77"/>
      <c r="N2941" s="77"/>
      <c r="O2941" s="77"/>
      <c r="P2941" s="77"/>
      <c r="Q2941" s="77"/>
      <c r="R2941" s="77"/>
      <c r="S2941" s="77"/>
      <c r="T2941" s="77"/>
      <c r="U2941" s="77"/>
      <c r="V2941" s="77"/>
      <c r="W2941" s="77"/>
      <c r="X2941" s="76">
        <v>0.3543</v>
      </c>
    </row>
    <row r="2942">
      <c r="A2942" s="74" t="s">
        <v>5754</v>
      </c>
      <c r="B2942" s="74" t="s">
        <v>1047</v>
      </c>
      <c r="C2942" s="76">
        <v>12.0</v>
      </c>
      <c r="D2942" s="74" t="s">
        <v>5646</v>
      </c>
      <c r="E2942" s="74" t="s">
        <v>5743</v>
      </c>
      <c r="F2942" s="74">
        <v>150.0</v>
      </c>
      <c r="G2942" s="74">
        <v>0.3496</v>
      </c>
      <c r="H2942" s="74">
        <v>0.348</v>
      </c>
      <c r="I2942" s="74">
        <v>0.3512</v>
      </c>
      <c r="J2942" s="74">
        <v>0.3512</v>
      </c>
      <c r="K2942" s="75"/>
      <c r="L2942" s="75"/>
      <c r="M2942" s="75"/>
      <c r="N2942" s="75"/>
      <c r="O2942" s="75"/>
      <c r="P2942" s="75"/>
      <c r="Q2942" s="75"/>
      <c r="R2942" s="75"/>
      <c r="S2942" s="75"/>
      <c r="T2942" s="75"/>
      <c r="U2942" s="75"/>
      <c r="V2942" s="75"/>
      <c r="W2942" s="75"/>
      <c r="X2942" s="74">
        <v>0.3543</v>
      </c>
    </row>
    <row r="2943">
      <c r="A2943" s="76" t="s">
        <v>5755</v>
      </c>
      <c r="B2943" s="76" t="s">
        <v>1047</v>
      </c>
      <c r="C2943" s="76">
        <v>13.0</v>
      </c>
      <c r="D2943" s="76" t="s">
        <v>5646</v>
      </c>
      <c r="E2943" s="76" t="s">
        <v>5743</v>
      </c>
      <c r="F2943" s="74">
        <v>150.0</v>
      </c>
      <c r="G2943" s="76">
        <v>0.348</v>
      </c>
      <c r="H2943" s="76">
        <v>0.3469</v>
      </c>
      <c r="I2943" s="76">
        <v>0.3496</v>
      </c>
      <c r="J2943" s="76">
        <v>0.348</v>
      </c>
      <c r="K2943" s="77"/>
      <c r="L2943" s="77"/>
      <c r="M2943" s="77"/>
      <c r="N2943" s="77"/>
      <c r="O2943" s="77"/>
      <c r="P2943" s="77"/>
      <c r="Q2943" s="77"/>
      <c r="R2943" s="77"/>
      <c r="S2943" s="77"/>
      <c r="T2943" s="77"/>
      <c r="U2943" s="77"/>
      <c r="V2943" s="77"/>
      <c r="W2943" s="77"/>
      <c r="X2943" s="76">
        <v>0.3543</v>
      </c>
    </row>
    <row r="2944">
      <c r="A2944" s="74" t="s">
        <v>5756</v>
      </c>
      <c r="B2944" s="74" t="s">
        <v>1047</v>
      </c>
      <c r="C2944" s="76">
        <v>14.0</v>
      </c>
      <c r="D2944" s="74" t="s">
        <v>5646</v>
      </c>
      <c r="E2944" s="74" t="s">
        <v>5743</v>
      </c>
      <c r="F2944" s="74">
        <v>150.0</v>
      </c>
      <c r="G2944" s="74">
        <v>0.348</v>
      </c>
      <c r="H2944" s="74">
        <v>0.3496</v>
      </c>
      <c r="I2944" s="74">
        <v>0.3496</v>
      </c>
      <c r="J2944" s="74">
        <v>0.3469</v>
      </c>
      <c r="K2944" s="75"/>
      <c r="L2944" s="75"/>
      <c r="M2944" s="75"/>
      <c r="N2944" s="75"/>
      <c r="O2944" s="75"/>
      <c r="P2944" s="75"/>
      <c r="Q2944" s="75"/>
      <c r="R2944" s="75"/>
      <c r="S2944" s="75"/>
      <c r="T2944" s="75"/>
      <c r="U2944" s="75"/>
      <c r="V2944" s="75"/>
      <c r="W2944" s="75"/>
      <c r="X2944" s="74">
        <v>0.3543</v>
      </c>
    </row>
    <row r="2945">
      <c r="A2945" s="76" t="s">
        <v>5757</v>
      </c>
      <c r="B2945" s="76" t="s">
        <v>1047</v>
      </c>
      <c r="C2945" s="76">
        <v>15.0</v>
      </c>
      <c r="D2945" s="76" t="s">
        <v>5646</v>
      </c>
      <c r="E2945" s="76" t="s">
        <v>5743</v>
      </c>
      <c r="F2945" s="74">
        <v>150.0</v>
      </c>
      <c r="G2945" s="76">
        <v>0.3496</v>
      </c>
      <c r="H2945" s="76">
        <v>0.3469</v>
      </c>
      <c r="I2945" s="76">
        <v>0.348</v>
      </c>
      <c r="J2945" s="76">
        <v>0.3512</v>
      </c>
      <c r="K2945" s="77"/>
      <c r="L2945" s="77"/>
      <c r="M2945" s="77"/>
      <c r="N2945" s="77"/>
      <c r="O2945" s="77"/>
      <c r="P2945" s="77"/>
      <c r="Q2945" s="77"/>
      <c r="R2945" s="77"/>
      <c r="S2945" s="77"/>
      <c r="T2945" s="77"/>
      <c r="U2945" s="77"/>
      <c r="V2945" s="77"/>
      <c r="W2945" s="77"/>
      <c r="X2945" s="76">
        <v>0.3543</v>
      </c>
    </row>
    <row r="2946">
      <c r="A2946" s="74" t="s">
        <v>5758</v>
      </c>
      <c r="B2946" s="74" t="s">
        <v>1047</v>
      </c>
      <c r="C2946" s="76">
        <v>16.0</v>
      </c>
      <c r="D2946" s="74" t="s">
        <v>5646</v>
      </c>
      <c r="E2946" s="74" t="s">
        <v>5743</v>
      </c>
      <c r="F2946" s="74">
        <v>150.0</v>
      </c>
      <c r="G2946" s="74">
        <v>0.3496</v>
      </c>
      <c r="H2946" s="74">
        <v>0.3685</v>
      </c>
      <c r="I2946" s="74">
        <v>0.348</v>
      </c>
      <c r="J2946" s="74">
        <v>0.3496</v>
      </c>
      <c r="K2946" s="75"/>
      <c r="L2946" s="75"/>
      <c r="M2946" s="75"/>
      <c r="N2946" s="75"/>
      <c r="O2946" s="75"/>
      <c r="P2946" s="75"/>
      <c r="Q2946" s="75"/>
      <c r="R2946" s="75"/>
      <c r="S2946" s="75"/>
      <c r="T2946" s="75"/>
      <c r="U2946" s="75"/>
      <c r="V2946" s="75"/>
      <c r="W2946" s="75"/>
      <c r="X2946" s="74">
        <v>0.375</v>
      </c>
    </row>
    <row r="2947">
      <c r="A2947" s="76" t="s">
        <v>5759</v>
      </c>
      <c r="B2947" s="76" t="s">
        <v>1047</v>
      </c>
      <c r="C2947" s="76">
        <v>17.0</v>
      </c>
      <c r="D2947" s="76" t="s">
        <v>5646</v>
      </c>
      <c r="E2947" s="76" t="s">
        <v>5760</v>
      </c>
      <c r="F2947" s="74">
        <v>150.0</v>
      </c>
      <c r="G2947" s="76">
        <v>0.3701</v>
      </c>
      <c r="H2947" s="76">
        <v>0.3496</v>
      </c>
      <c r="I2947" s="76">
        <v>0.3496</v>
      </c>
      <c r="J2947" s="76">
        <v>0.3469</v>
      </c>
      <c r="K2947" s="77"/>
      <c r="L2947" s="77"/>
      <c r="M2947" s="77"/>
      <c r="N2947" s="77"/>
      <c r="O2947" s="77"/>
      <c r="P2947" s="77"/>
      <c r="Q2947" s="77"/>
      <c r="R2947" s="77"/>
      <c r="S2947" s="77"/>
      <c r="T2947" s="77"/>
      <c r="U2947" s="77"/>
      <c r="V2947" s="77"/>
      <c r="W2947" s="77"/>
      <c r="X2947" s="76">
        <v>0.375</v>
      </c>
    </row>
    <row r="2948">
      <c r="A2948" s="74" t="s">
        <v>5761</v>
      </c>
      <c r="B2948" s="74" t="s">
        <v>1047</v>
      </c>
      <c r="C2948" s="76">
        <v>18.0</v>
      </c>
      <c r="D2948" s="74" t="s">
        <v>5646</v>
      </c>
      <c r="E2948" s="74" t="s">
        <v>5760</v>
      </c>
      <c r="F2948" s="74">
        <v>150.0</v>
      </c>
      <c r="G2948" s="74">
        <v>0.3469</v>
      </c>
      <c r="H2948" s="74">
        <v>0.3496</v>
      </c>
      <c r="I2948" s="74">
        <v>0.3496</v>
      </c>
      <c r="J2948" s="74">
        <v>0.348</v>
      </c>
      <c r="K2948" s="75"/>
      <c r="L2948" s="75"/>
      <c r="M2948" s="75"/>
      <c r="N2948" s="75"/>
      <c r="O2948" s="75"/>
      <c r="P2948" s="75"/>
      <c r="Q2948" s="75"/>
      <c r="R2948" s="75"/>
      <c r="S2948" s="75"/>
      <c r="T2948" s="75"/>
      <c r="U2948" s="75"/>
      <c r="V2948" s="75"/>
      <c r="W2948" s="75"/>
      <c r="X2948" s="74">
        <v>0.3543</v>
      </c>
    </row>
    <row r="2949">
      <c r="A2949" s="76" t="s">
        <v>5762</v>
      </c>
      <c r="B2949" s="76" t="s">
        <v>1047</v>
      </c>
      <c r="C2949" s="76">
        <v>19.0</v>
      </c>
      <c r="D2949" s="76" t="s">
        <v>5646</v>
      </c>
      <c r="E2949" s="76" t="s">
        <v>5760</v>
      </c>
      <c r="F2949" s="74">
        <v>150.0</v>
      </c>
      <c r="G2949" s="76">
        <v>0.3512</v>
      </c>
      <c r="H2949" s="76">
        <v>0.3496</v>
      </c>
      <c r="I2949" s="76">
        <v>0.3496</v>
      </c>
      <c r="J2949" s="76">
        <v>0.348</v>
      </c>
      <c r="K2949" s="77"/>
      <c r="L2949" s="77"/>
      <c r="M2949" s="77"/>
      <c r="N2949" s="77"/>
      <c r="O2949" s="77"/>
      <c r="P2949" s="77"/>
      <c r="Q2949" s="77"/>
      <c r="R2949" s="77"/>
      <c r="S2949" s="77"/>
      <c r="T2949" s="77"/>
      <c r="U2949" s="77"/>
      <c r="V2949" s="77"/>
      <c r="W2949" s="77"/>
      <c r="X2949" s="76">
        <v>0.3543</v>
      </c>
    </row>
    <row r="2950">
      <c r="A2950" s="74" t="s">
        <v>5763</v>
      </c>
      <c r="B2950" s="74" t="s">
        <v>1047</v>
      </c>
      <c r="C2950" s="76">
        <v>20.0</v>
      </c>
      <c r="D2950" s="74" t="s">
        <v>5646</v>
      </c>
      <c r="E2950" s="74" t="s">
        <v>5760</v>
      </c>
      <c r="F2950" s="74">
        <v>150.0</v>
      </c>
      <c r="G2950" s="74">
        <v>0.3717</v>
      </c>
      <c r="H2950" s="74">
        <v>0.3496</v>
      </c>
      <c r="I2950" s="74">
        <v>0.348</v>
      </c>
      <c r="J2950" s="74">
        <v>0.348</v>
      </c>
      <c r="K2950" s="75"/>
      <c r="L2950" s="75"/>
      <c r="M2950" s="75"/>
      <c r="N2950" s="75"/>
      <c r="O2950" s="75"/>
      <c r="P2950" s="75"/>
      <c r="Q2950" s="75"/>
      <c r="R2950" s="75"/>
      <c r="S2950" s="75"/>
      <c r="T2950" s="75"/>
      <c r="U2950" s="75"/>
      <c r="V2950" s="75"/>
      <c r="W2950" s="75"/>
      <c r="X2950" s="74">
        <v>0.375</v>
      </c>
    </row>
    <row r="2951">
      <c r="A2951" s="76" t="s">
        <v>5764</v>
      </c>
      <c r="B2951" s="76" t="s">
        <v>1047</v>
      </c>
      <c r="C2951" s="76">
        <v>21.0</v>
      </c>
      <c r="D2951" s="76" t="s">
        <v>5646</v>
      </c>
      <c r="E2951" s="76" t="s">
        <v>5760</v>
      </c>
      <c r="F2951" s="74">
        <v>150.0</v>
      </c>
      <c r="G2951" s="76">
        <v>0.3728</v>
      </c>
      <c r="H2951" s="76">
        <v>0.3496</v>
      </c>
      <c r="I2951" s="76">
        <v>0.3496</v>
      </c>
      <c r="J2951" s="76">
        <v>0.348</v>
      </c>
      <c r="K2951" s="77"/>
      <c r="L2951" s="77"/>
      <c r="M2951" s="77"/>
      <c r="N2951" s="77"/>
      <c r="O2951" s="77"/>
      <c r="P2951" s="77"/>
      <c r="Q2951" s="77"/>
      <c r="R2951" s="77"/>
      <c r="S2951" s="77"/>
      <c r="T2951" s="77"/>
      <c r="U2951" s="77"/>
      <c r="V2951" s="77"/>
      <c r="W2951" s="77"/>
      <c r="X2951" s="76">
        <v>0.375</v>
      </c>
    </row>
    <row r="2952">
      <c r="A2952" s="74" t="s">
        <v>5765</v>
      </c>
      <c r="B2952" s="74" t="s">
        <v>1047</v>
      </c>
      <c r="C2952" s="76">
        <v>22.0</v>
      </c>
      <c r="D2952" s="74" t="s">
        <v>5646</v>
      </c>
      <c r="E2952" s="74" t="s">
        <v>5760</v>
      </c>
      <c r="F2952" s="74">
        <v>150.0</v>
      </c>
      <c r="G2952" s="74">
        <v>0.3642</v>
      </c>
      <c r="H2952" s="74">
        <v>0.348</v>
      </c>
      <c r="I2952" s="74">
        <v>0.3496</v>
      </c>
      <c r="J2952" s="74">
        <v>0.348</v>
      </c>
      <c r="K2952" s="75"/>
      <c r="L2952" s="75"/>
      <c r="M2952" s="75"/>
      <c r="N2952" s="75"/>
      <c r="O2952" s="75"/>
      <c r="P2952" s="75"/>
      <c r="Q2952" s="75"/>
      <c r="R2952" s="75"/>
      <c r="S2952" s="75"/>
      <c r="T2952" s="75"/>
      <c r="U2952" s="75"/>
      <c r="V2952" s="75"/>
      <c r="W2952" s="75"/>
      <c r="X2952" s="74">
        <v>0.3543</v>
      </c>
    </row>
    <row r="2953">
      <c r="A2953" s="76" t="s">
        <v>5766</v>
      </c>
      <c r="B2953" s="76" t="s">
        <v>1047</v>
      </c>
      <c r="C2953" s="76">
        <v>23.0</v>
      </c>
      <c r="D2953" s="76" t="s">
        <v>5646</v>
      </c>
      <c r="E2953" s="76" t="s">
        <v>5760</v>
      </c>
      <c r="F2953" s="74">
        <v>150.0</v>
      </c>
      <c r="G2953" s="76">
        <v>0.3496</v>
      </c>
      <c r="H2953" s="76">
        <v>0.348</v>
      </c>
      <c r="I2953" s="76">
        <v>0.348</v>
      </c>
      <c r="J2953" s="76">
        <v>0.3469</v>
      </c>
      <c r="K2953" s="77"/>
      <c r="L2953" s="77"/>
      <c r="M2953" s="77"/>
      <c r="N2953" s="77"/>
      <c r="O2953" s="77"/>
      <c r="P2953" s="77"/>
      <c r="Q2953" s="77"/>
      <c r="R2953" s="77"/>
      <c r="S2953" s="77"/>
      <c r="T2953" s="77"/>
      <c r="U2953" s="77"/>
      <c r="V2953" s="77"/>
      <c r="W2953" s="77"/>
      <c r="X2953" s="76">
        <v>0.3543</v>
      </c>
    </row>
    <row r="2954">
      <c r="A2954" s="74" t="s">
        <v>5767</v>
      </c>
      <c r="B2954" s="74" t="s">
        <v>1047</v>
      </c>
      <c r="C2954" s="76">
        <v>24.0</v>
      </c>
      <c r="D2954" s="74" t="s">
        <v>5646</v>
      </c>
      <c r="E2954" s="74" t="s">
        <v>5760</v>
      </c>
      <c r="F2954" s="74">
        <v>150.0</v>
      </c>
      <c r="G2954" s="74">
        <v>0.3496</v>
      </c>
      <c r="H2954" s="74">
        <v>0.348</v>
      </c>
      <c r="I2954" s="74">
        <v>0.348</v>
      </c>
      <c r="J2954" s="74">
        <v>0.348</v>
      </c>
      <c r="K2954" s="75"/>
      <c r="L2954" s="75"/>
      <c r="M2954" s="75"/>
      <c r="N2954" s="75"/>
      <c r="O2954" s="75"/>
      <c r="P2954" s="75"/>
      <c r="Q2954" s="75"/>
      <c r="R2954" s="75"/>
      <c r="S2954" s="75"/>
      <c r="T2954" s="75"/>
      <c r="U2954" s="75"/>
      <c r="V2954" s="75"/>
      <c r="W2954" s="75"/>
      <c r="X2954" s="74">
        <v>0.3543</v>
      </c>
    </row>
    <row r="2955">
      <c r="A2955" s="76" t="s">
        <v>5768</v>
      </c>
      <c r="B2955" s="76" t="s">
        <v>1047</v>
      </c>
      <c r="C2955" s="76">
        <v>25.0</v>
      </c>
      <c r="D2955" s="76" t="s">
        <v>5646</v>
      </c>
      <c r="E2955" s="76" t="s">
        <v>5760</v>
      </c>
      <c r="F2955" s="74">
        <v>150.0</v>
      </c>
      <c r="G2955" s="76">
        <v>0.3701</v>
      </c>
      <c r="H2955" s="76">
        <v>0.348</v>
      </c>
      <c r="I2955" s="76">
        <v>0.3496</v>
      </c>
      <c r="J2955" s="76">
        <v>0.348</v>
      </c>
      <c r="K2955" s="77"/>
      <c r="L2955" s="77"/>
      <c r="M2955" s="77"/>
      <c r="N2955" s="77"/>
      <c r="O2955" s="77"/>
      <c r="P2955" s="77"/>
      <c r="Q2955" s="77"/>
      <c r="R2955" s="77"/>
      <c r="S2955" s="77"/>
      <c r="T2955" s="77"/>
      <c r="U2955" s="77"/>
      <c r="V2955" s="77"/>
      <c r="W2955" s="77"/>
      <c r="X2955" s="76">
        <v>0.375</v>
      </c>
    </row>
    <row r="2956">
      <c r="A2956" s="74" t="s">
        <v>5769</v>
      </c>
      <c r="B2956" s="74" t="s">
        <v>1047</v>
      </c>
      <c r="C2956" s="76">
        <v>26.0</v>
      </c>
      <c r="D2956" s="74" t="s">
        <v>5646</v>
      </c>
      <c r="E2956" s="74" t="s">
        <v>5760</v>
      </c>
      <c r="F2956" s="74">
        <v>150.0</v>
      </c>
      <c r="G2956" s="74">
        <v>0.3496</v>
      </c>
      <c r="H2956" s="74">
        <v>0.3469</v>
      </c>
      <c r="I2956" s="74">
        <v>0.3496</v>
      </c>
      <c r="J2956" s="74">
        <v>0.348</v>
      </c>
      <c r="K2956" s="75"/>
      <c r="L2956" s="75"/>
      <c r="M2956" s="75"/>
      <c r="N2956" s="75"/>
      <c r="O2956" s="75"/>
      <c r="P2956" s="75"/>
      <c r="Q2956" s="75"/>
      <c r="R2956" s="75"/>
      <c r="S2956" s="75"/>
      <c r="T2956" s="75"/>
      <c r="U2956" s="75"/>
      <c r="V2956" s="75"/>
      <c r="W2956" s="75"/>
      <c r="X2956" s="74">
        <v>0.3543</v>
      </c>
    </row>
    <row r="2957">
      <c r="A2957" s="76" t="s">
        <v>5770</v>
      </c>
      <c r="B2957" s="76" t="s">
        <v>1047</v>
      </c>
      <c r="C2957" s="76">
        <v>27.0</v>
      </c>
      <c r="D2957" s="76" t="s">
        <v>5646</v>
      </c>
      <c r="E2957" s="76" t="s">
        <v>5760</v>
      </c>
      <c r="F2957" s="74">
        <v>150.0</v>
      </c>
      <c r="G2957" s="76">
        <v>0.3524</v>
      </c>
      <c r="H2957" s="76">
        <v>0.3469</v>
      </c>
      <c r="I2957" s="76">
        <v>0.348</v>
      </c>
      <c r="J2957" s="76">
        <v>0.348</v>
      </c>
      <c r="K2957" s="77"/>
      <c r="L2957" s="77"/>
      <c r="M2957" s="77"/>
      <c r="N2957" s="77"/>
      <c r="O2957" s="77"/>
      <c r="P2957" s="77"/>
      <c r="Q2957" s="77"/>
      <c r="R2957" s="77"/>
      <c r="S2957" s="77"/>
      <c r="T2957" s="77"/>
      <c r="U2957" s="77"/>
      <c r="V2957" s="77"/>
      <c r="W2957" s="77"/>
      <c r="X2957" s="76">
        <v>0.3543</v>
      </c>
    </row>
    <row r="2958">
      <c r="A2958" s="74" t="s">
        <v>5771</v>
      </c>
      <c r="B2958" s="74" t="s">
        <v>1047</v>
      </c>
      <c r="C2958" s="76">
        <v>28.0</v>
      </c>
      <c r="D2958" s="74" t="s">
        <v>5646</v>
      </c>
      <c r="E2958" s="74" t="s">
        <v>5760</v>
      </c>
      <c r="F2958" s="74">
        <v>150.0</v>
      </c>
      <c r="G2958" s="74">
        <v>0.3496</v>
      </c>
      <c r="H2958" s="74">
        <v>0.348</v>
      </c>
      <c r="I2958" s="74">
        <v>0.3496</v>
      </c>
      <c r="J2958" s="74">
        <v>0.348</v>
      </c>
      <c r="K2958" s="75"/>
      <c r="L2958" s="75"/>
      <c r="M2958" s="75"/>
      <c r="N2958" s="75"/>
      <c r="O2958" s="75"/>
      <c r="P2958" s="75"/>
      <c r="Q2958" s="75"/>
      <c r="R2958" s="75"/>
      <c r="S2958" s="75"/>
      <c r="T2958" s="75"/>
      <c r="U2958" s="75"/>
      <c r="V2958" s="75"/>
      <c r="W2958" s="75"/>
      <c r="X2958" s="74">
        <v>0.3543</v>
      </c>
    </row>
    <row r="2959">
      <c r="A2959" s="76" t="s">
        <v>5772</v>
      </c>
      <c r="B2959" s="76" t="s">
        <v>1047</v>
      </c>
      <c r="C2959" s="76">
        <v>29.0</v>
      </c>
      <c r="D2959" s="76" t="s">
        <v>5646</v>
      </c>
      <c r="E2959" s="76" t="s">
        <v>5760</v>
      </c>
      <c r="F2959" s="74">
        <v>150.0</v>
      </c>
      <c r="G2959" s="76">
        <v>0.3512</v>
      </c>
      <c r="H2959" s="76">
        <v>0.3657</v>
      </c>
      <c r="I2959" s="76">
        <v>0.348</v>
      </c>
      <c r="J2959" s="76">
        <v>0.3496</v>
      </c>
      <c r="K2959" s="77"/>
      <c r="L2959" s="77"/>
      <c r="M2959" s="77"/>
      <c r="N2959" s="77"/>
      <c r="O2959" s="77"/>
      <c r="P2959" s="77"/>
      <c r="Q2959" s="77"/>
      <c r="R2959" s="77"/>
      <c r="S2959" s="77"/>
      <c r="T2959" s="77"/>
      <c r="U2959" s="77"/>
      <c r="V2959" s="77"/>
      <c r="W2959" s="77"/>
      <c r="X2959" s="76">
        <v>0.375</v>
      </c>
    </row>
    <row r="2960">
      <c r="A2960" s="74" t="s">
        <v>5773</v>
      </c>
      <c r="B2960" s="74" t="s">
        <v>1047</v>
      </c>
      <c r="C2960" s="76">
        <v>30.0</v>
      </c>
      <c r="D2960" s="74" t="s">
        <v>5646</v>
      </c>
      <c r="E2960" s="74" t="s">
        <v>5760</v>
      </c>
      <c r="F2960" s="74">
        <v>150.0</v>
      </c>
      <c r="G2960" s="74">
        <v>0.3512</v>
      </c>
      <c r="H2960" s="74">
        <v>0.348</v>
      </c>
      <c r="I2960" s="74">
        <v>0.3469</v>
      </c>
      <c r="J2960" s="74">
        <v>0.348</v>
      </c>
      <c r="K2960" s="75"/>
      <c r="L2960" s="75"/>
      <c r="M2960" s="75"/>
      <c r="N2960" s="75"/>
      <c r="O2960" s="75"/>
      <c r="P2960" s="75"/>
      <c r="Q2960" s="75"/>
      <c r="R2960" s="75"/>
      <c r="S2960" s="75"/>
      <c r="T2960" s="75"/>
      <c r="U2960" s="75"/>
      <c r="V2960" s="75"/>
      <c r="W2960" s="75"/>
      <c r="X2960" s="74">
        <v>0.3543</v>
      </c>
    </row>
    <row r="2961">
      <c r="A2961" s="76" t="s">
        <v>5774</v>
      </c>
      <c r="B2961" s="76" t="s">
        <v>1047</v>
      </c>
      <c r="C2961" s="76">
        <v>31.0</v>
      </c>
      <c r="D2961" s="76" t="s">
        <v>5646</v>
      </c>
      <c r="E2961" s="76" t="s">
        <v>5760</v>
      </c>
      <c r="F2961" s="74">
        <v>150.0</v>
      </c>
      <c r="G2961" s="76">
        <v>0.3512</v>
      </c>
      <c r="H2961" s="76">
        <v>0.348</v>
      </c>
      <c r="I2961" s="76">
        <v>0.3469</v>
      </c>
      <c r="J2961" s="76">
        <v>0.3657</v>
      </c>
      <c r="K2961" s="77"/>
      <c r="L2961" s="77"/>
      <c r="M2961" s="77"/>
      <c r="N2961" s="77"/>
      <c r="O2961" s="77"/>
      <c r="P2961" s="77"/>
      <c r="Q2961" s="77"/>
      <c r="R2961" s="77"/>
      <c r="S2961" s="77"/>
      <c r="T2961" s="77"/>
      <c r="U2961" s="77"/>
      <c r="V2961" s="77"/>
      <c r="W2961" s="77"/>
      <c r="X2961" s="76">
        <v>0.375</v>
      </c>
    </row>
    <row r="2962">
      <c r="A2962" s="74" t="s">
        <v>5775</v>
      </c>
      <c r="B2962" s="74" t="s">
        <v>1047</v>
      </c>
      <c r="C2962" s="76">
        <v>32.0</v>
      </c>
      <c r="D2962" s="74" t="s">
        <v>5646</v>
      </c>
      <c r="E2962" s="74" t="s">
        <v>5760</v>
      </c>
      <c r="F2962" s="74">
        <v>150.0</v>
      </c>
      <c r="G2962" s="74">
        <v>0.3512</v>
      </c>
      <c r="H2962" s="74">
        <v>0.3657</v>
      </c>
      <c r="I2962" s="74">
        <v>0.348</v>
      </c>
      <c r="J2962" s="74">
        <v>0.3496</v>
      </c>
      <c r="K2962" s="75"/>
      <c r="L2962" s="75"/>
      <c r="M2962" s="75"/>
      <c r="N2962" s="75"/>
      <c r="O2962" s="75"/>
      <c r="P2962" s="75"/>
      <c r="Q2962" s="75"/>
      <c r="R2962" s="75"/>
      <c r="S2962" s="75"/>
      <c r="T2962" s="75"/>
      <c r="U2962" s="75"/>
      <c r="V2962" s="75"/>
      <c r="W2962" s="75"/>
      <c r="X2962" s="74">
        <v>0.375</v>
      </c>
    </row>
    <row r="2963">
      <c r="A2963" s="76" t="s">
        <v>5776</v>
      </c>
      <c r="B2963" s="76" t="s">
        <v>1047</v>
      </c>
      <c r="C2963" s="76">
        <v>33.0</v>
      </c>
      <c r="D2963" s="76" t="s">
        <v>5646</v>
      </c>
      <c r="E2963" s="76" t="s">
        <v>5777</v>
      </c>
      <c r="F2963" s="74">
        <v>150.0</v>
      </c>
      <c r="G2963" s="76">
        <v>0.348</v>
      </c>
      <c r="H2963" s="76">
        <v>0.3657</v>
      </c>
      <c r="I2963" s="76">
        <v>0.348</v>
      </c>
      <c r="J2963" s="76">
        <v>0.348</v>
      </c>
      <c r="K2963" s="77"/>
      <c r="L2963" s="77"/>
      <c r="M2963" s="77"/>
      <c r="N2963" s="77"/>
      <c r="O2963" s="77"/>
      <c r="P2963" s="77"/>
      <c r="Q2963" s="77"/>
      <c r="R2963" s="77"/>
      <c r="S2963" s="77"/>
      <c r="T2963" s="77"/>
      <c r="U2963" s="77"/>
      <c r="V2963" s="77"/>
      <c r="W2963" s="77"/>
      <c r="X2963" s="76">
        <v>0.375</v>
      </c>
    </row>
    <row r="2964">
      <c r="A2964" s="74" t="s">
        <v>5778</v>
      </c>
      <c r="B2964" s="74" t="s">
        <v>1047</v>
      </c>
      <c r="C2964" s="76">
        <v>34.0</v>
      </c>
      <c r="D2964" s="74" t="s">
        <v>5646</v>
      </c>
      <c r="E2964" s="74" t="s">
        <v>5777</v>
      </c>
      <c r="F2964" s="74">
        <v>150.0</v>
      </c>
      <c r="G2964" s="74">
        <v>0.3496</v>
      </c>
      <c r="H2964" s="74">
        <v>0.3642</v>
      </c>
      <c r="I2964" s="74">
        <v>0.348</v>
      </c>
      <c r="J2964" s="74">
        <v>0.3685</v>
      </c>
      <c r="K2964" s="75"/>
      <c r="L2964" s="75"/>
      <c r="M2964" s="75"/>
      <c r="N2964" s="75"/>
      <c r="O2964" s="75"/>
      <c r="P2964" s="75"/>
      <c r="Q2964" s="75"/>
      <c r="R2964" s="75"/>
      <c r="S2964" s="75"/>
      <c r="T2964" s="75"/>
      <c r="U2964" s="75"/>
      <c r="V2964" s="75"/>
      <c r="W2964" s="75"/>
      <c r="X2964" s="74">
        <v>0.375</v>
      </c>
    </row>
    <row r="2965">
      <c r="A2965" s="76" t="s">
        <v>5779</v>
      </c>
      <c r="B2965" s="76" t="s">
        <v>1047</v>
      </c>
      <c r="C2965" s="76">
        <v>35.0</v>
      </c>
      <c r="D2965" s="76" t="s">
        <v>5646</v>
      </c>
      <c r="E2965" s="76" t="s">
        <v>5777</v>
      </c>
      <c r="F2965" s="74">
        <v>150.0</v>
      </c>
      <c r="G2965" s="76">
        <v>0.348</v>
      </c>
      <c r="H2965" s="76">
        <v>0.3669</v>
      </c>
      <c r="I2965" s="76">
        <v>0.3469</v>
      </c>
      <c r="J2965" s="76">
        <v>0.3512</v>
      </c>
      <c r="K2965" s="77"/>
      <c r="L2965" s="77"/>
      <c r="M2965" s="77"/>
      <c r="N2965" s="77"/>
      <c r="O2965" s="77"/>
      <c r="P2965" s="77"/>
      <c r="Q2965" s="77"/>
      <c r="R2965" s="77"/>
      <c r="S2965" s="77"/>
      <c r="T2965" s="77"/>
      <c r="U2965" s="77"/>
      <c r="V2965" s="77"/>
      <c r="W2965" s="77"/>
      <c r="X2965" s="76">
        <v>0.375</v>
      </c>
    </row>
    <row r="2966">
      <c r="A2966" s="74" t="s">
        <v>5780</v>
      </c>
      <c r="B2966" s="74" t="s">
        <v>1047</v>
      </c>
      <c r="C2966" s="76">
        <v>36.0</v>
      </c>
      <c r="D2966" s="74" t="s">
        <v>5646</v>
      </c>
      <c r="E2966" s="74" t="s">
        <v>5777</v>
      </c>
      <c r="F2966" s="74">
        <v>150.0</v>
      </c>
      <c r="G2966" s="74">
        <v>0.348</v>
      </c>
      <c r="H2966" s="74">
        <v>0.348</v>
      </c>
      <c r="I2966" s="74">
        <v>0.348</v>
      </c>
      <c r="J2966" s="74">
        <v>0.3512</v>
      </c>
      <c r="K2966" s="75"/>
      <c r="L2966" s="75"/>
      <c r="M2966" s="75"/>
      <c r="N2966" s="75"/>
      <c r="O2966" s="75"/>
      <c r="P2966" s="75"/>
      <c r="Q2966" s="75"/>
      <c r="R2966" s="75"/>
      <c r="S2966" s="75"/>
      <c r="T2966" s="75"/>
      <c r="U2966" s="75"/>
      <c r="V2966" s="75"/>
      <c r="W2966" s="75"/>
      <c r="X2966" s="74">
        <v>0.3543</v>
      </c>
    </row>
    <row r="2967">
      <c r="A2967" s="76" t="s">
        <v>5781</v>
      </c>
      <c r="B2967" s="76" t="s">
        <v>1047</v>
      </c>
      <c r="C2967" s="76">
        <v>37.0</v>
      </c>
      <c r="D2967" s="76" t="s">
        <v>5646</v>
      </c>
      <c r="E2967" s="76" t="s">
        <v>5777</v>
      </c>
      <c r="F2967" s="74">
        <v>150.0</v>
      </c>
      <c r="G2967" s="76">
        <v>0.348</v>
      </c>
      <c r="H2967" s="76">
        <v>0.348</v>
      </c>
      <c r="I2967" s="76">
        <v>0.348</v>
      </c>
      <c r="J2967" s="76">
        <v>0.3512</v>
      </c>
      <c r="K2967" s="77"/>
      <c r="L2967" s="77"/>
      <c r="M2967" s="77"/>
      <c r="N2967" s="77"/>
      <c r="O2967" s="77"/>
      <c r="P2967" s="77"/>
      <c r="Q2967" s="77"/>
      <c r="R2967" s="77"/>
      <c r="S2967" s="77"/>
      <c r="T2967" s="77"/>
      <c r="U2967" s="77"/>
      <c r="V2967" s="77"/>
      <c r="W2967" s="77"/>
      <c r="X2967" s="76">
        <v>0.3543</v>
      </c>
    </row>
    <row r="2968">
      <c r="A2968" s="74" t="s">
        <v>5782</v>
      </c>
      <c r="B2968" s="74" t="s">
        <v>1047</v>
      </c>
      <c r="C2968" s="76">
        <v>38.0</v>
      </c>
      <c r="D2968" s="74" t="s">
        <v>5646</v>
      </c>
      <c r="E2968" s="74" t="s">
        <v>5777</v>
      </c>
      <c r="F2968" s="74">
        <v>150.0</v>
      </c>
      <c r="G2968" s="74">
        <v>0.3496</v>
      </c>
      <c r="H2968" s="74">
        <v>0.3657</v>
      </c>
      <c r="I2968" s="74">
        <v>0.3496</v>
      </c>
      <c r="J2968" s="74">
        <v>0.348</v>
      </c>
      <c r="K2968" s="75"/>
      <c r="L2968" s="75"/>
      <c r="M2968" s="75"/>
      <c r="N2968" s="75"/>
      <c r="O2968" s="75"/>
      <c r="P2968" s="75"/>
      <c r="Q2968" s="75"/>
      <c r="R2968" s="75"/>
      <c r="S2968" s="75"/>
      <c r="T2968" s="75"/>
      <c r="U2968" s="75"/>
      <c r="V2968" s="75"/>
      <c r="W2968" s="75"/>
      <c r="X2968" s="74">
        <v>0.375</v>
      </c>
    </row>
    <row r="2969">
      <c r="A2969" s="76" t="s">
        <v>5783</v>
      </c>
      <c r="B2969" s="76" t="s">
        <v>1047</v>
      </c>
      <c r="C2969" s="76">
        <v>39.0</v>
      </c>
      <c r="D2969" s="76" t="s">
        <v>5646</v>
      </c>
      <c r="E2969" s="76" t="s">
        <v>5777</v>
      </c>
      <c r="F2969" s="74">
        <v>150.0</v>
      </c>
      <c r="G2969" s="76">
        <v>0.3496</v>
      </c>
      <c r="H2969" s="76">
        <v>0.3642</v>
      </c>
      <c r="I2969" s="76">
        <v>0.348</v>
      </c>
      <c r="J2969" s="76">
        <v>0.3496</v>
      </c>
      <c r="K2969" s="77"/>
      <c r="L2969" s="77"/>
      <c r="M2969" s="77"/>
      <c r="N2969" s="77"/>
      <c r="O2969" s="77"/>
      <c r="P2969" s="77"/>
      <c r="Q2969" s="77"/>
      <c r="R2969" s="77"/>
      <c r="S2969" s="77"/>
      <c r="T2969" s="77"/>
      <c r="U2969" s="77"/>
      <c r="V2969" s="77"/>
      <c r="W2969" s="77"/>
      <c r="X2969" s="76">
        <v>0.3543</v>
      </c>
    </row>
    <row r="2970">
      <c r="A2970" s="74" t="s">
        <v>5784</v>
      </c>
      <c r="B2970" s="74" t="s">
        <v>1047</v>
      </c>
      <c r="C2970" s="76">
        <v>40.0</v>
      </c>
      <c r="D2970" s="74" t="s">
        <v>5646</v>
      </c>
      <c r="E2970" s="74" t="s">
        <v>5777</v>
      </c>
      <c r="F2970" s="74">
        <v>150.0</v>
      </c>
      <c r="G2970" s="74">
        <v>0.3657</v>
      </c>
      <c r="H2970" s="74">
        <v>0.3642</v>
      </c>
      <c r="I2970" s="74">
        <v>0.3657</v>
      </c>
      <c r="J2970" s="74">
        <v>0.348</v>
      </c>
      <c r="K2970" s="75"/>
      <c r="L2970" s="75"/>
      <c r="M2970" s="75"/>
      <c r="N2970" s="75"/>
      <c r="O2970" s="75"/>
      <c r="P2970" s="75"/>
      <c r="Q2970" s="75"/>
      <c r="R2970" s="75"/>
      <c r="S2970" s="75"/>
      <c r="T2970" s="75"/>
      <c r="U2970" s="75"/>
      <c r="V2970" s="75"/>
      <c r="W2970" s="75"/>
      <c r="X2970" s="74">
        <v>0.375</v>
      </c>
    </row>
    <row r="2971">
      <c r="A2971" s="76" t="s">
        <v>5785</v>
      </c>
      <c r="B2971" s="76" t="s">
        <v>1047</v>
      </c>
      <c r="C2971" s="76">
        <v>41.0</v>
      </c>
      <c r="D2971" s="76" t="s">
        <v>5646</v>
      </c>
      <c r="E2971" s="76" t="s">
        <v>5777</v>
      </c>
      <c r="F2971" s="74">
        <v>150.0</v>
      </c>
      <c r="G2971" s="76">
        <v>0.3496</v>
      </c>
      <c r="H2971" s="76">
        <v>0.348</v>
      </c>
      <c r="I2971" s="76">
        <v>0.3496</v>
      </c>
      <c r="J2971" s="76">
        <v>0.3496</v>
      </c>
      <c r="K2971" s="77"/>
      <c r="L2971" s="77"/>
      <c r="M2971" s="77"/>
      <c r="N2971" s="77"/>
      <c r="O2971" s="77"/>
      <c r="P2971" s="77"/>
      <c r="Q2971" s="77"/>
      <c r="R2971" s="77"/>
      <c r="S2971" s="77"/>
      <c r="T2971" s="77"/>
      <c r="U2971" s="77"/>
      <c r="V2971" s="77"/>
      <c r="W2971" s="77"/>
      <c r="X2971" s="76">
        <v>0.3543</v>
      </c>
    </row>
    <row r="2972">
      <c r="A2972" s="74" t="s">
        <v>5786</v>
      </c>
      <c r="B2972" s="74" t="s">
        <v>1047</v>
      </c>
      <c r="C2972" s="76">
        <v>42.0</v>
      </c>
      <c r="D2972" s="74" t="s">
        <v>5646</v>
      </c>
      <c r="E2972" s="74" t="s">
        <v>5777</v>
      </c>
      <c r="F2972" s="74">
        <v>150.0</v>
      </c>
      <c r="G2972" s="74">
        <v>0.3496</v>
      </c>
      <c r="H2972" s="74">
        <v>0.3469</v>
      </c>
      <c r="I2972" s="74">
        <v>0.3701</v>
      </c>
      <c r="J2972" s="74">
        <v>0.3512</v>
      </c>
      <c r="K2972" s="75"/>
      <c r="L2972" s="75"/>
      <c r="M2972" s="75"/>
      <c r="N2972" s="75"/>
      <c r="O2972" s="75"/>
      <c r="P2972" s="75"/>
      <c r="Q2972" s="75"/>
      <c r="R2972" s="75"/>
      <c r="S2972" s="75"/>
      <c r="T2972" s="75"/>
      <c r="U2972" s="75"/>
      <c r="V2972" s="75"/>
      <c r="W2972" s="75"/>
      <c r="X2972" s="74">
        <v>0.375</v>
      </c>
    </row>
    <row r="2973">
      <c r="A2973" s="76" t="s">
        <v>5787</v>
      </c>
      <c r="B2973" s="76" t="s">
        <v>1047</v>
      </c>
      <c r="C2973" s="76">
        <v>43.0</v>
      </c>
      <c r="D2973" s="76" t="s">
        <v>5646</v>
      </c>
      <c r="E2973" s="76" t="s">
        <v>5777</v>
      </c>
      <c r="F2973" s="74">
        <v>150.0</v>
      </c>
      <c r="G2973" s="76">
        <v>0.348</v>
      </c>
      <c r="H2973" s="76">
        <v>0.3496</v>
      </c>
      <c r="I2973" s="76">
        <v>0.3469</v>
      </c>
      <c r="J2973" s="76">
        <v>0.348</v>
      </c>
      <c r="K2973" s="77"/>
      <c r="L2973" s="77"/>
      <c r="M2973" s="77"/>
      <c r="N2973" s="77"/>
      <c r="O2973" s="77"/>
      <c r="P2973" s="77"/>
      <c r="Q2973" s="77"/>
      <c r="R2973" s="77"/>
      <c r="S2973" s="77"/>
      <c r="T2973" s="77"/>
      <c r="U2973" s="77"/>
      <c r="V2973" s="77"/>
      <c r="W2973" s="77"/>
      <c r="X2973" s="76">
        <v>0.3543</v>
      </c>
    </row>
    <row r="2974">
      <c r="A2974" s="74" t="s">
        <v>5788</v>
      </c>
      <c r="B2974" s="74" t="s">
        <v>1047</v>
      </c>
      <c r="C2974" s="76">
        <v>44.0</v>
      </c>
      <c r="D2974" s="74" t="s">
        <v>5646</v>
      </c>
      <c r="E2974" s="74" t="s">
        <v>5777</v>
      </c>
      <c r="F2974" s="74">
        <v>150.0</v>
      </c>
      <c r="G2974" s="74">
        <v>0.348</v>
      </c>
      <c r="H2974" s="74">
        <v>0.3524</v>
      </c>
      <c r="I2974" s="74">
        <v>0.3512</v>
      </c>
      <c r="J2974" s="74">
        <v>0.3685</v>
      </c>
      <c r="K2974" s="75"/>
      <c r="L2974" s="75"/>
      <c r="M2974" s="75"/>
      <c r="N2974" s="75"/>
      <c r="O2974" s="75"/>
      <c r="P2974" s="75"/>
      <c r="Q2974" s="75"/>
      <c r="R2974" s="75"/>
      <c r="S2974" s="75"/>
      <c r="T2974" s="75"/>
      <c r="U2974" s="75"/>
      <c r="V2974" s="75"/>
      <c r="W2974" s="75"/>
      <c r="X2974" s="74">
        <v>0.375</v>
      </c>
    </row>
    <row r="2975">
      <c r="A2975" s="76" t="s">
        <v>5789</v>
      </c>
      <c r="B2975" s="76" t="s">
        <v>1047</v>
      </c>
      <c r="C2975" s="76">
        <v>45.0</v>
      </c>
      <c r="D2975" s="76" t="s">
        <v>5646</v>
      </c>
      <c r="E2975" s="76" t="s">
        <v>5777</v>
      </c>
      <c r="F2975" s="74">
        <v>150.0</v>
      </c>
      <c r="G2975" s="76">
        <v>0.3512</v>
      </c>
      <c r="H2975" s="76">
        <v>0.3496</v>
      </c>
      <c r="I2975" s="76">
        <v>0.3717</v>
      </c>
      <c r="J2975" s="76">
        <v>0.348</v>
      </c>
      <c r="K2975" s="77"/>
      <c r="L2975" s="77"/>
      <c r="M2975" s="77"/>
      <c r="N2975" s="77"/>
      <c r="O2975" s="77"/>
      <c r="P2975" s="77"/>
      <c r="Q2975" s="77"/>
      <c r="R2975" s="77"/>
      <c r="S2975" s="77"/>
      <c r="T2975" s="77"/>
      <c r="U2975" s="77"/>
      <c r="V2975" s="77"/>
      <c r="W2975" s="77"/>
      <c r="X2975" s="76">
        <v>0.375</v>
      </c>
    </row>
    <row r="2976">
      <c r="A2976" s="74" t="s">
        <v>5790</v>
      </c>
      <c r="B2976" s="74" t="s">
        <v>1047</v>
      </c>
      <c r="C2976" s="76">
        <v>46.0</v>
      </c>
      <c r="D2976" s="74" t="s">
        <v>5646</v>
      </c>
      <c r="E2976" s="74" t="s">
        <v>5777</v>
      </c>
      <c r="F2976" s="74">
        <v>150.0</v>
      </c>
      <c r="G2976" s="74">
        <v>0.3496</v>
      </c>
      <c r="H2976" s="74">
        <v>0.3512</v>
      </c>
      <c r="I2976" s="74">
        <v>0.3728</v>
      </c>
      <c r="J2976" s="74">
        <v>0.3669</v>
      </c>
      <c r="K2976" s="75"/>
      <c r="L2976" s="75"/>
      <c r="M2976" s="75"/>
      <c r="N2976" s="75"/>
      <c r="O2976" s="75"/>
      <c r="P2976" s="75"/>
      <c r="Q2976" s="75"/>
      <c r="R2976" s="75"/>
      <c r="S2976" s="75"/>
      <c r="T2976" s="75"/>
      <c r="U2976" s="75"/>
      <c r="V2976" s="75"/>
      <c r="W2976" s="75"/>
      <c r="X2976" s="74">
        <v>0.375</v>
      </c>
    </row>
    <row r="2977">
      <c r="A2977" s="76" t="s">
        <v>5791</v>
      </c>
      <c r="B2977" s="76" t="s">
        <v>1047</v>
      </c>
      <c r="C2977" s="76">
        <v>47.0</v>
      </c>
      <c r="D2977" s="76" t="s">
        <v>5646</v>
      </c>
      <c r="E2977" s="76" t="s">
        <v>5777</v>
      </c>
      <c r="F2977" s="74">
        <v>150.0</v>
      </c>
      <c r="G2977" s="76">
        <v>0.3496</v>
      </c>
      <c r="H2977" s="76">
        <v>0.3512</v>
      </c>
      <c r="I2977" s="76">
        <v>0.3642</v>
      </c>
      <c r="J2977" s="76">
        <v>0.3512</v>
      </c>
      <c r="K2977" s="77"/>
      <c r="L2977" s="77"/>
      <c r="M2977" s="77"/>
      <c r="N2977" s="77"/>
      <c r="O2977" s="77"/>
      <c r="P2977" s="77"/>
      <c r="Q2977" s="77"/>
      <c r="R2977" s="77"/>
      <c r="S2977" s="77"/>
      <c r="T2977" s="77"/>
      <c r="U2977" s="77"/>
      <c r="V2977" s="77"/>
      <c r="W2977" s="77"/>
      <c r="X2977" s="76">
        <v>0.3543</v>
      </c>
    </row>
    <row r="2978">
      <c r="A2978" s="74" t="s">
        <v>5792</v>
      </c>
      <c r="B2978" s="74" t="s">
        <v>1047</v>
      </c>
      <c r="C2978" s="76">
        <v>48.0</v>
      </c>
      <c r="D2978" s="74" t="s">
        <v>5646</v>
      </c>
      <c r="E2978" s="74" t="s">
        <v>5777</v>
      </c>
      <c r="F2978" s="74">
        <v>150.0</v>
      </c>
      <c r="G2978" s="74">
        <v>0.3496</v>
      </c>
      <c r="H2978" s="74">
        <v>0.3512</v>
      </c>
      <c r="I2978" s="74">
        <v>0.3512</v>
      </c>
      <c r="J2978" s="74">
        <v>0.3512</v>
      </c>
      <c r="K2978" s="75"/>
      <c r="L2978" s="75"/>
      <c r="M2978" s="75"/>
      <c r="N2978" s="75"/>
      <c r="O2978" s="75"/>
      <c r="P2978" s="75"/>
      <c r="Q2978" s="75"/>
      <c r="R2978" s="75"/>
      <c r="S2978" s="75"/>
      <c r="T2978" s="75"/>
      <c r="U2978" s="75"/>
      <c r="V2978" s="75"/>
      <c r="W2978" s="75"/>
      <c r="X2978" s="74">
        <v>0.3543</v>
      </c>
    </row>
    <row r="2979">
      <c r="A2979" s="76" t="s">
        <v>5793</v>
      </c>
      <c r="B2979" s="76" t="s">
        <v>1047</v>
      </c>
      <c r="C2979" s="76">
        <v>49.0</v>
      </c>
      <c r="D2979" s="76" t="s">
        <v>5646</v>
      </c>
      <c r="E2979" s="76" t="s">
        <v>5794</v>
      </c>
      <c r="F2979" s="74">
        <v>150.0</v>
      </c>
      <c r="G2979" s="76">
        <v>0.3118</v>
      </c>
      <c r="H2979" s="76">
        <v>0.3118</v>
      </c>
      <c r="I2979" s="76">
        <v>0.3118</v>
      </c>
      <c r="J2979" s="76">
        <v>0.3102</v>
      </c>
      <c r="K2979" s="77"/>
      <c r="L2979" s="77"/>
      <c r="M2979" s="77"/>
      <c r="N2979" s="77"/>
      <c r="O2979" s="77"/>
      <c r="P2979" s="77"/>
      <c r="Q2979" s="77"/>
      <c r="R2979" s="77"/>
      <c r="S2979" s="77"/>
      <c r="T2979" s="77"/>
      <c r="U2979" s="77"/>
      <c r="V2979" s="77"/>
      <c r="W2979" s="77"/>
      <c r="X2979" s="76">
        <v>0.3125</v>
      </c>
    </row>
    <row r="2980">
      <c r="A2980" s="74" t="s">
        <v>5795</v>
      </c>
      <c r="B2980" s="74" t="s">
        <v>1047</v>
      </c>
      <c r="C2980" s="76">
        <v>50.0</v>
      </c>
      <c r="D2980" s="74" t="s">
        <v>5646</v>
      </c>
      <c r="E2980" s="74" t="s">
        <v>5794</v>
      </c>
      <c r="F2980" s="74">
        <v>150.0</v>
      </c>
      <c r="G2980" s="74">
        <v>0.3118</v>
      </c>
      <c r="H2980" s="74">
        <v>0.3264</v>
      </c>
      <c r="I2980" s="74">
        <v>0.328</v>
      </c>
      <c r="J2980" s="74">
        <v>0.3264</v>
      </c>
      <c r="K2980" s="75"/>
      <c r="L2980" s="75"/>
      <c r="M2980" s="75"/>
      <c r="N2980" s="75"/>
      <c r="O2980" s="75"/>
      <c r="P2980" s="75"/>
      <c r="Q2980" s="75"/>
      <c r="R2980" s="75"/>
      <c r="S2980" s="75"/>
      <c r="T2980" s="75"/>
      <c r="U2980" s="75"/>
      <c r="V2980" s="75"/>
      <c r="W2980" s="75"/>
      <c r="X2980" s="74">
        <v>0.3125</v>
      </c>
    </row>
    <row r="2981">
      <c r="A2981" s="76" t="s">
        <v>5796</v>
      </c>
      <c r="B2981" s="76" t="s">
        <v>1047</v>
      </c>
      <c r="C2981" s="76">
        <v>51.0</v>
      </c>
      <c r="D2981" s="76" t="s">
        <v>5646</v>
      </c>
      <c r="E2981" s="76" t="s">
        <v>5794</v>
      </c>
      <c r="F2981" s="74">
        <v>150.0</v>
      </c>
      <c r="G2981" s="76">
        <v>0.3118</v>
      </c>
      <c r="H2981" s="76">
        <v>0.3118</v>
      </c>
      <c r="I2981" s="76">
        <v>0.3291</v>
      </c>
      <c r="J2981" s="76">
        <v>0.3102</v>
      </c>
      <c r="K2981" s="77"/>
      <c r="L2981" s="77"/>
      <c r="M2981" s="77"/>
      <c r="N2981" s="77"/>
      <c r="O2981" s="77"/>
      <c r="P2981" s="77"/>
      <c r="Q2981" s="77"/>
      <c r="R2981" s="77"/>
      <c r="S2981" s="77"/>
      <c r="T2981" s="77"/>
      <c r="U2981" s="77"/>
      <c r="V2981" s="77"/>
      <c r="W2981" s="77"/>
      <c r="X2981" s="76">
        <v>0.3125</v>
      </c>
    </row>
    <row r="2982">
      <c r="A2982" s="74" t="s">
        <v>5797</v>
      </c>
      <c r="B2982" s="74" t="s">
        <v>1047</v>
      </c>
      <c r="C2982" s="76">
        <v>52.0</v>
      </c>
      <c r="D2982" s="74" t="s">
        <v>5646</v>
      </c>
      <c r="E2982" s="74" t="s">
        <v>5794</v>
      </c>
      <c r="F2982" s="74">
        <v>150.0</v>
      </c>
      <c r="G2982" s="74">
        <v>0.3118</v>
      </c>
      <c r="H2982" s="74">
        <v>0.3118</v>
      </c>
      <c r="I2982" s="74">
        <v>0.3291</v>
      </c>
      <c r="J2982" s="74">
        <v>0.3118</v>
      </c>
      <c r="K2982" s="75"/>
      <c r="L2982" s="75"/>
      <c r="M2982" s="75"/>
      <c r="N2982" s="75"/>
      <c r="O2982" s="75"/>
      <c r="P2982" s="75"/>
      <c r="Q2982" s="75"/>
      <c r="R2982" s="75"/>
      <c r="S2982" s="75"/>
      <c r="T2982" s="75"/>
      <c r="U2982" s="75"/>
      <c r="V2982" s="75"/>
      <c r="W2982" s="75"/>
      <c r="X2982" s="74">
        <v>0.3125</v>
      </c>
    </row>
    <row r="2983">
      <c r="A2983" s="76" t="s">
        <v>5798</v>
      </c>
      <c r="B2983" s="76" t="s">
        <v>1047</v>
      </c>
      <c r="C2983" s="76">
        <v>53.0</v>
      </c>
      <c r="D2983" s="76" t="s">
        <v>5646</v>
      </c>
      <c r="E2983" s="76" t="s">
        <v>5794</v>
      </c>
      <c r="F2983" s="74">
        <v>150.0</v>
      </c>
      <c r="G2983" s="76">
        <v>0.3118</v>
      </c>
      <c r="H2983" s="76">
        <v>0.313</v>
      </c>
      <c r="I2983" s="76">
        <v>0.3291</v>
      </c>
      <c r="J2983" s="76">
        <v>0.3118</v>
      </c>
      <c r="K2983" s="77"/>
      <c r="L2983" s="77"/>
      <c r="M2983" s="77"/>
      <c r="N2983" s="77"/>
      <c r="O2983" s="77"/>
      <c r="P2983" s="77"/>
      <c r="Q2983" s="77"/>
      <c r="R2983" s="77"/>
      <c r="S2983" s="77"/>
      <c r="T2983" s="77"/>
      <c r="U2983" s="77"/>
      <c r="V2983" s="77"/>
      <c r="W2983" s="77"/>
      <c r="X2983" s="76">
        <v>0.3125</v>
      </c>
    </row>
    <row r="2984">
      <c r="A2984" s="74" t="s">
        <v>5799</v>
      </c>
      <c r="B2984" s="74" t="s">
        <v>1047</v>
      </c>
      <c r="C2984" s="76">
        <v>54.0</v>
      </c>
      <c r="D2984" s="74" t="s">
        <v>5646</v>
      </c>
      <c r="E2984" s="74" t="s">
        <v>5794</v>
      </c>
      <c r="F2984" s="74">
        <v>150.0</v>
      </c>
      <c r="G2984" s="74">
        <v>0.3118</v>
      </c>
      <c r="H2984" s="74">
        <v>0.3146</v>
      </c>
      <c r="I2984" s="74">
        <v>0.3291</v>
      </c>
      <c r="J2984" s="74">
        <v>0.3102</v>
      </c>
      <c r="K2984" s="75"/>
      <c r="L2984" s="75"/>
      <c r="M2984" s="75"/>
      <c r="N2984" s="75"/>
      <c r="O2984" s="75"/>
      <c r="P2984" s="75"/>
      <c r="Q2984" s="75"/>
      <c r="R2984" s="75"/>
      <c r="S2984" s="75"/>
      <c r="T2984" s="75"/>
      <c r="U2984" s="75"/>
      <c r="V2984" s="75"/>
      <c r="W2984" s="75"/>
      <c r="X2984" s="74">
        <v>0.3125</v>
      </c>
    </row>
    <row r="2985">
      <c r="A2985" s="76" t="s">
        <v>5800</v>
      </c>
      <c r="B2985" s="76" t="s">
        <v>1047</v>
      </c>
      <c r="C2985" s="76">
        <v>55.0</v>
      </c>
      <c r="D2985" s="76" t="s">
        <v>5646</v>
      </c>
      <c r="E2985" s="76" t="s">
        <v>5794</v>
      </c>
      <c r="F2985" s="74">
        <v>150.0</v>
      </c>
      <c r="G2985" s="76">
        <v>0.3118</v>
      </c>
      <c r="H2985" s="76">
        <v>0.313</v>
      </c>
      <c r="I2985" s="76">
        <v>0.328</v>
      </c>
      <c r="J2985" s="76">
        <v>0.3087</v>
      </c>
      <c r="K2985" s="77"/>
      <c r="L2985" s="77"/>
      <c r="M2985" s="77"/>
      <c r="N2985" s="77"/>
      <c r="O2985" s="77"/>
      <c r="P2985" s="77"/>
      <c r="Q2985" s="77"/>
      <c r="R2985" s="77"/>
      <c r="S2985" s="77"/>
      <c r="T2985" s="77"/>
      <c r="U2985" s="77"/>
      <c r="V2985" s="77"/>
      <c r="W2985" s="77"/>
      <c r="X2985" s="76">
        <v>0.3125</v>
      </c>
    </row>
    <row r="2986">
      <c r="A2986" s="74" t="s">
        <v>5801</v>
      </c>
      <c r="B2986" s="74" t="s">
        <v>1047</v>
      </c>
      <c r="C2986" s="76">
        <v>56.0</v>
      </c>
      <c r="D2986" s="74" t="s">
        <v>5646</v>
      </c>
      <c r="E2986" s="74" t="s">
        <v>5794</v>
      </c>
      <c r="F2986" s="74">
        <v>150.0</v>
      </c>
      <c r="G2986" s="74">
        <v>0.3118</v>
      </c>
      <c r="H2986" s="74">
        <v>0.3291</v>
      </c>
      <c r="I2986" s="74">
        <v>0.328</v>
      </c>
      <c r="J2986" s="74">
        <v>0.3102</v>
      </c>
      <c r="K2986" s="75"/>
      <c r="L2986" s="75"/>
      <c r="M2986" s="75"/>
      <c r="N2986" s="75"/>
      <c r="O2986" s="75"/>
      <c r="P2986" s="75"/>
      <c r="Q2986" s="75"/>
      <c r="R2986" s="75"/>
      <c r="S2986" s="75"/>
      <c r="T2986" s="75"/>
      <c r="U2986" s="75"/>
      <c r="V2986" s="75"/>
      <c r="W2986" s="75"/>
      <c r="X2986" s="74">
        <v>0.3125</v>
      </c>
    </row>
    <row r="2987">
      <c r="A2987" s="76" t="s">
        <v>5802</v>
      </c>
      <c r="B2987" s="76" t="s">
        <v>1047</v>
      </c>
      <c r="C2987" s="76">
        <v>57.0</v>
      </c>
      <c r="D2987" s="76" t="s">
        <v>5646</v>
      </c>
      <c r="E2987" s="76" t="s">
        <v>5794</v>
      </c>
      <c r="F2987" s="74">
        <v>150.0</v>
      </c>
      <c r="G2987" s="76">
        <v>0.313</v>
      </c>
      <c r="H2987" s="76">
        <v>0.3307</v>
      </c>
      <c r="I2987" s="76">
        <v>0.3087</v>
      </c>
      <c r="J2987" s="76">
        <v>0.3102</v>
      </c>
      <c r="K2987" s="77"/>
      <c r="L2987" s="77"/>
      <c r="M2987" s="77"/>
      <c r="N2987" s="77"/>
      <c r="O2987" s="77"/>
      <c r="P2987" s="77"/>
      <c r="Q2987" s="77"/>
      <c r="R2987" s="77"/>
      <c r="S2987" s="77"/>
      <c r="T2987" s="77"/>
      <c r="U2987" s="77"/>
      <c r="V2987" s="77"/>
      <c r="W2987" s="77"/>
      <c r="X2987" s="76">
        <v>0.3125</v>
      </c>
    </row>
    <row r="2988">
      <c r="A2988" s="74" t="s">
        <v>5803</v>
      </c>
      <c r="B2988" s="74" t="s">
        <v>1047</v>
      </c>
      <c r="C2988" s="76">
        <v>58.0</v>
      </c>
      <c r="D2988" s="74" t="s">
        <v>5646</v>
      </c>
      <c r="E2988" s="74" t="s">
        <v>5794</v>
      </c>
      <c r="F2988" s="74">
        <v>150.0</v>
      </c>
      <c r="G2988" s="74">
        <v>0.3118</v>
      </c>
      <c r="H2988" s="74">
        <v>0.3146</v>
      </c>
      <c r="I2988" s="74">
        <v>0.3087</v>
      </c>
      <c r="J2988" s="74">
        <v>0.3118</v>
      </c>
      <c r="K2988" s="75"/>
      <c r="L2988" s="75"/>
      <c r="M2988" s="75"/>
      <c r="N2988" s="75"/>
      <c r="O2988" s="75"/>
      <c r="P2988" s="75"/>
      <c r="Q2988" s="75"/>
      <c r="R2988" s="75"/>
      <c r="S2988" s="75"/>
      <c r="T2988" s="75"/>
      <c r="U2988" s="75"/>
      <c r="V2988" s="75"/>
      <c r="W2988" s="75"/>
      <c r="X2988" s="74">
        <v>0.3125</v>
      </c>
    </row>
    <row r="2989">
      <c r="A2989" s="76" t="s">
        <v>5804</v>
      </c>
      <c r="B2989" s="76" t="s">
        <v>1047</v>
      </c>
      <c r="C2989" s="76">
        <v>59.0</v>
      </c>
      <c r="D2989" s="76" t="s">
        <v>5646</v>
      </c>
      <c r="E2989" s="76" t="s">
        <v>5794</v>
      </c>
      <c r="F2989" s="74">
        <v>150.0</v>
      </c>
      <c r="G2989" s="76">
        <v>0.3102</v>
      </c>
      <c r="H2989" s="76">
        <v>0.3146</v>
      </c>
      <c r="I2989" s="76">
        <v>0.3087</v>
      </c>
      <c r="J2989" s="76">
        <v>0.3118</v>
      </c>
      <c r="K2989" s="77"/>
      <c r="L2989" s="77"/>
      <c r="M2989" s="77"/>
      <c r="N2989" s="77"/>
      <c r="O2989" s="77"/>
      <c r="P2989" s="77"/>
      <c r="Q2989" s="77"/>
      <c r="R2989" s="77"/>
      <c r="S2989" s="77"/>
      <c r="T2989" s="77"/>
      <c r="U2989" s="77"/>
      <c r="V2989" s="77"/>
      <c r="W2989" s="77"/>
      <c r="X2989" s="76">
        <v>0.3125</v>
      </c>
    </row>
    <row r="2990">
      <c r="A2990" s="74" t="s">
        <v>5805</v>
      </c>
      <c r="B2990" s="74" t="s">
        <v>1047</v>
      </c>
      <c r="C2990" s="76">
        <v>60.0</v>
      </c>
      <c r="D2990" s="74" t="s">
        <v>5646</v>
      </c>
      <c r="E2990" s="74" t="s">
        <v>5794</v>
      </c>
      <c r="F2990" s="74">
        <v>150.0</v>
      </c>
      <c r="G2990" s="74">
        <v>0.3118</v>
      </c>
      <c r="H2990" s="74">
        <v>0.3291</v>
      </c>
      <c r="I2990" s="74">
        <v>0.3102</v>
      </c>
      <c r="J2990" s="74">
        <v>0.3102</v>
      </c>
      <c r="K2990" s="75"/>
      <c r="L2990" s="75"/>
      <c r="M2990" s="75"/>
      <c r="N2990" s="75"/>
      <c r="O2990" s="75"/>
      <c r="P2990" s="75"/>
      <c r="Q2990" s="75"/>
      <c r="R2990" s="75"/>
      <c r="S2990" s="75"/>
      <c r="T2990" s="75"/>
      <c r="U2990" s="75"/>
      <c r="V2990" s="75"/>
      <c r="W2990" s="75"/>
      <c r="X2990" s="74">
        <v>0.3125</v>
      </c>
    </row>
    <row r="2991">
      <c r="A2991" s="76" t="s">
        <v>5806</v>
      </c>
      <c r="B2991" s="76" t="s">
        <v>1047</v>
      </c>
      <c r="C2991" s="76">
        <v>61.0</v>
      </c>
      <c r="D2991" s="76" t="s">
        <v>5646</v>
      </c>
      <c r="E2991" s="76" t="s">
        <v>5794</v>
      </c>
      <c r="F2991" s="74">
        <v>150.0</v>
      </c>
      <c r="G2991" s="76">
        <v>0.3118</v>
      </c>
      <c r="H2991" s="76">
        <v>0.3134</v>
      </c>
      <c r="I2991" s="76">
        <v>0.3087</v>
      </c>
      <c r="J2991" s="76">
        <v>0.3102</v>
      </c>
      <c r="K2991" s="77"/>
      <c r="L2991" s="77"/>
      <c r="M2991" s="77"/>
      <c r="N2991" s="77"/>
      <c r="O2991" s="77"/>
      <c r="P2991" s="77"/>
      <c r="Q2991" s="77"/>
      <c r="R2991" s="77"/>
      <c r="S2991" s="77"/>
      <c r="T2991" s="77"/>
      <c r="U2991" s="77"/>
      <c r="V2991" s="77"/>
      <c r="W2991" s="77"/>
      <c r="X2991" s="76">
        <v>0.3125</v>
      </c>
    </row>
    <row r="2992">
      <c r="A2992" s="74" t="s">
        <v>5807</v>
      </c>
      <c r="B2992" s="74" t="s">
        <v>1047</v>
      </c>
      <c r="C2992" s="76">
        <v>62.0</v>
      </c>
      <c r="D2992" s="74" t="s">
        <v>5646</v>
      </c>
      <c r="E2992" s="74" t="s">
        <v>5794</v>
      </c>
      <c r="F2992" s="74">
        <v>150.0</v>
      </c>
      <c r="G2992" s="74">
        <v>0.3118</v>
      </c>
      <c r="H2992" s="74">
        <v>0.3134</v>
      </c>
      <c r="I2992" s="74">
        <v>0.3087</v>
      </c>
      <c r="J2992" s="74">
        <v>0.3276</v>
      </c>
      <c r="K2992" s="75"/>
      <c r="L2992" s="75"/>
      <c r="M2992" s="75"/>
      <c r="N2992" s="75"/>
      <c r="O2992" s="75"/>
      <c r="P2992" s="75"/>
      <c r="Q2992" s="75"/>
      <c r="R2992" s="75"/>
      <c r="S2992" s="75"/>
      <c r="T2992" s="75"/>
      <c r="U2992" s="75"/>
      <c r="V2992" s="75"/>
      <c r="W2992" s="75"/>
      <c r="X2992" s="74">
        <v>0.3125</v>
      </c>
    </row>
    <row r="2993">
      <c r="A2993" s="76" t="s">
        <v>5808</v>
      </c>
      <c r="B2993" s="76" t="s">
        <v>1047</v>
      </c>
      <c r="C2993" s="76">
        <v>63.0</v>
      </c>
      <c r="D2993" s="76" t="s">
        <v>5646</v>
      </c>
      <c r="E2993" s="76" t="s">
        <v>5794</v>
      </c>
      <c r="F2993" s="74">
        <v>150.0</v>
      </c>
      <c r="G2993" s="76">
        <v>0.3118</v>
      </c>
      <c r="H2993" s="76">
        <v>0.328</v>
      </c>
      <c r="I2993" s="76">
        <v>0.3118</v>
      </c>
      <c r="J2993" s="76">
        <v>0.3264</v>
      </c>
      <c r="K2993" s="77"/>
      <c r="L2993" s="77"/>
      <c r="M2993" s="77"/>
      <c r="N2993" s="77"/>
      <c r="O2993" s="77"/>
      <c r="P2993" s="77"/>
      <c r="Q2993" s="77"/>
      <c r="R2993" s="77"/>
      <c r="S2993" s="77"/>
      <c r="T2993" s="77"/>
      <c r="U2993" s="77"/>
      <c r="V2993" s="77"/>
      <c r="W2993" s="77"/>
      <c r="X2993" s="76">
        <v>0.3125</v>
      </c>
    </row>
    <row r="2994">
      <c r="A2994" s="74" t="s">
        <v>5809</v>
      </c>
      <c r="B2994" s="74" t="s">
        <v>1047</v>
      </c>
      <c r="C2994" s="76">
        <v>64.0</v>
      </c>
      <c r="D2994" s="74" t="s">
        <v>5646</v>
      </c>
      <c r="E2994" s="74" t="s">
        <v>5794</v>
      </c>
      <c r="F2994" s="74">
        <v>150.0</v>
      </c>
      <c r="G2994" s="74">
        <v>0.3134</v>
      </c>
      <c r="H2994" s="74">
        <v>0.3146</v>
      </c>
      <c r="I2994" s="74">
        <v>0.3102</v>
      </c>
      <c r="J2994" s="74">
        <v>0.3087</v>
      </c>
      <c r="K2994" s="75"/>
      <c r="L2994" s="75"/>
      <c r="M2994" s="75"/>
      <c r="N2994" s="75"/>
      <c r="O2994" s="75"/>
      <c r="P2994" s="75"/>
      <c r="Q2994" s="75"/>
      <c r="R2994" s="75"/>
      <c r="S2994" s="75"/>
      <c r="T2994" s="75"/>
      <c r="U2994" s="75"/>
      <c r="V2994" s="75"/>
      <c r="W2994" s="75"/>
      <c r="X2994" s="74">
        <v>0.3125</v>
      </c>
    </row>
    <row r="2995">
      <c r="A2995" s="76" t="s">
        <v>5810</v>
      </c>
      <c r="B2995" s="76" t="s">
        <v>1047</v>
      </c>
      <c r="C2995" s="76">
        <v>65.0</v>
      </c>
      <c r="D2995" s="76" t="s">
        <v>5646</v>
      </c>
      <c r="E2995" s="76" t="s">
        <v>5811</v>
      </c>
      <c r="F2995" s="74">
        <v>150.0</v>
      </c>
      <c r="G2995" s="76">
        <v>0.2433</v>
      </c>
      <c r="H2995" s="76">
        <v>0.2492</v>
      </c>
      <c r="I2995" s="76">
        <v>0.2563</v>
      </c>
      <c r="J2995" s="76">
        <v>0.2417</v>
      </c>
      <c r="K2995" s="77"/>
      <c r="L2995" s="77"/>
      <c r="M2995" s="77"/>
      <c r="N2995" s="77"/>
      <c r="O2995" s="77"/>
      <c r="P2995" s="77"/>
      <c r="Q2995" s="77"/>
      <c r="R2995" s="77"/>
      <c r="S2995" s="77"/>
      <c r="T2995" s="77"/>
      <c r="U2995" s="77"/>
      <c r="V2995" s="77"/>
      <c r="W2995" s="77"/>
      <c r="X2995" s="76">
        <v>0.25</v>
      </c>
    </row>
    <row r="2996">
      <c r="A2996" s="74" t="s">
        <v>5812</v>
      </c>
      <c r="B2996" s="74" t="s">
        <v>1047</v>
      </c>
      <c r="C2996" s="76">
        <v>66.0</v>
      </c>
      <c r="D2996" s="74" t="s">
        <v>5646</v>
      </c>
      <c r="E2996" s="74" t="s">
        <v>5811</v>
      </c>
      <c r="F2996" s="74">
        <v>150.0</v>
      </c>
      <c r="G2996" s="74">
        <v>0.2303</v>
      </c>
      <c r="H2996" s="74">
        <v>0.2402</v>
      </c>
      <c r="I2996" s="74">
        <v>0.2449</v>
      </c>
      <c r="J2996" s="74">
        <v>0.2417</v>
      </c>
      <c r="K2996" s="75"/>
      <c r="L2996" s="75"/>
      <c r="M2996" s="75"/>
      <c r="N2996" s="75"/>
      <c r="O2996" s="75"/>
      <c r="P2996" s="75"/>
      <c r="Q2996" s="75"/>
      <c r="R2996" s="75"/>
      <c r="S2996" s="75"/>
      <c r="T2996" s="75"/>
      <c r="U2996" s="75"/>
      <c r="V2996" s="75"/>
      <c r="W2996" s="75"/>
      <c r="X2996" s="74">
        <v>0.25</v>
      </c>
    </row>
    <row r="2997">
      <c r="A2997" s="76" t="s">
        <v>5813</v>
      </c>
      <c r="B2997" s="76" t="s">
        <v>1047</v>
      </c>
      <c r="C2997" s="76">
        <v>67.0</v>
      </c>
      <c r="D2997" s="76" t="s">
        <v>5646</v>
      </c>
      <c r="E2997" s="76" t="s">
        <v>5811</v>
      </c>
      <c r="F2997" s="74">
        <v>150.0</v>
      </c>
      <c r="G2997" s="76">
        <v>0.2315</v>
      </c>
      <c r="H2997" s="76">
        <v>0.2303</v>
      </c>
      <c r="I2997" s="76">
        <v>0.2449</v>
      </c>
      <c r="J2997" s="76">
        <v>0.2417</v>
      </c>
      <c r="K2997" s="77"/>
      <c r="L2997" s="77"/>
      <c r="M2997" s="77"/>
      <c r="N2997" s="77"/>
      <c r="O2997" s="77"/>
      <c r="P2997" s="77"/>
      <c r="Q2997" s="77"/>
      <c r="R2997" s="77"/>
      <c r="S2997" s="77"/>
      <c r="T2997" s="77"/>
      <c r="U2997" s="77"/>
      <c r="V2997" s="77"/>
      <c r="W2997" s="77"/>
      <c r="X2997" s="76">
        <v>0.25</v>
      </c>
    </row>
    <row r="2998">
      <c r="A2998" s="74" t="s">
        <v>5814</v>
      </c>
      <c r="B2998" s="74" t="s">
        <v>1047</v>
      </c>
      <c r="C2998" s="76">
        <v>68.0</v>
      </c>
      <c r="D2998" s="74" t="s">
        <v>5646</v>
      </c>
      <c r="E2998" s="74" t="s">
        <v>5811</v>
      </c>
      <c r="F2998" s="74">
        <v>150.0</v>
      </c>
      <c r="G2998" s="74">
        <v>0.2449</v>
      </c>
      <c r="H2998" s="74">
        <v>0.2433</v>
      </c>
      <c r="I2998" s="74">
        <v>0.2449</v>
      </c>
      <c r="J2998" s="74">
        <v>0.2402</v>
      </c>
      <c r="K2998" s="75"/>
      <c r="L2998" s="75"/>
      <c r="M2998" s="75"/>
      <c r="N2998" s="75"/>
      <c r="O2998" s="75"/>
      <c r="P2998" s="75"/>
      <c r="Q2998" s="75"/>
      <c r="R2998" s="75"/>
      <c r="S2998" s="75"/>
      <c r="T2998" s="75"/>
      <c r="U2998" s="75"/>
      <c r="V2998" s="75"/>
      <c r="W2998" s="75"/>
      <c r="X2998" s="74">
        <v>0.25</v>
      </c>
    </row>
    <row r="2999">
      <c r="A2999" s="76" t="s">
        <v>5815</v>
      </c>
      <c r="B2999" s="76" t="s">
        <v>1047</v>
      </c>
      <c r="C2999" s="76">
        <v>69.0</v>
      </c>
      <c r="D2999" s="76" t="s">
        <v>5646</v>
      </c>
      <c r="E2999" s="76" t="s">
        <v>5811</v>
      </c>
      <c r="F2999" s="74">
        <v>150.0</v>
      </c>
      <c r="G2999" s="76">
        <v>0.2449</v>
      </c>
      <c r="H2999" s="76">
        <v>0.2433</v>
      </c>
      <c r="I2999" s="76">
        <v>0.2449</v>
      </c>
      <c r="J2999" s="76">
        <v>0.2417</v>
      </c>
      <c r="K2999" s="77"/>
      <c r="L2999" s="77"/>
      <c r="M2999" s="77"/>
      <c r="N2999" s="77"/>
      <c r="O2999" s="77"/>
      <c r="P2999" s="77"/>
      <c r="Q2999" s="77"/>
      <c r="R2999" s="77"/>
      <c r="S2999" s="77"/>
      <c r="T2999" s="77"/>
      <c r="U2999" s="77"/>
      <c r="V2999" s="77"/>
      <c r="W2999" s="77"/>
      <c r="X2999" s="76">
        <v>0.25</v>
      </c>
    </row>
    <row r="3000">
      <c r="A3000" s="74" t="s">
        <v>5816</v>
      </c>
      <c r="B3000" s="74" t="s">
        <v>1047</v>
      </c>
      <c r="C3000" s="76">
        <v>70.0</v>
      </c>
      <c r="D3000" s="74" t="s">
        <v>5646</v>
      </c>
      <c r="E3000" s="74" t="s">
        <v>5811</v>
      </c>
      <c r="F3000" s="74">
        <v>150.0</v>
      </c>
      <c r="G3000" s="74">
        <v>0.2433</v>
      </c>
      <c r="H3000" s="74">
        <v>0.2433</v>
      </c>
      <c r="I3000" s="74">
        <v>0.2579</v>
      </c>
      <c r="J3000" s="74">
        <v>0.2402</v>
      </c>
      <c r="K3000" s="75"/>
      <c r="L3000" s="75"/>
      <c r="M3000" s="75"/>
      <c r="N3000" s="75"/>
      <c r="O3000" s="75"/>
      <c r="P3000" s="75"/>
      <c r="Q3000" s="75"/>
      <c r="R3000" s="75"/>
      <c r="S3000" s="75"/>
      <c r="T3000" s="75"/>
      <c r="U3000" s="75"/>
      <c r="V3000" s="75"/>
      <c r="W3000" s="75"/>
      <c r="X3000" s="74">
        <v>0.25</v>
      </c>
    </row>
    <row r="3001">
      <c r="A3001" s="76" t="s">
        <v>5817</v>
      </c>
      <c r="B3001" s="76" t="s">
        <v>1047</v>
      </c>
      <c r="C3001" s="76">
        <v>71.0</v>
      </c>
      <c r="D3001" s="76" t="s">
        <v>5646</v>
      </c>
      <c r="E3001" s="76" t="s">
        <v>5811</v>
      </c>
      <c r="F3001" s="74">
        <v>150.0</v>
      </c>
      <c r="G3001" s="76">
        <v>0.2433</v>
      </c>
      <c r="H3001" s="76">
        <v>0.2433</v>
      </c>
      <c r="I3001" s="76">
        <v>0.2449</v>
      </c>
      <c r="J3001" s="76">
        <v>0.2402</v>
      </c>
      <c r="K3001" s="77"/>
      <c r="L3001" s="77"/>
      <c r="M3001" s="77"/>
      <c r="N3001" s="77"/>
      <c r="O3001" s="77"/>
      <c r="P3001" s="77"/>
      <c r="Q3001" s="77"/>
      <c r="R3001" s="77"/>
      <c r="S3001" s="77"/>
      <c r="T3001" s="77"/>
      <c r="U3001" s="77"/>
      <c r="V3001" s="77"/>
      <c r="W3001" s="77"/>
      <c r="X3001" s="76">
        <v>0.25</v>
      </c>
    </row>
    <row r="3002">
      <c r="A3002" s="74" t="s">
        <v>5818</v>
      </c>
      <c r="B3002" s="74" t="s">
        <v>1047</v>
      </c>
      <c r="C3002" s="76">
        <v>72.0</v>
      </c>
      <c r="D3002" s="74" t="s">
        <v>5646</v>
      </c>
      <c r="E3002" s="74" t="s">
        <v>5811</v>
      </c>
      <c r="F3002" s="74">
        <v>150.0</v>
      </c>
      <c r="G3002" s="74">
        <v>0.2449</v>
      </c>
      <c r="H3002" s="74">
        <v>0.2433</v>
      </c>
      <c r="I3002" s="74">
        <v>0.2449</v>
      </c>
      <c r="J3002" s="74">
        <v>0.2417</v>
      </c>
      <c r="K3002" s="75"/>
      <c r="L3002" s="75"/>
      <c r="M3002" s="75"/>
      <c r="N3002" s="75"/>
      <c r="O3002" s="75"/>
      <c r="P3002" s="75"/>
      <c r="Q3002" s="75"/>
      <c r="R3002" s="75"/>
      <c r="S3002" s="75"/>
      <c r="T3002" s="75"/>
      <c r="U3002" s="75"/>
      <c r="V3002" s="75"/>
      <c r="W3002" s="75"/>
      <c r="X3002" s="74">
        <v>0.25</v>
      </c>
    </row>
    <row r="3003">
      <c r="A3003" s="76" t="s">
        <v>5819</v>
      </c>
      <c r="B3003" s="76" t="s">
        <v>1047</v>
      </c>
      <c r="C3003" s="76">
        <v>73.0</v>
      </c>
      <c r="D3003" s="76" t="s">
        <v>5646</v>
      </c>
      <c r="E3003" s="76" t="s">
        <v>5811</v>
      </c>
      <c r="F3003" s="74">
        <v>150.0</v>
      </c>
      <c r="G3003" s="76">
        <v>0.2449</v>
      </c>
      <c r="H3003" s="76">
        <v>0.2433</v>
      </c>
      <c r="I3003" s="76">
        <v>0.2449</v>
      </c>
      <c r="J3003" s="76">
        <v>0.2417</v>
      </c>
      <c r="K3003" s="77"/>
      <c r="L3003" s="77"/>
      <c r="M3003" s="77"/>
      <c r="N3003" s="77"/>
      <c r="O3003" s="77"/>
      <c r="P3003" s="77"/>
      <c r="Q3003" s="77"/>
      <c r="R3003" s="77"/>
      <c r="S3003" s="77"/>
      <c r="T3003" s="77"/>
      <c r="U3003" s="77"/>
      <c r="V3003" s="77"/>
      <c r="W3003" s="77"/>
      <c r="X3003" s="76">
        <v>0.25</v>
      </c>
    </row>
    <row r="3004">
      <c r="A3004" s="74" t="s">
        <v>5820</v>
      </c>
      <c r="B3004" s="74" t="s">
        <v>1047</v>
      </c>
      <c r="C3004" s="76">
        <v>74.0</v>
      </c>
      <c r="D3004" s="74" t="s">
        <v>5646</v>
      </c>
      <c r="E3004" s="74" t="s">
        <v>5811</v>
      </c>
      <c r="F3004" s="74">
        <v>150.0</v>
      </c>
      <c r="G3004" s="74">
        <v>0.2449</v>
      </c>
      <c r="H3004" s="74">
        <v>0.2433</v>
      </c>
      <c r="I3004" s="74">
        <v>0.2449</v>
      </c>
      <c r="J3004" s="74">
        <v>0.2433</v>
      </c>
      <c r="K3004" s="75"/>
      <c r="L3004" s="75"/>
      <c r="M3004" s="75"/>
      <c r="N3004" s="75"/>
      <c r="O3004" s="75"/>
      <c r="P3004" s="75"/>
      <c r="Q3004" s="75"/>
      <c r="R3004" s="75"/>
      <c r="S3004" s="75"/>
      <c r="T3004" s="75"/>
      <c r="U3004" s="75"/>
      <c r="V3004" s="75"/>
      <c r="W3004" s="75"/>
      <c r="X3004" s="74">
        <v>0.25</v>
      </c>
    </row>
    <row r="3005">
      <c r="A3005" s="76" t="s">
        <v>5821</v>
      </c>
      <c r="B3005" s="76" t="s">
        <v>1047</v>
      </c>
      <c r="C3005" s="76">
        <v>75.0</v>
      </c>
      <c r="D3005" s="76" t="s">
        <v>5646</v>
      </c>
      <c r="E3005" s="76" t="s">
        <v>5811</v>
      </c>
      <c r="F3005" s="74">
        <v>150.0</v>
      </c>
      <c r="G3005" s="76">
        <v>0.2449</v>
      </c>
      <c r="H3005" s="76">
        <v>0.2417</v>
      </c>
      <c r="I3005" s="76">
        <v>0.2449</v>
      </c>
      <c r="J3005" s="76">
        <v>0.2417</v>
      </c>
      <c r="K3005" s="77"/>
      <c r="L3005" s="77"/>
      <c r="M3005" s="77"/>
      <c r="N3005" s="77"/>
      <c r="O3005" s="77"/>
      <c r="P3005" s="77"/>
      <c r="Q3005" s="77"/>
      <c r="R3005" s="77"/>
      <c r="S3005" s="77"/>
      <c r="T3005" s="77"/>
      <c r="U3005" s="77"/>
      <c r="V3005" s="77"/>
      <c r="W3005" s="77"/>
      <c r="X3005" s="76">
        <v>0.25</v>
      </c>
    </row>
    <row r="3006">
      <c r="A3006" s="74" t="s">
        <v>5822</v>
      </c>
      <c r="B3006" s="74" t="s">
        <v>1047</v>
      </c>
      <c r="C3006" s="76">
        <v>76.0</v>
      </c>
      <c r="D3006" s="74" t="s">
        <v>5646</v>
      </c>
      <c r="E3006" s="74" t="s">
        <v>5811</v>
      </c>
      <c r="F3006" s="74">
        <v>150.0</v>
      </c>
      <c r="G3006" s="74">
        <v>0.2449</v>
      </c>
      <c r="H3006" s="74">
        <v>0.2272</v>
      </c>
      <c r="I3006" s="74">
        <v>0.2461</v>
      </c>
      <c r="J3006" s="74">
        <v>0.2417</v>
      </c>
      <c r="K3006" s="75"/>
      <c r="L3006" s="75"/>
      <c r="M3006" s="75"/>
      <c r="N3006" s="75"/>
      <c r="O3006" s="75"/>
      <c r="P3006" s="75"/>
      <c r="Q3006" s="75"/>
      <c r="R3006" s="75"/>
      <c r="S3006" s="75"/>
      <c r="T3006" s="75"/>
      <c r="U3006" s="75"/>
      <c r="V3006" s="75"/>
      <c r="W3006" s="75"/>
      <c r="X3006" s="74">
        <v>0.25</v>
      </c>
    </row>
    <row r="3007">
      <c r="A3007" s="76" t="s">
        <v>5823</v>
      </c>
      <c r="B3007" s="76" t="s">
        <v>1047</v>
      </c>
      <c r="C3007" s="76">
        <v>77.0</v>
      </c>
      <c r="D3007" s="76" t="s">
        <v>5646</v>
      </c>
      <c r="E3007" s="76" t="s">
        <v>5811</v>
      </c>
      <c r="F3007" s="74">
        <v>150.0</v>
      </c>
      <c r="G3007" s="76">
        <v>0.2449</v>
      </c>
      <c r="H3007" s="76">
        <v>0.2433</v>
      </c>
      <c r="I3007" s="76">
        <v>0.2331</v>
      </c>
      <c r="J3007" s="76">
        <v>0.2417</v>
      </c>
      <c r="K3007" s="77"/>
      <c r="L3007" s="77"/>
      <c r="M3007" s="77"/>
      <c r="N3007" s="77"/>
      <c r="O3007" s="77"/>
      <c r="P3007" s="77"/>
      <c r="Q3007" s="77"/>
      <c r="R3007" s="77"/>
      <c r="S3007" s="77"/>
      <c r="T3007" s="77"/>
      <c r="U3007" s="77"/>
      <c r="V3007" s="77"/>
      <c r="W3007" s="77"/>
      <c r="X3007" s="76">
        <v>0.25</v>
      </c>
    </row>
    <row r="3008">
      <c r="A3008" s="74" t="s">
        <v>5824</v>
      </c>
      <c r="B3008" s="74" t="s">
        <v>1047</v>
      </c>
      <c r="C3008" s="76">
        <v>78.0</v>
      </c>
      <c r="D3008" s="74" t="s">
        <v>5646</v>
      </c>
      <c r="E3008" s="74" t="s">
        <v>5811</v>
      </c>
      <c r="F3008" s="74">
        <v>150.0</v>
      </c>
      <c r="G3008" s="74">
        <v>0.2449</v>
      </c>
      <c r="H3008" s="74">
        <v>0.2433</v>
      </c>
      <c r="I3008" s="74">
        <v>0.2461</v>
      </c>
      <c r="J3008" s="74">
        <v>0.2402</v>
      </c>
      <c r="K3008" s="75"/>
      <c r="L3008" s="75"/>
      <c r="M3008" s="75"/>
      <c r="N3008" s="75"/>
      <c r="O3008" s="75"/>
      <c r="P3008" s="75"/>
      <c r="Q3008" s="75"/>
      <c r="R3008" s="75"/>
      <c r="S3008" s="75"/>
      <c r="T3008" s="75"/>
      <c r="U3008" s="75"/>
      <c r="V3008" s="75"/>
      <c r="W3008" s="75"/>
      <c r="X3008" s="74">
        <v>0.25</v>
      </c>
    </row>
    <row r="3009">
      <c r="A3009" s="76" t="s">
        <v>5825</v>
      </c>
      <c r="B3009" s="76" t="s">
        <v>1047</v>
      </c>
      <c r="C3009" s="76">
        <v>79.0</v>
      </c>
      <c r="D3009" s="76" t="s">
        <v>5646</v>
      </c>
      <c r="E3009" s="76" t="s">
        <v>5811</v>
      </c>
      <c r="F3009" s="74">
        <v>150.0</v>
      </c>
      <c r="G3009" s="76">
        <v>0.2449</v>
      </c>
      <c r="H3009" s="76">
        <v>0.2433</v>
      </c>
      <c r="I3009" s="76">
        <v>0.2461</v>
      </c>
      <c r="J3009" s="76">
        <v>0.2417</v>
      </c>
      <c r="K3009" s="77"/>
      <c r="L3009" s="77"/>
      <c r="M3009" s="77"/>
      <c r="N3009" s="77"/>
      <c r="O3009" s="77"/>
      <c r="P3009" s="77"/>
      <c r="Q3009" s="77"/>
      <c r="R3009" s="77"/>
      <c r="S3009" s="77"/>
      <c r="T3009" s="77"/>
      <c r="U3009" s="77"/>
      <c r="V3009" s="77"/>
      <c r="W3009" s="77"/>
      <c r="X3009" s="76">
        <v>0.25</v>
      </c>
    </row>
    <row r="3010">
      <c r="A3010" s="74" t="s">
        <v>5826</v>
      </c>
      <c r="B3010" s="74" t="s">
        <v>1047</v>
      </c>
      <c r="C3010" s="76">
        <v>80.0</v>
      </c>
      <c r="D3010" s="74" t="s">
        <v>5646</v>
      </c>
      <c r="E3010" s="74" t="s">
        <v>5811</v>
      </c>
      <c r="F3010" s="74">
        <v>150.0</v>
      </c>
      <c r="G3010" s="74">
        <v>0.2449</v>
      </c>
      <c r="H3010" s="74">
        <v>0.2433</v>
      </c>
      <c r="I3010" s="74">
        <v>0.2315</v>
      </c>
      <c r="J3010" s="74">
        <v>0.2417</v>
      </c>
      <c r="K3010" s="75"/>
      <c r="L3010" s="75"/>
      <c r="M3010" s="75"/>
      <c r="N3010" s="75"/>
      <c r="O3010" s="75"/>
      <c r="P3010" s="75"/>
      <c r="Q3010" s="75"/>
      <c r="R3010" s="75"/>
      <c r="S3010" s="75"/>
      <c r="T3010" s="75"/>
      <c r="U3010" s="75"/>
      <c r="V3010" s="75"/>
      <c r="W3010" s="75"/>
      <c r="X3010" s="74">
        <v>0.25</v>
      </c>
    </row>
    <row r="3011">
      <c r="A3011" s="76" t="s">
        <v>5827</v>
      </c>
      <c r="B3011" s="76" t="s">
        <v>1047</v>
      </c>
      <c r="C3011" s="76">
        <v>81.0</v>
      </c>
      <c r="D3011" s="76" t="s">
        <v>5646</v>
      </c>
      <c r="E3011" s="76" t="s">
        <v>5828</v>
      </c>
      <c r="F3011" s="74">
        <v>150.0</v>
      </c>
      <c r="G3011" s="76">
        <v>0.2272</v>
      </c>
      <c r="H3011" s="76">
        <v>0.2287</v>
      </c>
      <c r="I3011" s="76">
        <v>0.2492</v>
      </c>
      <c r="J3011" s="76">
        <v>0.2461</v>
      </c>
      <c r="K3011" s="77"/>
      <c r="L3011" s="77"/>
      <c r="M3011" s="77"/>
      <c r="N3011" s="77"/>
      <c r="O3011" s="77"/>
      <c r="P3011" s="77"/>
      <c r="Q3011" s="77"/>
      <c r="R3011" s="77"/>
      <c r="S3011" s="77"/>
      <c r="T3011" s="77"/>
      <c r="U3011" s="77"/>
      <c r="V3011" s="77"/>
      <c r="W3011" s="77"/>
      <c r="X3011" s="76">
        <v>0.25</v>
      </c>
    </row>
    <row r="3012">
      <c r="A3012" s="74" t="s">
        <v>5829</v>
      </c>
      <c r="B3012" s="74" t="s">
        <v>1047</v>
      </c>
      <c r="C3012" s="76">
        <v>82.0</v>
      </c>
      <c r="D3012" s="74" t="s">
        <v>5646</v>
      </c>
      <c r="E3012" s="74" t="s">
        <v>5828</v>
      </c>
      <c r="F3012" s="74">
        <v>150.0</v>
      </c>
      <c r="G3012" s="74">
        <v>0.2417</v>
      </c>
      <c r="H3012" s="74">
        <v>0.2461</v>
      </c>
      <c r="I3012" s="74">
        <v>0.2461</v>
      </c>
      <c r="J3012" s="74">
        <v>0.2461</v>
      </c>
      <c r="K3012" s="75"/>
      <c r="L3012" s="75"/>
      <c r="M3012" s="75"/>
      <c r="N3012" s="75"/>
      <c r="O3012" s="75"/>
      <c r="P3012" s="75"/>
      <c r="Q3012" s="75"/>
      <c r="R3012" s="75"/>
      <c r="S3012" s="75"/>
      <c r="T3012" s="75"/>
      <c r="U3012" s="75"/>
      <c r="V3012" s="75"/>
      <c r="W3012" s="75"/>
      <c r="X3012" s="74">
        <v>0.25</v>
      </c>
    </row>
    <row r="3013">
      <c r="A3013" s="76" t="s">
        <v>5830</v>
      </c>
      <c r="B3013" s="76" t="s">
        <v>1047</v>
      </c>
      <c r="C3013" s="76">
        <v>83.0</v>
      </c>
      <c r="D3013" s="76" t="s">
        <v>5646</v>
      </c>
      <c r="E3013" s="76" t="s">
        <v>5828</v>
      </c>
      <c r="F3013" s="74">
        <v>150.0</v>
      </c>
      <c r="G3013" s="76">
        <v>0.2417</v>
      </c>
      <c r="H3013" s="76">
        <v>0.2449</v>
      </c>
      <c r="I3013" s="76">
        <v>0.2449</v>
      </c>
      <c r="J3013" s="76">
        <v>0.2476</v>
      </c>
      <c r="K3013" s="77"/>
      <c r="L3013" s="77"/>
      <c r="M3013" s="77"/>
      <c r="N3013" s="77"/>
      <c r="O3013" s="77"/>
      <c r="P3013" s="77"/>
      <c r="Q3013" s="77"/>
      <c r="R3013" s="77"/>
      <c r="S3013" s="77"/>
      <c r="T3013" s="77"/>
      <c r="U3013" s="77"/>
      <c r="V3013" s="77"/>
      <c r="W3013" s="77"/>
      <c r="X3013" s="76">
        <v>0.25</v>
      </c>
    </row>
    <row r="3014">
      <c r="A3014" s="74" t="s">
        <v>5831</v>
      </c>
      <c r="B3014" s="74" t="s">
        <v>1047</v>
      </c>
      <c r="C3014" s="76">
        <v>84.0</v>
      </c>
      <c r="D3014" s="74" t="s">
        <v>5646</v>
      </c>
      <c r="E3014" s="74" t="s">
        <v>5828</v>
      </c>
      <c r="F3014" s="74">
        <v>150.0</v>
      </c>
      <c r="G3014" s="74">
        <v>0.2417</v>
      </c>
      <c r="H3014" s="74">
        <v>0.2303</v>
      </c>
      <c r="I3014" s="74">
        <v>0.2461</v>
      </c>
      <c r="J3014" s="74">
        <v>0.2476</v>
      </c>
      <c r="K3014" s="75"/>
      <c r="L3014" s="75"/>
      <c r="M3014" s="75"/>
      <c r="N3014" s="75"/>
      <c r="O3014" s="75"/>
      <c r="P3014" s="75"/>
      <c r="Q3014" s="75"/>
      <c r="R3014" s="75"/>
      <c r="S3014" s="75"/>
      <c r="T3014" s="75"/>
      <c r="U3014" s="75"/>
      <c r="V3014" s="75"/>
      <c r="W3014" s="75"/>
      <c r="X3014" s="74">
        <v>0.25</v>
      </c>
    </row>
    <row r="3015">
      <c r="A3015" s="76" t="s">
        <v>5832</v>
      </c>
      <c r="B3015" s="76" t="s">
        <v>1047</v>
      </c>
      <c r="C3015" s="76">
        <v>85.0</v>
      </c>
      <c r="D3015" s="76" t="s">
        <v>5646</v>
      </c>
      <c r="E3015" s="76" t="s">
        <v>5828</v>
      </c>
      <c r="F3015" s="74">
        <v>150.0</v>
      </c>
      <c r="G3015" s="76">
        <v>0.2417</v>
      </c>
      <c r="H3015" s="76">
        <v>0.2449</v>
      </c>
      <c r="I3015" s="76">
        <v>0.2315</v>
      </c>
      <c r="J3015" s="76">
        <v>0.2461</v>
      </c>
      <c r="K3015" s="77"/>
      <c r="L3015" s="77"/>
      <c r="M3015" s="77"/>
      <c r="N3015" s="77"/>
      <c r="O3015" s="77"/>
      <c r="P3015" s="77"/>
      <c r="Q3015" s="77"/>
      <c r="R3015" s="77"/>
      <c r="S3015" s="77"/>
      <c r="T3015" s="77"/>
      <c r="U3015" s="77"/>
      <c r="V3015" s="77"/>
      <c r="W3015" s="77"/>
      <c r="X3015" s="76">
        <v>0.25</v>
      </c>
    </row>
    <row r="3016">
      <c r="A3016" s="74" t="s">
        <v>5833</v>
      </c>
      <c r="B3016" s="74" t="s">
        <v>1047</v>
      </c>
      <c r="C3016" s="76">
        <v>86.0</v>
      </c>
      <c r="D3016" s="74" t="s">
        <v>5646</v>
      </c>
      <c r="E3016" s="74" t="s">
        <v>5828</v>
      </c>
      <c r="F3016" s="74">
        <v>150.0</v>
      </c>
      <c r="G3016" s="74">
        <v>0.2272</v>
      </c>
      <c r="H3016" s="74">
        <v>0.2315</v>
      </c>
      <c r="I3016" s="74">
        <v>0.2433</v>
      </c>
      <c r="J3016" s="74">
        <v>0.2476</v>
      </c>
      <c r="K3016" s="75"/>
      <c r="L3016" s="75"/>
      <c r="M3016" s="75"/>
      <c r="N3016" s="75"/>
      <c r="O3016" s="75"/>
      <c r="P3016" s="75"/>
      <c r="Q3016" s="75"/>
      <c r="R3016" s="75"/>
      <c r="S3016" s="75"/>
      <c r="T3016" s="75"/>
      <c r="U3016" s="75"/>
      <c r="V3016" s="75"/>
      <c r="W3016" s="75"/>
      <c r="X3016" s="74">
        <v>0.25</v>
      </c>
    </row>
    <row r="3017">
      <c r="A3017" s="76" t="s">
        <v>5834</v>
      </c>
      <c r="B3017" s="76" t="s">
        <v>1047</v>
      </c>
      <c r="C3017" s="76">
        <v>87.0</v>
      </c>
      <c r="D3017" s="76" t="s">
        <v>5646</v>
      </c>
      <c r="E3017" s="76" t="s">
        <v>5828</v>
      </c>
      <c r="F3017" s="74">
        <v>150.0</v>
      </c>
      <c r="G3017" s="76">
        <v>0.2433</v>
      </c>
      <c r="H3017" s="76">
        <v>0.2461</v>
      </c>
      <c r="I3017" s="76">
        <v>0.2433</v>
      </c>
      <c r="J3017" s="76">
        <v>0.2476</v>
      </c>
      <c r="K3017" s="77"/>
      <c r="L3017" s="77"/>
      <c r="M3017" s="77"/>
      <c r="N3017" s="77"/>
      <c r="O3017" s="77"/>
      <c r="P3017" s="77"/>
      <c r="Q3017" s="77"/>
      <c r="R3017" s="77"/>
      <c r="S3017" s="77"/>
      <c r="T3017" s="77"/>
      <c r="U3017" s="77"/>
      <c r="V3017" s="77"/>
      <c r="W3017" s="77"/>
      <c r="X3017" s="76">
        <v>0.25</v>
      </c>
    </row>
    <row r="3018">
      <c r="A3018" s="74" t="s">
        <v>5835</v>
      </c>
      <c r="B3018" s="74" t="s">
        <v>1047</v>
      </c>
      <c r="C3018" s="76">
        <v>88.0</v>
      </c>
      <c r="D3018" s="74" t="s">
        <v>5646</v>
      </c>
      <c r="E3018" s="74" t="s">
        <v>5828</v>
      </c>
      <c r="F3018" s="74">
        <v>150.0</v>
      </c>
      <c r="G3018" s="74">
        <v>0.2402</v>
      </c>
      <c r="H3018" s="74">
        <v>0.2331</v>
      </c>
      <c r="I3018" s="74">
        <v>0.2433</v>
      </c>
      <c r="J3018" s="74">
        <v>0.2492</v>
      </c>
      <c r="K3018" s="75"/>
      <c r="L3018" s="75"/>
      <c r="M3018" s="75"/>
      <c r="N3018" s="75"/>
      <c r="O3018" s="75"/>
      <c r="P3018" s="75"/>
      <c r="Q3018" s="75"/>
      <c r="R3018" s="75"/>
      <c r="S3018" s="75"/>
      <c r="T3018" s="75"/>
      <c r="U3018" s="75"/>
      <c r="V3018" s="75"/>
      <c r="W3018" s="75"/>
      <c r="X3018" s="74">
        <v>0.25</v>
      </c>
    </row>
    <row r="3019">
      <c r="A3019" s="76" t="s">
        <v>5836</v>
      </c>
      <c r="B3019" s="76" t="s">
        <v>1047</v>
      </c>
      <c r="C3019" s="76">
        <v>89.0</v>
      </c>
      <c r="D3019" s="76" t="s">
        <v>5646</v>
      </c>
      <c r="E3019" s="76" t="s">
        <v>5828</v>
      </c>
      <c r="F3019" s="74">
        <v>150.0</v>
      </c>
      <c r="G3019" s="76">
        <v>0.2402</v>
      </c>
      <c r="H3019" s="76">
        <v>0.2476</v>
      </c>
      <c r="I3019" s="76">
        <v>0.2563</v>
      </c>
      <c r="J3019" s="76">
        <v>0.2504</v>
      </c>
      <c r="K3019" s="77"/>
      <c r="L3019" s="77"/>
      <c r="M3019" s="77"/>
      <c r="N3019" s="77"/>
      <c r="O3019" s="77"/>
      <c r="P3019" s="77"/>
      <c r="Q3019" s="77"/>
      <c r="R3019" s="77"/>
      <c r="S3019" s="77"/>
      <c r="T3019" s="77"/>
      <c r="U3019" s="77"/>
      <c r="V3019" s="77"/>
      <c r="W3019" s="77"/>
      <c r="X3019" s="76">
        <v>0.25</v>
      </c>
    </row>
    <row r="3020">
      <c r="A3020" s="74" t="s">
        <v>5837</v>
      </c>
      <c r="B3020" s="74" t="s">
        <v>1047</v>
      </c>
      <c r="C3020" s="76">
        <v>90.0</v>
      </c>
      <c r="D3020" s="74" t="s">
        <v>5646</v>
      </c>
      <c r="E3020" s="74" t="s">
        <v>5828</v>
      </c>
      <c r="F3020" s="74">
        <v>150.0</v>
      </c>
      <c r="G3020" s="74">
        <v>0.239</v>
      </c>
      <c r="H3020" s="74">
        <v>0.2492</v>
      </c>
      <c r="I3020" s="74">
        <v>0.2563</v>
      </c>
      <c r="J3020" s="74">
        <v>0.2492</v>
      </c>
      <c r="K3020" s="75"/>
      <c r="L3020" s="75"/>
      <c r="M3020" s="75"/>
      <c r="N3020" s="75"/>
      <c r="O3020" s="75"/>
      <c r="P3020" s="75"/>
      <c r="Q3020" s="75"/>
      <c r="R3020" s="75"/>
      <c r="S3020" s="75"/>
      <c r="T3020" s="75"/>
      <c r="U3020" s="75"/>
      <c r="V3020" s="75"/>
      <c r="W3020" s="75"/>
      <c r="X3020" s="74">
        <v>0.25</v>
      </c>
    </row>
    <row r="3021">
      <c r="A3021" s="76" t="s">
        <v>5838</v>
      </c>
      <c r="B3021" s="76" t="s">
        <v>1047</v>
      </c>
      <c r="C3021" s="76">
        <v>91.0</v>
      </c>
      <c r="D3021" s="76" t="s">
        <v>5646</v>
      </c>
      <c r="E3021" s="76" t="s">
        <v>5828</v>
      </c>
      <c r="F3021" s="74">
        <v>150.0</v>
      </c>
      <c r="G3021" s="76">
        <v>0.226</v>
      </c>
      <c r="H3021" s="76">
        <v>0.2476</v>
      </c>
      <c r="I3021" s="76">
        <v>0.2449</v>
      </c>
      <c r="J3021" s="76">
        <v>0.2492</v>
      </c>
      <c r="K3021" s="77"/>
      <c r="L3021" s="77"/>
      <c r="M3021" s="77"/>
      <c r="N3021" s="77"/>
      <c r="O3021" s="77"/>
      <c r="P3021" s="77"/>
      <c r="Q3021" s="77"/>
      <c r="R3021" s="77"/>
      <c r="S3021" s="77"/>
      <c r="T3021" s="77"/>
      <c r="U3021" s="77"/>
      <c r="V3021" s="77"/>
      <c r="W3021" s="77"/>
      <c r="X3021" s="76">
        <v>0.25</v>
      </c>
    </row>
    <row r="3022">
      <c r="A3022" s="74" t="s">
        <v>5839</v>
      </c>
      <c r="B3022" s="74" t="s">
        <v>1047</v>
      </c>
      <c r="C3022" s="76">
        <v>92.0</v>
      </c>
      <c r="D3022" s="74" t="s">
        <v>5646</v>
      </c>
      <c r="E3022" s="74" t="s">
        <v>5828</v>
      </c>
      <c r="F3022" s="74">
        <v>150.0</v>
      </c>
      <c r="G3022" s="74">
        <v>0.226</v>
      </c>
      <c r="H3022" s="74">
        <v>0.2476</v>
      </c>
      <c r="I3022" s="74">
        <v>0.2433</v>
      </c>
      <c r="J3022" s="74">
        <v>0.2476</v>
      </c>
      <c r="K3022" s="75"/>
      <c r="L3022" s="75"/>
      <c r="M3022" s="75"/>
      <c r="N3022" s="75"/>
      <c r="O3022" s="75"/>
      <c r="P3022" s="75"/>
      <c r="Q3022" s="75"/>
      <c r="R3022" s="75"/>
      <c r="S3022" s="75"/>
      <c r="T3022" s="75"/>
      <c r="U3022" s="75"/>
      <c r="V3022" s="75"/>
      <c r="W3022" s="75"/>
      <c r="X3022" s="74">
        <v>0.25</v>
      </c>
    </row>
    <row r="3023">
      <c r="A3023" s="76" t="s">
        <v>5840</v>
      </c>
      <c r="B3023" s="76" t="s">
        <v>1047</v>
      </c>
      <c r="C3023" s="76">
        <v>93.0</v>
      </c>
      <c r="D3023" s="76" t="s">
        <v>5646</v>
      </c>
      <c r="E3023" s="76" t="s">
        <v>5828</v>
      </c>
      <c r="F3023" s="74">
        <v>150.0</v>
      </c>
      <c r="G3023" s="76">
        <v>0.2402</v>
      </c>
      <c r="H3023" s="76">
        <v>0.2476</v>
      </c>
      <c r="I3023" s="76">
        <v>0.2433</v>
      </c>
      <c r="J3023" s="76">
        <v>0.2492</v>
      </c>
      <c r="K3023" s="77"/>
      <c r="L3023" s="77"/>
      <c r="M3023" s="77"/>
      <c r="N3023" s="77"/>
      <c r="O3023" s="77"/>
      <c r="P3023" s="77"/>
      <c r="Q3023" s="77"/>
      <c r="R3023" s="77"/>
      <c r="S3023" s="77"/>
      <c r="T3023" s="77"/>
      <c r="U3023" s="77"/>
      <c r="V3023" s="77"/>
      <c r="W3023" s="77"/>
      <c r="X3023" s="76">
        <v>0.25</v>
      </c>
    </row>
    <row r="3024">
      <c r="A3024" s="74" t="s">
        <v>5841</v>
      </c>
      <c r="B3024" s="74" t="s">
        <v>1047</v>
      </c>
      <c r="C3024" s="76">
        <v>94.0</v>
      </c>
      <c r="D3024" s="74" t="s">
        <v>5646</v>
      </c>
      <c r="E3024" s="74" t="s">
        <v>5828</v>
      </c>
      <c r="F3024" s="74">
        <v>150.0</v>
      </c>
      <c r="G3024" s="74">
        <v>0.2433</v>
      </c>
      <c r="H3024" s="74">
        <v>0.2461</v>
      </c>
      <c r="I3024" s="74">
        <v>0.2433</v>
      </c>
      <c r="J3024" s="74">
        <v>0.2492</v>
      </c>
      <c r="K3024" s="75"/>
      <c r="L3024" s="75"/>
      <c r="M3024" s="75"/>
      <c r="N3024" s="75"/>
      <c r="O3024" s="75"/>
      <c r="P3024" s="75"/>
      <c r="Q3024" s="75"/>
      <c r="R3024" s="75"/>
      <c r="S3024" s="75"/>
      <c r="T3024" s="75"/>
      <c r="U3024" s="75"/>
      <c r="V3024" s="75"/>
      <c r="W3024" s="75"/>
      <c r="X3024" s="74">
        <v>0.25</v>
      </c>
    </row>
    <row r="3025">
      <c r="A3025" s="76" t="s">
        <v>5842</v>
      </c>
      <c r="B3025" s="76" t="s">
        <v>1047</v>
      </c>
      <c r="C3025" s="76">
        <v>95.0</v>
      </c>
      <c r="D3025" s="76" t="s">
        <v>5646</v>
      </c>
      <c r="E3025" s="76" t="s">
        <v>5828</v>
      </c>
      <c r="F3025" s="74">
        <v>150.0</v>
      </c>
      <c r="G3025" s="76">
        <v>0.2402</v>
      </c>
      <c r="H3025" s="76">
        <v>0.2346</v>
      </c>
      <c r="I3025" s="76">
        <v>0.2303</v>
      </c>
      <c r="J3025" s="76">
        <v>0.2476</v>
      </c>
      <c r="K3025" s="77"/>
      <c r="L3025" s="77"/>
      <c r="M3025" s="77"/>
      <c r="N3025" s="77"/>
      <c r="O3025" s="77"/>
      <c r="P3025" s="77"/>
      <c r="Q3025" s="77"/>
      <c r="R3025" s="77"/>
      <c r="S3025" s="77"/>
      <c r="T3025" s="77"/>
      <c r="U3025" s="77"/>
      <c r="V3025" s="77"/>
      <c r="W3025" s="77"/>
      <c r="X3025" s="76">
        <v>0.25</v>
      </c>
    </row>
    <row r="3026">
      <c r="A3026" s="74" t="s">
        <v>5843</v>
      </c>
      <c r="B3026" s="74" t="s">
        <v>1047</v>
      </c>
      <c r="C3026" s="76">
        <v>96.0</v>
      </c>
      <c r="D3026" s="74" t="s">
        <v>5646</v>
      </c>
      <c r="E3026" s="74" t="s">
        <v>5828</v>
      </c>
      <c r="F3026" s="74">
        <v>150.0</v>
      </c>
      <c r="G3026" s="74">
        <v>0.2492</v>
      </c>
      <c r="H3026" s="74">
        <v>0.2476</v>
      </c>
      <c r="I3026" s="74">
        <v>0.2433</v>
      </c>
      <c r="J3026" s="74">
        <v>0.2492</v>
      </c>
      <c r="K3026" s="75"/>
      <c r="L3026" s="75"/>
      <c r="M3026" s="75"/>
      <c r="N3026" s="75"/>
      <c r="O3026" s="75"/>
      <c r="P3026" s="75"/>
      <c r="Q3026" s="75"/>
      <c r="R3026" s="75"/>
      <c r="S3026" s="75"/>
      <c r="T3026" s="75"/>
      <c r="U3026" s="75"/>
      <c r="V3026" s="75"/>
      <c r="W3026" s="75"/>
      <c r="X3026" s="74">
        <v>0.25</v>
      </c>
    </row>
    <row r="3027">
      <c r="A3027" s="76" t="s">
        <v>5844</v>
      </c>
      <c r="B3027" s="76" t="s">
        <v>1075</v>
      </c>
      <c r="C3027" s="76">
        <v>1.0</v>
      </c>
      <c r="D3027" s="76" t="s">
        <v>5679</v>
      </c>
      <c r="E3027" s="76" t="s">
        <v>5743</v>
      </c>
      <c r="F3027" s="74">
        <v>150.0</v>
      </c>
      <c r="G3027" s="76">
        <v>0.345</v>
      </c>
      <c r="H3027" s="76">
        <v>0.354</v>
      </c>
      <c r="I3027" s="76">
        <v>0.352</v>
      </c>
      <c r="J3027" s="76">
        <v>0.352</v>
      </c>
      <c r="K3027" s="77"/>
      <c r="L3027" s="77"/>
      <c r="M3027" s="77"/>
      <c r="N3027" s="77"/>
      <c r="O3027" s="77"/>
      <c r="P3027" s="77"/>
      <c r="Q3027" s="77"/>
      <c r="R3027" s="77"/>
      <c r="S3027" s="77"/>
      <c r="T3027" s="77"/>
      <c r="U3027" s="77"/>
      <c r="V3027" s="77"/>
      <c r="W3027" s="77"/>
      <c r="X3027" s="76">
        <v>0.3543</v>
      </c>
    </row>
    <row r="3028">
      <c r="A3028" s="74" t="s">
        <v>5845</v>
      </c>
      <c r="B3028" s="74" t="s">
        <v>1075</v>
      </c>
      <c r="C3028" s="76">
        <v>2.0</v>
      </c>
      <c r="D3028" s="74" t="s">
        <v>5679</v>
      </c>
      <c r="E3028" s="74" t="s">
        <v>5743</v>
      </c>
      <c r="F3028" s="74">
        <v>150.0</v>
      </c>
      <c r="G3028" s="74">
        <v>0.354</v>
      </c>
      <c r="H3028" s="74">
        <v>0.354</v>
      </c>
      <c r="I3028" s="74">
        <v>0.356</v>
      </c>
      <c r="J3028" s="74">
        <v>0.352</v>
      </c>
      <c r="K3028" s="75"/>
      <c r="L3028" s="75"/>
      <c r="M3028" s="75"/>
      <c r="N3028" s="75"/>
      <c r="O3028" s="75"/>
      <c r="P3028" s="75"/>
      <c r="Q3028" s="75"/>
      <c r="R3028" s="75"/>
      <c r="S3028" s="75"/>
      <c r="T3028" s="75"/>
      <c r="U3028" s="75"/>
      <c r="V3028" s="75"/>
      <c r="W3028" s="75"/>
      <c r="X3028" s="74">
        <v>0.3543</v>
      </c>
    </row>
    <row r="3029">
      <c r="A3029" s="76" t="s">
        <v>5846</v>
      </c>
      <c r="B3029" s="76" t="s">
        <v>1075</v>
      </c>
      <c r="C3029" s="76">
        <v>3.0</v>
      </c>
      <c r="D3029" s="76" t="s">
        <v>5679</v>
      </c>
      <c r="E3029" s="76" t="s">
        <v>5743</v>
      </c>
      <c r="F3029" s="74">
        <v>150.0</v>
      </c>
      <c r="G3029" s="76">
        <v>0.352</v>
      </c>
      <c r="H3029" s="76">
        <v>0.354</v>
      </c>
      <c r="I3029" s="76">
        <v>0.348</v>
      </c>
      <c r="J3029" s="76">
        <v>0.37</v>
      </c>
      <c r="K3029" s="77"/>
      <c r="L3029" s="77"/>
      <c r="M3029" s="77"/>
      <c r="N3029" s="77"/>
      <c r="O3029" s="77"/>
      <c r="P3029" s="77"/>
      <c r="Q3029" s="77"/>
      <c r="R3029" s="77"/>
      <c r="S3029" s="77"/>
      <c r="T3029" s="77"/>
      <c r="U3029" s="77"/>
      <c r="V3029" s="77"/>
      <c r="W3029" s="77"/>
      <c r="X3029" s="76">
        <v>0.375</v>
      </c>
    </row>
    <row r="3030">
      <c r="A3030" s="74" t="s">
        <v>5847</v>
      </c>
      <c r="B3030" s="74" t="s">
        <v>1075</v>
      </c>
      <c r="C3030" s="76">
        <v>4.0</v>
      </c>
      <c r="D3030" s="74" t="s">
        <v>5679</v>
      </c>
      <c r="E3030" s="74" t="s">
        <v>5743</v>
      </c>
      <c r="F3030" s="74">
        <v>150.0</v>
      </c>
      <c r="G3030" s="74">
        <v>0.354</v>
      </c>
      <c r="H3030" s="74">
        <v>0.354</v>
      </c>
      <c r="I3030" s="74">
        <v>0.356</v>
      </c>
      <c r="J3030" s="74">
        <v>0.369</v>
      </c>
      <c r="K3030" s="75"/>
      <c r="L3030" s="75"/>
      <c r="M3030" s="75"/>
      <c r="N3030" s="75"/>
      <c r="O3030" s="75"/>
      <c r="P3030" s="75"/>
      <c r="Q3030" s="75"/>
      <c r="R3030" s="75"/>
      <c r="S3030" s="75"/>
      <c r="T3030" s="75"/>
      <c r="U3030" s="75"/>
      <c r="V3030" s="75"/>
      <c r="W3030" s="75"/>
      <c r="X3030" s="74">
        <v>0.375</v>
      </c>
    </row>
    <row r="3031">
      <c r="A3031" s="76" t="s">
        <v>5848</v>
      </c>
      <c r="B3031" s="76" t="s">
        <v>1075</v>
      </c>
      <c r="C3031" s="76">
        <v>5.0</v>
      </c>
      <c r="D3031" s="76" t="s">
        <v>5679</v>
      </c>
      <c r="E3031" s="76" t="s">
        <v>5743</v>
      </c>
      <c r="F3031" s="74">
        <v>150.0</v>
      </c>
      <c r="G3031" s="76">
        <v>0.352</v>
      </c>
      <c r="H3031" s="76">
        <v>0.354</v>
      </c>
      <c r="I3031" s="76">
        <v>0.35</v>
      </c>
      <c r="J3031" s="76">
        <v>0.35</v>
      </c>
      <c r="K3031" s="77"/>
      <c r="L3031" s="77"/>
      <c r="M3031" s="77"/>
      <c r="N3031" s="77"/>
      <c r="O3031" s="77"/>
      <c r="P3031" s="77"/>
      <c r="Q3031" s="77"/>
      <c r="R3031" s="77"/>
      <c r="S3031" s="77"/>
      <c r="T3031" s="77"/>
      <c r="U3031" s="77"/>
      <c r="V3031" s="77"/>
      <c r="W3031" s="77"/>
      <c r="X3031" s="76">
        <v>0.3543</v>
      </c>
    </row>
    <row r="3032">
      <c r="A3032" s="74" t="s">
        <v>5849</v>
      </c>
      <c r="B3032" s="74" t="s">
        <v>1075</v>
      </c>
      <c r="C3032" s="76">
        <v>6.0</v>
      </c>
      <c r="D3032" s="74" t="s">
        <v>5679</v>
      </c>
      <c r="E3032" s="74" t="s">
        <v>5743</v>
      </c>
      <c r="F3032" s="74">
        <v>150.0</v>
      </c>
      <c r="G3032" s="74">
        <v>0.373</v>
      </c>
      <c r="H3032" s="74">
        <v>0.354</v>
      </c>
      <c r="I3032" s="74">
        <v>0.352</v>
      </c>
      <c r="J3032" s="74">
        <v>0.369</v>
      </c>
      <c r="K3032" s="75"/>
      <c r="L3032" s="75"/>
      <c r="M3032" s="75"/>
      <c r="N3032" s="75"/>
      <c r="O3032" s="75"/>
      <c r="P3032" s="75"/>
      <c r="Q3032" s="75"/>
      <c r="R3032" s="75"/>
      <c r="S3032" s="75"/>
      <c r="T3032" s="75"/>
      <c r="U3032" s="75"/>
      <c r="V3032" s="75"/>
      <c r="W3032" s="75"/>
      <c r="X3032" s="74">
        <v>0.375</v>
      </c>
    </row>
    <row r="3033">
      <c r="A3033" s="76" t="s">
        <v>5850</v>
      </c>
      <c r="B3033" s="76" t="s">
        <v>1075</v>
      </c>
      <c r="C3033" s="76">
        <v>7.0</v>
      </c>
      <c r="D3033" s="76" t="s">
        <v>5679</v>
      </c>
      <c r="E3033" s="76" t="s">
        <v>5743</v>
      </c>
      <c r="F3033" s="74">
        <v>150.0</v>
      </c>
      <c r="G3033" s="76">
        <v>0.372</v>
      </c>
      <c r="H3033" s="76">
        <v>0.372</v>
      </c>
      <c r="I3033" s="76">
        <v>0.354</v>
      </c>
      <c r="J3033" s="76">
        <v>0.369</v>
      </c>
      <c r="K3033" s="77"/>
      <c r="L3033" s="77"/>
      <c r="M3033" s="77"/>
      <c r="N3033" s="77"/>
      <c r="O3033" s="77"/>
      <c r="P3033" s="77"/>
      <c r="Q3033" s="77"/>
      <c r="R3033" s="77"/>
      <c r="S3033" s="77"/>
      <c r="T3033" s="77"/>
      <c r="U3033" s="77"/>
      <c r="V3033" s="77"/>
      <c r="W3033" s="77"/>
      <c r="X3033" s="76">
        <v>0.375</v>
      </c>
    </row>
    <row r="3034">
      <c r="A3034" s="74" t="s">
        <v>5851</v>
      </c>
      <c r="B3034" s="74" t="s">
        <v>1075</v>
      </c>
      <c r="C3034" s="76">
        <v>8.0</v>
      </c>
      <c r="D3034" s="74" t="s">
        <v>5679</v>
      </c>
      <c r="E3034" s="74" t="s">
        <v>5743</v>
      </c>
      <c r="F3034" s="74">
        <v>150.0</v>
      </c>
      <c r="G3034" s="74">
        <v>0.354</v>
      </c>
      <c r="H3034" s="74">
        <v>0.371</v>
      </c>
      <c r="I3034" s="74">
        <v>0.352</v>
      </c>
      <c r="J3034" s="74">
        <v>0.348</v>
      </c>
      <c r="K3034" s="75"/>
      <c r="L3034" s="75"/>
      <c r="M3034" s="75"/>
      <c r="N3034" s="75"/>
      <c r="O3034" s="75"/>
      <c r="P3034" s="75"/>
      <c r="Q3034" s="75"/>
      <c r="R3034" s="75"/>
      <c r="S3034" s="75"/>
      <c r="T3034" s="75"/>
      <c r="U3034" s="75"/>
      <c r="V3034" s="75"/>
      <c r="W3034" s="75"/>
      <c r="X3034" s="74">
        <v>0.375</v>
      </c>
    </row>
    <row r="3035">
      <c r="A3035" s="76" t="s">
        <v>5852</v>
      </c>
      <c r="B3035" s="76" t="s">
        <v>1075</v>
      </c>
      <c r="C3035" s="76">
        <v>9.0</v>
      </c>
      <c r="D3035" s="76" t="s">
        <v>5679</v>
      </c>
      <c r="E3035" s="76" t="s">
        <v>5743</v>
      </c>
      <c r="F3035" s="74">
        <v>150.0</v>
      </c>
      <c r="G3035" s="76">
        <v>0.372</v>
      </c>
      <c r="H3035" s="76">
        <v>0.354</v>
      </c>
      <c r="I3035" s="76">
        <v>0.352</v>
      </c>
      <c r="J3035" s="76">
        <v>0.347</v>
      </c>
      <c r="K3035" s="77"/>
      <c r="L3035" s="77"/>
      <c r="M3035" s="77"/>
      <c r="N3035" s="77"/>
      <c r="O3035" s="77"/>
      <c r="P3035" s="77"/>
      <c r="Q3035" s="77"/>
      <c r="R3035" s="77"/>
      <c r="S3035" s="77"/>
      <c r="T3035" s="77"/>
      <c r="U3035" s="77"/>
      <c r="V3035" s="77"/>
      <c r="W3035" s="77"/>
      <c r="X3035" s="76">
        <v>0.375</v>
      </c>
    </row>
    <row r="3036">
      <c r="A3036" s="74" t="s">
        <v>5853</v>
      </c>
      <c r="B3036" s="74" t="s">
        <v>1075</v>
      </c>
      <c r="C3036" s="76">
        <v>10.0</v>
      </c>
      <c r="D3036" s="74" t="s">
        <v>5679</v>
      </c>
      <c r="E3036" s="74" t="s">
        <v>5743</v>
      </c>
      <c r="F3036" s="74">
        <v>150.0</v>
      </c>
      <c r="G3036" s="74">
        <v>0.37</v>
      </c>
      <c r="H3036" s="74">
        <v>0.369</v>
      </c>
      <c r="I3036" s="74">
        <v>0.354</v>
      </c>
      <c r="J3036" s="74">
        <v>0.344</v>
      </c>
      <c r="K3036" s="75"/>
      <c r="L3036" s="75"/>
      <c r="M3036" s="75"/>
      <c r="N3036" s="75"/>
      <c r="O3036" s="75"/>
      <c r="P3036" s="75"/>
      <c r="Q3036" s="75"/>
      <c r="R3036" s="75"/>
      <c r="S3036" s="75"/>
      <c r="T3036" s="75"/>
      <c r="U3036" s="75"/>
      <c r="V3036" s="75"/>
      <c r="W3036" s="75"/>
      <c r="X3036" s="74">
        <v>0.375</v>
      </c>
    </row>
    <row r="3037">
      <c r="A3037" s="76" t="s">
        <v>5854</v>
      </c>
      <c r="B3037" s="76" t="s">
        <v>1075</v>
      </c>
      <c r="C3037" s="76">
        <v>11.0</v>
      </c>
      <c r="D3037" s="76" t="s">
        <v>5679</v>
      </c>
      <c r="E3037" s="76" t="s">
        <v>5743</v>
      </c>
      <c r="F3037" s="74">
        <v>150.0</v>
      </c>
      <c r="G3037" s="76">
        <v>0.331</v>
      </c>
      <c r="H3037" s="76">
        <v>0.351</v>
      </c>
      <c r="I3037" s="76">
        <v>0.354</v>
      </c>
      <c r="J3037" s="76">
        <v>0.347</v>
      </c>
      <c r="K3037" s="77"/>
      <c r="L3037" s="77"/>
      <c r="M3037" s="77"/>
      <c r="N3037" s="77"/>
      <c r="O3037" s="77"/>
      <c r="P3037" s="77"/>
      <c r="Q3037" s="77"/>
      <c r="R3037" s="77"/>
      <c r="S3037" s="77"/>
      <c r="T3037" s="77"/>
      <c r="U3037" s="77"/>
      <c r="V3037" s="77"/>
      <c r="W3037" s="77"/>
      <c r="X3037" s="76">
        <v>0.3543</v>
      </c>
    </row>
    <row r="3038">
      <c r="A3038" s="74" t="s">
        <v>5855</v>
      </c>
      <c r="B3038" s="74" t="s">
        <v>1075</v>
      </c>
      <c r="C3038" s="76">
        <v>12.0</v>
      </c>
      <c r="D3038" s="74" t="s">
        <v>5679</v>
      </c>
      <c r="E3038" s="74" t="s">
        <v>5743</v>
      </c>
      <c r="F3038" s="74">
        <v>150.0</v>
      </c>
      <c r="G3038" s="74">
        <v>0.352</v>
      </c>
      <c r="H3038" s="74">
        <v>0.352</v>
      </c>
      <c r="I3038" s="74">
        <v>0.352</v>
      </c>
      <c r="J3038" s="74">
        <v>0.366</v>
      </c>
      <c r="K3038" s="75"/>
      <c r="L3038" s="75"/>
      <c r="M3038" s="75"/>
      <c r="N3038" s="75"/>
      <c r="O3038" s="75"/>
      <c r="P3038" s="75"/>
      <c r="Q3038" s="75"/>
      <c r="R3038" s="75"/>
      <c r="S3038" s="75"/>
      <c r="T3038" s="75"/>
      <c r="U3038" s="75"/>
      <c r="V3038" s="75"/>
      <c r="W3038" s="75"/>
      <c r="X3038" s="74">
        <v>0.375</v>
      </c>
    </row>
    <row r="3039">
      <c r="A3039" s="76" t="s">
        <v>5856</v>
      </c>
      <c r="B3039" s="76" t="s">
        <v>1075</v>
      </c>
      <c r="C3039" s="76">
        <v>13.0</v>
      </c>
      <c r="D3039" s="76" t="s">
        <v>5679</v>
      </c>
      <c r="E3039" s="76" t="s">
        <v>5743</v>
      </c>
      <c r="F3039" s="74">
        <v>150.0</v>
      </c>
      <c r="G3039" s="76">
        <v>0.356</v>
      </c>
      <c r="H3039" s="76">
        <v>0.352</v>
      </c>
      <c r="I3039" s="76">
        <v>0.351</v>
      </c>
      <c r="J3039" s="76">
        <v>0.35</v>
      </c>
      <c r="K3039" s="77"/>
      <c r="L3039" s="77"/>
      <c r="M3039" s="77"/>
      <c r="N3039" s="77"/>
      <c r="O3039" s="77"/>
      <c r="P3039" s="77"/>
      <c r="Q3039" s="77"/>
      <c r="R3039" s="77"/>
      <c r="S3039" s="77"/>
      <c r="T3039" s="77"/>
      <c r="U3039" s="77"/>
      <c r="V3039" s="77"/>
      <c r="W3039" s="77"/>
      <c r="X3039" s="76">
        <v>0.3543</v>
      </c>
    </row>
    <row r="3040">
      <c r="A3040" s="74" t="s">
        <v>5857</v>
      </c>
      <c r="B3040" s="74" t="s">
        <v>1075</v>
      </c>
      <c r="C3040" s="76">
        <v>14.0</v>
      </c>
      <c r="D3040" s="74" t="s">
        <v>5679</v>
      </c>
      <c r="E3040" s="74" t="s">
        <v>5743</v>
      </c>
      <c r="F3040" s="74">
        <v>150.0</v>
      </c>
      <c r="G3040" s="74">
        <v>0.345</v>
      </c>
      <c r="H3040" s="74">
        <v>0.352</v>
      </c>
      <c r="I3040" s="74">
        <v>0.351</v>
      </c>
      <c r="J3040" s="74">
        <v>0.347</v>
      </c>
      <c r="K3040" s="75"/>
      <c r="L3040" s="75"/>
      <c r="M3040" s="75"/>
      <c r="N3040" s="75"/>
      <c r="O3040" s="75"/>
      <c r="P3040" s="75"/>
      <c r="Q3040" s="75"/>
      <c r="R3040" s="75"/>
      <c r="S3040" s="75"/>
      <c r="T3040" s="75"/>
      <c r="U3040" s="75"/>
      <c r="V3040" s="75"/>
      <c r="W3040" s="75"/>
      <c r="X3040" s="74">
        <v>0.3543</v>
      </c>
    </row>
    <row r="3041">
      <c r="A3041" s="76" t="s">
        <v>5858</v>
      </c>
      <c r="B3041" s="76" t="s">
        <v>1075</v>
      </c>
      <c r="C3041" s="76">
        <v>15.0</v>
      </c>
      <c r="D3041" s="76" t="s">
        <v>5679</v>
      </c>
      <c r="E3041" s="76" t="s">
        <v>5743</v>
      </c>
      <c r="F3041" s="74">
        <v>150.0</v>
      </c>
      <c r="G3041" s="76">
        <v>0.354</v>
      </c>
      <c r="H3041" s="76">
        <v>0.354</v>
      </c>
      <c r="I3041" s="76">
        <v>0.37</v>
      </c>
      <c r="J3041" s="76">
        <v>0.346</v>
      </c>
      <c r="K3041" s="77"/>
      <c r="L3041" s="77"/>
      <c r="M3041" s="77"/>
      <c r="N3041" s="77"/>
      <c r="O3041" s="77"/>
      <c r="P3041" s="77"/>
      <c r="Q3041" s="77"/>
      <c r="R3041" s="77"/>
      <c r="S3041" s="77"/>
      <c r="T3041" s="77"/>
      <c r="U3041" s="77"/>
      <c r="V3041" s="77"/>
      <c r="W3041" s="77"/>
      <c r="X3041" s="76">
        <v>0.375</v>
      </c>
    </row>
    <row r="3042">
      <c r="A3042" s="74" t="s">
        <v>5859</v>
      </c>
      <c r="B3042" s="74" t="s">
        <v>1075</v>
      </c>
      <c r="C3042" s="76">
        <v>16.0</v>
      </c>
      <c r="D3042" s="74" t="s">
        <v>5679</v>
      </c>
      <c r="E3042" s="74" t="s">
        <v>5743</v>
      </c>
      <c r="F3042" s="74">
        <v>150.0</v>
      </c>
      <c r="G3042" s="74">
        <v>0.352</v>
      </c>
      <c r="H3042" s="74">
        <v>0.352</v>
      </c>
      <c r="I3042" s="74">
        <v>0.37</v>
      </c>
      <c r="J3042" s="74">
        <v>0.369</v>
      </c>
      <c r="K3042" s="75"/>
      <c r="L3042" s="75"/>
      <c r="M3042" s="75"/>
      <c r="N3042" s="75"/>
      <c r="O3042" s="75"/>
      <c r="P3042" s="75"/>
      <c r="Q3042" s="75"/>
      <c r="R3042" s="75"/>
      <c r="S3042" s="75"/>
      <c r="T3042" s="75"/>
      <c r="U3042" s="75"/>
      <c r="V3042" s="75"/>
      <c r="W3042" s="75"/>
      <c r="X3042" s="74">
        <v>0.375</v>
      </c>
    </row>
    <row r="3043">
      <c r="A3043" s="76" t="s">
        <v>5860</v>
      </c>
      <c r="B3043" s="76" t="s">
        <v>1075</v>
      </c>
      <c r="C3043" s="76">
        <v>17.0</v>
      </c>
      <c r="D3043" s="76" t="s">
        <v>5679</v>
      </c>
      <c r="E3043" s="76" t="s">
        <v>5760</v>
      </c>
      <c r="F3043" s="74">
        <v>150.0</v>
      </c>
      <c r="G3043" s="76">
        <v>0.348</v>
      </c>
      <c r="H3043" s="76">
        <v>0.36</v>
      </c>
      <c r="I3043" s="76">
        <v>0.347</v>
      </c>
      <c r="J3043" s="76">
        <v>0.348</v>
      </c>
      <c r="K3043" s="77"/>
      <c r="L3043" s="77"/>
      <c r="M3043" s="77"/>
      <c r="N3043" s="77"/>
      <c r="O3043" s="77"/>
      <c r="P3043" s="77"/>
      <c r="Q3043" s="77"/>
      <c r="R3043" s="77"/>
      <c r="S3043" s="77"/>
      <c r="T3043" s="77"/>
      <c r="U3043" s="77"/>
      <c r="V3043" s="77"/>
      <c r="W3043" s="77"/>
      <c r="X3043" s="76">
        <v>0.3543</v>
      </c>
    </row>
    <row r="3044">
      <c r="A3044" s="74" t="s">
        <v>5861</v>
      </c>
      <c r="B3044" s="74" t="s">
        <v>1075</v>
      </c>
      <c r="C3044" s="76">
        <v>18.0</v>
      </c>
      <c r="D3044" s="74" t="s">
        <v>5679</v>
      </c>
      <c r="E3044" s="74" t="s">
        <v>5760</v>
      </c>
      <c r="F3044" s="74">
        <v>150.0</v>
      </c>
      <c r="G3044" s="74">
        <v>0.348</v>
      </c>
      <c r="H3044" s="74">
        <v>0.36</v>
      </c>
      <c r="I3044" s="74">
        <v>0.36</v>
      </c>
      <c r="J3044" s="74">
        <v>0.347</v>
      </c>
      <c r="K3044" s="75"/>
      <c r="L3044" s="75"/>
      <c r="M3044" s="75"/>
      <c r="N3044" s="75"/>
      <c r="O3044" s="75"/>
      <c r="P3044" s="75"/>
      <c r="Q3044" s="75"/>
      <c r="R3044" s="75"/>
      <c r="S3044" s="75"/>
      <c r="T3044" s="75"/>
      <c r="U3044" s="75"/>
      <c r="V3044" s="75"/>
      <c r="W3044" s="75"/>
      <c r="X3044" s="74">
        <v>0.3543</v>
      </c>
    </row>
    <row r="3045">
      <c r="A3045" s="76" t="s">
        <v>5862</v>
      </c>
      <c r="B3045" s="76" t="s">
        <v>1075</v>
      </c>
      <c r="C3045" s="76">
        <v>19.0</v>
      </c>
      <c r="D3045" s="76" t="s">
        <v>5679</v>
      </c>
      <c r="E3045" s="76" t="s">
        <v>5760</v>
      </c>
      <c r="F3045" s="74">
        <v>150.0</v>
      </c>
      <c r="G3045" s="76">
        <v>0.348</v>
      </c>
      <c r="H3045" s="76">
        <v>0.347</v>
      </c>
      <c r="I3045" s="76">
        <v>0.347</v>
      </c>
      <c r="J3045" s="76">
        <v>0.36</v>
      </c>
      <c r="K3045" s="77"/>
      <c r="L3045" s="77"/>
      <c r="M3045" s="77"/>
      <c r="N3045" s="77"/>
      <c r="O3045" s="77"/>
      <c r="P3045" s="77"/>
      <c r="Q3045" s="77"/>
      <c r="R3045" s="77"/>
      <c r="S3045" s="77"/>
      <c r="T3045" s="77"/>
      <c r="U3045" s="77"/>
      <c r="V3045" s="77"/>
      <c r="W3045" s="77"/>
      <c r="X3045" s="76">
        <v>0.3543</v>
      </c>
    </row>
    <row r="3046">
      <c r="A3046" s="74" t="s">
        <v>5863</v>
      </c>
      <c r="B3046" s="74" t="s">
        <v>1075</v>
      </c>
      <c r="C3046" s="76">
        <v>20.0</v>
      </c>
      <c r="D3046" s="74" t="s">
        <v>5679</v>
      </c>
      <c r="E3046" s="74" t="s">
        <v>5760</v>
      </c>
      <c r="F3046" s="74">
        <v>150.0</v>
      </c>
      <c r="G3046" s="74">
        <v>0.348</v>
      </c>
      <c r="H3046" s="74">
        <v>0.348</v>
      </c>
      <c r="I3046" s="74">
        <v>0.347</v>
      </c>
      <c r="J3046" s="74">
        <v>0.347</v>
      </c>
      <c r="K3046" s="75"/>
      <c r="L3046" s="75"/>
      <c r="M3046" s="75"/>
      <c r="N3046" s="75"/>
      <c r="O3046" s="75"/>
      <c r="P3046" s="75"/>
      <c r="Q3046" s="75"/>
      <c r="R3046" s="75"/>
      <c r="S3046" s="75"/>
      <c r="T3046" s="75"/>
      <c r="U3046" s="75"/>
      <c r="V3046" s="75"/>
      <c r="W3046" s="75"/>
      <c r="X3046" s="74">
        <v>0.3543</v>
      </c>
    </row>
    <row r="3047">
      <c r="A3047" s="76" t="s">
        <v>5864</v>
      </c>
      <c r="B3047" s="76" t="s">
        <v>1075</v>
      </c>
      <c r="C3047" s="76">
        <v>21.0</v>
      </c>
      <c r="D3047" s="76" t="s">
        <v>5679</v>
      </c>
      <c r="E3047" s="76" t="s">
        <v>5760</v>
      </c>
      <c r="F3047" s="74">
        <v>150.0</v>
      </c>
      <c r="G3047" s="76">
        <v>0.35</v>
      </c>
      <c r="H3047" s="76">
        <v>0.347</v>
      </c>
      <c r="I3047" s="76">
        <v>0.347</v>
      </c>
      <c r="J3047" s="76">
        <v>0.36</v>
      </c>
      <c r="K3047" s="77"/>
      <c r="L3047" s="77"/>
      <c r="M3047" s="77"/>
      <c r="N3047" s="77"/>
      <c r="O3047" s="77"/>
      <c r="P3047" s="77"/>
      <c r="Q3047" s="77"/>
      <c r="R3047" s="77"/>
      <c r="S3047" s="77"/>
      <c r="T3047" s="77"/>
      <c r="U3047" s="77"/>
      <c r="V3047" s="77"/>
      <c r="W3047" s="77"/>
      <c r="X3047" s="76">
        <v>0.3543</v>
      </c>
    </row>
    <row r="3048">
      <c r="A3048" s="74" t="s">
        <v>5865</v>
      </c>
      <c r="B3048" s="74" t="s">
        <v>1075</v>
      </c>
      <c r="C3048" s="76">
        <v>22.0</v>
      </c>
      <c r="D3048" s="74" t="s">
        <v>5679</v>
      </c>
      <c r="E3048" s="74" t="s">
        <v>5760</v>
      </c>
      <c r="F3048" s="74">
        <v>150.0</v>
      </c>
      <c r="G3048" s="74">
        <v>0.348</v>
      </c>
      <c r="H3048" s="74">
        <v>0.36</v>
      </c>
      <c r="I3048" s="74">
        <v>0.348</v>
      </c>
      <c r="J3048" s="74">
        <v>0.348</v>
      </c>
      <c r="K3048" s="75"/>
      <c r="L3048" s="75"/>
      <c r="M3048" s="75"/>
      <c r="N3048" s="75"/>
      <c r="O3048" s="75"/>
      <c r="P3048" s="75"/>
      <c r="Q3048" s="75"/>
      <c r="R3048" s="75"/>
      <c r="S3048" s="75"/>
      <c r="T3048" s="75"/>
      <c r="U3048" s="75"/>
      <c r="V3048" s="75"/>
      <c r="W3048" s="75"/>
      <c r="X3048" s="74">
        <v>0.3543</v>
      </c>
    </row>
    <row r="3049">
      <c r="A3049" s="76" t="s">
        <v>5866</v>
      </c>
      <c r="B3049" s="76" t="s">
        <v>1075</v>
      </c>
      <c r="C3049" s="76">
        <v>23.0</v>
      </c>
      <c r="D3049" s="76" t="s">
        <v>5679</v>
      </c>
      <c r="E3049" s="76" t="s">
        <v>5760</v>
      </c>
      <c r="F3049" s="74">
        <v>150.0</v>
      </c>
      <c r="G3049" s="76">
        <v>0.347</v>
      </c>
      <c r="H3049" s="76">
        <v>0.348</v>
      </c>
      <c r="I3049" s="76">
        <v>0.36</v>
      </c>
      <c r="J3049" s="76">
        <v>0.347</v>
      </c>
      <c r="K3049" s="77"/>
      <c r="L3049" s="77"/>
      <c r="M3049" s="77"/>
      <c r="N3049" s="77"/>
      <c r="O3049" s="77"/>
      <c r="P3049" s="77"/>
      <c r="Q3049" s="77"/>
      <c r="R3049" s="77"/>
      <c r="S3049" s="77"/>
      <c r="T3049" s="77"/>
      <c r="U3049" s="77"/>
      <c r="V3049" s="77"/>
      <c r="W3049" s="77"/>
      <c r="X3049" s="76">
        <v>0.3543</v>
      </c>
    </row>
    <row r="3050">
      <c r="A3050" s="74" t="s">
        <v>5867</v>
      </c>
      <c r="B3050" s="74" t="s">
        <v>1075</v>
      </c>
      <c r="C3050" s="76">
        <v>24.0</v>
      </c>
      <c r="D3050" s="74" t="s">
        <v>5679</v>
      </c>
      <c r="E3050" s="74" t="s">
        <v>5760</v>
      </c>
      <c r="F3050" s="74">
        <v>150.0</v>
      </c>
      <c r="G3050" s="74">
        <v>0.348</v>
      </c>
      <c r="H3050" s="74">
        <v>0.347</v>
      </c>
      <c r="I3050" s="74">
        <v>0.36</v>
      </c>
      <c r="J3050" s="74">
        <v>0.36</v>
      </c>
      <c r="K3050" s="75"/>
      <c r="L3050" s="75"/>
      <c r="M3050" s="75"/>
      <c r="N3050" s="75"/>
      <c r="O3050" s="75"/>
      <c r="P3050" s="75"/>
      <c r="Q3050" s="75"/>
      <c r="R3050" s="75"/>
      <c r="S3050" s="75"/>
      <c r="T3050" s="75"/>
      <c r="U3050" s="75"/>
      <c r="V3050" s="75"/>
      <c r="W3050" s="75"/>
      <c r="X3050" s="74">
        <v>0.3543</v>
      </c>
    </row>
    <row r="3051">
      <c r="A3051" s="76" t="s">
        <v>5868</v>
      </c>
      <c r="B3051" s="76" t="s">
        <v>1075</v>
      </c>
      <c r="C3051" s="76">
        <v>25.0</v>
      </c>
      <c r="D3051" s="76" t="s">
        <v>5679</v>
      </c>
      <c r="E3051" s="76" t="s">
        <v>5760</v>
      </c>
      <c r="F3051" s="74">
        <v>150.0</v>
      </c>
      <c r="G3051" s="76">
        <v>0.347</v>
      </c>
      <c r="H3051" s="76">
        <v>0.348</v>
      </c>
      <c r="I3051" s="76">
        <v>0.347</v>
      </c>
      <c r="J3051" s="76">
        <v>0.36</v>
      </c>
      <c r="K3051" s="77"/>
      <c r="L3051" s="77"/>
      <c r="M3051" s="77"/>
      <c r="N3051" s="77"/>
      <c r="O3051" s="77"/>
      <c r="P3051" s="77"/>
      <c r="Q3051" s="77"/>
      <c r="R3051" s="77"/>
      <c r="S3051" s="77"/>
      <c r="T3051" s="77"/>
      <c r="U3051" s="77"/>
      <c r="V3051" s="77"/>
      <c r="W3051" s="77"/>
      <c r="X3051" s="76">
        <v>0.3543</v>
      </c>
    </row>
    <row r="3052">
      <c r="A3052" s="74" t="s">
        <v>5869</v>
      </c>
      <c r="B3052" s="74" t="s">
        <v>1075</v>
      </c>
      <c r="C3052" s="76">
        <v>26.0</v>
      </c>
      <c r="D3052" s="74" t="s">
        <v>5679</v>
      </c>
      <c r="E3052" s="74" t="s">
        <v>5760</v>
      </c>
      <c r="F3052" s="74">
        <v>150.0</v>
      </c>
      <c r="G3052" s="74">
        <v>0.347</v>
      </c>
      <c r="H3052" s="74">
        <v>0.347</v>
      </c>
      <c r="I3052" s="74">
        <v>0.36</v>
      </c>
      <c r="J3052" s="74">
        <v>0.347</v>
      </c>
      <c r="K3052" s="75"/>
      <c r="L3052" s="75"/>
      <c r="M3052" s="75"/>
      <c r="N3052" s="75"/>
      <c r="O3052" s="75"/>
      <c r="P3052" s="75"/>
      <c r="Q3052" s="75"/>
      <c r="R3052" s="75"/>
      <c r="S3052" s="75"/>
      <c r="T3052" s="75"/>
      <c r="U3052" s="75"/>
      <c r="V3052" s="75"/>
      <c r="W3052" s="75"/>
      <c r="X3052" s="74">
        <v>0.3543</v>
      </c>
    </row>
    <row r="3053">
      <c r="A3053" s="76" t="s">
        <v>5870</v>
      </c>
      <c r="B3053" s="76" t="s">
        <v>1075</v>
      </c>
      <c r="C3053" s="76">
        <v>27.0</v>
      </c>
      <c r="D3053" s="76" t="s">
        <v>5679</v>
      </c>
      <c r="E3053" s="76" t="s">
        <v>5760</v>
      </c>
      <c r="F3053" s="74">
        <v>150.0</v>
      </c>
      <c r="G3053" s="76">
        <v>0.361</v>
      </c>
      <c r="H3053" s="76">
        <v>0.347</v>
      </c>
      <c r="I3053" s="76">
        <v>0.36</v>
      </c>
      <c r="J3053" s="76">
        <v>0.358</v>
      </c>
      <c r="K3053" s="77"/>
      <c r="L3053" s="77"/>
      <c r="M3053" s="77"/>
      <c r="N3053" s="77"/>
      <c r="O3053" s="77"/>
      <c r="P3053" s="77"/>
      <c r="Q3053" s="77"/>
      <c r="R3053" s="77"/>
      <c r="S3053" s="77"/>
      <c r="T3053" s="77"/>
      <c r="U3053" s="77"/>
      <c r="V3053" s="77"/>
      <c r="W3053" s="77"/>
      <c r="X3053" s="76">
        <v>0.3543</v>
      </c>
    </row>
    <row r="3054">
      <c r="A3054" s="74" t="s">
        <v>5871</v>
      </c>
      <c r="B3054" s="74" t="s">
        <v>1075</v>
      </c>
      <c r="C3054" s="76">
        <v>28.0</v>
      </c>
      <c r="D3054" s="74" t="s">
        <v>5679</v>
      </c>
      <c r="E3054" s="74" t="s">
        <v>5760</v>
      </c>
      <c r="F3054" s="74">
        <v>150.0</v>
      </c>
      <c r="G3054" s="74">
        <v>0.36</v>
      </c>
      <c r="H3054" s="74">
        <v>0.347</v>
      </c>
      <c r="I3054" s="74">
        <v>0.36</v>
      </c>
      <c r="J3054" s="74">
        <v>0.347</v>
      </c>
      <c r="K3054" s="75"/>
      <c r="L3054" s="75"/>
      <c r="M3054" s="75"/>
      <c r="N3054" s="75"/>
      <c r="O3054" s="75"/>
      <c r="P3054" s="75"/>
      <c r="Q3054" s="75"/>
      <c r="R3054" s="75"/>
      <c r="S3054" s="75"/>
      <c r="T3054" s="75"/>
      <c r="U3054" s="75"/>
      <c r="V3054" s="75"/>
      <c r="W3054" s="75"/>
      <c r="X3054" s="74">
        <v>0.3543</v>
      </c>
    </row>
    <row r="3055">
      <c r="A3055" s="76" t="s">
        <v>5872</v>
      </c>
      <c r="B3055" s="76" t="s">
        <v>1075</v>
      </c>
      <c r="C3055" s="76">
        <v>29.0</v>
      </c>
      <c r="D3055" s="76" t="s">
        <v>5679</v>
      </c>
      <c r="E3055" s="76" t="s">
        <v>5760</v>
      </c>
      <c r="F3055" s="74">
        <v>150.0</v>
      </c>
      <c r="G3055" s="76">
        <v>0.347</v>
      </c>
      <c r="H3055" s="76">
        <v>0.36</v>
      </c>
      <c r="I3055" s="76">
        <v>0.36</v>
      </c>
      <c r="J3055" s="76">
        <v>0.36</v>
      </c>
      <c r="K3055" s="77"/>
      <c r="L3055" s="77"/>
      <c r="M3055" s="77"/>
      <c r="N3055" s="77"/>
      <c r="O3055" s="77"/>
      <c r="P3055" s="77"/>
      <c r="Q3055" s="77"/>
      <c r="R3055" s="77"/>
      <c r="S3055" s="77"/>
      <c r="T3055" s="77"/>
      <c r="U3055" s="77"/>
      <c r="V3055" s="77"/>
      <c r="W3055" s="77"/>
      <c r="X3055" s="76">
        <v>0.3543</v>
      </c>
    </row>
    <row r="3056">
      <c r="A3056" s="74" t="s">
        <v>5873</v>
      </c>
      <c r="B3056" s="74" t="s">
        <v>1075</v>
      </c>
      <c r="C3056" s="76">
        <v>30.0</v>
      </c>
      <c r="D3056" s="74" t="s">
        <v>5679</v>
      </c>
      <c r="E3056" s="74" t="s">
        <v>5760</v>
      </c>
      <c r="F3056" s="74">
        <v>150.0</v>
      </c>
      <c r="G3056" s="74">
        <v>0.347</v>
      </c>
      <c r="H3056" s="74">
        <v>0.358</v>
      </c>
      <c r="I3056" s="74">
        <v>0.347</v>
      </c>
      <c r="J3056" s="74">
        <v>0.347</v>
      </c>
      <c r="K3056" s="75"/>
      <c r="L3056" s="75"/>
      <c r="M3056" s="75"/>
      <c r="N3056" s="75"/>
      <c r="O3056" s="75"/>
      <c r="P3056" s="75"/>
      <c r="Q3056" s="75"/>
      <c r="R3056" s="75"/>
      <c r="S3056" s="75"/>
      <c r="T3056" s="75"/>
      <c r="U3056" s="75"/>
      <c r="V3056" s="75"/>
      <c r="W3056" s="75"/>
      <c r="X3056" s="74">
        <v>0.3543</v>
      </c>
    </row>
    <row r="3057">
      <c r="A3057" s="76" t="s">
        <v>5874</v>
      </c>
      <c r="B3057" s="76" t="s">
        <v>1075</v>
      </c>
      <c r="C3057" s="76">
        <v>31.0</v>
      </c>
      <c r="D3057" s="76" t="s">
        <v>5679</v>
      </c>
      <c r="E3057" s="76" t="s">
        <v>5760</v>
      </c>
      <c r="F3057" s="74">
        <v>150.0</v>
      </c>
      <c r="G3057" s="76">
        <v>0.347</v>
      </c>
      <c r="H3057" s="76">
        <v>0.36</v>
      </c>
      <c r="I3057" s="76">
        <v>0.348</v>
      </c>
      <c r="J3057" s="76">
        <v>0.348</v>
      </c>
      <c r="K3057" s="77"/>
      <c r="L3057" s="77"/>
      <c r="M3057" s="77"/>
      <c r="N3057" s="77"/>
      <c r="O3057" s="77"/>
      <c r="P3057" s="77"/>
      <c r="Q3057" s="77"/>
      <c r="R3057" s="77"/>
      <c r="S3057" s="77"/>
      <c r="T3057" s="77"/>
      <c r="U3057" s="77"/>
      <c r="V3057" s="77"/>
      <c r="W3057" s="77"/>
      <c r="X3057" s="76">
        <v>0.3543</v>
      </c>
    </row>
    <row r="3058">
      <c r="A3058" s="74" t="s">
        <v>5875</v>
      </c>
      <c r="B3058" s="74" t="s">
        <v>1075</v>
      </c>
      <c r="C3058" s="76">
        <v>32.0</v>
      </c>
      <c r="D3058" s="74" t="s">
        <v>5679</v>
      </c>
      <c r="E3058" s="74" t="s">
        <v>5760</v>
      </c>
      <c r="F3058" s="74">
        <v>150.0</v>
      </c>
      <c r="G3058" s="74">
        <v>0.347</v>
      </c>
      <c r="H3058" s="74">
        <v>0.347</v>
      </c>
      <c r="I3058" s="74">
        <v>0.347</v>
      </c>
      <c r="J3058" s="74">
        <v>0.347</v>
      </c>
      <c r="K3058" s="75"/>
      <c r="L3058" s="75"/>
      <c r="M3058" s="75"/>
      <c r="N3058" s="75"/>
      <c r="O3058" s="75"/>
      <c r="P3058" s="75"/>
      <c r="Q3058" s="75"/>
      <c r="R3058" s="75"/>
      <c r="S3058" s="75"/>
      <c r="T3058" s="75"/>
      <c r="U3058" s="75"/>
      <c r="V3058" s="75"/>
      <c r="W3058" s="75"/>
      <c r="X3058" s="74">
        <v>0.3543</v>
      </c>
    </row>
    <row r="3059">
      <c r="A3059" s="76" t="s">
        <v>5876</v>
      </c>
      <c r="B3059" s="76" t="s">
        <v>1075</v>
      </c>
      <c r="C3059" s="76">
        <v>33.0</v>
      </c>
      <c r="D3059" s="76" t="s">
        <v>5679</v>
      </c>
      <c r="E3059" s="76" t="s">
        <v>5777</v>
      </c>
      <c r="F3059" s="74">
        <v>150.0</v>
      </c>
      <c r="G3059" s="76">
        <v>0.347</v>
      </c>
      <c r="H3059" s="76">
        <v>0.347</v>
      </c>
      <c r="I3059" s="76">
        <v>0.36</v>
      </c>
      <c r="J3059" s="76">
        <v>0.345</v>
      </c>
      <c r="K3059" s="77"/>
      <c r="L3059" s="77"/>
      <c r="M3059" s="77"/>
      <c r="N3059" s="77"/>
      <c r="O3059" s="77"/>
      <c r="P3059" s="77"/>
      <c r="Q3059" s="77"/>
      <c r="R3059" s="77"/>
      <c r="S3059" s="77"/>
      <c r="T3059" s="77"/>
      <c r="U3059" s="77"/>
      <c r="V3059" s="77"/>
      <c r="W3059" s="77"/>
      <c r="X3059" s="76">
        <v>0.3543</v>
      </c>
    </row>
    <row r="3060">
      <c r="A3060" s="74" t="s">
        <v>5877</v>
      </c>
      <c r="B3060" s="74" t="s">
        <v>1075</v>
      </c>
      <c r="C3060" s="76">
        <v>34.0</v>
      </c>
      <c r="D3060" s="74" t="s">
        <v>5679</v>
      </c>
      <c r="E3060" s="74" t="s">
        <v>5777</v>
      </c>
      <c r="F3060" s="74">
        <v>150.0</v>
      </c>
      <c r="G3060" s="74">
        <v>0.345</v>
      </c>
      <c r="H3060" s="74">
        <v>0.345</v>
      </c>
      <c r="I3060" s="74">
        <v>0.347</v>
      </c>
      <c r="J3060" s="74">
        <v>0.347</v>
      </c>
      <c r="K3060" s="75"/>
      <c r="L3060" s="75"/>
      <c r="M3060" s="75"/>
      <c r="N3060" s="75"/>
      <c r="O3060" s="75"/>
      <c r="P3060" s="75"/>
      <c r="Q3060" s="75"/>
      <c r="R3060" s="75"/>
      <c r="S3060" s="75"/>
      <c r="T3060" s="75"/>
      <c r="U3060" s="75"/>
      <c r="V3060" s="75"/>
      <c r="W3060" s="75"/>
      <c r="X3060" s="74">
        <v>0.3543</v>
      </c>
    </row>
    <row r="3061">
      <c r="A3061" s="76" t="s">
        <v>5878</v>
      </c>
      <c r="B3061" s="76" t="s">
        <v>1075</v>
      </c>
      <c r="C3061" s="76">
        <v>35.0</v>
      </c>
      <c r="D3061" s="76" t="s">
        <v>5679</v>
      </c>
      <c r="E3061" s="76" t="s">
        <v>5777</v>
      </c>
      <c r="F3061" s="74">
        <v>150.0</v>
      </c>
      <c r="G3061" s="76">
        <v>0.345</v>
      </c>
      <c r="H3061" s="76">
        <v>0.345</v>
      </c>
      <c r="I3061" s="76">
        <v>0.347</v>
      </c>
      <c r="J3061" s="76">
        <v>0.347</v>
      </c>
      <c r="K3061" s="77"/>
      <c r="L3061" s="77"/>
      <c r="M3061" s="77"/>
      <c r="N3061" s="77"/>
      <c r="O3061" s="77"/>
      <c r="P3061" s="77"/>
      <c r="Q3061" s="77"/>
      <c r="R3061" s="77"/>
      <c r="S3061" s="77"/>
      <c r="T3061" s="77"/>
      <c r="U3061" s="77"/>
      <c r="V3061" s="77"/>
      <c r="W3061" s="77"/>
      <c r="X3061" s="76">
        <v>0.3543</v>
      </c>
    </row>
    <row r="3062">
      <c r="A3062" s="74" t="s">
        <v>5879</v>
      </c>
      <c r="B3062" s="74" t="s">
        <v>1075</v>
      </c>
      <c r="C3062" s="76">
        <v>36.0</v>
      </c>
      <c r="D3062" s="74" t="s">
        <v>5679</v>
      </c>
      <c r="E3062" s="74" t="s">
        <v>5777</v>
      </c>
      <c r="F3062" s="74">
        <v>150.0</v>
      </c>
      <c r="G3062" s="74">
        <v>0.345</v>
      </c>
      <c r="H3062" s="74">
        <v>0.345</v>
      </c>
      <c r="I3062" s="74">
        <v>0.347</v>
      </c>
      <c r="J3062" s="74">
        <v>0.345</v>
      </c>
      <c r="K3062" s="75"/>
      <c r="L3062" s="75"/>
      <c r="M3062" s="75"/>
      <c r="N3062" s="75"/>
      <c r="O3062" s="75"/>
      <c r="P3062" s="75"/>
      <c r="Q3062" s="75"/>
      <c r="R3062" s="75"/>
      <c r="S3062" s="75"/>
      <c r="T3062" s="75"/>
      <c r="U3062" s="75"/>
      <c r="V3062" s="75"/>
      <c r="W3062" s="75"/>
      <c r="X3062" s="74">
        <v>0.3543</v>
      </c>
    </row>
    <row r="3063">
      <c r="A3063" s="76" t="s">
        <v>5880</v>
      </c>
      <c r="B3063" s="76" t="s">
        <v>1075</v>
      </c>
      <c r="C3063" s="76">
        <v>37.0</v>
      </c>
      <c r="D3063" s="76" t="s">
        <v>5679</v>
      </c>
      <c r="E3063" s="76" t="s">
        <v>5777</v>
      </c>
      <c r="F3063" s="74">
        <v>150.0</v>
      </c>
      <c r="G3063" s="76">
        <v>0.347</v>
      </c>
      <c r="H3063" s="76">
        <v>0.332</v>
      </c>
      <c r="I3063" s="76">
        <v>0.345</v>
      </c>
      <c r="J3063" s="76">
        <v>0.345</v>
      </c>
      <c r="K3063" s="77"/>
      <c r="L3063" s="77"/>
      <c r="M3063" s="77"/>
      <c r="N3063" s="77"/>
      <c r="O3063" s="77"/>
      <c r="P3063" s="77"/>
      <c r="Q3063" s="77"/>
      <c r="R3063" s="77"/>
      <c r="S3063" s="77"/>
      <c r="T3063" s="77"/>
      <c r="U3063" s="77"/>
      <c r="V3063" s="77"/>
      <c r="W3063" s="77"/>
      <c r="X3063" s="76">
        <v>0.3543</v>
      </c>
    </row>
    <row r="3064">
      <c r="A3064" s="74" t="s">
        <v>5881</v>
      </c>
      <c r="B3064" s="74" t="s">
        <v>1075</v>
      </c>
      <c r="C3064" s="76">
        <v>38.0</v>
      </c>
      <c r="D3064" s="74" t="s">
        <v>5679</v>
      </c>
      <c r="E3064" s="74" t="s">
        <v>5777</v>
      </c>
      <c r="F3064" s="74">
        <v>150.0</v>
      </c>
      <c r="G3064" s="74">
        <v>0.347</v>
      </c>
      <c r="H3064" s="74">
        <v>0.345</v>
      </c>
      <c r="I3064" s="74">
        <v>0.36</v>
      </c>
      <c r="J3064" s="74">
        <v>0.345</v>
      </c>
      <c r="K3064" s="75"/>
      <c r="L3064" s="75"/>
      <c r="M3064" s="75"/>
      <c r="N3064" s="75"/>
      <c r="O3064" s="75"/>
      <c r="P3064" s="75"/>
      <c r="Q3064" s="75"/>
      <c r="R3064" s="75"/>
      <c r="S3064" s="75"/>
      <c r="T3064" s="75"/>
      <c r="U3064" s="75"/>
      <c r="V3064" s="75"/>
      <c r="W3064" s="75"/>
      <c r="X3064" s="74">
        <v>0.3543</v>
      </c>
    </row>
    <row r="3065">
      <c r="A3065" s="76" t="s">
        <v>5882</v>
      </c>
      <c r="B3065" s="76" t="s">
        <v>1075</v>
      </c>
      <c r="C3065" s="76">
        <v>39.0</v>
      </c>
      <c r="D3065" s="76" t="s">
        <v>5679</v>
      </c>
      <c r="E3065" s="76" t="s">
        <v>5777</v>
      </c>
      <c r="F3065" s="74">
        <v>150.0</v>
      </c>
      <c r="G3065" s="76">
        <v>0.347</v>
      </c>
      <c r="H3065" s="76">
        <v>0.358</v>
      </c>
      <c r="I3065" s="76">
        <v>0.348</v>
      </c>
      <c r="J3065" s="76">
        <v>0.347</v>
      </c>
      <c r="K3065" s="77"/>
      <c r="L3065" s="77"/>
      <c r="M3065" s="77"/>
      <c r="N3065" s="77"/>
      <c r="O3065" s="77"/>
      <c r="P3065" s="77"/>
      <c r="Q3065" s="77"/>
      <c r="R3065" s="77"/>
      <c r="S3065" s="77"/>
      <c r="T3065" s="77"/>
      <c r="U3065" s="77"/>
      <c r="V3065" s="77"/>
      <c r="W3065" s="77"/>
      <c r="X3065" s="76">
        <v>0.3543</v>
      </c>
    </row>
    <row r="3066">
      <c r="A3066" s="74" t="s">
        <v>5883</v>
      </c>
      <c r="B3066" s="74" t="s">
        <v>1075</v>
      </c>
      <c r="C3066" s="76">
        <v>40.0</v>
      </c>
      <c r="D3066" s="74" t="s">
        <v>5679</v>
      </c>
      <c r="E3066" s="74" t="s">
        <v>5777</v>
      </c>
      <c r="F3066" s="74">
        <v>150.0</v>
      </c>
      <c r="G3066" s="74">
        <v>0.347</v>
      </c>
      <c r="H3066" s="74">
        <v>0.347</v>
      </c>
      <c r="I3066" s="74">
        <v>0.347</v>
      </c>
      <c r="J3066" s="74">
        <v>0.347</v>
      </c>
      <c r="K3066" s="75"/>
      <c r="L3066" s="75"/>
      <c r="M3066" s="75"/>
      <c r="N3066" s="75"/>
      <c r="O3066" s="75"/>
      <c r="P3066" s="75"/>
      <c r="Q3066" s="75"/>
      <c r="R3066" s="75"/>
      <c r="S3066" s="75"/>
      <c r="T3066" s="75"/>
      <c r="U3066" s="75"/>
      <c r="V3066" s="75"/>
      <c r="W3066" s="75"/>
      <c r="X3066" s="74">
        <v>0.3543</v>
      </c>
    </row>
    <row r="3067">
      <c r="A3067" s="76" t="s">
        <v>5884</v>
      </c>
      <c r="B3067" s="76" t="s">
        <v>1075</v>
      </c>
      <c r="C3067" s="76">
        <v>41.0</v>
      </c>
      <c r="D3067" s="76" t="s">
        <v>5679</v>
      </c>
      <c r="E3067" s="76" t="s">
        <v>5777</v>
      </c>
      <c r="F3067" s="74">
        <v>150.0</v>
      </c>
      <c r="G3067" s="76">
        <v>0.347</v>
      </c>
      <c r="H3067" s="76">
        <v>0.345</v>
      </c>
      <c r="I3067" s="76">
        <v>0.347</v>
      </c>
      <c r="J3067" s="76">
        <v>0.347</v>
      </c>
      <c r="K3067" s="77"/>
      <c r="L3067" s="77"/>
      <c r="M3067" s="77"/>
      <c r="N3067" s="77"/>
      <c r="O3067" s="77"/>
      <c r="P3067" s="77"/>
      <c r="Q3067" s="77"/>
      <c r="R3067" s="77"/>
      <c r="S3067" s="77"/>
      <c r="T3067" s="77"/>
      <c r="U3067" s="77"/>
      <c r="V3067" s="77"/>
      <c r="W3067" s="77"/>
      <c r="X3067" s="76">
        <v>0.3543</v>
      </c>
    </row>
    <row r="3068">
      <c r="A3068" s="74" t="s">
        <v>5885</v>
      </c>
      <c r="B3068" s="74" t="s">
        <v>1075</v>
      </c>
      <c r="C3068" s="76">
        <v>42.0</v>
      </c>
      <c r="D3068" s="74" t="s">
        <v>5679</v>
      </c>
      <c r="E3068" s="74" t="s">
        <v>5777</v>
      </c>
      <c r="F3068" s="74">
        <v>150.0</v>
      </c>
      <c r="G3068" s="74">
        <v>0.345</v>
      </c>
      <c r="H3068" s="74">
        <v>0.347</v>
      </c>
      <c r="I3068" s="74">
        <v>0.36</v>
      </c>
      <c r="J3068" s="74">
        <v>0.344</v>
      </c>
      <c r="K3068" s="75"/>
      <c r="L3068" s="75"/>
      <c r="M3068" s="75"/>
      <c r="N3068" s="75"/>
      <c r="O3068" s="75"/>
      <c r="P3068" s="75"/>
      <c r="Q3068" s="75"/>
      <c r="R3068" s="75"/>
      <c r="S3068" s="75"/>
      <c r="T3068" s="75"/>
      <c r="U3068" s="75"/>
      <c r="V3068" s="75"/>
      <c r="W3068" s="75"/>
      <c r="X3068" s="74">
        <v>0.3543</v>
      </c>
    </row>
    <row r="3069">
      <c r="A3069" s="76" t="s">
        <v>5886</v>
      </c>
      <c r="B3069" s="76" t="s">
        <v>1075</v>
      </c>
      <c r="C3069" s="76">
        <v>43.0</v>
      </c>
      <c r="D3069" s="76" t="s">
        <v>5679</v>
      </c>
      <c r="E3069" s="76" t="s">
        <v>5777</v>
      </c>
      <c r="F3069" s="74">
        <v>150.0</v>
      </c>
      <c r="G3069" s="76">
        <v>0.345</v>
      </c>
      <c r="H3069" s="76">
        <v>0.347</v>
      </c>
      <c r="I3069" s="76">
        <v>0.347</v>
      </c>
      <c r="J3069" s="76">
        <v>0.344</v>
      </c>
      <c r="K3069" s="77"/>
      <c r="L3069" s="77"/>
      <c r="M3069" s="77"/>
      <c r="N3069" s="77"/>
      <c r="O3069" s="77"/>
      <c r="P3069" s="77"/>
      <c r="Q3069" s="77"/>
      <c r="R3069" s="77"/>
      <c r="S3069" s="77"/>
      <c r="T3069" s="77"/>
      <c r="U3069" s="77"/>
      <c r="V3069" s="77"/>
      <c r="W3069" s="77"/>
      <c r="X3069" s="76">
        <v>0.3543</v>
      </c>
    </row>
    <row r="3070">
      <c r="A3070" s="74" t="s">
        <v>5887</v>
      </c>
      <c r="B3070" s="74" t="s">
        <v>1075</v>
      </c>
      <c r="C3070" s="76">
        <v>44.0</v>
      </c>
      <c r="D3070" s="74" t="s">
        <v>5679</v>
      </c>
      <c r="E3070" s="74" t="s">
        <v>5777</v>
      </c>
      <c r="F3070" s="74">
        <v>150.0</v>
      </c>
      <c r="G3070" s="74">
        <v>0.345</v>
      </c>
      <c r="H3070" s="74">
        <v>0.348</v>
      </c>
      <c r="I3070" s="74">
        <v>0.347</v>
      </c>
      <c r="J3070" s="74">
        <v>0.345</v>
      </c>
      <c r="K3070" s="75"/>
      <c r="L3070" s="75"/>
      <c r="M3070" s="75"/>
      <c r="N3070" s="75"/>
      <c r="O3070" s="75"/>
      <c r="P3070" s="75"/>
      <c r="Q3070" s="75"/>
      <c r="R3070" s="75"/>
      <c r="S3070" s="75"/>
      <c r="T3070" s="75"/>
      <c r="U3070" s="75"/>
      <c r="V3070" s="75"/>
      <c r="W3070" s="75"/>
      <c r="X3070" s="74">
        <v>0.3543</v>
      </c>
    </row>
    <row r="3071">
      <c r="A3071" s="76" t="s">
        <v>5888</v>
      </c>
      <c r="B3071" s="76" t="s">
        <v>1075</v>
      </c>
      <c r="C3071" s="76">
        <v>45.0</v>
      </c>
      <c r="D3071" s="76" t="s">
        <v>5679</v>
      </c>
      <c r="E3071" s="76" t="s">
        <v>5777</v>
      </c>
      <c r="F3071" s="74">
        <v>150.0</v>
      </c>
      <c r="G3071" s="76">
        <v>0.345</v>
      </c>
      <c r="H3071" s="76">
        <v>0.348</v>
      </c>
      <c r="I3071" s="76">
        <v>0.345</v>
      </c>
      <c r="J3071" s="76">
        <v>0.345</v>
      </c>
      <c r="K3071" s="77"/>
      <c r="L3071" s="77"/>
      <c r="M3071" s="77"/>
      <c r="N3071" s="77"/>
      <c r="O3071" s="77"/>
      <c r="P3071" s="77"/>
      <c r="Q3071" s="77"/>
      <c r="R3071" s="77"/>
      <c r="S3071" s="77"/>
      <c r="T3071" s="77"/>
      <c r="U3071" s="77"/>
      <c r="V3071" s="77"/>
      <c r="W3071" s="77"/>
      <c r="X3071" s="76">
        <v>0.3543</v>
      </c>
    </row>
    <row r="3072">
      <c r="A3072" s="74" t="s">
        <v>5889</v>
      </c>
      <c r="B3072" s="74" t="s">
        <v>1075</v>
      </c>
      <c r="C3072" s="76">
        <v>46.0</v>
      </c>
      <c r="D3072" s="74" t="s">
        <v>5679</v>
      </c>
      <c r="E3072" s="74" t="s">
        <v>5777</v>
      </c>
      <c r="F3072" s="74">
        <v>150.0</v>
      </c>
      <c r="G3072" s="74">
        <v>0.344</v>
      </c>
      <c r="H3072" s="74">
        <v>0.348</v>
      </c>
      <c r="I3072" s="74">
        <v>0.347</v>
      </c>
      <c r="J3072" s="74">
        <v>0.345</v>
      </c>
      <c r="K3072" s="75"/>
      <c r="L3072" s="75"/>
      <c r="M3072" s="75"/>
      <c r="N3072" s="75"/>
      <c r="O3072" s="75"/>
      <c r="P3072" s="75"/>
      <c r="Q3072" s="75"/>
      <c r="R3072" s="75"/>
      <c r="S3072" s="75"/>
      <c r="T3072" s="75"/>
      <c r="U3072" s="75"/>
      <c r="V3072" s="75"/>
      <c r="W3072" s="75"/>
      <c r="X3072" s="74">
        <v>0.3543</v>
      </c>
    </row>
    <row r="3073">
      <c r="A3073" s="76" t="s">
        <v>5890</v>
      </c>
      <c r="B3073" s="76" t="s">
        <v>1075</v>
      </c>
      <c r="C3073" s="76">
        <v>47.0</v>
      </c>
      <c r="D3073" s="76" t="s">
        <v>5679</v>
      </c>
      <c r="E3073" s="76" t="s">
        <v>5777</v>
      </c>
      <c r="F3073" s="74">
        <v>150.0</v>
      </c>
      <c r="G3073" s="76">
        <v>0.345</v>
      </c>
      <c r="H3073" s="76">
        <v>0.36</v>
      </c>
      <c r="I3073" s="76">
        <v>0.345</v>
      </c>
      <c r="J3073" s="76">
        <v>0.345</v>
      </c>
      <c r="K3073" s="77"/>
      <c r="L3073" s="77"/>
      <c r="M3073" s="77"/>
      <c r="N3073" s="77"/>
      <c r="O3073" s="77"/>
      <c r="P3073" s="77"/>
      <c r="Q3073" s="77"/>
      <c r="R3073" s="77"/>
      <c r="S3073" s="77"/>
      <c r="T3073" s="77"/>
      <c r="U3073" s="77"/>
      <c r="V3073" s="77"/>
      <c r="W3073" s="77"/>
      <c r="X3073" s="76">
        <v>0.3543</v>
      </c>
    </row>
    <row r="3074">
      <c r="A3074" s="74" t="s">
        <v>5891</v>
      </c>
      <c r="B3074" s="74" t="s">
        <v>1075</v>
      </c>
      <c r="C3074" s="76">
        <v>48.0</v>
      </c>
      <c r="D3074" s="74" t="s">
        <v>5679</v>
      </c>
      <c r="E3074" s="74" t="s">
        <v>5777</v>
      </c>
      <c r="F3074" s="74">
        <v>150.0</v>
      </c>
      <c r="G3074" s="74">
        <v>0.347</v>
      </c>
      <c r="H3074" s="74">
        <v>0.36</v>
      </c>
      <c r="I3074" s="74">
        <v>0.345</v>
      </c>
      <c r="J3074" s="74">
        <v>0.345</v>
      </c>
      <c r="K3074" s="75"/>
      <c r="L3074" s="75"/>
      <c r="M3074" s="75"/>
      <c r="N3074" s="75"/>
      <c r="O3074" s="75"/>
      <c r="P3074" s="75"/>
      <c r="Q3074" s="75"/>
      <c r="R3074" s="75"/>
      <c r="S3074" s="75"/>
      <c r="T3074" s="75"/>
      <c r="U3074" s="75"/>
      <c r="V3074" s="75"/>
      <c r="W3074" s="75"/>
      <c r="X3074" s="74">
        <v>0.3543</v>
      </c>
    </row>
    <row r="3075">
      <c r="A3075" s="76" t="s">
        <v>5892</v>
      </c>
      <c r="B3075" s="76" t="s">
        <v>1075</v>
      </c>
      <c r="C3075" s="76">
        <v>49.0</v>
      </c>
      <c r="D3075" s="76" t="s">
        <v>5679</v>
      </c>
      <c r="E3075" s="76" t="s">
        <v>5794</v>
      </c>
      <c r="F3075" s="74">
        <v>150.0</v>
      </c>
      <c r="G3075" s="76">
        <v>0.302</v>
      </c>
      <c r="H3075" s="76">
        <v>0.3</v>
      </c>
      <c r="I3075" s="76">
        <v>0.3</v>
      </c>
      <c r="J3075" s="76">
        <v>0.298</v>
      </c>
      <c r="K3075" s="77"/>
      <c r="L3075" s="77"/>
      <c r="M3075" s="77"/>
      <c r="N3075" s="77"/>
      <c r="O3075" s="77"/>
      <c r="P3075" s="77"/>
      <c r="Q3075" s="77"/>
      <c r="R3075" s="77"/>
      <c r="S3075" s="77"/>
      <c r="T3075" s="77"/>
      <c r="U3075" s="77"/>
      <c r="V3075" s="77"/>
      <c r="W3075" s="77"/>
      <c r="X3075" s="76">
        <v>0.3125</v>
      </c>
    </row>
    <row r="3076">
      <c r="A3076" s="74" t="s">
        <v>5893</v>
      </c>
      <c r="B3076" s="74" t="s">
        <v>1075</v>
      </c>
      <c r="C3076" s="76">
        <v>50.0</v>
      </c>
      <c r="D3076" s="74" t="s">
        <v>5679</v>
      </c>
      <c r="E3076" s="74" t="s">
        <v>5794</v>
      </c>
      <c r="F3076" s="74">
        <v>150.0</v>
      </c>
      <c r="G3076" s="74">
        <v>0.302</v>
      </c>
      <c r="H3076" s="74">
        <v>0.3</v>
      </c>
      <c r="I3076" s="74">
        <v>0.302</v>
      </c>
      <c r="J3076" s="74">
        <v>0.302</v>
      </c>
      <c r="K3076" s="75"/>
      <c r="L3076" s="75"/>
      <c r="M3076" s="75"/>
      <c r="N3076" s="75"/>
      <c r="O3076" s="75"/>
      <c r="P3076" s="75"/>
      <c r="Q3076" s="75"/>
      <c r="R3076" s="75"/>
      <c r="S3076" s="75"/>
      <c r="T3076" s="75"/>
      <c r="U3076" s="75"/>
      <c r="V3076" s="75"/>
      <c r="W3076" s="75"/>
      <c r="X3076" s="74">
        <v>0.3125</v>
      </c>
    </row>
    <row r="3077">
      <c r="A3077" s="76" t="s">
        <v>5894</v>
      </c>
      <c r="B3077" s="76" t="s">
        <v>1075</v>
      </c>
      <c r="C3077" s="76">
        <v>51.0</v>
      </c>
      <c r="D3077" s="76" t="s">
        <v>5679</v>
      </c>
      <c r="E3077" s="76" t="s">
        <v>5794</v>
      </c>
      <c r="F3077" s="74">
        <v>150.0</v>
      </c>
      <c r="G3077" s="76">
        <v>0.305</v>
      </c>
      <c r="H3077" s="76">
        <v>0.302</v>
      </c>
      <c r="I3077" s="76">
        <v>0.308</v>
      </c>
      <c r="J3077" s="76">
        <v>0.298</v>
      </c>
      <c r="K3077" s="77"/>
      <c r="L3077" s="77"/>
      <c r="M3077" s="77"/>
      <c r="N3077" s="77"/>
      <c r="O3077" s="77"/>
      <c r="P3077" s="77"/>
      <c r="Q3077" s="77"/>
      <c r="R3077" s="77"/>
      <c r="S3077" s="77"/>
      <c r="T3077" s="77"/>
      <c r="U3077" s="77"/>
      <c r="V3077" s="77"/>
      <c r="W3077" s="77"/>
      <c r="X3077" s="76">
        <v>0.3125</v>
      </c>
    </row>
    <row r="3078">
      <c r="A3078" s="74" t="s">
        <v>5895</v>
      </c>
      <c r="B3078" s="74" t="s">
        <v>1075</v>
      </c>
      <c r="C3078" s="76">
        <v>52.0</v>
      </c>
      <c r="D3078" s="74" t="s">
        <v>5679</v>
      </c>
      <c r="E3078" s="74" t="s">
        <v>5794</v>
      </c>
      <c r="F3078" s="74">
        <v>150.0</v>
      </c>
      <c r="G3078" s="74">
        <v>0.304</v>
      </c>
      <c r="H3078" s="74">
        <v>0.302</v>
      </c>
      <c r="I3078" s="74">
        <v>0.301</v>
      </c>
      <c r="J3078" s="74">
        <v>0.299</v>
      </c>
      <c r="K3078" s="75"/>
      <c r="L3078" s="75"/>
      <c r="M3078" s="75"/>
      <c r="N3078" s="75"/>
      <c r="O3078" s="75"/>
      <c r="P3078" s="75"/>
      <c r="Q3078" s="75"/>
      <c r="R3078" s="75"/>
      <c r="S3078" s="75"/>
      <c r="T3078" s="75"/>
      <c r="U3078" s="75"/>
      <c r="V3078" s="75"/>
      <c r="W3078" s="75"/>
      <c r="X3078" s="74">
        <v>0.3125</v>
      </c>
    </row>
    <row r="3079">
      <c r="A3079" s="76" t="s">
        <v>5896</v>
      </c>
      <c r="B3079" s="76" t="s">
        <v>1075</v>
      </c>
      <c r="C3079" s="76">
        <v>53.0</v>
      </c>
      <c r="D3079" s="76" t="s">
        <v>5679</v>
      </c>
      <c r="E3079" s="76" t="s">
        <v>5794</v>
      </c>
      <c r="F3079" s="74">
        <v>150.0</v>
      </c>
      <c r="G3079" s="76">
        <v>0.302</v>
      </c>
      <c r="H3079" s="76">
        <v>0.302</v>
      </c>
      <c r="I3079" s="76">
        <v>0.3</v>
      </c>
      <c r="J3079" s="76">
        <v>0.3</v>
      </c>
      <c r="K3079" s="77"/>
      <c r="L3079" s="77"/>
      <c r="M3079" s="77"/>
      <c r="N3079" s="77"/>
      <c r="O3079" s="77"/>
      <c r="P3079" s="77"/>
      <c r="Q3079" s="77"/>
      <c r="R3079" s="77"/>
      <c r="S3079" s="77"/>
      <c r="T3079" s="77"/>
      <c r="U3079" s="77"/>
      <c r="V3079" s="77"/>
      <c r="W3079" s="77"/>
      <c r="X3079" s="76">
        <v>0.3125</v>
      </c>
    </row>
    <row r="3080">
      <c r="A3080" s="74" t="s">
        <v>5897</v>
      </c>
      <c r="B3080" s="74" t="s">
        <v>1075</v>
      </c>
      <c r="C3080" s="76">
        <v>54.0</v>
      </c>
      <c r="D3080" s="74" t="s">
        <v>5679</v>
      </c>
      <c r="E3080" s="74" t="s">
        <v>5794</v>
      </c>
      <c r="F3080" s="74">
        <v>150.0</v>
      </c>
      <c r="G3080" s="74">
        <v>0.302</v>
      </c>
      <c r="H3080" s="74">
        <v>0.3</v>
      </c>
      <c r="I3080" s="74">
        <v>0.3</v>
      </c>
      <c r="J3080" s="74">
        <v>0.301</v>
      </c>
      <c r="K3080" s="75"/>
      <c r="L3080" s="75"/>
      <c r="M3080" s="75"/>
      <c r="N3080" s="75"/>
      <c r="O3080" s="75"/>
      <c r="P3080" s="75"/>
      <c r="Q3080" s="75"/>
      <c r="R3080" s="75"/>
      <c r="S3080" s="75"/>
      <c r="T3080" s="75"/>
      <c r="U3080" s="75"/>
      <c r="V3080" s="75"/>
      <c r="W3080" s="75"/>
      <c r="X3080" s="74">
        <v>0.3125</v>
      </c>
    </row>
    <row r="3081">
      <c r="A3081" s="76" t="s">
        <v>5898</v>
      </c>
      <c r="B3081" s="76" t="s">
        <v>1075</v>
      </c>
      <c r="C3081" s="76">
        <v>55.0</v>
      </c>
      <c r="D3081" s="76" t="s">
        <v>5679</v>
      </c>
      <c r="E3081" s="76" t="s">
        <v>5794</v>
      </c>
      <c r="F3081" s="74">
        <v>150.0</v>
      </c>
      <c r="G3081" s="76">
        <v>0.3</v>
      </c>
      <c r="H3081" s="76">
        <v>0.309</v>
      </c>
      <c r="I3081" s="76">
        <v>0.308</v>
      </c>
      <c r="J3081" s="76">
        <v>0.302</v>
      </c>
      <c r="K3081" s="77"/>
      <c r="L3081" s="77"/>
      <c r="M3081" s="77"/>
      <c r="N3081" s="77"/>
      <c r="O3081" s="77"/>
      <c r="P3081" s="77"/>
      <c r="Q3081" s="77"/>
      <c r="R3081" s="77"/>
      <c r="S3081" s="77"/>
      <c r="T3081" s="77"/>
      <c r="U3081" s="77"/>
      <c r="V3081" s="77"/>
      <c r="W3081" s="77"/>
      <c r="X3081" s="76">
        <v>0.3125</v>
      </c>
    </row>
    <row r="3082">
      <c r="A3082" s="74" t="s">
        <v>5899</v>
      </c>
      <c r="B3082" s="74" t="s">
        <v>1075</v>
      </c>
      <c r="C3082" s="76">
        <v>56.0</v>
      </c>
      <c r="D3082" s="74" t="s">
        <v>5679</v>
      </c>
      <c r="E3082" s="74" t="s">
        <v>5794</v>
      </c>
      <c r="F3082" s="74">
        <v>150.0</v>
      </c>
      <c r="G3082" s="74">
        <v>0.3</v>
      </c>
      <c r="H3082" s="74">
        <v>0.303</v>
      </c>
      <c r="I3082" s="74">
        <v>0.3</v>
      </c>
      <c r="J3082" s="74">
        <v>0.3</v>
      </c>
      <c r="K3082" s="75"/>
      <c r="L3082" s="75"/>
      <c r="M3082" s="75"/>
      <c r="N3082" s="75"/>
      <c r="O3082" s="75"/>
      <c r="P3082" s="75"/>
      <c r="Q3082" s="75"/>
      <c r="R3082" s="75"/>
      <c r="S3082" s="75"/>
      <c r="T3082" s="75"/>
      <c r="U3082" s="75"/>
      <c r="V3082" s="75"/>
      <c r="W3082" s="75"/>
      <c r="X3082" s="74">
        <v>0.3125</v>
      </c>
    </row>
    <row r="3083">
      <c r="A3083" s="76" t="s">
        <v>5900</v>
      </c>
      <c r="B3083" s="76" t="s">
        <v>1075</v>
      </c>
      <c r="C3083" s="76">
        <v>57.0</v>
      </c>
      <c r="D3083" s="76" t="s">
        <v>5679</v>
      </c>
      <c r="E3083" s="76" t="s">
        <v>5794</v>
      </c>
      <c r="F3083" s="74">
        <v>150.0</v>
      </c>
      <c r="G3083" s="76">
        <v>0.302</v>
      </c>
      <c r="H3083" s="76">
        <v>0.304</v>
      </c>
      <c r="I3083" s="76">
        <v>0.302</v>
      </c>
      <c r="J3083" s="76">
        <v>0.302</v>
      </c>
      <c r="K3083" s="77"/>
      <c r="L3083" s="77"/>
      <c r="M3083" s="77"/>
      <c r="N3083" s="77"/>
      <c r="O3083" s="77"/>
      <c r="P3083" s="77"/>
      <c r="Q3083" s="77"/>
      <c r="R3083" s="77"/>
      <c r="S3083" s="77"/>
      <c r="T3083" s="77"/>
      <c r="U3083" s="77"/>
      <c r="V3083" s="77"/>
      <c r="W3083" s="77"/>
      <c r="X3083" s="76">
        <v>0.3125</v>
      </c>
    </row>
    <row r="3084">
      <c r="A3084" s="74" t="s">
        <v>5901</v>
      </c>
      <c r="B3084" s="74" t="s">
        <v>1075</v>
      </c>
      <c r="C3084" s="76">
        <v>58.0</v>
      </c>
      <c r="D3084" s="74" t="s">
        <v>5679</v>
      </c>
      <c r="E3084" s="74" t="s">
        <v>5794</v>
      </c>
      <c r="F3084" s="74">
        <v>150.0</v>
      </c>
      <c r="G3084" s="74">
        <v>0.3</v>
      </c>
      <c r="H3084" s="74">
        <v>0.3</v>
      </c>
      <c r="I3084" s="74">
        <v>0.302</v>
      </c>
      <c r="J3084" s="74">
        <v>0.302</v>
      </c>
      <c r="K3084" s="75"/>
      <c r="L3084" s="75"/>
      <c r="M3084" s="75"/>
      <c r="N3084" s="75"/>
      <c r="O3084" s="75"/>
      <c r="P3084" s="75"/>
      <c r="Q3084" s="75"/>
      <c r="R3084" s="75"/>
      <c r="S3084" s="75"/>
      <c r="T3084" s="75"/>
      <c r="U3084" s="75"/>
      <c r="V3084" s="75"/>
      <c r="W3084" s="75"/>
      <c r="X3084" s="74">
        <v>0.3125</v>
      </c>
    </row>
    <row r="3085">
      <c r="A3085" s="76" t="s">
        <v>5902</v>
      </c>
      <c r="B3085" s="76" t="s">
        <v>1075</v>
      </c>
      <c r="C3085" s="76">
        <v>59.0</v>
      </c>
      <c r="D3085" s="76" t="s">
        <v>5679</v>
      </c>
      <c r="E3085" s="76" t="s">
        <v>5794</v>
      </c>
      <c r="F3085" s="74">
        <v>150.0</v>
      </c>
      <c r="G3085" s="76">
        <v>0.3</v>
      </c>
      <c r="H3085" s="76">
        <v>0.298</v>
      </c>
      <c r="I3085" s="76">
        <v>0.302</v>
      </c>
      <c r="J3085" s="76">
        <v>0.302</v>
      </c>
      <c r="K3085" s="77"/>
      <c r="L3085" s="77"/>
      <c r="M3085" s="77"/>
      <c r="N3085" s="77"/>
      <c r="O3085" s="77"/>
      <c r="P3085" s="77"/>
      <c r="Q3085" s="77"/>
      <c r="R3085" s="77"/>
      <c r="S3085" s="77"/>
      <c r="T3085" s="77"/>
      <c r="U3085" s="77"/>
      <c r="V3085" s="77"/>
      <c r="W3085" s="77"/>
      <c r="X3085" s="76">
        <v>0.3125</v>
      </c>
    </row>
    <row r="3086">
      <c r="A3086" s="74" t="s">
        <v>5903</v>
      </c>
      <c r="B3086" s="74" t="s">
        <v>1075</v>
      </c>
      <c r="C3086" s="76">
        <v>60.0</v>
      </c>
      <c r="D3086" s="74" t="s">
        <v>5679</v>
      </c>
      <c r="E3086" s="74" t="s">
        <v>5794</v>
      </c>
      <c r="F3086" s="74">
        <v>150.0</v>
      </c>
      <c r="G3086" s="74">
        <v>0.311</v>
      </c>
      <c r="H3086" s="74">
        <v>0.3</v>
      </c>
      <c r="I3086" s="74">
        <v>0.3</v>
      </c>
      <c r="J3086" s="74">
        <v>0.3</v>
      </c>
      <c r="K3086" s="75"/>
      <c r="L3086" s="75"/>
      <c r="M3086" s="75"/>
      <c r="N3086" s="75"/>
      <c r="O3086" s="75"/>
      <c r="P3086" s="75"/>
      <c r="Q3086" s="75"/>
      <c r="R3086" s="75"/>
      <c r="S3086" s="75"/>
      <c r="T3086" s="75"/>
      <c r="U3086" s="75"/>
      <c r="V3086" s="75"/>
      <c r="W3086" s="75"/>
      <c r="X3086" s="74">
        <v>0.3125</v>
      </c>
    </row>
    <row r="3087">
      <c r="A3087" s="76" t="s">
        <v>5904</v>
      </c>
      <c r="B3087" s="76" t="s">
        <v>1075</v>
      </c>
      <c r="C3087" s="76">
        <v>61.0</v>
      </c>
      <c r="D3087" s="76" t="s">
        <v>5679</v>
      </c>
      <c r="E3087" s="76" t="s">
        <v>5794</v>
      </c>
      <c r="F3087" s="74">
        <v>150.0</v>
      </c>
      <c r="G3087" s="76">
        <v>0.298</v>
      </c>
      <c r="H3087" s="76">
        <v>0.3</v>
      </c>
      <c r="I3087" s="76">
        <v>0.298</v>
      </c>
      <c r="J3087" s="76">
        <v>0.302</v>
      </c>
      <c r="K3087" s="77"/>
      <c r="L3087" s="77"/>
      <c r="M3087" s="77"/>
      <c r="N3087" s="77"/>
      <c r="O3087" s="77"/>
      <c r="P3087" s="77"/>
      <c r="Q3087" s="77"/>
      <c r="R3087" s="77"/>
      <c r="S3087" s="77"/>
      <c r="T3087" s="77"/>
      <c r="U3087" s="77"/>
      <c r="V3087" s="77"/>
      <c r="W3087" s="77"/>
      <c r="X3087" s="76">
        <v>0.3125</v>
      </c>
    </row>
    <row r="3088">
      <c r="A3088" s="74" t="s">
        <v>5905</v>
      </c>
      <c r="B3088" s="74" t="s">
        <v>1075</v>
      </c>
      <c r="C3088" s="76">
        <v>62.0</v>
      </c>
      <c r="D3088" s="74" t="s">
        <v>5679</v>
      </c>
      <c r="E3088" s="74" t="s">
        <v>5794</v>
      </c>
      <c r="F3088" s="74">
        <v>150.0</v>
      </c>
      <c r="G3088" s="74">
        <v>0.3</v>
      </c>
      <c r="H3088" s="74">
        <v>0.307</v>
      </c>
      <c r="I3088" s="74">
        <v>0.3</v>
      </c>
      <c r="J3088" s="74">
        <v>0.3</v>
      </c>
      <c r="K3088" s="75"/>
      <c r="L3088" s="75"/>
      <c r="M3088" s="75"/>
      <c r="N3088" s="75"/>
      <c r="O3088" s="75"/>
      <c r="P3088" s="75"/>
      <c r="Q3088" s="75"/>
      <c r="R3088" s="75"/>
      <c r="S3088" s="75"/>
      <c r="T3088" s="75"/>
      <c r="U3088" s="75"/>
      <c r="V3088" s="75"/>
      <c r="W3088" s="75"/>
      <c r="X3088" s="74">
        <v>0.3125</v>
      </c>
    </row>
    <row r="3089">
      <c r="A3089" s="76" t="s">
        <v>5906</v>
      </c>
      <c r="B3089" s="76" t="s">
        <v>1075</v>
      </c>
      <c r="C3089" s="76">
        <v>63.0</v>
      </c>
      <c r="D3089" s="76" t="s">
        <v>5679</v>
      </c>
      <c r="E3089" s="76" t="s">
        <v>5794</v>
      </c>
      <c r="F3089" s="74">
        <v>150.0</v>
      </c>
      <c r="G3089" s="76">
        <v>0.3</v>
      </c>
      <c r="H3089" s="76">
        <v>0.312</v>
      </c>
      <c r="I3089" s="76">
        <v>0.302</v>
      </c>
      <c r="J3089" s="76">
        <v>0.298</v>
      </c>
      <c r="K3089" s="77"/>
      <c r="L3089" s="77"/>
      <c r="M3089" s="77"/>
      <c r="N3089" s="77"/>
      <c r="O3089" s="77"/>
      <c r="P3089" s="77"/>
      <c r="Q3089" s="77"/>
      <c r="R3089" s="77"/>
      <c r="S3089" s="77"/>
      <c r="T3089" s="77"/>
      <c r="U3089" s="77"/>
      <c r="V3089" s="77"/>
      <c r="W3089" s="77"/>
      <c r="X3089" s="76">
        <v>0.3125</v>
      </c>
    </row>
    <row r="3090">
      <c r="A3090" s="74" t="s">
        <v>5907</v>
      </c>
      <c r="B3090" s="74" t="s">
        <v>1075</v>
      </c>
      <c r="C3090" s="76">
        <v>64.0</v>
      </c>
      <c r="D3090" s="74" t="s">
        <v>5679</v>
      </c>
      <c r="E3090" s="74" t="s">
        <v>5794</v>
      </c>
      <c r="F3090" s="74">
        <v>150.0</v>
      </c>
      <c r="G3090" s="74">
        <v>0.299</v>
      </c>
      <c r="H3090" s="74">
        <v>0.3</v>
      </c>
      <c r="I3090" s="74">
        <v>0.298</v>
      </c>
      <c r="J3090" s="74">
        <v>0.3</v>
      </c>
      <c r="K3090" s="75"/>
      <c r="L3090" s="75"/>
      <c r="M3090" s="75"/>
      <c r="N3090" s="75"/>
      <c r="O3090" s="75"/>
      <c r="P3090" s="75"/>
      <c r="Q3090" s="75"/>
      <c r="R3090" s="75"/>
      <c r="S3090" s="75"/>
      <c r="T3090" s="75"/>
      <c r="U3090" s="75"/>
      <c r="V3090" s="75"/>
      <c r="W3090" s="75"/>
      <c r="X3090" s="74">
        <v>0.3125</v>
      </c>
    </row>
    <row r="3091">
      <c r="A3091" s="76" t="s">
        <v>5908</v>
      </c>
      <c r="B3091" s="76" t="s">
        <v>1075</v>
      </c>
      <c r="C3091" s="76">
        <v>65.0</v>
      </c>
      <c r="D3091" s="76" t="s">
        <v>5679</v>
      </c>
      <c r="E3091" s="76" t="s">
        <v>5811</v>
      </c>
      <c r="F3091" s="74">
        <v>150.0</v>
      </c>
      <c r="G3091" s="76">
        <v>0.224</v>
      </c>
      <c r="H3091" s="76">
        <v>0.227</v>
      </c>
      <c r="I3091" s="76">
        <v>0.226</v>
      </c>
      <c r="J3091" s="76">
        <v>0.229</v>
      </c>
      <c r="K3091" s="77"/>
      <c r="L3091" s="77"/>
      <c r="M3091" s="77"/>
      <c r="N3091" s="77"/>
      <c r="O3091" s="77"/>
      <c r="P3091" s="77"/>
      <c r="Q3091" s="77"/>
      <c r="R3091" s="77"/>
      <c r="S3091" s="77"/>
      <c r="T3091" s="77"/>
      <c r="U3091" s="77"/>
      <c r="V3091" s="77"/>
      <c r="W3091" s="77"/>
      <c r="X3091" s="76">
        <v>0.2362</v>
      </c>
    </row>
    <row r="3092">
      <c r="A3092" s="74" t="s">
        <v>5909</v>
      </c>
      <c r="B3092" s="74" t="s">
        <v>1075</v>
      </c>
      <c r="C3092" s="76">
        <v>66.0</v>
      </c>
      <c r="D3092" s="74" t="s">
        <v>5679</v>
      </c>
      <c r="E3092" s="74" t="s">
        <v>5811</v>
      </c>
      <c r="F3092" s="74">
        <v>150.0</v>
      </c>
      <c r="G3092" s="74">
        <v>0.226</v>
      </c>
      <c r="H3092" s="74">
        <v>0.222</v>
      </c>
      <c r="I3092" s="74">
        <v>0.224</v>
      </c>
      <c r="J3092" s="74">
        <v>0.229</v>
      </c>
      <c r="K3092" s="75"/>
      <c r="L3092" s="75"/>
      <c r="M3092" s="75"/>
      <c r="N3092" s="75"/>
      <c r="O3092" s="75"/>
      <c r="P3092" s="75"/>
      <c r="Q3092" s="75"/>
      <c r="R3092" s="75"/>
      <c r="S3092" s="75"/>
      <c r="T3092" s="75"/>
      <c r="U3092" s="75"/>
      <c r="V3092" s="75"/>
      <c r="W3092" s="75"/>
      <c r="X3092" s="74">
        <v>0.2362</v>
      </c>
    </row>
    <row r="3093">
      <c r="A3093" s="76" t="s">
        <v>5910</v>
      </c>
      <c r="B3093" s="76" t="s">
        <v>1075</v>
      </c>
      <c r="C3093" s="76">
        <v>67.0</v>
      </c>
      <c r="D3093" s="76" t="s">
        <v>5679</v>
      </c>
      <c r="E3093" s="76" t="s">
        <v>5811</v>
      </c>
      <c r="F3093" s="74">
        <v>150.0</v>
      </c>
      <c r="G3093" s="76">
        <v>0.224</v>
      </c>
      <c r="H3093" s="76">
        <v>0.227</v>
      </c>
      <c r="I3093" s="76">
        <v>0.223</v>
      </c>
      <c r="J3093" s="76">
        <v>0.229</v>
      </c>
      <c r="K3093" s="77"/>
      <c r="L3093" s="77"/>
      <c r="M3093" s="77"/>
      <c r="N3093" s="77"/>
      <c r="O3093" s="77"/>
      <c r="P3093" s="77"/>
      <c r="Q3093" s="77"/>
      <c r="R3093" s="77"/>
      <c r="S3093" s="77"/>
      <c r="T3093" s="77"/>
      <c r="U3093" s="77"/>
      <c r="V3093" s="77"/>
      <c r="W3093" s="77"/>
      <c r="X3093" s="76">
        <v>0.2362</v>
      </c>
    </row>
    <row r="3094">
      <c r="A3094" s="74" t="s">
        <v>5911</v>
      </c>
      <c r="B3094" s="74" t="s">
        <v>1075</v>
      </c>
      <c r="C3094" s="76">
        <v>68.0</v>
      </c>
      <c r="D3094" s="74" t="s">
        <v>5679</v>
      </c>
      <c r="E3094" s="74" t="s">
        <v>5811</v>
      </c>
      <c r="F3094" s="74">
        <v>150.0</v>
      </c>
      <c r="G3094" s="74">
        <v>0.226</v>
      </c>
      <c r="H3094" s="74">
        <v>0.226</v>
      </c>
      <c r="I3094" s="74">
        <v>0.224</v>
      </c>
      <c r="J3094" s="74">
        <v>0.229</v>
      </c>
      <c r="K3094" s="75"/>
      <c r="L3094" s="75"/>
      <c r="M3094" s="75"/>
      <c r="N3094" s="75"/>
      <c r="O3094" s="75"/>
      <c r="P3094" s="75"/>
      <c r="Q3094" s="75"/>
      <c r="R3094" s="75"/>
      <c r="S3094" s="75"/>
      <c r="T3094" s="75"/>
      <c r="U3094" s="75"/>
      <c r="V3094" s="75"/>
      <c r="W3094" s="75"/>
      <c r="X3094" s="74">
        <v>0.2362</v>
      </c>
    </row>
    <row r="3095">
      <c r="A3095" s="76" t="s">
        <v>5912</v>
      </c>
      <c r="B3095" s="76" t="s">
        <v>1075</v>
      </c>
      <c r="C3095" s="76">
        <v>69.0</v>
      </c>
      <c r="D3095" s="76" t="s">
        <v>5679</v>
      </c>
      <c r="E3095" s="76" t="s">
        <v>5811</v>
      </c>
      <c r="F3095" s="74">
        <v>150.0</v>
      </c>
      <c r="G3095" s="76">
        <v>0.239</v>
      </c>
      <c r="H3095" s="76">
        <v>0.226</v>
      </c>
      <c r="I3095" s="76">
        <v>0.217</v>
      </c>
      <c r="J3095" s="76">
        <v>0.227</v>
      </c>
      <c r="K3095" s="77"/>
      <c r="L3095" s="77"/>
      <c r="M3095" s="77"/>
      <c r="N3095" s="77"/>
      <c r="O3095" s="77"/>
      <c r="P3095" s="77"/>
      <c r="Q3095" s="77"/>
      <c r="R3095" s="77"/>
      <c r="S3095" s="77"/>
      <c r="T3095" s="77"/>
      <c r="U3095" s="77"/>
      <c r="V3095" s="77"/>
      <c r="W3095" s="77"/>
      <c r="X3095" s="76">
        <v>0.2362</v>
      </c>
    </row>
    <row r="3096">
      <c r="A3096" s="74" t="s">
        <v>5913</v>
      </c>
      <c r="B3096" s="74" t="s">
        <v>1075</v>
      </c>
      <c r="C3096" s="76">
        <v>70.0</v>
      </c>
      <c r="D3096" s="74" t="s">
        <v>5679</v>
      </c>
      <c r="E3096" s="74" t="s">
        <v>5811</v>
      </c>
      <c r="F3096" s="74">
        <v>150.0</v>
      </c>
      <c r="G3096" s="74">
        <v>0.239</v>
      </c>
      <c r="H3096" s="74">
        <v>0.213</v>
      </c>
      <c r="I3096" s="74">
        <v>0.226</v>
      </c>
      <c r="J3096" s="74">
        <v>0.229</v>
      </c>
      <c r="K3096" s="75"/>
      <c r="L3096" s="75"/>
      <c r="M3096" s="75"/>
      <c r="N3096" s="75"/>
      <c r="O3096" s="75"/>
      <c r="P3096" s="75"/>
      <c r="Q3096" s="75"/>
      <c r="R3096" s="75"/>
      <c r="S3096" s="75"/>
      <c r="T3096" s="75"/>
      <c r="U3096" s="75"/>
      <c r="V3096" s="75"/>
      <c r="W3096" s="75"/>
      <c r="X3096" s="74">
        <v>0.2362</v>
      </c>
    </row>
    <row r="3097">
      <c r="A3097" s="76" t="s">
        <v>5914</v>
      </c>
      <c r="B3097" s="76" t="s">
        <v>1075</v>
      </c>
      <c r="C3097" s="76">
        <v>71.0</v>
      </c>
      <c r="D3097" s="76" t="s">
        <v>5679</v>
      </c>
      <c r="E3097" s="76" t="s">
        <v>5811</v>
      </c>
      <c r="F3097" s="74">
        <v>150.0</v>
      </c>
      <c r="G3097" s="76">
        <v>0.24</v>
      </c>
      <c r="H3097" s="76">
        <v>0.224</v>
      </c>
      <c r="I3097" s="76">
        <v>0.227</v>
      </c>
      <c r="J3097" s="76">
        <v>0.229</v>
      </c>
      <c r="K3097" s="77"/>
      <c r="L3097" s="77"/>
      <c r="M3097" s="77"/>
      <c r="N3097" s="77"/>
      <c r="O3097" s="77"/>
      <c r="P3097" s="77"/>
      <c r="Q3097" s="77"/>
      <c r="R3097" s="77"/>
      <c r="S3097" s="77"/>
      <c r="T3097" s="77"/>
      <c r="U3097" s="77"/>
      <c r="V3097" s="77"/>
      <c r="W3097" s="77"/>
      <c r="X3097" s="76">
        <v>0.2362</v>
      </c>
    </row>
    <row r="3098">
      <c r="A3098" s="74" t="s">
        <v>5915</v>
      </c>
      <c r="B3098" s="74" t="s">
        <v>1075</v>
      </c>
      <c r="C3098" s="76">
        <v>72.0</v>
      </c>
      <c r="D3098" s="74" t="s">
        <v>5679</v>
      </c>
      <c r="E3098" s="74" t="s">
        <v>5811</v>
      </c>
      <c r="F3098" s="74">
        <v>150.0</v>
      </c>
      <c r="G3098" s="74">
        <v>0.227</v>
      </c>
      <c r="H3098" s="74">
        <v>0.226</v>
      </c>
      <c r="I3098" s="74">
        <v>0.222</v>
      </c>
      <c r="J3098" s="74">
        <v>0.229</v>
      </c>
      <c r="K3098" s="75"/>
      <c r="L3098" s="75"/>
      <c r="M3098" s="75"/>
      <c r="N3098" s="75"/>
      <c r="O3098" s="75"/>
      <c r="P3098" s="75"/>
      <c r="Q3098" s="75"/>
      <c r="R3098" s="75"/>
      <c r="S3098" s="75"/>
      <c r="T3098" s="75"/>
      <c r="U3098" s="75"/>
      <c r="V3098" s="75"/>
      <c r="W3098" s="75"/>
      <c r="X3098" s="74">
        <v>0.2362</v>
      </c>
    </row>
    <row r="3099">
      <c r="A3099" s="76" t="s">
        <v>5916</v>
      </c>
      <c r="B3099" s="76" t="s">
        <v>1075</v>
      </c>
      <c r="C3099" s="76">
        <v>73.0</v>
      </c>
      <c r="D3099" s="76" t="s">
        <v>5679</v>
      </c>
      <c r="E3099" s="76" t="s">
        <v>5811</v>
      </c>
      <c r="F3099" s="74">
        <v>150.0</v>
      </c>
      <c r="G3099" s="76">
        <v>0.226</v>
      </c>
      <c r="H3099" s="76">
        <v>0.24</v>
      </c>
      <c r="I3099" s="76">
        <v>0.227</v>
      </c>
      <c r="J3099" s="76">
        <v>0.227</v>
      </c>
      <c r="K3099" s="77"/>
      <c r="L3099" s="77"/>
      <c r="M3099" s="77"/>
      <c r="N3099" s="77"/>
      <c r="O3099" s="77"/>
      <c r="P3099" s="77"/>
      <c r="Q3099" s="77"/>
      <c r="R3099" s="77"/>
      <c r="S3099" s="77"/>
      <c r="T3099" s="77"/>
      <c r="U3099" s="77"/>
      <c r="V3099" s="77"/>
      <c r="W3099" s="77"/>
      <c r="X3099" s="76">
        <v>0.2362</v>
      </c>
    </row>
    <row r="3100">
      <c r="A3100" s="74" t="s">
        <v>5917</v>
      </c>
      <c r="B3100" s="74" t="s">
        <v>1075</v>
      </c>
      <c r="C3100" s="76">
        <v>74.0</v>
      </c>
      <c r="D3100" s="74" t="s">
        <v>5679</v>
      </c>
      <c r="E3100" s="74" t="s">
        <v>5811</v>
      </c>
      <c r="F3100" s="74">
        <v>150.0</v>
      </c>
      <c r="G3100" s="74">
        <v>0.242</v>
      </c>
      <c r="H3100" s="74">
        <v>0.224</v>
      </c>
      <c r="I3100" s="74">
        <v>0.218</v>
      </c>
      <c r="J3100" s="74">
        <v>0.229</v>
      </c>
      <c r="K3100" s="75"/>
      <c r="L3100" s="75"/>
      <c r="M3100" s="75"/>
      <c r="N3100" s="75"/>
      <c r="O3100" s="75"/>
      <c r="P3100" s="75"/>
      <c r="Q3100" s="75"/>
      <c r="R3100" s="75"/>
      <c r="S3100" s="75"/>
      <c r="T3100" s="75"/>
      <c r="U3100" s="75"/>
      <c r="V3100" s="75"/>
      <c r="W3100" s="75"/>
      <c r="X3100" s="74">
        <v>0.2362</v>
      </c>
    </row>
    <row r="3101">
      <c r="A3101" s="76" t="s">
        <v>5918</v>
      </c>
      <c r="B3101" s="76" t="s">
        <v>1075</v>
      </c>
      <c r="C3101" s="76">
        <v>75.0</v>
      </c>
      <c r="D3101" s="76" t="s">
        <v>5679</v>
      </c>
      <c r="E3101" s="76" t="s">
        <v>5811</v>
      </c>
      <c r="F3101" s="74">
        <v>150.0</v>
      </c>
      <c r="G3101" s="76">
        <v>0.241</v>
      </c>
      <c r="H3101" s="76">
        <v>0.226</v>
      </c>
      <c r="I3101" s="76">
        <v>0.227</v>
      </c>
      <c r="J3101" s="76">
        <v>0.243</v>
      </c>
      <c r="K3101" s="77"/>
      <c r="L3101" s="77"/>
      <c r="M3101" s="77"/>
      <c r="N3101" s="77"/>
      <c r="O3101" s="77"/>
      <c r="P3101" s="77"/>
      <c r="Q3101" s="77"/>
      <c r="R3101" s="77"/>
      <c r="S3101" s="77"/>
      <c r="T3101" s="77"/>
      <c r="U3101" s="77"/>
      <c r="V3101" s="77"/>
      <c r="W3101" s="77"/>
      <c r="X3101" s="76">
        <v>0.2362</v>
      </c>
    </row>
    <row r="3102">
      <c r="A3102" s="74" t="s">
        <v>5919</v>
      </c>
      <c r="B3102" s="74" t="s">
        <v>1075</v>
      </c>
      <c r="C3102" s="76">
        <v>76.0</v>
      </c>
      <c r="D3102" s="74" t="s">
        <v>5679</v>
      </c>
      <c r="E3102" s="74" t="s">
        <v>5811</v>
      </c>
      <c r="F3102" s="74">
        <v>150.0</v>
      </c>
      <c r="G3102" s="74">
        <v>0.227</v>
      </c>
      <c r="H3102" s="74">
        <v>0.226</v>
      </c>
      <c r="I3102" s="74">
        <v>0.226</v>
      </c>
      <c r="J3102" s="74">
        <v>0.23</v>
      </c>
      <c r="K3102" s="75"/>
      <c r="L3102" s="75"/>
      <c r="M3102" s="75"/>
      <c r="N3102" s="75"/>
      <c r="O3102" s="75"/>
      <c r="P3102" s="75"/>
      <c r="Q3102" s="75"/>
      <c r="R3102" s="75"/>
      <c r="S3102" s="75"/>
      <c r="T3102" s="75"/>
      <c r="U3102" s="75"/>
      <c r="V3102" s="75"/>
      <c r="W3102" s="75"/>
      <c r="X3102" s="74">
        <v>0.2362</v>
      </c>
    </row>
    <row r="3103">
      <c r="A3103" s="76" t="s">
        <v>5920</v>
      </c>
      <c r="B3103" s="76" t="s">
        <v>1075</v>
      </c>
      <c r="C3103" s="76">
        <v>77.0</v>
      </c>
      <c r="D3103" s="76" t="s">
        <v>5679</v>
      </c>
      <c r="E3103" s="76" t="s">
        <v>5811</v>
      </c>
      <c r="F3103" s="74">
        <v>150.0</v>
      </c>
      <c r="G3103" s="76">
        <v>0.222</v>
      </c>
      <c r="H3103" s="76">
        <v>0.226</v>
      </c>
      <c r="I3103" s="76">
        <v>0.229</v>
      </c>
      <c r="J3103" s="76">
        <v>0.229</v>
      </c>
      <c r="K3103" s="77"/>
      <c r="L3103" s="77"/>
      <c r="M3103" s="77"/>
      <c r="N3103" s="77"/>
      <c r="O3103" s="77"/>
      <c r="P3103" s="77"/>
      <c r="Q3103" s="77"/>
      <c r="R3103" s="77"/>
      <c r="S3103" s="77"/>
      <c r="T3103" s="77"/>
      <c r="U3103" s="77"/>
      <c r="V3103" s="77"/>
      <c r="W3103" s="77"/>
      <c r="X3103" s="76">
        <v>0.2362</v>
      </c>
    </row>
    <row r="3104">
      <c r="A3104" s="74" t="s">
        <v>5921</v>
      </c>
      <c r="B3104" s="74" t="s">
        <v>1075</v>
      </c>
      <c r="C3104" s="76">
        <v>78.0</v>
      </c>
      <c r="D3104" s="74" t="s">
        <v>5679</v>
      </c>
      <c r="E3104" s="74" t="s">
        <v>5811</v>
      </c>
      <c r="F3104" s="74">
        <v>150.0</v>
      </c>
      <c r="G3104" s="74">
        <v>0.226</v>
      </c>
      <c r="H3104" s="74">
        <v>0.224</v>
      </c>
      <c r="I3104" s="74">
        <v>0.221</v>
      </c>
      <c r="J3104" s="74">
        <v>0.226</v>
      </c>
      <c r="K3104" s="75"/>
      <c r="L3104" s="75"/>
      <c r="M3104" s="75"/>
      <c r="N3104" s="75"/>
      <c r="O3104" s="75"/>
      <c r="P3104" s="75"/>
      <c r="Q3104" s="75"/>
      <c r="R3104" s="75"/>
      <c r="S3104" s="75"/>
      <c r="T3104" s="75"/>
      <c r="U3104" s="75"/>
      <c r="V3104" s="75"/>
      <c r="W3104" s="75"/>
      <c r="X3104" s="74">
        <v>0.2362</v>
      </c>
    </row>
    <row r="3105">
      <c r="A3105" s="76" t="s">
        <v>5922</v>
      </c>
      <c r="B3105" s="76" t="s">
        <v>1075</v>
      </c>
      <c r="C3105" s="76">
        <v>79.0</v>
      </c>
      <c r="D3105" s="76" t="s">
        <v>5679</v>
      </c>
      <c r="E3105" s="76" t="s">
        <v>5811</v>
      </c>
      <c r="F3105" s="74">
        <v>150.0</v>
      </c>
      <c r="G3105" s="76">
        <v>0.221</v>
      </c>
      <c r="H3105" s="76">
        <v>0.224</v>
      </c>
      <c r="I3105" s="76">
        <v>0.227</v>
      </c>
      <c r="J3105" s="76">
        <v>0.227</v>
      </c>
      <c r="K3105" s="77"/>
      <c r="L3105" s="77"/>
      <c r="M3105" s="77"/>
      <c r="N3105" s="77"/>
      <c r="O3105" s="77"/>
      <c r="P3105" s="77"/>
      <c r="Q3105" s="77"/>
      <c r="R3105" s="77"/>
      <c r="S3105" s="77"/>
      <c r="T3105" s="77"/>
      <c r="U3105" s="77"/>
      <c r="V3105" s="77"/>
      <c r="W3105" s="77"/>
      <c r="X3105" s="76">
        <v>0.2362</v>
      </c>
    </row>
    <row r="3106">
      <c r="A3106" s="74" t="s">
        <v>5923</v>
      </c>
      <c r="B3106" s="74" t="s">
        <v>1075</v>
      </c>
      <c r="C3106" s="76">
        <v>80.0</v>
      </c>
      <c r="D3106" s="74" t="s">
        <v>5679</v>
      </c>
      <c r="E3106" s="74" t="s">
        <v>5811</v>
      </c>
      <c r="F3106" s="74">
        <v>150.0</v>
      </c>
      <c r="G3106" s="74">
        <v>0.227</v>
      </c>
      <c r="H3106" s="74">
        <v>0.226</v>
      </c>
      <c r="I3106" s="74">
        <v>0.243</v>
      </c>
      <c r="J3106" s="74">
        <v>0.242</v>
      </c>
      <c r="K3106" s="75"/>
      <c r="L3106" s="75"/>
      <c r="M3106" s="75"/>
      <c r="N3106" s="75"/>
      <c r="O3106" s="75"/>
      <c r="P3106" s="75"/>
      <c r="Q3106" s="75"/>
      <c r="R3106" s="75"/>
      <c r="S3106" s="75"/>
      <c r="T3106" s="75"/>
      <c r="U3106" s="75"/>
      <c r="V3106" s="75"/>
      <c r="W3106" s="75"/>
      <c r="X3106" s="74">
        <v>0.2362</v>
      </c>
    </row>
    <row r="3107">
      <c r="A3107" s="76" t="s">
        <v>5924</v>
      </c>
      <c r="B3107" s="76" t="s">
        <v>1075</v>
      </c>
      <c r="C3107" s="76">
        <v>81.0</v>
      </c>
      <c r="D3107" s="76" t="s">
        <v>5679</v>
      </c>
      <c r="E3107" s="76" t="s">
        <v>5828</v>
      </c>
      <c r="F3107" s="74">
        <v>150.0</v>
      </c>
      <c r="G3107" s="76">
        <v>0.224</v>
      </c>
      <c r="H3107" s="76">
        <v>0.229</v>
      </c>
      <c r="I3107" s="76">
        <v>0.23</v>
      </c>
      <c r="J3107" s="76">
        <v>0.229</v>
      </c>
      <c r="K3107" s="77"/>
      <c r="L3107" s="77"/>
      <c r="M3107" s="77"/>
      <c r="N3107" s="77"/>
      <c r="O3107" s="77"/>
      <c r="P3107" s="77"/>
      <c r="Q3107" s="77"/>
      <c r="R3107" s="77"/>
      <c r="S3107" s="77"/>
      <c r="T3107" s="77"/>
      <c r="U3107" s="77"/>
      <c r="V3107" s="77"/>
      <c r="W3107" s="77"/>
      <c r="X3107" s="76">
        <v>0.2362</v>
      </c>
    </row>
    <row r="3108">
      <c r="A3108" s="74" t="s">
        <v>5925</v>
      </c>
      <c r="B3108" s="74" t="s">
        <v>1075</v>
      </c>
      <c r="C3108" s="76">
        <v>82.0</v>
      </c>
      <c r="D3108" s="74" t="s">
        <v>5679</v>
      </c>
      <c r="E3108" s="74" t="s">
        <v>5828</v>
      </c>
      <c r="F3108" s="74">
        <v>150.0</v>
      </c>
      <c r="G3108" s="74">
        <v>0.229</v>
      </c>
      <c r="H3108" s="74">
        <v>0.229</v>
      </c>
      <c r="I3108" s="74">
        <v>0.23</v>
      </c>
      <c r="J3108" s="74">
        <v>0.23</v>
      </c>
      <c r="K3108" s="75"/>
      <c r="L3108" s="75"/>
      <c r="M3108" s="75"/>
      <c r="N3108" s="75"/>
      <c r="O3108" s="75"/>
      <c r="P3108" s="75"/>
      <c r="Q3108" s="75"/>
      <c r="R3108" s="75"/>
      <c r="S3108" s="75"/>
      <c r="T3108" s="75"/>
      <c r="U3108" s="75"/>
      <c r="V3108" s="75"/>
      <c r="W3108" s="75"/>
      <c r="X3108" s="74">
        <v>0.2362</v>
      </c>
    </row>
    <row r="3109">
      <c r="A3109" s="76" t="s">
        <v>5926</v>
      </c>
      <c r="B3109" s="76" t="s">
        <v>1075</v>
      </c>
      <c r="C3109" s="76">
        <v>83.0</v>
      </c>
      <c r="D3109" s="76" t="s">
        <v>5679</v>
      </c>
      <c r="E3109" s="76" t="s">
        <v>5828</v>
      </c>
      <c r="F3109" s="74">
        <v>150.0</v>
      </c>
      <c r="G3109" s="76">
        <v>0.227</v>
      </c>
      <c r="H3109" s="76">
        <v>0.229</v>
      </c>
      <c r="I3109" s="76">
        <v>0.23</v>
      </c>
      <c r="J3109" s="76">
        <v>0.232</v>
      </c>
      <c r="K3109" s="77"/>
      <c r="L3109" s="77"/>
      <c r="M3109" s="77"/>
      <c r="N3109" s="77"/>
      <c r="O3109" s="77"/>
      <c r="P3109" s="77"/>
      <c r="Q3109" s="77"/>
      <c r="R3109" s="77"/>
      <c r="S3109" s="77"/>
      <c r="T3109" s="77"/>
      <c r="U3109" s="77"/>
      <c r="V3109" s="77"/>
      <c r="W3109" s="77"/>
      <c r="X3109" s="76">
        <v>0.2362</v>
      </c>
    </row>
    <row r="3110">
      <c r="A3110" s="74" t="s">
        <v>5927</v>
      </c>
      <c r="B3110" s="74" t="s">
        <v>1075</v>
      </c>
      <c r="C3110" s="76">
        <v>84.0</v>
      </c>
      <c r="D3110" s="74" t="s">
        <v>5679</v>
      </c>
      <c r="E3110" s="74" t="s">
        <v>5828</v>
      </c>
      <c r="F3110" s="74">
        <v>150.0</v>
      </c>
      <c r="G3110" s="74">
        <v>0.227</v>
      </c>
      <c r="H3110" s="74">
        <v>0.214</v>
      </c>
      <c r="I3110" s="74">
        <v>0.229</v>
      </c>
      <c r="J3110" s="74">
        <v>0.235</v>
      </c>
      <c r="K3110" s="75"/>
      <c r="L3110" s="75"/>
      <c r="M3110" s="75"/>
      <c r="N3110" s="75"/>
      <c r="O3110" s="75"/>
      <c r="P3110" s="75"/>
      <c r="Q3110" s="75"/>
      <c r="R3110" s="75"/>
      <c r="S3110" s="75"/>
      <c r="T3110" s="75"/>
      <c r="U3110" s="75"/>
      <c r="V3110" s="75"/>
      <c r="W3110" s="75"/>
      <c r="X3110" s="74">
        <v>0.2362</v>
      </c>
    </row>
    <row r="3111">
      <c r="A3111" s="76" t="s">
        <v>5928</v>
      </c>
      <c r="B3111" s="76" t="s">
        <v>1075</v>
      </c>
      <c r="C3111" s="76">
        <v>85.0</v>
      </c>
      <c r="D3111" s="76" t="s">
        <v>5679</v>
      </c>
      <c r="E3111" s="76" t="s">
        <v>5828</v>
      </c>
      <c r="F3111" s="74">
        <v>150.0</v>
      </c>
      <c r="G3111" s="76">
        <v>0.23</v>
      </c>
      <c r="H3111" s="76">
        <v>0.229</v>
      </c>
      <c r="I3111" s="76">
        <v>0.23</v>
      </c>
      <c r="J3111" s="76">
        <v>0.23</v>
      </c>
      <c r="K3111" s="77"/>
      <c r="L3111" s="77"/>
      <c r="M3111" s="77"/>
      <c r="N3111" s="77"/>
      <c r="O3111" s="77"/>
      <c r="P3111" s="77"/>
      <c r="Q3111" s="77"/>
      <c r="R3111" s="77"/>
      <c r="S3111" s="77"/>
      <c r="T3111" s="77"/>
      <c r="U3111" s="77"/>
      <c r="V3111" s="77"/>
      <c r="W3111" s="77"/>
      <c r="X3111" s="76">
        <v>0.2362</v>
      </c>
    </row>
    <row r="3112">
      <c r="A3112" s="74" t="s">
        <v>5929</v>
      </c>
      <c r="B3112" s="74" t="s">
        <v>1075</v>
      </c>
      <c r="C3112" s="76">
        <v>86.0</v>
      </c>
      <c r="D3112" s="74" t="s">
        <v>5679</v>
      </c>
      <c r="E3112" s="74" t="s">
        <v>5828</v>
      </c>
      <c r="F3112" s="74">
        <v>150.0</v>
      </c>
      <c r="G3112" s="74">
        <v>0.224</v>
      </c>
      <c r="H3112" s="74">
        <v>0.229</v>
      </c>
      <c r="I3112" s="74">
        <v>0.229</v>
      </c>
      <c r="J3112" s="74">
        <v>0.214</v>
      </c>
      <c r="K3112" s="75"/>
      <c r="L3112" s="75"/>
      <c r="M3112" s="75"/>
      <c r="N3112" s="75"/>
      <c r="O3112" s="75"/>
      <c r="P3112" s="75"/>
      <c r="Q3112" s="75"/>
      <c r="R3112" s="75"/>
      <c r="S3112" s="75"/>
      <c r="T3112" s="75"/>
      <c r="U3112" s="75"/>
      <c r="V3112" s="75"/>
      <c r="W3112" s="75"/>
      <c r="X3112" s="74">
        <v>0.2362</v>
      </c>
    </row>
    <row r="3113">
      <c r="A3113" s="76" t="s">
        <v>5930</v>
      </c>
      <c r="B3113" s="76" t="s">
        <v>1075</v>
      </c>
      <c r="C3113" s="76">
        <v>87.0</v>
      </c>
      <c r="D3113" s="76" t="s">
        <v>5679</v>
      </c>
      <c r="E3113" s="76" t="s">
        <v>5828</v>
      </c>
      <c r="F3113" s="74">
        <v>150.0</v>
      </c>
      <c r="G3113" s="76">
        <v>0.23</v>
      </c>
      <c r="H3113" s="76">
        <v>0.243</v>
      </c>
      <c r="I3113" s="76">
        <v>0.222</v>
      </c>
      <c r="J3113" s="76">
        <v>0.23</v>
      </c>
      <c r="K3113" s="77"/>
      <c r="L3113" s="77"/>
      <c r="M3113" s="77"/>
      <c r="N3113" s="77"/>
      <c r="O3113" s="77"/>
      <c r="P3113" s="77"/>
      <c r="Q3113" s="77"/>
      <c r="R3113" s="77"/>
      <c r="S3113" s="77"/>
      <c r="T3113" s="77"/>
      <c r="U3113" s="77"/>
      <c r="V3113" s="77"/>
      <c r="W3113" s="77"/>
      <c r="X3113" s="76">
        <v>0.2362</v>
      </c>
    </row>
    <row r="3114">
      <c r="A3114" s="74" t="s">
        <v>5931</v>
      </c>
      <c r="B3114" s="74" t="s">
        <v>1075</v>
      </c>
      <c r="C3114" s="76">
        <v>88.0</v>
      </c>
      <c r="D3114" s="74" t="s">
        <v>5679</v>
      </c>
      <c r="E3114" s="74" t="s">
        <v>5828</v>
      </c>
      <c r="F3114" s="74">
        <v>150.0</v>
      </c>
      <c r="G3114" s="74">
        <v>0.23</v>
      </c>
      <c r="H3114" s="74">
        <v>0.227</v>
      </c>
      <c r="I3114" s="74">
        <v>0.245</v>
      </c>
      <c r="J3114" s="74">
        <v>0.23</v>
      </c>
      <c r="K3114" s="75"/>
      <c r="L3114" s="75"/>
      <c r="M3114" s="75"/>
      <c r="N3114" s="75"/>
      <c r="O3114" s="75"/>
      <c r="P3114" s="75"/>
      <c r="Q3114" s="75"/>
      <c r="R3114" s="75"/>
      <c r="S3114" s="75"/>
      <c r="T3114" s="75"/>
      <c r="U3114" s="75"/>
      <c r="V3114" s="75"/>
      <c r="W3114" s="75"/>
      <c r="X3114" s="74">
        <v>0.25</v>
      </c>
    </row>
    <row r="3115">
      <c r="A3115" s="76" t="s">
        <v>5932</v>
      </c>
      <c r="B3115" s="76" t="s">
        <v>1075</v>
      </c>
      <c r="C3115" s="76">
        <v>89.0</v>
      </c>
      <c r="D3115" s="76" t="s">
        <v>5679</v>
      </c>
      <c r="E3115" s="76" t="s">
        <v>5828</v>
      </c>
      <c r="F3115" s="74">
        <v>150.0</v>
      </c>
      <c r="G3115" s="76">
        <v>0.229</v>
      </c>
      <c r="H3115" s="76">
        <v>0.229</v>
      </c>
      <c r="I3115" s="76">
        <v>0.23</v>
      </c>
      <c r="J3115" s="76">
        <v>0.23</v>
      </c>
      <c r="K3115" s="77"/>
      <c r="L3115" s="77"/>
      <c r="M3115" s="77"/>
      <c r="N3115" s="77"/>
      <c r="O3115" s="77"/>
      <c r="P3115" s="77"/>
      <c r="Q3115" s="77"/>
      <c r="R3115" s="77"/>
      <c r="S3115" s="77"/>
      <c r="T3115" s="77"/>
      <c r="U3115" s="77"/>
      <c r="V3115" s="77"/>
      <c r="W3115" s="77"/>
      <c r="X3115" s="76">
        <v>0.2362</v>
      </c>
    </row>
    <row r="3116">
      <c r="A3116" s="74" t="s">
        <v>5933</v>
      </c>
      <c r="B3116" s="74" t="s">
        <v>1075</v>
      </c>
      <c r="C3116" s="76">
        <v>90.0</v>
      </c>
      <c r="D3116" s="74" t="s">
        <v>5679</v>
      </c>
      <c r="E3116" s="74" t="s">
        <v>5828</v>
      </c>
      <c r="F3116" s="74">
        <v>150.0</v>
      </c>
      <c r="G3116" s="74">
        <v>0.23</v>
      </c>
      <c r="H3116" s="74">
        <v>0.227</v>
      </c>
      <c r="I3116" s="74">
        <v>0.23</v>
      </c>
      <c r="J3116" s="74">
        <v>0.229</v>
      </c>
      <c r="K3116" s="75"/>
      <c r="L3116" s="75"/>
      <c r="M3116" s="75"/>
      <c r="N3116" s="75"/>
      <c r="O3116" s="75"/>
      <c r="P3116" s="75"/>
      <c r="Q3116" s="75"/>
      <c r="R3116" s="75"/>
      <c r="S3116" s="75"/>
      <c r="T3116" s="75"/>
      <c r="U3116" s="75"/>
      <c r="V3116" s="75"/>
      <c r="W3116" s="75"/>
      <c r="X3116" s="74">
        <v>0.2362</v>
      </c>
    </row>
    <row r="3117">
      <c r="A3117" s="76" t="s">
        <v>5934</v>
      </c>
      <c r="B3117" s="76" t="s">
        <v>1075</v>
      </c>
      <c r="C3117" s="76">
        <v>91.0</v>
      </c>
      <c r="D3117" s="76" t="s">
        <v>5679</v>
      </c>
      <c r="E3117" s="76" t="s">
        <v>5828</v>
      </c>
      <c r="F3117" s="74">
        <v>150.0</v>
      </c>
      <c r="G3117" s="76">
        <v>0.23</v>
      </c>
      <c r="H3117" s="76">
        <v>0.227</v>
      </c>
      <c r="I3117" s="76">
        <v>0.229</v>
      </c>
      <c r="J3117" s="76">
        <v>0.232</v>
      </c>
      <c r="K3117" s="77"/>
      <c r="L3117" s="77"/>
      <c r="M3117" s="77"/>
      <c r="N3117" s="77"/>
      <c r="O3117" s="77"/>
      <c r="P3117" s="77"/>
      <c r="Q3117" s="77"/>
      <c r="R3117" s="77"/>
      <c r="S3117" s="77"/>
      <c r="T3117" s="77"/>
      <c r="U3117" s="77"/>
      <c r="V3117" s="77"/>
      <c r="W3117" s="77"/>
      <c r="X3117" s="76">
        <v>0.2362</v>
      </c>
    </row>
    <row r="3118">
      <c r="A3118" s="74" t="s">
        <v>5935</v>
      </c>
      <c r="B3118" s="74" t="s">
        <v>1075</v>
      </c>
      <c r="C3118" s="76">
        <v>92.0</v>
      </c>
      <c r="D3118" s="74" t="s">
        <v>5679</v>
      </c>
      <c r="E3118" s="74" t="s">
        <v>5828</v>
      </c>
      <c r="F3118" s="74">
        <v>150.0</v>
      </c>
      <c r="G3118" s="74">
        <v>0.23</v>
      </c>
      <c r="H3118" s="74">
        <v>0.227</v>
      </c>
      <c r="I3118" s="74">
        <v>0.23</v>
      </c>
      <c r="J3118" s="74">
        <v>0.23</v>
      </c>
      <c r="K3118" s="75"/>
      <c r="L3118" s="75"/>
      <c r="M3118" s="75"/>
      <c r="N3118" s="75"/>
      <c r="O3118" s="75"/>
      <c r="P3118" s="75"/>
      <c r="Q3118" s="75"/>
      <c r="R3118" s="75"/>
      <c r="S3118" s="75"/>
      <c r="T3118" s="75"/>
      <c r="U3118" s="75"/>
      <c r="V3118" s="75"/>
      <c r="W3118" s="75"/>
      <c r="X3118" s="74">
        <v>0.2362</v>
      </c>
    </row>
    <row r="3119">
      <c r="A3119" s="76" t="s">
        <v>5936</v>
      </c>
      <c r="B3119" s="76" t="s">
        <v>1075</v>
      </c>
      <c r="C3119" s="76">
        <v>93.0</v>
      </c>
      <c r="D3119" s="76" t="s">
        <v>5679</v>
      </c>
      <c r="E3119" s="76" t="s">
        <v>5828</v>
      </c>
      <c r="F3119" s="74">
        <v>150.0</v>
      </c>
      <c r="G3119" s="76">
        <v>0.229</v>
      </c>
      <c r="H3119" s="76">
        <v>0.23</v>
      </c>
      <c r="I3119" s="76">
        <v>0.23</v>
      </c>
      <c r="J3119" s="76">
        <v>0.23</v>
      </c>
      <c r="K3119" s="77"/>
      <c r="L3119" s="77"/>
      <c r="M3119" s="77"/>
      <c r="N3119" s="77"/>
      <c r="O3119" s="77"/>
      <c r="P3119" s="77"/>
      <c r="Q3119" s="77"/>
      <c r="R3119" s="77"/>
      <c r="S3119" s="77"/>
      <c r="T3119" s="77"/>
      <c r="U3119" s="77"/>
      <c r="V3119" s="77"/>
      <c r="W3119" s="77"/>
      <c r="X3119" s="76">
        <v>0.2362</v>
      </c>
    </row>
    <row r="3120">
      <c r="A3120" s="74" t="s">
        <v>5937</v>
      </c>
      <c r="B3120" s="74" t="s">
        <v>1075</v>
      </c>
      <c r="C3120" s="76">
        <v>94.0</v>
      </c>
      <c r="D3120" s="74" t="s">
        <v>5679</v>
      </c>
      <c r="E3120" s="74" t="s">
        <v>5828</v>
      </c>
      <c r="F3120" s="74">
        <v>150.0</v>
      </c>
      <c r="G3120" s="74">
        <v>0.23</v>
      </c>
      <c r="H3120" s="74">
        <v>0.229</v>
      </c>
      <c r="I3120" s="74">
        <v>0.23</v>
      </c>
      <c r="J3120" s="74">
        <v>0.231</v>
      </c>
      <c r="K3120" s="75"/>
      <c r="L3120" s="75"/>
      <c r="M3120" s="75"/>
      <c r="N3120" s="75"/>
      <c r="O3120" s="75"/>
      <c r="P3120" s="75"/>
      <c r="Q3120" s="75"/>
      <c r="R3120" s="75"/>
      <c r="S3120" s="75"/>
      <c r="T3120" s="75"/>
      <c r="U3120" s="75"/>
      <c r="V3120" s="75"/>
      <c r="W3120" s="75"/>
      <c r="X3120" s="74">
        <v>0.2362</v>
      </c>
    </row>
    <row r="3121">
      <c r="A3121" s="76" t="s">
        <v>5938</v>
      </c>
      <c r="B3121" s="76" t="s">
        <v>1075</v>
      </c>
      <c r="C3121" s="76">
        <v>95.0</v>
      </c>
      <c r="D3121" s="76" t="s">
        <v>5679</v>
      </c>
      <c r="E3121" s="76" t="s">
        <v>5828</v>
      </c>
      <c r="F3121" s="74">
        <v>150.0</v>
      </c>
      <c r="G3121" s="76">
        <v>0.231</v>
      </c>
      <c r="H3121" s="76">
        <v>0.23</v>
      </c>
      <c r="I3121" s="76">
        <v>0.23</v>
      </c>
      <c r="J3121" s="76">
        <v>0.23</v>
      </c>
      <c r="K3121" s="77"/>
      <c r="L3121" s="77"/>
      <c r="M3121" s="77"/>
      <c r="N3121" s="77"/>
      <c r="O3121" s="77"/>
      <c r="P3121" s="77"/>
      <c r="Q3121" s="77"/>
      <c r="R3121" s="77"/>
      <c r="S3121" s="77"/>
      <c r="T3121" s="77"/>
      <c r="U3121" s="77"/>
      <c r="V3121" s="77"/>
      <c r="W3121" s="77"/>
      <c r="X3121" s="76">
        <v>0.2362</v>
      </c>
    </row>
    <row r="3122">
      <c r="A3122" s="74" t="s">
        <v>5939</v>
      </c>
      <c r="B3122" s="74" t="s">
        <v>1075</v>
      </c>
      <c r="C3122" s="76">
        <v>96.0</v>
      </c>
      <c r="D3122" s="74" t="s">
        <v>5679</v>
      </c>
      <c r="E3122" s="74" t="s">
        <v>5828</v>
      </c>
      <c r="F3122" s="74">
        <v>150.0</v>
      </c>
      <c r="G3122" s="74">
        <v>0.229</v>
      </c>
      <c r="H3122" s="74">
        <v>0.23</v>
      </c>
      <c r="I3122" s="74">
        <v>0.216</v>
      </c>
      <c r="J3122" s="74">
        <v>0.229</v>
      </c>
      <c r="K3122" s="75"/>
      <c r="L3122" s="75"/>
      <c r="M3122" s="75"/>
      <c r="N3122" s="75"/>
      <c r="O3122" s="75"/>
      <c r="P3122" s="75"/>
      <c r="Q3122" s="75"/>
      <c r="R3122" s="75"/>
      <c r="S3122" s="75"/>
      <c r="T3122" s="75"/>
      <c r="U3122" s="75"/>
      <c r="V3122" s="75"/>
      <c r="W3122" s="75"/>
      <c r="X3122" s="74">
        <v>0.2362</v>
      </c>
    </row>
    <row r="3123">
      <c r="A3123" s="4"/>
      <c r="G3123" s="4"/>
      <c r="H3123" s="4"/>
      <c r="I3123" s="4"/>
      <c r="J3123" s="4"/>
    </row>
    <row r="3124">
      <c r="A3124" s="4"/>
      <c r="G3124" s="4"/>
      <c r="H3124" s="4"/>
      <c r="I3124" s="4"/>
      <c r="J3124" s="4"/>
    </row>
    <row r="3125">
      <c r="A3125" s="4"/>
      <c r="G3125" s="4"/>
      <c r="H3125" s="4"/>
      <c r="I3125" s="4"/>
      <c r="J3125" s="4"/>
    </row>
    <row r="3126">
      <c r="A3126" s="4"/>
      <c r="G3126" s="4"/>
      <c r="H3126" s="4"/>
      <c r="I3126" s="4"/>
      <c r="J3126" s="4"/>
    </row>
    <row r="3127">
      <c r="A3127" s="4"/>
      <c r="G3127" s="4"/>
      <c r="H3127" s="4"/>
      <c r="I3127" s="4"/>
      <c r="J3127" s="4"/>
    </row>
    <row r="3128">
      <c r="A3128" s="4"/>
      <c r="G3128" s="4"/>
      <c r="H3128" s="4"/>
      <c r="I3128" s="4"/>
      <c r="J3128" s="4"/>
    </row>
    <row r="3129">
      <c r="A3129" s="4"/>
      <c r="G3129" s="4"/>
      <c r="H3129" s="4"/>
      <c r="I3129" s="4"/>
      <c r="J3129" s="4"/>
    </row>
    <row r="3130">
      <c r="A3130" s="4"/>
      <c r="G3130" s="4"/>
      <c r="H3130" s="4"/>
      <c r="I3130" s="4"/>
      <c r="J3130" s="4"/>
    </row>
    <row r="3131">
      <c r="A3131" s="4"/>
      <c r="G3131" s="4"/>
      <c r="H3131" s="4"/>
      <c r="I3131" s="4"/>
      <c r="J3131" s="4"/>
    </row>
    <row r="3132">
      <c r="A3132" s="4"/>
      <c r="G3132" s="4"/>
      <c r="H3132" s="4"/>
      <c r="I3132" s="4"/>
      <c r="J3132" s="4"/>
    </row>
    <row r="3133">
      <c r="A3133" s="4"/>
      <c r="G3133" s="4"/>
      <c r="H3133" s="4"/>
      <c r="I3133" s="4"/>
      <c r="J3133" s="4"/>
    </row>
    <row r="3134">
      <c r="A3134" s="4"/>
      <c r="G3134" s="4"/>
      <c r="H3134" s="4"/>
      <c r="I3134" s="4"/>
      <c r="J3134" s="4"/>
    </row>
    <row r="3135">
      <c r="A3135" s="4"/>
      <c r="G3135" s="4"/>
      <c r="H3135" s="4"/>
      <c r="I3135" s="4"/>
      <c r="J3135" s="4"/>
    </row>
    <row r="3136">
      <c r="A3136" s="4"/>
      <c r="G3136" s="4"/>
      <c r="H3136" s="4"/>
      <c r="I3136" s="4"/>
      <c r="J3136" s="4"/>
    </row>
    <row r="3137">
      <c r="A3137" s="4"/>
      <c r="G3137" s="4"/>
      <c r="H3137" s="4"/>
      <c r="I3137" s="4"/>
      <c r="J3137" s="4"/>
    </row>
    <row r="3138">
      <c r="A3138" s="4"/>
      <c r="G3138" s="4"/>
      <c r="H3138" s="4"/>
      <c r="I3138" s="4"/>
      <c r="J3138" s="4"/>
    </row>
    <row r="3139">
      <c r="A3139" s="4"/>
      <c r="G3139" s="4"/>
      <c r="H3139" s="4"/>
      <c r="I3139" s="4"/>
      <c r="J3139" s="4"/>
    </row>
    <row r="3140">
      <c r="A3140" s="4"/>
      <c r="G3140" s="4"/>
      <c r="H3140" s="4"/>
      <c r="I3140" s="4"/>
      <c r="J3140" s="4"/>
    </row>
    <row r="3141">
      <c r="A3141" s="4"/>
      <c r="G3141" s="4"/>
      <c r="H3141" s="4"/>
      <c r="I3141" s="4"/>
      <c r="J3141" s="4"/>
    </row>
    <row r="3142">
      <c r="A3142" s="4"/>
      <c r="G3142" s="4"/>
      <c r="H3142" s="4"/>
      <c r="I3142" s="4"/>
      <c r="J3142" s="4"/>
    </row>
    <row r="3143">
      <c r="A3143" s="4"/>
      <c r="G3143" s="4"/>
      <c r="H3143" s="4"/>
      <c r="I3143" s="4"/>
      <c r="J3143" s="4"/>
    </row>
    <row r="3144">
      <c r="A3144" s="4"/>
      <c r="G3144" s="4"/>
      <c r="H3144" s="4"/>
      <c r="I3144" s="4"/>
      <c r="J3144" s="4"/>
    </row>
    <row r="3145">
      <c r="A3145" s="4"/>
      <c r="G3145" s="4"/>
      <c r="H3145" s="4"/>
      <c r="I3145" s="4"/>
      <c r="J3145" s="4"/>
    </row>
    <row r="3146">
      <c r="A3146" s="4"/>
      <c r="G3146" s="4"/>
      <c r="H3146" s="4"/>
      <c r="I3146" s="4"/>
      <c r="J3146" s="4"/>
    </row>
    <row r="3147">
      <c r="A3147" s="4"/>
      <c r="G3147" s="4"/>
      <c r="H3147" s="4"/>
      <c r="I3147" s="4"/>
      <c r="J3147" s="4"/>
    </row>
    <row r="3148">
      <c r="A3148" s="4"/>
      <c r="G3148" s="4"/>
      <c r="H3148" s="4"/>
      <c r="I3148" s="4"/>
      <c r="J3148" s="4"/>
    </row>
    <row r="3149">
      <c r="A3149" s="4"/>
      <c r="G3149" s="4"/>
      <c r="H3149" s="4"/>
      <c r="I3149" s="4"/>
      <c r="J3149" s="4"/>
    </row>
    <row r="3150">
      <c r="A3150" s="4"/>
      <c r="G3150" s="4"/>
      <c r="H3150" s="4"/>
      <c r="I3150" s="4"/>
      <c r="J3150" s="4"/>
    </row>
    <row r="3151">
      <c r="A3151" s="4"/>
      <c r="G3151" s="4"/>
      <c r="H3151" s="4"/>
      <c r="I3151" s="4"/>
      <c r="J3151" s="4"/>
    </row>
    <row r="3152">
      <c r="A3152" s="4"/>
      <c r="G3152" s="4"/>
      <c r="H3152" s="4"/>
      <c r="I3152" s="4"/>
      <c r="J3152" s="4"/>
    </row>
    <row r="3153">
      <c r="A3153" s="4"/>
      <c r="G3153" s="4"/>
      <c r="H3153" s="4"/>
      <c r="I3153" s="4"/>
      <c r="J3153" s="4"/>
    </row>
    <row r="3154">
      <c r="A3154" s="4"/>
      <c r="G3154" s="4"/>
      <c r="H3154" s="4"/>
      <c r="I3154" s="4"/>
      <c r="J3154" s="4"/>
    </row>
    <row r="3155">
      <c r="A3155" s="4"/>
      <c r="G3155" s="4"/>
      <c r="H3155" s="4"/>
      <c r="I3155" s="4"/>
      <c r="J3155" s="4"/>
    </row>
    <row r="3156">
      <c r="A3156" s="4"/>
      <c r="G3156" s="4"/>
      <c r="H3156" s="4"/>
      <c r="I3156" s="4"/>
      <c r="J3156" s="4"/>
    </row>
    <row r="3157">
      <c r="A3157" s="4"/>
      <c r="G3157" s="4"/>
      <c r="H3157" s="4"/>
      <c r="I3157" s="4"/>
      <c r="J3157" s="4"/>
    </row>
    <row r="3158">
      <c r="A3158" s="4"/>
      <c r="G3158" s="4"/>
      <c r="H3158" s="4"/>
      <c r="I3158" s="4"/>
      <c r="J3158" s="4"/>
    </row>
    <row r="3159">
      <c r="A3159" s="4"/>
      <c r="G3159" s="4"/>
      <c r="H3159" s="4"/>
      <c r="I3159" s="4"/>
      <c r="J3159" s="4"/>
    </row>
    <row r="3160">
      <c r="A3160" s="4"/>
      <c r="G3160" s="4"/>
      <c r="H3160" s="4"/>
      <c r="I3160" s="4"/>
      <c r="J3160" s="4"/>
    </row>
    <row r="3161">
      <c r="A3161" s="4"/>
      <c r="G3161" s="4"/>
      <c r="H3161" s="4"/>
      <c r="I3161" s="4"/>
      <c r="J3161" s="4"/>
    </row>
    <row r="3162">
      <c r="A3162" s="4"/>
      <c r="G3162" s="4"/>
      <c r="H3162" s="4"/>
      <c r="I3162" s="4"/>
      <c r="J3162" s="4"/>
    </row>
    <row r="3163">
      <c r="A3163" s="4"/>
      <c r="G3163" s="4"/>
      <c r="H3163" s="4"/>
      <c r="I3163" s="4"/>
      <c r="J3163" s="4"/>
    </row>
    <row r="3164">
      <c r="A3164" s="4"/>
      <c r="G3164" s="4"/>
      <c r="H3164" s="4"/>
      <c r="I3164" s="4"/>
      <c r="J3164" s="4"/>
    </row>
    <row r="3165">
      <c r="A3165" s="4"/>
      <c r="G3165" s="4"/>
      <c r="H3165" s="4"/>
      <c r="I3165" s="4"/>
      <c r="J3165" s="4"/>
    </row>
    <row r="3166">
      <c r="A3166" s="4"/>
      <c r="G3166" s="4"/>
      <c r="H3166" s="4"/>
      <c r="I3166" s="4"/>
      <c r="J3166" s="4"/>
    </row>
    <row r="3167">
      <c r="A3167" s="4"/>
      <c r="G3167" s="4"/>
      <c r="H3167" s="4"/>
      <c r="I3167" s="4"/>
      <c r="J3167" s="4"/>
    </row>
    <row r="3168">
      <c r="A3168" s="4"/>
      <c r="G3168" s="4"/>
      <c r="H3168" s="4"/>
      <c r="I3168" s="4"/>
      <c r="J3168" s="4"/>
    </row>
    <row r="3169">
      <c r="A3169" s="4"/>
      <c r="G3169" s="4"/>
      <c r="H3169" s="4"/>
      <c r="I3169" s="4"/>
      <c r="J3169" s="4"/>
    </row>
    <row r="3170">
      <c r="A3170" s="4"/>
      <c r="G3170" s="4"/>
      <c r="H3170" s="4"/>
      <c r="I3170" s="4"/>
      <c r="J3170" s="4"/>
    </row>
    <row r="3171">
      <c r="A3171" s="4"/>
      <c r="G3171" s="4"/>
      <c r="H3171" s="4"/>
      <c r="I3171" s="4"/>
      <c r="J3171" s="4"/>
    </row>
    <row r="3172">
      <c r="A3172" s="4"/>
      <c r="G3172" s="4"/>
      <c r="H3172" s="4"/>
      <c r="I3172" s="4"/>
      <c r="J3172" s="4"/>
    </row>
    <row r="3173">
      <c r="A3173" s="4"/>
      <c r="G3173" s="4"/>
      <c r="H3173" s="4"/>
      <c r="I3173" s="4"/>
      <c r="J3173" s="4"/>
    </row>
    <row r="3174">
      <c r="A3174" s="4"/>
      <c r="G3174" s="4"/>
      <c r="H3174" s="4"/>
      <c r="I3174" s="4"/>
      <c r="J3174" s="4"/>
    </row>
    <row r="3175">
      <c r="A3175" s="4"/>
      <c r="G3175" s="4"/>
      <c r="H3175" s="4"/>
      <c r="I3175" s="4"/>
      <c r="J3175" s="4"/>
    </row>
    <row r="3176">
      <c r="A3176" s="4"/>
      <c r="G3176" s="4"/>
      <c r="H3176" s="4"/>
      <c r="I3176" s="4"/>
      <c r="J3176" s="4"/>
    </row>
    <row r="3177">
      <c r="A3177" s="4"/>
      <c r="G3177" s="4"/>
      <c r="H3177" s="4"/>
      <c r="I3177" s="4"/>
      <c r="J3177" s="4"/>
    </row>
    <row r="3178">
      <c r="A3178" s="4"/>
      <c r="G3178" s="4"/>
      <c r="H3178" s="4"/>
      <c r="I3178" s="4"/>
      <c r="J3178" s="4"/>
    </row>
    <row r="3179">
      <c r="A3179" s="4"/>
      <c r="G3179" s="4"/>
      <c r="H3179" s="4"/>
      <c r="I3179" s="4"/>
      <c r="J3179" s="4"/>
    </row>
    <row r="3180">
      <c r="A3180" s="4"/>
      <c r="G3180" s="4"/>
      <c r="H3180" s="4"/>
      <c r="I3180" s="4"/>
      <c r="J3180" s="4"/>
    </row>
    <row r="3181">
      <c r="A3181" s="4"/>
      <c r="G3181" s="4"/>
      <c r="H3181" s="4"/>
      <c r="I3181" s="4"/>
      <c r="J3181" s="4"/>
    </row>
    <row r="3182">
      <c r="A3182" s="4"/>
      <c r="G3182" s="4"/>
      <c r="H3182" s="4"/>
      <c r="I3182" s="4"/>
      <c r="J3182" s="4"/>
    </row>
    <row r="3183">
      <c r="A3183" s="4"/>
      <c r="G3183" s="4"/>
      <c r="H3183" s="4"/>
      <c r="I3183" s="4"/>
      <c r="J3183" s="4"/>
    </row>
    <row r="3184">
      <c r="A3184" s="4"/>
      <c r="G3184" s="4"/>
      <c r="H3184" s="4"/>
      <c r="I3184" s="4"/>
      <c r="J3184" s="4"/>
    </row>
    <row r="3185">
      <c r="A3185" s="4"/>
      <c r="G3185" s="4"/>
      <c r="H3185" s="4"/>
      <c r="I3185" s="4"/>
      <c r="J3185" s="4"/>
    </row>
    <row r="3186">
      <c r="A3186" s="4"/>
      <c r="G3186" s="4"/>
      <c r="H3186" s="4"/>
      <c r="I3186" s="4"/>
      <c r="J3186" s="4"/>
    </row>
    <row r="3187">
      <c r="A3187" s="4"/>
      <c r="G3187" s="4"/>
      <c r="H3187" s="4"/>
      <c r="I3187" s="4"/>
      <c r="J3187" s="4"/>
    </row>
    <row r="3188">
      <c r="A3188" s="4"/>
      <c r="G3188" s="4"/>
      <c r="H3188" s="4"/>
      <c r="I3188" s="4"/>
      <c r="J3188" s="4"/>
    </row>
    <row r="3189">
      <c r="A3189" s="4"/>
      <c r="G3189" s="4"/>
      <c r="H3189" s="4"/>
      <c r="I3189" s="4"/>
      <c r="J3189" s="4"/>
    </row>
    <row r="3190">
      <c r="A3190" s="4"/>
      <c r="G3190" s="4"/>
      <c r="H3190" s="4"/>
      <c r="I3190" s="4"/>
      <c r="J3190" s="4"/>
    </row>
    <row r="3191">
      <c r="A3191" s="4"/>
      <c r="G3191" s="4"/>
      <c r="H3191" s="4"/>
      <c r="I3191" s="4"/>
      <c r="J3191" s="4"/>
    </row>
    <row r="3192">
      <c r="A3192" s="4"/>
      <c r="G3192" s="4"/>
      <c r="H3192" s="4"/>
      <c r="I3192" s="4"/>
      <c r="J3192" s="4"/>
    </row>
    <row r="3193">
      <c r="A3193" s="4"/>
      <c r="G3193" s="4"/>
      <c r="H3193" s="4"/>
      <c r="I3193" s="4"/>
      <c r="J3193" s="4"/>
    </row>
    <row r="3194">
      <c r="A3194" s="4"/>
      <c r="G3194" s="4"/>
      <c r="H3194" s="4"/>
      <c r="I3194" s="4"/>
      <c r="J3194" s="4"/>
    </row>
    <row r="3195">
      <c r="A3195" s="4"/>
      <c r="G3195" s="4"/>
      <c r="H3195" s="4"/>
      <c r="I3195" s="4"/>
      <c r="J3195" s="4"/>
    </row>
    <row r="3196">
      <c r="A3196" s="4"/>
      <c r="G3196" s="4"/>
      <c r="H3196" s="4"/>
      <c r="I3196" s="4"/>
      <c r="J3196" s="4"/>
    </row>
    <row r="3197">
      <c r="A3197" s="4"/>
      <c r="G3197" s="4"/>
      <c r="H3197" s="4"/>
      <c r="I3197" s="4"/>
      <c r="J3197" s="4"/>
    </row>
    <row r="3198">
      <c r="A3198" s="4"/>
      <c r="G3198" s="4"/>
      <c r="H3198" s="4"/>
      <c r="I3198" s="4"/>
      <c r="J3198" s="4"/>
    </row>
    <row r="3199">
      <c r="A3199" s="4"/>
      <c r="G3199" s="4"/>
      <c r="H3199" s="4"/>
      <c r="I3199" s="4"/>
      <c r="J3199" s="4"/>
    </row>
    <row r="3200">
      <c r="A3200" s="4"/>
      <c r="G3200" s="4"/>
      <c r="H3200" s="4"/>
      <c r="I3200" s="4"/>
      <c r="J3200" s="4"/>
    </row>
    <row r="3201">
      <c r="A3201" s="4"/>
      <c r="G3201" s="4"/>
      <c r="H3201" s="4"/>
      <c r="I3201" s="4"/>
      <c r="J3201" s="4"/>
    </row>
    <row r="3202">
      <c r="A3202" s="4"/>
      <c r="G3202" s="4"/>
      <c r="H3202" s="4"/>
      <c r="I3202" s="4"/>
      <c r="J3202" s="4"/>
    </row>
    <row r="3203">
      <c r="A3203" s="4"/>
      <c r="G3203" s="4"/>
      <c r="H3203" s="4"/>
      <c r="I3203" s="4"/>
      <c r="J3203" s="4"/>
    </row>
    <row r="3204">
      <c r="A3204" s="4"/>
      <c r="G3204" s="4"/>
      <c r="H3204" s="4"/>
      <c r="I3204" s="4"/>
      <c r="J3204" s="4"/>
    </row>
    <row r="3205">
      <c r="A3205" s="4"/>
      <c r="G3205" s="4"/>
      <c r="H3205" s="4"/>
      <c r="I3205" s="4"/>
      <c r="J3205" s="4"/>
    </row>
    <row r="3206">
      <c r="A3206" s="4"/>
      <c r="G3206" s="4"/>
      <c r="H3206" s="4"/>
      <c r="I3206" s="4"/>
      <c r="J3206" s="4"/>
    </row>
    <row r="3207">
      <c r="A3207" s="4"/>
      <c r="G3207" s="4"/>
      <c r="H3207" s="4"/>
      <c r="I3207" s="4"/>
      <c r="J3207" s="4"/>
    </row>
    <row r="3208">
      <c r="A3208" s="4"/>
      <c r="G3208" s="4"/>
      <c r="H3208" s="4"/>
      <c r="I3208" s="4"/>
      <c r="J3208" s="4"/>
    </row>
    <row r="3209">
      <c r="A3209" s="4"/>
      <c r="G3209" s="4"/>
      <c r="H3209" s="4"/>
      <c r="I3209" s="4"/>
      <c r="J3209" s="4"/>
    </row>
    <row r="3210">
      <c r="A3210" s="4"/>
      <c r="G3210" s="4"/>
      <c r="H3210" s="4"/>
      <c r="I3210" s="4"/>
      <c r="J3210" s="4"/>
    </row>
    <row r="3211">
      <c r="A3211" s="4"/>
      <c r="G3211" s="4"/>
      <c r="H3211" s="4"/>
      <c r="I3211" s="4"/>
      <c r="J3211" s="4"/>
    </row>
    <row r="3212">
      <c r="A3212" s="4"/>
      <c r="G3212" s="4"/>
      <c r="H3212" s="4"/>
      <c r="I3212" s="4"/>
      <c r="J3212" s="4"/>
    </row>
    <row r="3213">
      <c r="A3213" s="4"/>
      <c r="G3213" s="4"/>
      <c r="H3213" s="4"/>
      <c r="I3213" s="4"/>
      <c r="J3213" s="4"/>
    </row>
    <row r="3214">
      <c r="A3214" s="4"/>
      <c r="G3214" s="4"/>
      <c r="H3214" s="4"/>
      <c r="I3214" s="4"/>
      <c r="J3214" s="4"/>
    </row>
    <row r="3215">
      <c r="A3215" s="4"/>
      <c r="G3215" s="4"/>
      <c r="H3215" s="4"/>
      <c r="I3215" s="4"/>
      <c r="J3215" s="4"/>
    </row>
    <row r="3216">
      <c r="A3216" s="4"/>
      <c r="G3216" s="4"/>
      <c r="H3216" s="4"/>
      <c r="I3216" s="4"/>
      <c r="J3216" s="4"/>
    </row>
    <row r="3217">
      <c r="A3217" s="4"/>
      <c r="G3217" s="4"/>
      <c r="H3217" s="4"/>
      <c r="I3217" s="4"/>
      <c r="J3217" s="4"/>
    </row>
    <row r="3218">
      <c r="A3218" s="4"/>
      <c r="G3218" s="4"/>
      <c r="H3218" s="4"/>
      <c r="I3218" s="4"/>
      <c r="J3218" s="4"/>
    </row>
    <row r="3219">
      <c r="A3219" s="4"/>
      <c r="G3219" s="4"/>
      <c r="H3219" s="4"/>
      <c r="I3219" s="4"/>
      <c r="J3219" s="4"/>
    </row>
    <row r="3220">
      <c r="A3220" s="4"/>
      <c r="G3220" s="4"/>
      <c r="H3220" s="4"/>
      <c r="I3220" s="4"/>
      <c r="J3220" s="4"/>
    </row>
    <row r="3221">
      <c r="A3221" s="4"/>
      <c r="G3221" s="4"/>
      <c r="H3221" s="4"/>
      <c r="I3221" s="4"/>
      <c r="J3221" s="4"/>
    </row>
    <row r="3222">
      <c r="A3222" s="4"/>
      <c r="G3222" s="4"/>
      <c r="H3222" s="4"/>
      <c r="I3222" s="4"/>
      <c r="J3222" s="4"/>
    </row>
    <row r="3223">
      <c r="A3223" s="4"/>
      <c r="G3223" s="4"/>
      <c r="H3223" s="4"/>
      <c r="I3223" s="4"/>
      <c r="J3223" s="4"/>
    </row>
    <row r="3224">
      <c r="A3224" s="4"/>
      <c r="G3224" s="4"/>
      <c r="H3224" s="4"/>
      <c r="I3224" s="4"/>
      <c r="J3224" s="4"/>
    </row>
    <row r="3225">
      <c r="A3225" s="4"/>
      <c r="G3225" s="4"/>
      <c r="H3225" s="4"/>
      <c r="I3225" s="4"/>
      <c r="J3225" s="4"/>
    </row>
    <row r="3226">
      <c r="A3226" s="4"/>
      <c r="G3226" s="4"/>
      <c r="H3226" s="4"/>
      <c r="I3226" s="4"/>
      <c r="J3226" s="4"/>
    </row>
    <row r="3227">
      <c r="A3227" s="4"/>
      <c r="G3227" s="4"/>
      <c r="H3227" s="4"/>
      <c r="I3227" s="4"/>
      <c r="J3227" s="4"/>
    </row>
    <row r="3228">
      <c r="A3228" s="4"/>
      <c r="G3228" s="4"/>
      <c r="H3228" s="4"/>
      <c r="I3228" s="4"/>
      <c r="J3228" s="4"/>
    </row>
    <row r="3229">
      <c r="A3229" s="4"/>
      <c r="G3229" s="4"/>
      <c r="H3229" s="4"/>
      <c r="I3229" s="4"/>
      <c r="J3229" s="4"/>
    </row>
    <row r="3230">
      <c r="A3230" s="4"/>
      <c r="G3230" s="4"/>
      <c r="H3230" s="4"/>
      <c r="I3230" s="4"/>
      <c r="J3230" s="4"/>
    </row>
    <row r="3231">
      <c r="A3231" s="4"/>
      <c r="G3231" s="4"/>
      <c r="H3231" s="4"/>
      <c r="I3231" s="4"/>
      <c r="J3231" s="4"/>
    </row>
    <row r="3232">
      <c r="A3232" s="4"/>
      <c r="G3232" s="4"/>
      <c r="H3232" s="4"/>
      <c r="I3232" s="4"/>
      <c r="J3232" s="4"/>
    </row>
    <row r="3233">
      <c r="A3233" s="4"/>
      <c r="G3233" s="4"/>
      <c r="H3233" s="4"/>
      <c r="I3233" s="4"/>
      <c r="J3233" s="4"/>
    </row>
    <row r="3234">
      <c r="A3234" s="4"/>
      <c r="G3234" s="4"/>
      <c r="H3234" s="4"/>
      <c r="I3234" s="4"/>
      <c r="J3234" s="4"/>
    </row>
    <row r="3235">
      <c r="A3235" s="4"/>
      <c r="G3235" s="4"/>
      <c r="H3235" s="4"/>
      <c r="I3235" s="4"/>
      <c r="J3235" s="4"/>
    </row>
    <row r="3236">
      <c r="A3236" s="4"/>
      <c r="G3236" s="4"/>
      <c r="H3236" s="4"/>
      <c r="I3236" s="4"/>
      <c r="J3236" s="4"/>
    </row>
    <row r="3237">
      <c r="A3237" s="4"/>
      <c r="G3237" s="4"/>
      <c r="H3237" s="4"/>
      <c r="I3237" s="4"/>
      <c r="J3237" s="4"/>
    </row>
    <row r="3238">
      <c r="A3238" s="4"/>
      <c r="G3238" s="4"/>
      <c r="H3238" s="4"/>
      <c r="I3238" s="4"/>
      <c r="J3238" s="4"/>
    </row>
    <row r="3239">
      <c r="A3239" s="4"/>
      <c r="G3239" s="4"/>
      <c r="H3239" s="4"/>
      <c r="I3239" s="4"/>
      <c r="J3239" s="4"/>
    </row>
    <row r="3240">
      <c r="A3240" s="4"/>
      <c r="G3240" s="4"/>
      <c r="H3240" s="4"/>
      <c r="I3240" s="4"/>
      <c r="J3240" s="4"/>
    </row>
    <row r="3241">
      <c r="A3241" s="4"/>
      <c r="G3241" s="4"/>
      <c r="H3241" s="4"/>
      <c r="I3241" s="4"/>
      <c r="J3241" s="4"/>
    </row>
    <row r="3242">
      <c r="A3242" s="4"/>
      <c r="G3242" s="4"/>
      <c r="H3242" s="4"/>
      <c r="I3242" s="4"/>
      <c r="J3242" s="4"/>
    </row>
    <row r="3243">
      <c r="A3243" s="4"/>
      <c r="G3243" s="4"/>
      <c r="H3243" s="4"/>
      <c r="I3243" s="4"/>
      <c r="J3243" s="4"/>
    </row>
    <row r="3244">
      <c r="A3244" s="4"/>
      <c r="G3244" s="4"/>
      <c r="H3244" s="4"/>
      <c r="I3244" s="4"/>
      <c r="J3244" s="4"/>
    </row>
    <row r="3245">
      <c r="A3245" s="4"/>
      <c r="G3245" s="4"/>
      <c r="H3245" s="4"/>
      <c r="I3245" s="4"/>
      <c r="J3245" s="4"/>
    </row>
    <row r="3246">
      <c r="A3246" s="4"/>
      <c r="G3246" s="4"/>
      <c r="H3246" s="4"/>
      <c r="I3246" s="4"/>
      <c r="J3246" s="4"/>
    </row>
    <row r="3247">
      <c r="A3247" s="4"/>
      <c r="G3247" s="4"/>
      <c r="H3247" s="4"/>
      <c r="I3247" s="4"/>
      <c r="J3247" s="4"/>
    </row>
    <row r="3248">
      <c r="A3248" s="4"/>
      <c r="G3248" s="4"/>
      <c r="H3248" s="4"/>
      <c r="I3248" s="4"/>
      <c r="J3248" s="4"/>
    </row>
    <row r="3249">
      <c r="A3249" s="4"/>
      <c r="G3249" s="4"/>
      <c r="H3249" s="4"/>
      <c r="I3249" s="4"/>
      <c r="J3249" s="4"/>
    </row>
    <row r="3250">
      <c r="A3250" s="4"/>
      <c r="G3250" s="4"/>
      <c r="H3250" s="4"/>
      <c r="I3250" s="4"/>
      <c r="J3250" s="4"/>
    </row>
    <row r="3251">
      <c r="A3251" s="4"/>
      <c r="G3251" s="4"/>
      <c r="H3251" s="4"/>
      <c r="I3251" s="4"/>
      <c r="J3251" s="4"/>
    </row>
    <row r="3252">
      <c r="A3252" s="4"/>
      <c r="G3252" s="4"/>
      <c r="H3252" s="4"/>
      <c r="I3252" s="4"/>
      <c r="J3252" s="4"/>
    </row>
    <row r="3253">
      <c r="A3253" s="4"/>
      <c r="G3253" s="4"/>
      <c r="H3253" s="4"/>
      <c r="I3253" s="4"/>
      <c r="J3253" s="4"/>
    </row>
    <row r="3254">
      <c r="A3254" s="4"/>
      <c r="G3254" s="4"/>
      <c r="H3254" s="4"/>
      <c r="I3254" s="4"/>
      <c r="J3254" s="4"/>
    </row>
    <row r="3255">
      <c r="A3255" s="4"/>
      <c r="G3255" s="4"/>
      <c r="H3255" s="4"/>
      <c r="I3255" s="4"/>
      <c r="J3255" s="4"/>
    </row>
    <row r="3256">
      <c r="A3256" s="4"/>
      <c r="G3256" s="4"/>
      <c r="H3256" s="4"/>
      <c r="I3256" s="4"/>
      <c r="J3256" s="4"/>
    </row>
    <row r="3257">
      <c r="A3257" s="4"/>
      <c r="G3257" s="4"/>
      <c r="H3257" s="4"/>
      <c r="I3257" s="4"/>
      <c r="J3257" s="4"/>
    </row>
    <row r="3258">
      <c r="A3258" s="4"/>
      <c r="G3258" s="4"/>
      <c r="H3258" s="4"/>
      <c r="I3258" s="4"/>
      <c r="J3258" s="4"/>
    </row>
    <row r="3259">
      <c r="A3259" s="4"/>
      <c r="G3259" s="4"/>
      <c r="H3259" s="4"/>
      <c r="I3259" s="4"/>
      <c r="J3259" s="4"/>
    </row>
    <row r="3260">
      <c r="A3260" s="4"/>
      <c r="G3260" s="4"/>
      <c r="H3260" s="4"/>
      <c r="I3260" s="4"/>
      <c r="J3260" s="4"/>
    </row>
    <row r="3261">
      <c r="A3261" s="4"/>
      <c r="G3261" s="4"/>
      <c r="H3261" s="4"/>
      <c r="I3261" s="4"/>
      <c r="J3261" s="4"/>
    </row>
    <row r="3262">
      <c r="A3262" s="4"/>
      <c r="G3262" s="4"/>
      <c r="H3262" s="4"/>
      <c r="I3262" s="4"/>
      <c r="J3262" s="4"/>
    </row>
    <row r="3263">
      <c r="A3263" s="4"/>
      <c r="G3263" s="4"/>
      <c r="H3263" s="4"/>
      <c r="I3263" s="4"/>
      <c r="J3263" s="4"/>
    </row>
    <row r="3264">
      <c r="A3264" s="4"/>
      <c r="G3264" s="4"/>
      <c r="H3264" s="4"/>
      <c r="I3264" s="4"/>
      <c r="J3264" s="4"/>
    </row>
    <row r="3265">
      <c r="A3265" s="4"/>
      <c r="G3265" s="4"/>
      <c r="H3265" s="4"/>
      <c r="I3265" s="4"/>
      <c r="J3265" s="4"/>
    </row>
    <row r="3266">
      <c r="A3266" s="4"/>
      <c r="G3266" s="4"/>
      <c r="H3266" s="4"/>
      <c r="I3266" s="4"/>
      <c r="J3266" s="4"/>
    </row>
    <row r="3267">
      <c r="A3267" s="4"/>
      <c r="G3267" s="4"/>
      <c r="H3267" s="4"/>
      <c r="I3267" s="4"/>
      <c r="J3267" s="4"/>
    </row>
    <row r="3268">
      <c r="A3268" s="4"/>
      <c r="G3268" s="4"/>
      <c r="H3268" s="4"/>
      <c r="I3268" s="4"/>
      <c r="J3268" s="4"/>
    </row>
    <row r="3269">
      <c r="A3269" s="4"/>
      <c r="G3269" s="4"/>
      <c r="H3269" s="4"/>
      <c r="I3269" s="4"/>
      <c r="J3269" s="4"/>
    </row>
    <row r="3270">
      <c r="A3270" s="4"/>
      <c r="G3270" s="4"/>
      <c r="H3270" s="4"/>
      <c r="I3270" s="4"/>
      <c r="J3270" s="4"/>
    </row>
    <row r="3271">
      <c r="A3271" s="4"/>
      <c r="G3271" s="4"/>
      <c r="H3271" s="4"/>
      <c r="I3271" s="4"/>
      <c r="J3271" s="4"/>
    </row>
    <row r="3272">
      <c r="A3272" s="4"/>
      <c r="G3272" s="4"/>
      <c r="H3272" s="4"/>
      <c r="I3272" s="4"/>
      <c r="J3272" s="4"/>
    </row>
    <row r="3273">
      <c r="A3273" s="4"/>
      <c r="G3273" s="4"/>
      <c r="H3273" s="4"/>
      <c r="I3273" s="4"/>
      <c r="J3273" s="4"/>
    </row>
    <row r="3274">
      <c r="A3274" s="4"/>
      <c r="G3274" s="4"/>
      <c r="H3274" s="4"/>
      <c r="I3274" s="4"/>
      <c r="J3274" s="4"/>
    </row>
    <row r="3275">
      <c r="A3275" s="4"/>
      <c r="G3275" s="4"/>
      <c r="H3275" s="4"/>
      <c r="I3275" s="4"/>
      <c r="J3275" s="4"/>
    </row>
    <row r="3276">
      <c r="A3276" s="4"/>
      <c r="G3276" s="4"/>
      <c r="H3276" s="4"/>
      <c r="I3276" s="4"/>
      <c r="J3276" s="4"/>
    </row>
    <row r="3277">
      <c r="A3277" s="4"/>
      <c r="G3277" s="4"/>
      <c r="H3277" s="4"/>
      <c r="I3277" s="4"/>
      <c r="J3277" s="4"/>
    </row>
    <row r="3278">
      <c r="A3278" s="4"/>
      <c r="G3278" s="4"/>
      <c r="H3278" s="4"/>
      <c r="I3278" s="4"/>
      <c r="J3278" s="4"/>
    </row>
    <row r="3279">
      <c r="A3279" s="4"/>
      <c r="G3279" s="4"/>
      <c r="H3279" s="4"/>
      <c r="I3279" s="4"/>
      <c r="J3279" s="4"/>
    </row>
    <row r="3280">
      <c r="A3280" s="4"/>
      <c r="G3280" s="4"/>
      <c r="H3280" s="4"/>
      <c r="I3280" s="4"/>
      <c r="J3280" s="4"/>
    </row>
    <row r="3281">
      <c r="A3281" s="4"/>
      <c r="G3281" s="4"/>
      <c r="H3281" s="4"/>
      <c r="I3281" s="4"/>
      <c r="J3281" s="4"/>
    </row>
    <row r="3282">
      <c r="A3282" s="4"/>
      <c r="G3282" s="4"/>
      <c r="H3282" s="4"/>
      <c r="I3282" s="4"/>
      <c r="J3282" s="4"/>
    </row>
    <row r="3283">
      <c r="A3283" s="4"/>
      <c r="G3283" s="4"/>
      <c r="H3283" s="4"/>
      <c r="I3283" s="4"/>
      <c r="J3283" s="4"/>
    </row>
    <row r="3284">
      <c r="A3284" s="4"/>
      <c r="G3284" s="4"/>
      <c r="H3284" s="4"/>
      <c r="I3284" s="4"/>
      <c r="J3284" s="4"/>
    </row>
    <row r="3285">
      <c r="A3285" s="4"/>
      <c r="G3285" s="4"/>
      <c r="H3285" s="4"/>
      <c r="I3285" s="4"/>
      <c r="J3285" s="4"/>
    </row>
    <row r="3286">
      <c r="A3286" s="4"/>
      <c r="G3286" s="4"/>
      <c r="H3286" s="4"/>
      <c r="I3286" s="4"/>
      <c r="J3286" s="4"/>
    </row>
    <row r="3287">
      <c r="A3287" s="4"/>
      <c r="G3287" s="4"/>
      <c r="H3287" s="4"/>
      <c r="I3287" s="4"/>
      <c r="J3287" s="4"/>
    </row>
    <row r="3288">
      <c r="A3288" s="4"/>
      <c r="G3288" s="4"/>
      <c r="H3288" s="4"/>
      <c r="I3288" s="4"/>
      <c r="J3288" s="4"/>
    </row>
    <row r="3289">
      <c r="A3289" s="4"/>
      <c r="G3289" s="4"/>
      <c r="H3289" s="4"/>
      <c r="I3289" s="4"/>
      <c r="J3289" s="4"/>
    </row>
    <row r="3290">
      <c r="A3290" s="4"/>
      <c r="G3290" s="4"/>
      <c r="H3290" s="4"/>
      <c r="I3290" s="4"/>
      <c r="J3290" s="4"/>
    </row>
    <row r="3291">
      <c r="A3291" s="4"/>
      <c r="G3291" s="4"/>
      <c r="H3291" s="4"/>
      <c r="I3291" s="4"/>
      <c r="J3291" s="4"/>
    </row>
    <row r="3292">
      <c r="A3292" s="4"/>
      <c r="G3292" s="4"/>
      <c r="H3292" s="4"/>
      <c r="I3292" s="4"/>
      <c r="J3292" s="4"/>
    </row>
    <row r="3293">
      <c r="A3293" s="4"/>
      <c r="G3293" s="4"/>
      <c r="H3293" s="4"/>
      <c r="I3293" s="4"/>
      <c r="J3293" s="4"/>
    </row>
    <row r="3294">
      <c r="A3294" s="4"/>
      <c r="G3294" s="4"/>
      <c r="H3294" s="4"/>
      <c r="I3294" s="4"/>
      <c r="J3294" s="4"/>
    </row>
    <row r="3295">
      <c r="A3295" s="4"/>
      <c r="G3295" s="4"/>
      <c r="H3295" s="4"/>
      <c r="I3295" s="4"/>
      <c r="J3295" s="4"/>
    </row>
    <row r="3296">
      <c r="A3296" s="4"/>
      <c r="G3296" s="4"/>
      <c r="H3296" s="4"/>
      <c r="I3296" s="4"/>
      <c r="J3296" s="4"/>
    </row>
    <row r="3297">
      <c r="A3297" s="4"/>
      <c r="G3297" s="4"/>
      <c r="H3297" s="4"/>
      <c r="I3297" s="4"/>
      <c r="J3297" s="4"/>
    </row>
    <row r="3298">
      <c r="A3298" s="4"/>
      <c r="G3298" s="4"/>
      <c r="H3298" s="4"/>
      <c r="I3298" s="4"/>
      <c r="J3298" s="4"/>
    </row>
    <row r="3299">
      <c r="A3299" s="4"/>
      <c r="G3299" s="4"/>
      <c r="H3299" s="4"/>
      <c r="I3299" s="4"/>
      <c r="J3299" s="4"/>
    </row>
    <row r="3300">
      <c r="A3300" s="4"/>
      <c r="G3300" s="4"/>
      <c r="H3300" s="4"/>
      <c r="I3300" s="4"/>
      <c r="J3300" s="4"/>
    </row>
    <row r="3301">
      <c r="A3301" s="4"/>
      <c r="G3301" s="4"/>
      <c r="H3301" s="4"/>
      <c r="I3301" s="4"/>
      <c r="J3301" s="4"/>
    </row>
    <row r="3302">
      <c r="A3302" s="4"/>
      <c r="G3302" s="4"/>
      <c r="H3302" s="4"/>
      <c r="I3302" s="4"/>
      <c r="J3302" s="4"/>
    </row>
    <row r="3303">
      <c r="A3303" s="4"/>
      <c r="G3303" s="4"/>
      <c r="H3303" s="4"/>
      <c r="I3303" s="4"/>
      <c r="J3303" s="4"/>
    </row>
    <row r="3304">
      <c r="A3304" s="4"/>
      <c r="G3304" s="4"/>
      <c r="H3304" s="4"/>
      <c r="I3304" s="4"/>
      <c r="J3304" s="4"/>
    </row>
    <row r="3305">
      <c r="A3305" s="4"/>
      <c r="G3305" s="4"/>
      <c r="H3305" s="4"/>
      <c r="I3305" s="4"/>
      <c r="J3305" s="4"/>
    </row>
    <row r="3306">
      <c r="A3306" s="4"/>
      <c r="G3306" s="4"/>
      <c r="H3306" s="4"/>
      <c r="I3306" s="4"/>
      <c r="J3306" s="4"/>
    </row>
    <row r="3307">
      <c r="A3307" s="4"/>
      <c r="G3307" s="4"/>
      <c r="H3307" s="4"/>
      <c r="I3307" s="4"/>
      <c r="J3307" s="4"/>
    </row>
    <row r="3308">
      <c r="A3308" s="4"/>
      <c r="G3308" s="4"/>
      <c r="H3308" s="4"/>
      <c r="I3308" s="4"/>
      <c r="J3308" s="4"/>
    </row>
    <row r="3309">
      <c r="A3309" s="4"/>
      <c r="G3309" s="4"/>
      <c r="H3309" s="4"/>
      <c r="I3309" s="4"/>
      <c r="J3309" s="4"/>
    </row>
    <row r="3310">
      <c r="A3310" s="4"/>
      <c r="G3310" s="4"/>
      <c r="H3310" s="4"/>
      <c r="I3310" s="4"/>
      <c r="J3310" s="4"/>
    </row>
    <row r="3311">
      <c r="A3311" s="4"/>
      <c r="G3311" s="4"/>
      <c r="H3311" s="4"/>
      <c r="I3311" s="4"/>
      <c r="J3311" s="4"/>
    </row>
    <row r="3312">
      <c r="A3312" s="4"/>
      <c r="G3312" s="4"/>
      <c r="H3312" s="4"/>
      <c r="I3312" s="4"/>
      <c r="J3312" s="4"/>
    </row>
    <row r="3313">
      <c r="A3313" s="4"/>
      <c r="G3313" s="4"/>
      <c r="H3313" s="4"/>
      <c r="I3313" s="4"/>
      <c r="J3313" s="4"/>
    </row>
    <row r="3314">
      <c r="A3314" s="4"/>
      <c r="G3314" s="4"/>
      <c r="H3314" s="4"/>
      <c r="I3314" s="4"/>
      <c r="J3314" s="4"/>
    </row>
    <row r="3315">
      <c r="A3315" s="4"/>
      <c r="G3315" s="4"/>
      <c r="H3315" s="4"/>
      <c r="I3315" s="4"/>
      <c r="J3315" s="4"/>
    </row>
    <row r="3316">
      <c r="A3316" s="4"/>
      <c r="G3316" s="4"/>
      <c r="H3316" s="4"/>
      <c r="I3316" s="4"/>
      <c r="J3316" s="4"/>
    </row>
    <row r="3317">
      <c r="A3317" s="4"/>
      <c r="G3317" s="4"/>
      <c r="H3317" s="4"/>
      <c r="I3317" s="4"/>
      <c r="J3317" s="4"/>
    </row>
    <row r="3318">
      <c r="A3318" s="4"/>
      <c r="G3318" s="4"/>
      <c r="H3318" s="4"/>
      <c r="I3318" s="4"/>
      <c r="J3318" s="4"/>
    </row>
    <row r="3319">
      <c r="A3319" s="4"/>
      <c r="G3319" s="4"/>
      <c r="H3319" s="4"/>
      <c r="I3319" s="4"/>
      <c r="J3319" s="4"/>
    </row>
    <row r="3320">
      <c r="A3320" s="4"/>
      <c r="G3320" s="4"/>
      <c r="H3320" s="4"/>
      <c r="I3320" s="4"/>
      <c r="J3320" s="4"/>
    </row>
    <row r="3321">
      <c r="A3321" s="4"/>
      <c r="G3321" s="4"/>
      <c r="H3321" s="4"/>
      <c r="I3321" s="4"/>
      <c r="J3321" s="4"/>
    </row>
    <row r="3322">
      <c r="A3322" s="4"/>
      <c r="G3322" s="4"/>
      <c r="H3322" s="4"/>
      <c r="I3322" s="4"/>
      <c r="J3322" s="4"/>
    </row>
    <row r="3323">
      <c r="A3323" s="4"/>
      <c r="G3323" s="4"/>
      <c r="H3323" s="4"/>
      <c r="I3323" s="4"/>
      <c r="J3323" s="4"/>
    </row>
    <row r="3324">
      <c r="A3324" s="4"/>
      <c r="G3324" s="4"/>
      <c r="H3324" s="4"/>
      <c r="I3324" s="4"/>
      <c r="J3324" s="4"/>
    </row>
    <row r="3325">
      <c r="A3325" s="4"/>
      <c r="G3325" s="4"/>
      <c r="H3325" s="4"/>
      <c r="I3325" s="4"/>
      <c r="J3325" s="4"/>
    </row>
    <row r="3326">
      <c r="A3326" s="4"/>
      <c r="G3326" s="4"/>
      <c r="H3326" s="4"/>
      <c r="I3326" s="4"/>
      <c r="J3326" s="4"/>
    </row>
    <row r="3327">
      <c r="A3327" s="4"/>
      <c r="G3327" s="4"/>
      <c r="H3327" s="4"/>
      <c r="I3327" s="4"/>
      <c r="J3327" s="4"/>
    </row>
    <row r="3328">
      <c r="A3328" s="4"/>
      <c r="G3328" s="4"/>
      <c r="H3328" s="4"/>
      <c r="I3328" s="4"/>
      <c r="J3328" s="4"/>
    </row>
    <row r="3329">
      <c r="A3329" s="4"/>
      <c r="G3329" s="4"/>
      <c r="H3329" s="4"/>
      <c r="I3329" s="4"/>
      <c r="J3329" s="4"/>
    </row>
    <row r="3330">
      <c r="A3330" s="4"/>
      <c r="G3330" s="4"/>
      <c r="H3330" s="4"/>
      <c r="I3330" s="4"/>
      <c r="J3330" s="4"/>
    </row>
    <row r="3331">
      <c r="A3331" s="4"/>
      <c r="G3331" s="4"/>
      <c r="H3331" s="4"/>
      <c r="I3331" s="4"/>
      <c r="J3331" s="4"/>
    </row>
    <row r="3332">
      <c r="A3332" s="4"/>
      <c r="G3332" s="4"/>
      <c r="H3332" s="4"/>
      <c r="I3332" s="4"/>
      <c r="J3332" s="4"/>
    </row>
    <row r="3333">
      <c r="A3333" s="4"/>
      <c r="G3333" s="4"/>
      <c r="H3333" s="4"/>
      <c r="I3333" s="4"/>
      <c r="J3333" s="4"/>
    </row>
    <row r="3334">
      <c r="A3334" s="4"/>
      <c r="G3334" s="4"/>
      <c r="H3334" s="4"/>
      <c r="I3334" s="4"/>
      <c r="J3334" s="4"/>
    </row>
    <row r="3335">
      <c r="A3335" s="4"/>
      <c r="G3335" s="4"/>
      <c r="H3335" s="4"/>
      <c r="I3335" s="4"/>
      <c r="J3335" s="4"/>
    </row>
    <row r="3336">
      <c r="A3336" s="4"/>
      <c r="G3336" s="4"/>
      <c r="H3336" s="4"/>
      <c r="I3336" s="4"/>
      <c r="J3336" s="4"/>
    </row>
    <row r="3337">
      <c r="A3337" s="4"/>
      <c r="G3337" s="4"/>
      <c r="H3337" s="4"/>
      <c r="I3337" s="4"/>
      <c r="J3337" s="4"/>
    </row>
    <row r="3338">
      <c r="A3338" s="4"/>
      <c r="G3338" s="4"/>
      <c r="H3338" s="4"/>
      <c r="I3338" s="4"/>
      <c r="J3338" s="4"/>
    </row>
    <row r="3339">
      <c r="A3339" s="4"/>
      <c r="G3339" s="4"/>
      <c r="H3339" s="4"/>
      <c r="I3339" s="4"/>
      <c r="J3339" s="4"/>
    </row>
    <row r="3340">
      <c r="A3340" s="4"/>
      <c r="G3340" s="4"/>
      <c r="H3340" s="4"/>
      <c r="I3340" s="4"/>
      <c r="J3340" s="4"/>
    </row>
    <row r="3341">
      <c r="A3341" s="4"/>
      <c r="G3341" s="4"/>
      <c r="H3341" s="4"/>
      <c r="I3341" s="4"/>
      <c r="J3341" s="4"/>
    </row>
    <row r="3342">
      <c r="A3342" s="4"/>
      <c r="G3342" s="4"/>
      <c r="H3342" s="4"/>
      <c r="I3342" s="4"/>
      <c r="J3342" s="4"/>
    </row>
    <row r="3343">
      <c r="A3343" s="4"/>
      <c r="G3343" s="4"/>
      <c r="H3343" s="4"/>
      <c r="I3343" s="4"/>
      <c r="J3343" s="4"/>
    </row>
    <row r="3344">
      <c r="A3344" s="4"/>
      <c r="G3344" s="4"/>
      <c r="H3344" s="4"/>
      <c r="I3344" s="4"/>
      <c r="J3344" s="4"/>
    </row>
    <row r="3345">
      <c r="A3345" s="4"/>
      <c r="G3345" s="4"/>
      <c r="H3345" s="4"/>
      <c r="I3345" s="4"/>
      <c r="J3345" s="4"/>
    </row>
    <row r="3346">
      <c r="A3346" s="4"/>
      <c r="G3346" s="4"/>
      <c r="H3346" s="4"/>
      <c r="I3346" s="4"/>
      <c r="J3346" s="4"/>
    </row>
    <row r="3347">
      <c r="A3347" s="4"/>
      <c r="G3347" s="4"/>
      <c r="H3347" s="4"/>
      <c r="I3347" s="4"/>
      <c r="J3347" s="4"/>
    </row>
    <row r="3348">
      <c r="A3348" s="4"/>
      <c r="G3348" s="4"/>
      <c r="H3348" s="4"/>
      <c r="I3348" s="4"/>
      <c r="J3348" s="4"/>
    </row>
    <row r="3349">
      <c r="A3349" s="4"/>
      <c r="G3349" s="4"/>
      <c r="H3349" s="4"/>
      <c r="I3349" s="4"/>
      <c r="J3349" s="4"/>
    </row>
    <row r="3350">
      <c r="A3350" s="4"/>
      <c r="G3350" s="4"/>
      <c r="H3350" s="4"/>
      <c r="I3350" s="4"/>
      <c r="J3350" s="4"/>
    </row>
    <row r="3351">
      <c r="A3351" s="4"/>
      <c r="G3351" s="4"/>
      <c r="H3351" s="4"/>
      <c r="I3351" s="4"/>
      <c r="J3351" s="4"/>
    </row>
    <row r="3352">
      <c r="A3352" s="4"/>
      <c r="G3352" s="4"/>
      <c r="H3352" s="4"/>
      <c r="I3352" s="4"/>
      <c r="J3352" s="4"/>
    </row>
    <row r="3353">
      <c r="A3353" s="4"/>
      <c r="G3353" s="4"/>
      <c r="H3353" s="4"/>
      <c r="I3353" s="4"/>
      <c r="J3353" s="4"/>
    </row>
    <row r="3354">
      <c r="A3354" s="4"/>
      <c r="G3354" s="4"/>
      <c r="H3354" s="4"/>
      <c r="I3354" s="4"/>
      <c r="J3354" s="4"/>
    </row>
    <row r="3355">
      <c r="A3355" s="4"/>
      <c r="G3355" s="4"/>
      <c r="H3355" s="4"/>
      <c r="I3355" s="4"/>
      <c r="J3355" s="4"/>
    </row>
    <row r="3356">
      <c r="A3356" s="4"/>
      <c r="G3356" s="4"/>
      <c r="H3356" s="4"/>
      <c r="I3356" s="4"/>
      <c r="J3356" s="4"/>
    </row>
    <row r="3357">
      <c r="A3357" s="4"/>
      <c r="G3357" s="4"/>
      <c r="H3357" s="4"/>
      <c r="I3357" s="4"/>
      <c r="J3357" s="4"/>
    </row>
    <row r="3358">
      <c r="A3358" s="4"/>
      <c r="G3358" s="4"/>
      <c r="H3358" s="4"/>
      <c r="I3358" s="4"/>
      <c r="J3358" s="4"/>
    </row>
    <row r="3359">
      <c r="A3359" s="4"/>
      <c r="G3359" s="4"/>
      <c r="H3359" s="4"/>
      <c r="I3359" s="4"/>
      <c r="J3359" s="4"/>
    </row>
    <row r="3360">
      <c r="A3360" s="4"/>
      <c r="G3360" s="4"/>
      <c r="H3360" s="4"/>
      <c r="I3360" s="4"/>
      <c r="J3360" s="4"/>
    </row>
    <row r="3361">
      <c r="A3361" s="4"/>
      <c r="G3361" s="4"/>
      <c r="H3361" s="4"/>
      <c r="I3361" s="4"/>
      <c r="J3361" s="4"/>
    </row>
    <row r="3362">
      <c r="A3362" s="4"/>
      <c r="G3362" s="4"/>
      <c r="H3362" s="4"/>
      <c r="I3362" s="4"/>
      <c r="J3362" s="4"/>
    </row>
    <row r="3363">
      <c r="A3363" s="4"/>
      <c r="G3363" s="4"/>
      <c r="H3363" s="4"/>
      <c r="I3363" s="4"/>
      <c r="J3363" s="4"/>
    </row>
    <row r="3364">
      <c r="A3364" s="4"/>
      <c r="G3364" s="4"/>
      <c r="H3364" s="4"/>
      <c r="I3364" s="4"/>
      <c r="J3364" s="4"/>
    </row>
    <row r="3365">
      <c r="A3365" s="4"/>
      <c r="G3365" s="4"/>
      <c r="H3365" s="4"/>
      <c r="I3365" s="4"/>
      <c r="J3365" s="4"/>
    </row>
    <row r="3366">
      <c r="A3366" s="4"/>
      <c r="G3366" s="4"/>
      <c r="H3366" s="4"/>
      <c r="I3366" s="4"/>
      <c r="J3366" s="4"/>
    </row>
    <row r="3367">
      <c r="A3367" s="4"/>
      <c r="G3367" s="4"/>
      <c r="H3367" s="4"/>
      <c r="I3367" s="4"/>
      <c r="J3367" s="4"/>
    </row>
    <row r="3368">
      <c r="A3368" s="4"/>
      <c r="G3368" s="4"/>
      <c r="H3368" s="4"/>
      <c r="I3368" s="4"/>
      <c r="J3368" s="4"/>
    </row>
    <row r="3369">
      <c r="A3369" s="4"/>
      <c r="G3369" s="4"/>
      <c r="H3369" s="4"/>
      <c r="I3369" s="4"/>
      <c r="J3369" s="4"/>
    </row>
    <row r="3370">
      <c r="A3370" s="4"/>
      <c r="G3370" s="4"/>
      <c r="H3370" s="4"/>
      <c r="I3370" s="4"/>
      <c r="J3370" s="4"/>
    </row>
    <row r="3371">
      <c r="A3371" s="4"/>
      <c r="G3371" s="4"/>
      <c r="H3371" s="4"/>
      <c r="I3371" s="4"/>
      <c r="J3371" s="4"/>
    </row>
    <row r="3372">
      <c r="A3372" s="4"/>
      <c r="G3372" s="4"/>
      <c r="H3372" s="4"/>
      <c r="I3372" s="4"/>
      <c r="J3372" s="4"/>
    </row>
    <row r="3373">
      <c r="A3373" s="4"/>
      <c r="G3373" s="4"/>
      <c r="H3373" s="4"/>
      <c r="I3373" s="4"/>
      <c r="J3373" s="4"/>
    </row>
    <row r="3374">
      <c r="A3374" s="4"/>
      <c r="G3374" s="4"/>
      <c r="H3374" s="4"/>
      <c r="I3374" s="4"/>
      <c r="J3374" s="4"/>
    </row>
    <row r="3375">
      <c r="A3375" s="4"/>
      <c r="G3375" s="4"/>
      <c r="H3375" s="4"/>
      <c r="I3375" s="4"/>
      <c r="J3375" s="4"/>
    </row>
    <row r="3376">
      <c r="A3376" s="4"/>
      <c r="G3376" s="4"/>
      <c r="H3376" s="4"/>
      <c r="I3376" s="4"/>
      <c r="J3376" s="4"/>
    </row>
    <row r="3377">
      <c r="A3377" s="4"/>
      <c r="G3377" s="4"/>
      <c r="H3377" s="4"/>
      <c r="I3377" s="4"/>
      <c r="J3377" s="4"/>
    </row>
    <row r="3378">
      <c r="A3378" s="4"/>
      <c r="G3378" s="4"/>
      <c r="H3378" s="4"/>
      <c r="I3378" s="4"/>
      <c r="J3378" s="4"/>
    </row>
    <row r="3379">
      <c r="A3379" s="4"/>
      <c r="G3379" s="4"/>
      <c r="H3379" s="4"/>
      <c r="I3379" s="4"/>
      <c r="J3379" s="4"/>
    </row>
    <row r="3380">
      <c r="A3380" s="4"/>
      <c r="G3380" s="4"/>
      <c r="H3380" s="4"/>
      <c r="I3380" s="4"/>
      <c r="J3380" s="4"/>
    </row>
    <row r="3381">
      <c r="A3381" s="4"/>
      <c r="G3381" s="4"/>
      <c r="H3381" s="4"/>
      <c r="I3381" s="4"/>
      <c r="J3381" s="4"/>
    </row>
    <row r="3382">
      <c r="A3382" s="4"/>
      <c r="G3382" s="4"/>
      <c r="H3382" s="4"/>
      <c r="I3382" s="4"/>
      <c r="J3382" s="4"/>
    </row>
    <row r="3383">
      <c r="A3383" s="4"/>
      <c r="G3383" s="4"/>
      <c r="H3383" s="4"/>
      <c r="I3383" s="4"/>
      <c r="J3383" s="4"/>
    </row>
    <row r="3384">
      <c r="A3384" s="4"/>
      <c r="G3384" s="4"/>
      <c r="H3384" s="4"/>
      <c r="I3384" s="4"/>
      <c r="J3384" s="4"/>
    </row>
    <row r="3385">
      <c r="A3385" s="4"/>
      <c r="G3385" s="4"/>
      <c r="H3385" s="4"/>
      <c r="I3385" s="4"/>
      <c r="J3385" s="4"/>
    </row>
    <row r="3386">
      <c r="A3386" s="4"/>
      <c r="G3386" s="4"/>
      <c r="H3386" s="4"/>
      <c r="I3386" s="4"/>
      <c r="J3386" s="4"/>
    </row>
    <row r="3387">
      <c r="A3387" s="4"/>
      <c r="G3387" s="4"/>
      <c r="H3387" s="4"/>
      <c r="I3387" s="4"/>
      <c r="J3387" s="4"/>
    </row>
    <row r="3388">
      <c r="A3388" s="4"/>
      <c r="G3388" s="4"/>
      <c r="H3388" s="4"/>
      <c r="I3388" s="4"/>
      <c r="J3388" s="4"/>
    </row>
    <row r="3389">
      <c r="A3389" s="4"/>
      <c r="G3389" s="4"/>
      <c r="H3389" s="4"/>
      <c r="I3389" s="4"/>
      <c r="J3389" s="4"/>
    </row>
    <row r="3390">
      <c r="A3390" s="4"/>
      <c r="G3390" s="4"/>
      <c r="H3390" s="4"/>
      <c r="I3390" s="4"/>
      <c r="J3390" s="4"/>
    </row>
    <row r="3391">
      <c r="A3391" s="4"/>
      <c r="G3391" s="4"/>
      <c r="H3391" s="4"/>
      <c r="I3391" s="4"/>
      <c r="J3391" s="4"/>
    </row>
    <row r="3392">
      <c r="A3392" s="4"/>
      <c r="G3392" s="4"/>
      <c r="H3392" s="4"/>
      <c r="I3392" s="4"/>
      <c r="J3392" s="4"/>
    </row>
    <row r="3393">
      <c r="A3393" s="4"/>
      <c r="G3393" s="4"/>
      <c r="H3393" s="4"/>
      <c r="I3393" s="4"/>
      <c r="J3393" s="4"/>
    </row>
    <row r="3394">
      <c r="A3394" s="4"/>
      <c r="G3394" s="4"/>
      <c r="H3394" s="4"/>
      <c r="I3394" s="4"/>
      <c r="J3394" s="4"/>
    </row>
    <row r="3395">
      <c r="A3395" s="4"/>
      <c r="G3395" s="4"/>
      <c r="H3395" s="4"/>
      <c r="I3395" s="4"/>
      <c r="J3395" s="4"/>
    </row>
    <row r="3396">
      <c r="A3396" s="4"/>
      <c r="G3396" s="4"/>
      <c r="H3396" s="4"/>
      <c r="I3396" s="4"/>
      <c r="J3396" s="4"/>
    </row>
    <row r="3397">
      <c r="A3397" s="4"/>
      <c r="G3397" s="4"/>
      <c r="H3397" s="4"/>
      <c r="I3397" s="4"/>
      <c r="J3397" s="4"/>
    </row>
    <row r="3398">
      <c r="A3398" s="4"/>
      <c r="G3398" s="4"/>
      <c r="H3398" s="4"/>
      <c r="I3398" s="4"/>
      <c r="J3398" s="4"/>
    </row>
    <row r="3399">
      <c r="A3399" s="4"/>
      <c r="G3399" s="4"/>
      <c r="H3399" s="4"/>
      <c r="I3399" s="4"/>
      <c r="J3399" s="4"/>
    </row>
    <row r="3400">
      <c r="A3400" s="4"/>
      <c r="G3400" s="4"/>
      <c r="H3400" s="4"/>
      <c r="I3400" s="4"/>
      <c r="J3400" s="4"/>
    </row>
    <row r="3401">
      <c r="A3401" s="4"/>
      <c r="G3401" s="4"/>
      <c r="H3401" s="4"/>
      <c r="I3401" s="4"/>
      <c r="J3401" s="4"/>
    </row>
    <row r="3402">
      <c r="A3402" s="4"/>
      <c r="G3402" s="4"/>
      <c r="H3402" s="4"/>
      <c r="I3402" s="4"/>
      <c r="J3402" s="4"/>
    </row>
    <row r="3403">
      <c r="A3403" s="4"/>
      <c r="G3403" s="4"/>
      <c r="H3403" s="4"/>
      <c r="I3403" s="4"/>
      <c r="J3403" s="4"/>
    </row>
    <row r="3404">
      <c r="A3404" s="4"/>
      <c r="G3404" s="4"/>
      <c r="H3404" s="4"/>
      <c r="I3404" s="4"/>
      <c r="J3404" s="4"/>
    </row>
    <row r="3405">
      <c r="A3405" s="4"/>
      <c r="G3405" s="4"/>
      <c r="H3405" s="4"/>
      <c r="I3405" s="4"/>
      <c r="J3405" s="4"/>
    </row>
    <row r="3406">
      <c r="A3406" s="4"/>
      <c r="G3406" s="4"/>
      <c r="H3406" s="4"/>
      <c r="I3406" s="4"/>
      <c r="J3406" s="4"/>
    </row>
    <row r="3407">
      <c r="A3407" s="4"/>
      <c r="G3407" s="4"/>
      <c r="H3407" s="4"/>
      <c r="I3407" s="4"/>
      <c r="J3407" s="4"/>
    </row>
    <row r="3408">
      <c r="A3408" s="4"/>
      <c r="G3408" s="4"/>
      <c r="H3408" s="4"/>
      <c r="I3408" s="4"/>
      <c r="J3408" s="4"/>
    </row>
    <row r="3409">
      <c r="A3409" s="4"/>
      <c r="G3409" s="4"/>
      <c r="H3409" s="4"/>
      <c r="I3409" s="4"/>
      <c r="J3409" s="4"/>
    </row>
    <row r="3410">
      <c r="A3410" s="4"/>
      <c r="G3410" s="4"/>
      <c r="H3410" s="4"/>
      <c r="I3410" s="4"/>
      <c r="J3410" s="4"/>
    </row>
    <row r="3411">
      <c r="A3411" s="4"/>
      <c r="G3411" s="4"/>
      <c r="H3411" s="4"/>
      <c r="I3411" s="4"/>
      <c r="J3411" s="4"/>
    </row>
    <row r="3412">
      <c r="A3412" s="4"/>
      <c r="G3412" s="4"/>
      <c r="H3412" s="4"/>
      <c r="I3412" s="4"/>
      <c r="J3412" s="4"/>
    </row>
    <row r="3413">
      <c r="A3413" s="4"/>
      <c r="G3413" s="4"/>
      <c r="H3413" s="4"/>
      <c r="I3413" s="4"/>
      <c r="J3413" s="4"/>
    </row>
    <row r="3414">
      <c r="A3414" s="4"/>
      <c r="G3414" s="4"/>
      <c r="H3414" s="4"/>
      <c r="I3414" s="4"/>
      <c r="J3414" s="4"/>
    </row>
    <row r="3415">
      <c r="A3415" s="4"/>
      <c r="G3415" s="4"/>
      <c r="H3415" s="4"/>
      <c r="I3415" s="4"/>
      <c r="J3415" s="4"/>
    </row>
    <row r="3416">
      <c r="A3416" s="4"/>
      <c r="G3416" s="4"/>
      <c r="H3416" s="4"/>
      <c r="I3416" s="4"/>
      <c r="J3416" s="4"/>
    </row>
    <row r="3417">
      <c r="A3417" s="4"/>
      <c r="G3417" s="4"/>
      <c r="H3417" s="4"/>
      <c r="I3417" s="4"/>
      <c r="J3417" s="4"/>
    </row>
    <row r="3418">
      <c r="A3418" s="4"/>
      <c r="G3418" s="4"/>
      <c r="H3418" s="4"/>
      <c r="I3418" s="4"/>
      <c r="J3418" s="4"/>
    </row>
    <row r="3419">
      <c r="A3419" s="4"/>
      <c r="G3419" s="4"/>
      <c r="H3419" s="4"/>
      <c r="I3419" s="4"/>
      <c r="J3419" s="4"/>
    </row>
    <row r="3420">
      <c r="A3420" s="4"/>
      <c r="G3420" s="4"/>
      <c r="H3420" s="4"/>
      <c r="I3420" s="4"/>
      <c r="J3420" s="4"/>
    </row>
    <row r="3421">
      <c r="A3421" s="4"/>
      <c r="G3421" s="4"/>
      <c r="H3421" s="4"/>
      <c r="I3421" s="4"/>
      <c r="J3421" s="4"/>
    </row>
    <row r="3422">
      <c r="A3422" s="4"/>
      <c r="G3422" s="4"/>
      <c r="H3422" s="4"/>
      <c r="I3422" s="4"/>
      <c r="J3422" s="4"/>
    </row>
    <row r="3423">
      <c r="A3423" s="4"/>
      <c r="G3423" s="4"/>
      <c r="H3423" s="4"/>
      <c r="I3423" s="4"/>
      <c r="J3423" s="4"/>
    </row>
    <row r="3424">
      <c r="A3424" s="4"/>
      <c r="G3424" s="4"/>
      <c r="H3424" s="4"/>
      <c r="I3424" s="4"/>
      <c r="J3424" s="4"/>
    </row>
    <row r="3425">
      <c r="A3425" s="4"/>
      <c r="G3425" s="4"/>
      <c r="H3425" s="4"/>
      <c r="I3425" s="4"/>
      <c r="J3425" s="4"/>
    </row>
    <row r="3426">
      <c r="A3426" s="4"/>
      <c r="G3426" s="4"/>
      <c r="H3426" s="4"/>
      <c r="I3426" s="4"/>
      <c r="J3426" s="4"/>
    </row>
    <row r="3427">
      <c r="A3427" s="4"/>
      <c r="G3427" s="4"/>
      <c r="H3427" s="4"/>
      <c r="I3427" s="4"/>
      <c r="J3427" s="4"/>
    </row>
    <row r="3428">
      <c r="A3428" s="4"/>
      <c r="G3428" s="4"/>
      <c r="H3428" s="4"/>
      <c r="I3428" s="4"/>
      <c r="J3428" s="4"/>
    </row>
    <row r="3429">
      <c r="A3429" s="4"/>
      <c r="G3429" s="4"/>
      <c r="H3429" s="4"/>
      <c r="I3429" s="4"/>
      <c r="J3429" s="4"/>
    </row>
    <row r="3430">
      <c r="A3430" s="4"/>
      <c r="G3430" s="4"/>
      <c r="H3430" s="4"/>
      <c r="I3430" s="4"/>
      <c r="J3430" s="4"/>
    </row>
    <row r="3431">
      <c r="A3431" s="4"/>
      <c r="G3431" s="4"/>
      <c r="H3431" s="4"/>
      <c r="I3431" s="4"/>
      <c r="J3431" s="4"/>
    </row>
    <row r="3432">
      <c r="A3432" s="4"/>
      <c r="G3432" s="4"/>
      <c r="H3432" s="4"/>
      <c r="I3432" s="4"/>
      <c r="J3432" s="4"/>
    </row>
    <row r="3433">
      <c r="A3433" s="4"/>
      <c r="G3433" s="4"/>
      <c r="H3433" s="4"/>
      <c r="I3433" s="4"/>
      <c r="J3433" s="4"/>
    </row>
    <row r="3434">
      <c r="A3434" s="4"/>
      <c r="G3434" s="4"/>
      <c r="H3434" s="4"/>
      <c r="I3434" s="4"/>
      <c r="J3434" s="4"/>
    </row>
    <row r="3435">
      <c r="A3435" s="4"/>
      <c r="G3435" s="4"/>
      <c r="H3435" s="4"/>
      <c r="I3435" s="4"/>
      <c r="J3435" s="4"/>
    </row>
    <row r="3436">
      <c r="A3436" s="4"/>
      <c r="G3436" s="4"/>
      <c r="H3436" s="4"/>
      <c r="I3436" s="4"/>
      <c r="J3436" s="4"/>
    </row>
    <row r="3437">
      <c r="A3437" s="4"/>
      <c r="G3437" s="4"/>
      <c r="H3437" s="4"/>
      <c r="I3437" s="4"/>
      <c r="J3437" s="4"/>
    </row>
    <row r="3438">
      <c r="A3438" s="4"/>
      <c r="G3438" s="4"/>
      <c r="H3438" s="4"/>
      <c r="I3438" s="4"/>
      <c r="J3438" s="4"/>
    </row>
    <row r="3439">
      <c r="A3439" s="4"/>
      <c r="G3439" s="4"/>
      <c r="H3439" s="4"/>
      <c r="I3439" s="4"/>
      <c r="J3439" s="4"/>
    </row>
    <row r="3440">
      <c r="A3440" s="4"/>
      <c r="G3440" s="4"/>
      <c r="H3440" s="4"/>
      <c r="I3440" s="4"/>
      <c r="J3440" s="4"/>
    </row>
    <row r="3441">
      <c r="A3441" s="4"/>
      <c r="G3441" s="4"/>
      <c r="H3441" s="4"/>
      <c r="I3441" s="4"/>
      <c r="J3441" s="4"/>
    </row>
    <row r="3442">
      <c r="A3442" s="4"/>
      <c r="G3442" s="4"/>
      <c r="H3442" s="4"/>
      <c r="I3442" s="4"/>
      <c r="J3442" s="4"/>
    </row>
    <row r="3443">
      <c r="A3443" s="4"/>
      <c r="G3443" s="4"/>
      <c r="H3443" s="4"/>
      <c r="I3443" s="4"/>
      <c r="J3443" s="4"/>
    </row>
    <row r="3444">
      <c r="A3444" s="4"/>
      <c r="G3444" s="4"/>
      <c r="H3444" s="4"/>
      <c r="I3444" s="4"/>
      <c r="J3444" s="4"/>
    </row>
    <row r="3445">
      <c r="A3445" s="4"/>
      <c r="G3445" s="4"/>
      <c r="H3445" s="4"/>
      <c r="I3445" s="4"/>
      <c r="J3445" s="4"/>
    </row>
    <row r="3446">
      <c r="A3446" s="4"/>
      <c r="G3446" s="4"/>
      <c r="H3446" s="4"/>
      <c r="I3446" s="4"/>
      <c r="J3446" s="4"/>
    </row>
    <row r="3447">
      <c r="A3447" s="4"/>
      <c r="G3447" s="4"/>
      <c r="H3447" s="4"/>
      <c r="I3447" s="4"/>
      <c r="J3447" s="4"/>
    </row>
    <row r="3448">
      <c r="A3448" s="4"/>
      <c r="G3448" s="4"/>
      <c r="H3448" s="4"/>
      <c r="I3448" s="4"/>
      <c r="J3448" s="4"/>
    </row>
    <row r="3449">
      <c r="A3449" s="4"/>
      <c r="G3449" s="4"/>
      <c r="H3449" s="4"/>
      <c r="I3449" s="4"/>
      <c r="J3449" s="4"/>
    </row>
    <row r="3450">
      <c r="A3450" s="4"/>
      <c r="G3450" s="4"/>
      <c r="H3450" s="4"/>
      <c r="I3450" s="4"/>
      <c r="J3450" s="4"/>
    </row>
    <row r="3451">
      <c r="A3451" s="4"/>
      <c r="G3451" s="4"/>
      <c r="H3451" s="4"/>
      <c r="I3451" s="4"/>
      <c r="J3451" s="4"/>
    </row>
    <row r="3452">
      <c r="A3452" s="4"/>
      <c r="G3452" s="4"/>
      <c r="H3452" s="4"/>
      <c r="I3452" s="4"/>
      <c r="J3452" s="4"/>
    </row>
    <row r="3453">
      <c r="A3453" s="4"/>
      <c r="G3453" s="4"/>
      <c r="H3453" s="4"/>
      <c r="I3453" s="4"/>
      <c r="J3453" s="4"/>
    </row>
    <row r="3454">
      <c r="A3454" s="4"/>
      <c r="G3454" s="4"/>
      <c r="H3454" s="4"/>
      <c r="I3454" s="4"/>
      <c r="J3454"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7.75"/>
    <col customWidth="1" min="3" max="3" width="5.75"/>
    <col customWidth="1" min="4" max="4" width="11.75"/>
    <col customWidth="1" min="5" max="5" width="8.25"/>
    <col customWidth="1" min="6" max="11" width="13.38"/>
    <col customWidth="1" min="12" max="30" width="12.5"/>
  </cols>
  <sheetData>
    <row r="1" ht="27.75" customHeight="1">
      <c r="A1" s="78" t="s">
        <v>5940</v>
      </c>
      <c r="B1" s="78" t="s">
        <v>5941</v>
      </c>
      <c r="C1" s="78" t="s">
        <v>5942</v>
      </c>
      <c r="D1" s="78" t="s">
        <v>5943</v>
      </c>
      <c r="E1" s="78" t="s">
        <v>5944</v>
      </c>
      <c r="F1" s="78" t="s">
        <v>5945</v>
      </c>
      <c r="G1" s="78" t="s">
        <v>5946</v>
      </c>
      <c r="H1" s="78" t="s">
        <v>5947</v>
      </c>
      <c r="I1" s="78" t="s">
        <v>5948</v>
      </c>
      <c r="J1" s="78" t="s">
        <v>5949</v>
      </c>
      <c r="K1" s="78" t="s">
        <v>5950</v>
      </c>
    </row>
    <row r="2">
      <c r="A2" s="60" t="s">
        <v>5951</v>
      </c>
      <c r="B2" s="60" t="s">
        <v>3787</v>
      </c>
      <c r="C2" s="60">
        <v>6.0</v>
      </c>
      <c r="D2" s="79" t="s">
        <v>5952</v>
      </c>
      <c r="E2" s="79">
        <v>10.0</v>
      </c>
      <c r="F2" s="79" t="s">
        <v>1265</v>
      </c>
      <c r="G2" s="79" t="s">
        <v>5953</v>
      </c>
      <c r="H2" s="79" t="s">
        <v>5954</v>
      </c>
      <c r="I2" s="79" t="s">
        <v>5955</v>
      </c>
      <c r="J2" s="79" t="s">
        <v>5956</v>
      </c>
      <c r="K2" s="80" t="s">
        <v>5957</v>
      </c>
      <c r="M2" s="81"/>
      <c r="N2" s="81"/>
      <c r="O2" s="82"/>
      <c r="P2" s="81"/>
      <c r="Q2" s="81"/>
      <c r="R2" s="81"/>
    </row>
    <row r="3">
      <c r="A3" s="60" t="s">
        <v>5951</v>
      </c>
      <c r="B3" s="60" t="s">
        <v>3787</v>
      </c>
      <c r="C3" s="60">
        <v>6.0</v>
      </c>
      <c r="D3" s="79" t="s">
        <v>5952</v>
      </c>
      <c r="E3" s="79">
        <v>30.0</v>
      </c>
      <c r="F3" s="79" t="s">
        <v>1265</v>
      </c>
      <c r="G3" s="79" t="s">
        <v>5953</v>
      </c>
      <c r="H3" s="79" t="s">
        <v>5958</v>
      </c>
      <c r="I3" s="79" t="s">
        <v>5959</v>
      </c>
      <c r="J3" s="79" t="s">
        <v>5960</v>
      </c>
      <c r="K3" s="80" t="s">
        <v>5961</v>
      </c>
      <c r="M3" s="81"/>
      <c r="N3" s="81"/>
      <c r="O3" s="82"/>
      <c r="P3" s="81"/>
      <c r="Q3" s="81"/>
      <c r="R3" s="81"/>
    </row>
    <row r="4">
      <c r="A4" s="60" t="s">
        <v>5951</v>
      </c>
      <c r="B4" s="60" t="s">
        <v>3787</v>
      </c>
      <c r="C4" s="60">
        <v>6.0</v>
      </c>
      <c r="D4" s="79" t="s">
        <v>5962</v>
      </c>
      <c r="E4" s="79">
        <v>40.0</v>
      </c>
      <c r="F4" s="79" t="s">
        <v>1265</v>
      </c>
      <c r="G4" s="79" t="s">
        <v>5953</v>
      </c>
      <c r="H4" s="79" t="s">
        <v>5963</v>
      </c>
      <c r="I4" s="79" t="s">
        <v>5964</v>
      </c>
      <c r="J4" s="79" t="s">
        <v>5965</v>
      </c>
      <c r="K4" s="80" t="s">
        <v>5966</v>
      </c>
      <c r="M4" s="81"/>
      <c r="N4" s="81"/>
      <c r="O4" s="82"/>
      <c r="P4" s="81"/>
      <c r="Q4" s="81"/>
      <c r="R4" s="81"/>
    </row>
    <row r="5">
      <c r="A5" s="60" t="s">
        <v>5951</v>
      </c>
      <c r="B5" s="60" t="s">
        <v>3787</v>
      </c>
      <c r="C5" s="60">
        <v>6.0</v>
      </c>
      <c r="D5" s="79" t="s">
        <v>5967</v>
      </c>
      <c r="E5" s="79">
        <v>80.0</v>
      </c>
      <c r="F5" s="79" t="s">
        <v>1265</v>
      </c>
      <c r="G5" s="79" t="s">
        <v>5953</v>
      </c>
      <c r="H5" s="79" t="s">
        <v>5968</v>
      </c>
      <c r="I5" s="79" t="s">
        <v>5969</v>
      </c>
      <c r="J5" s="79" t="s">
        <v>1236</v>
      </c>
      <c r="K5" s="80" t="s">
        <v>5970</v>
      </c>
      <c r="M5" s="81"/>
      <c r="N5" s="81"/>
      <c r="O5" s="82"/>
      <c r="P5" s="81"/>
      <c r="Q5" s="81"/>
      <c r="R5" s="81"/>
    </row>
    <row r="6">
      <c r="A6" s="60" t="s">
        <v>5951</v>
      </c>
      <c r="B6" s="60" t="s">
        <v>3787</v>
      </c>
      <c r="C6" s="60">
        <v>6.0</v>
      </c>
      <c r="D6" s="79" t="s">
        <v>5952</v>
      </c>
      <c r="E6" s="79">
        <v>160.0</v>
      </c>
      <c r="F6" s="79" t="s">
        <v>1265</v>
      </c>
      <c r="G6" s="79" t="s">
        <v>5953</v>
      </c>
      <c r="H6" s="79" t="s">
        <v>5971</v>
      </c>
      <c r="I6" s="79" t="s">
        <v>5972</v>
      </c>
      <c r="J6" s="79" t="s">
        <v>5973</v>
      </c>
      <c r="K6" s="80" t="s">
        <v>5974</v>
      </c>
      <c r="M6" s="81"/>
      <c r="N6" s="81"/>
      <c r="O6" s="82"/>
      <c r="P6" s="81"/>
      <c r="Q6" s="81"/>
      <c r="R6" s="81"/>
    </row>
    <row r="7">
      <c r="A7" s="60" t="s">
        <v>5951</v>
      </c>
      <c r="B7" s="60" t="s">
        <v>3787</v>
      </c>
      <c r="C7" s="60">
        <v>6.0</v>
      </c>
      <c r="D7" s="79" t="s">
        <v>5975</v>
      </c>
      <c r="E7" s="79" t="s">
        <v>5952</v>
      </c>
      <c r="F7" s="79" t="s">
        <v>1265</v>
      </c>
      <c r="G7" s="79" t="s">
        <v>5953</v>
      </c>
      <c r="H7" s="79" t="s">
        <v>5976</v>
      </c>
      <c r="I7" s="79" t="s">
        <v>5977</v>
      </c>
      <c r="J7" s="79" t="s">
        <v>1618</v>
      </c>
      <c r="K7" s="80" t="s">
        <v>5978</v>
      </c>
      <c r="M7" s="81"/>
      <c r="N7" s="81"/>
      <c r="O7" s="81"/>
      <c r="P7" s="81"/>
      <c r="Q7" s="81"/>
      <c r="R7" s="81"/>
    </row>
    <row r="8">
      <c r="A8" s="60" t="s">
        <v>5979</v>
      </c>
      <c r="B8" s="60" t="s">
        <v>3798</v>
      </c>
      <c r="C8" s="60" t="s">
        <v>534</v>
      </c>
      <c r="D8" s="79" t="s">
        <v>5952</v>
      </c>
      <c r="E8" s="79">
        <v>10.0</v>
      </c>
      <c r="F8" s="79" t="s">
        <v>5980</v>
      </c>
      <c r="G8" s="79" t="s">
        <v>5981</v>
      </c>
      <c r="H8" s="79" t="s">
        <v>5982</v>
      </c>
      <c r="I8" s="79" t="s">
        <v>5983</v>
      </c>
      <c r="J8" s="79" t="s">
        <v>1533</v>
      </c>
      <c r="K8" s="80" t="s">
        <v>5984</v>
      </c>
      <c r="M8" s="81"/>
      <c r="N8" s="81"/>
      <c r="O8" s="82"/>
      <c r="P8" s="81"/>
      <c r="Q8" s="81"/>
      <c r="R8" s="81"/>
    </row>
    <row r="9">
      <c r="A9" s="60" t="s">
        <v>5979</v>
      </c>
      <c r="B9" s="60" t="s">
        <v>3798</v>
      </c>
      <c r="C9" s="60" t="s">
        <v>534</v>
      </c>
      <c r="D9" s="79" t="s">
        <v>5952</v>
      </c>
      <c r="E9" s="79">
        <v>30.0</v>
      </c>
      <c r="F9" s="79" t="s">
        <v>5980</v>
      </c>
      <c r="G9" s="79" t="s">
        <v>5981</v>
      </c>
      <c r="H9" s="79" t="s">
        <v>5985</v>
      </c>
      <c r="I9" s="79" t="s">
        <v>5986</v>
      </c>
      <c r="J9" s="79" t="s">
        <v>1173</v>
      </c>
      <c r="K9" s="80" t="s">
        <v>5987</v>
      </c>
      <c r="M9" s="81"/>
      <c r="N9" s="81"/>
      <c r="O9" s="82"/>
      <c r="P9" s="81"/>
      <c r="Q9" s="81"/>
      <c r="R9" s="81"/>
    </row>
    <row r="10">
      <c r="A10" s="60" t="s">
        <v>5979</v>
      </c>
      <c r="B10" s="60" t="s">
        <v>3798</v>
      </c>
      <c r="C10" s="60" t="s">
        <v>534</v>
      </c>
      <c r="D10" s="79" t="s">
        <v>5962</v>
      </c>
      <c r="E10" s="79">
        <v>40.0</v>
      </c>
      <c r="F10" s="79" t="s">
        <v>5980</v>
      </c>
      <c r="G10" s="79" t="s">
        <v>5981</v>
      </c>
      <c r="H10" s="79" t="s">
        <v>5988</v>
      </c>
      <c r="I10" s="79" t="s">
        <v>5989</v>
      </c>
      <c r="J10" s="79" t="s">
        <v>1293</v>
      </c>
      <c r="K10" s="80" t="s">
        <v>5990</v>
      </c>
      <c r="M10" s="81"/>
      <c r="N10" s="81"/>
      <c r="O10" s="82"/>
      <c r="P10" s="81"/>
      <c r="Q10" s="81"/>
      <c r="R10" s="81"/>
    </row>
    <row r="11">
      <c r="A11" s="60" t="s">
        <v>5979</v>
      </c>
      <c r="B11" s="60" t="s">
        <v>3798</v>
      </c>
      <c r="C11" s="60" t="s">
        <v>534</v>
      </c>
      <c r="D11" s="79" t="s">
        <v>5967</v>
      </c>
      <c r="E11" s="79">
        <v>80.0</v>
      </c>
      <c r="F11" s="79" t="s">
        <v>5980</v>
      </c>
      <c r="G11" s="79" t="s">
        <v>5981</v>
      </c>
      <c r="H11" s="79" t="s">
        <v>5991</v>
      </c>
      <c r="I11" s="79" t="s">
        <v>5992</v>
      </c>
      <c r="J11" s="79" t="s">
        <v>5993</v>
      </c>
      <c r="K11" s="80" t="s">
        <v>5994</v>
      </c>
      <c r="M11" s="81"/>
      <c r="N11" s="81"/>
      <c r="O11" s="82"/>
      <c r="P11" s="81"/>
      <c r="Q11" s="81"/>
      <c r="R11" s="81"/>
    </row>
    <row r="12">
      <c r="A12" s="60" t="s">
        <v>5979</v>
      </c>
      <c r="B12" s="60" t="s">
        <v>3798</v>
      </c>
      <c r="C12" s="60" t="s">
        <v>534</v>
      </c>
      <c r="D12" s="79" t="s">
        <v>5952</v>
      </c>
      <c r="E12" s="79">
        <v>160.0</v>
      </c>
      <c r="F12" s="79" t="s">
        <v>5980</v>
      </c>
      <c r="G12" s="79" t="s">
        <v>5981</v>
      </c>
      <c r="H12" s="79" t="s">
        <v>5995</v>
      </c>
      <c r="I12" s="79" t="s">
        <v>5996</v>
      </c>
      <c r="J12" s="79" t="s">
        <v>5997</v>
      </c>
      <c r="K12" s="80" t="s">
        <v>5998</v>
      </c>
      <c r="M12" s="81"/>
      <c r="N12" s="81"/>
      <c r="O12" s="82"/>
      <c r="P12" s="81"/>
      <c r="Q12" s="81"/>
      <c r="R12" s="81"/>
    </row>
    <row r="13">
      <c r="A13" s="60" t="s">
        <v>5979</v>
      </c>
      <c r="B13" s="60" t="s">
        <v>3798</v>
      </c>
      <c r="C13" s="60" t="s">
        <v>534</v>
      </c>
      <c r="D13" s="79" t="s">
        <v>5975</v>
      </c>
      <c r="E13" s="79" t="s">
        <v>5952</v>
      </c>
      <c r="F13" s="79" t="s">
        <v>5980</v>
      </c>
      <c r="G13" s="79" t="s">
        <v>5981</v>
      </c>
      <c r="H13" s="79" t="s">
        <v>1222</v>
      </c>
      <c r="I13" s="79" t="s">
        <v>5999</v>
      </c>
      <c r="J13" s="79" t="s">
        <v>6000</v>
      </c>
      <c r="K13" s="80" t="s">
        <v>6001</v>
      </c>
      <c r="M13" s="81"/>
      <c r="N13" s="81"/>
      <c r="O13" s="81"/>
      <c r="P13" s="81"/>
      <c r="Q13" s="81"/>
      <c r="R13" s="81"/>
    </row>
    <row r="14">
      <c r="A14" s="60" t="s">
        <v>6002</v>
      </c>
      <c r="B14" s="60" t="s">
        <v>3795</v>
      </c>
      <c r="C14" s="60" t="s">
        <v>546</v>
      </c>
      <c r="D14" s="79" t="s">
        <v>5952</v>
      </c>
      <c r="E14" s="79">
        <v>10.0</v>
      </c>
      <c r="F14" s="79" t="s">
        <v>6003</v>
      </c>
      <c r="G14" s="79" t="s">
        <v>6004</v>
      </c>
      <c r="H14" s="79" t="s">
        <v>5982</v>
      </c>
      <c r="I14" s="79" t="s">
        <v>5983</v>
      </c>
      <c r="J14" s="79" t="s">
        <v>1264</v>
      </c>
      <c r="K14" s="80" t="s">
        <v>5990</v>
      </c>
      <c r="M14" s="81"/>
      <c r="N14" s="81"/>
      <c r="O14" s="82"/>
      <c r="P14" s="81"/>
      <c r="Q14" s="81"/>
      <c r="R14" s="81"/>
    </row>
    <row r="15">
      <c r="A15" s="60" t="s">
        <v>6002</v>
      </c>
      <c r="B15" s="60" t="s">
        <v>3795</v>
      </c>
      <c r="C15" s="60" t="s">
        <v>546</v>
      </c>
      <c r="D15" s="79" t="s">
        <v>5952</v>
      </c>
      <c r="E15" s="79">
        <v>30.0</v>
      </c>
      <c r="F15" s="79" t="s">
        <v>6003</v>
      </c>
      <c r="G15" s="79" t="s">
        <v>6004</v>
      </c>
      <c r="H15" s="79" t="s">
        <v>5985</v>
      </c>
      <c r="I15" s="79" t="s">
        <v>5986</v>
      </c>
      <c r="J15" s="79" t="s">
        <v>1192</v>
      </c>
      <c r="K15" s="80" t="s">
        <v>6005</v>
      </c>
      <c r="M15" s="81"/>
      <c r="N15" s="81"/>
      <c r="O15" s="82"/>
      <c r="P15" s="81"/>
      <c r="Q15" s="81"/>
      <c r="R15" s="81"/>
    </row>
    <row r="16">
      <c r="A16" s="60" t="s">
        <v>6002</v>
      </c>
      <c r="B16" s="60" t="s">
        <v>3795</v>
      </c>
      <c r="C16" s="60" t="s">
        <v>546</v>
      </c>
      <c r="D16" s="79" t="s">
        <v>5962</v>
      </c>
      <c r="E16" s="79">
        <v>40.0</v>
      </c>
      <c r="F16" s="79" t="s">
        <v>6003</v>
      </c>
      <c r="G16" s="79" t="s">
        <v>6004</v>
      </c>
      <c r="H16" s="79" t="s">
        <v>6006</v>
      </c>
      <c r="I16" s="79" t="s">
        <v>6007</v>
      </c>
      <c r="J16" s="79" t="s">
        <v>6008</v>
      </c>
      <c r="K16" s="80" t="s">
        <v>6009</v>
      </c>
      <c r="M16" s="81"/>
      <c r="N16" s="81"/>
      <c r="O16" s="82"/>
      <c r="P16" s="81"/>
      <c r="Q16" s="81"/>
      <c r="R16" s="81"/>
    </row>
    <row r="17">
      <c r="A17" s="60" t="s">
        <v>6002</v>
      </c>
      <c r="B17" s="60" t="s">
        <v>3795</v>
      </c>
      <c r="C17" s="60" t="s">
        <v>546</v>
      </c>
      <c r="D17" s="79" t="s">
        <v>5967</v>
      </c>
      <c r="E17" s="79">
        <v>80.0</v>
      </c>
      <c r="F17" s="79" t="s">
        <v>6003</v>
      </c>
      <c r="G17" s="79" t="s">
        <v>6004</v>
      </c>
      <c r="H17" s="79" t="s">
        <v>6010</v>
      </c>
      <c r="I17" s="79" t="s">
        <v>6011</v>
      </c>
      <c r="J17" s="79" t="s">
        <v>6012</v>
      </c>
      <c r="K17" s="80" t="s">
        <v>6013</v>
      </c>
      <c r="M17" s="81"/>
      <c r="N17" s="81"/>
      <c r="O17" s="82"/>
      <c r="P17" s="81"/>
      <c r="Q17" s="81"/>
      <c r="R17" s="81"/>
    </row>
    <row r="18">
      <c r="A18" s="60" t="s">
        <v>6002</v>
      </c>
      <c r="B18" s="60" t="s">
        <v>3795</v>
      </c>
      <c r="C18" s="60" t="s">
        <v>546</v>
      </c>
      <c r="D18" s="79" t="s">
        <v>5952</v>
      </c>
      <c r="E18" s="79">
        <v>160.0</v>
      </c>
      <c r="F18" s="79" t="s">
        <v>6003</v>
      </c>
      <c r="G18" s="79" t="s">
        <v>6004</v>
      </c>
      <c r="H18" s="79" t="s">
        <v>6014</v>
      </c>
      <c r="I18" s="79" t="s">
        <v>6015</v>
      </c>
      <c r="J18" s="79" t="s">
        <v>6016</v>
      </c>
      <c r="K18" s="80" t="s">
        <v>6017</v>
      </c>
      <c r="M18" s="81"/>
      <c r="N18" s="81"/>
      <c r="O18" s="82"/>
      <c r="P18" s="81"/>
      <c r="Q18" s="81"/>
      <c r="R18" s="81"/>
    </row>
    <row r="19">
      <c r="A19" s="60" t="s">
        <v>6002</v>
      </c>
      <c r="B19" s="60" t="s">
        <v>3795</v>
      </c>
      <c r="C19" s="60" t="s">
        <v>546</v>
      </c>
      <c r="D19" s="79" t="s">
        <v>5975</v>
      </c>
      <c r="E19" s="79" t="s">
        <v>5952</v>
      </c>
      <c r="F19" s="79" t="s">
        <v>6003</v>
      </c>
      <c r="G19" s="79" t="s">
        <v>6004</v>
      </c>
      <c r="H19" s="79" t="s">
        <v>1560</v>
      </c>
      <c r="I19" s="79" t="s">
        <v>6018</v>
      </c>
      <c r="J19" s="79" t="s">
        <v>6019</v>
      </c>
      <c r="K19" s="80" t="s">
        <v>6020</v>
      </c>
      <c r="M19" s="81"/>
      <c r="N19" s="81"/>
      <c r="O19" s="81"/>
      <c r="P19" s="81"/>
      <c r="Q19" s="81"/>
      <c r="R19" s="81"/>
    </row>
    <row r="20">
      <c r="A20" s="60" t="s">
        <v>6021</v>
      </c>
      <c r="B20" s="60" t="s">
        <v>3812</v>
      </c>
      <c r="C20" s="60" t="s">
        <v>637</v>
      </c>
      <c r="D20" s="79" t="s">
        <v>5952</v>
      </c>
      <c r="E20" s="79">
        <v>5.0</v>
      </c>
      <c r="F20" s="79" t="s">
        <v>6022</v>
      </c>
      <c r="G20" s="79" t="s">
        <v>6023</v>
      </c>
      <c r="H20" s="79" t="s">
        <v>5982</v>
      </c>
      <c r="I20" s="79" t="s">
        <v>5983</v>
      </c>
      <c r="J20" s="79" t="s">
        <v>5993</v>
      </c>
      <c r="K20" s="80" t="s">
        <v>5994</v>
      </c>
      <c r="M20" s="81"/>
      <c r="N20" s="81"/>
      <c r="O20" s="82"/>
      <c r="P20" s="81"/>
      <c r="Q20" s="81"/>
      <c r="R20" s="81"/>
    </row>
    <row r="21">
      <c r="A21" s="60" t="s">
        <v>6021</v>
      </c>
      <c r="B21" s="60" t="s">
        <v>3812</v>
      </c>
      <c r="C21" s="60" t="s">
        <v>637</v>
      </c>
      <c r="D21" s="79" t="s">
        <v>5952</v>
      </c>
      <c r="E21" s="79">
        <v>10.0</v>
      </c>
      <c r="F21" s="79" t="s">
        <v>6022</v>
      </c>
      <c r="G21" s="79" t="s">
        <v>6023</v>
      </c>
      <c r="H21" s="79" t="s">
        <v>6024</v>
      </c>
      <c r="I21" s="79" t="s">
        <v>6025</v>
      </c>
      <c r="J21" s="79" t="s">
        <v>6026</v>
      </c>
      <c r="K21" s="80" t="s">
        <v>6027</v>
      </c>
      <c r="M21" s="81"/>
      <c r="N21" s="81"/>
      <c r="O21" s="82"/>
      <c r="P21" s="81"/>
      <c r="Q21" s="81"/>
      <c r="R21" s="81"/>
    </row>
    <row r="22">
      <c r="A22" s="60" t="s">
        <v>6021</v>
      </c>
      <c r="B22" s="60" t="s">
        <v>3812</v>
      </c>
      <c r="C22" s="60" t="s">
        <v>637</v>
      </c>
      <c r="D22" s="79" t="s">
        <v>5952</v>
      </c>
      <c r="E22" s="79">
        <v>30.0</v>
      </c>
      <c r="F22" s="79" t="s">
        <v>6022</v>
      </c>
      <c r="G22" s="79" t="s">
        <v>6023</v>
      </c>
      <c r="H22" s="79" t="s">
        <v>5968</v>
      </c>
      <c r="I22" s="79" t="s">
        <v>5969</v>
      </c>
      <c r="J22" s="79" t="s">
        <v>6028</v>
      </c>
      <c r="K22" s="80" t="s">
        <v>6029</v>
      </c>
      <c r="M22" s="81"/>
      <c r="N22" s="81"/>
      <c r="O22" s="82"/>
      <c r="P22" s="81"/>
      <c r="Q22" s="81"/>
      <c r="R22" s="81"/>
    </row>
    <row r="23">
      <c r="A23" s="60" t="s">
        <v>6021</v>
      </c>
      <c r="B23" s="60" t="s">
        <v>3812</v>
      </c>
      <c r="C23" s="60" t="s">
        <v>637</v>
      </c>
      <c r="D23" s="79" t="s">
        <v>5962</v>
      </c>
      <c r="E23" s="79">
        <v>40.0</v>
      </c>
      <c r="F23" s="79" t="s">
        <v>6022</v>
      </c>
      <c r="G23" s="79" t="s">
        <v>6023</v>
      </c>
      <c r="H23" s="79" t="s">
        <v>6030</v>
      </c>
      <c r="I23" s="79" t="s">
        <v>6031</v>
      </c>
      <c r="J23" s="79" t="s">
        <v>6032</v>
      </c>
      <c r="K23" s="80" t="s">
        <v>6033</v>
      </c>
      <c r="M23" s="81"/>
      <c r="N23" s="81"/>
      <c r="O23" s="82"/>
      <c r="P23" s="81"/>
      <c r="Q23" s="81"/>
      <c r="R23" s="81"/>
    </row>
    <row r="24">
      <c r="A24" s="60" t="s">
        <v>6021</v>
      </c>
      <c r="B24" s="60" t="s">
        <v>3812</v>
      </c>
      <c r="C24" s="60" t="s">
        <v>637</v>
      </c>
      <c r="D24" s="79" t="s">
        <v>5967</v>
      </c>
      <c r="E24" s="79">
        <v>80.0</v>
      </c>
      <c r="F24" s="79" t="s">
        <v>6022</v>
      </c>
      <c r="G24" s="79" t="s">
        <v>6023</v>
      </c>
      <c r="H24" s="79" t="s">
        <v>6034</v>
      </c>
      <c r="I24" s="79" t="s">
        <v>6035</v>
      </c>
      <c r="J24" s="79" t="s">
        <v>6036</v>
      </c>
      <c r="K24" s="80" t="s">
        <v>6037</v>
      </c>
      <c r="M24" s="81"/>
      <c r="N24" s="81"/>
      <c r="O24" s="82"/>
      <c r="P24" s="81"/>
      <c r="Q24" s="81"/>
      <c r="R24" s="81"/>
    </row>
    <row r="25">
      <c r="A25" s="60" t="s">
        <v>6021</v>
      </c>
      <c r="B25" s="60" t="s">
        <v>3812</v>
      </c>
      <c r="C25" s="60" t="s">
        <v>637</v>
      </c>
      <c r="D25" s="79" t="s">
        <v>5952</v>
      </c>
      <c r="E25" s="79">
        <v>160.0</v>
      </c>
      <c r="F25" s="79" t="s">
        <v>6022</v>
      </c>
      <c r="G25" s="79" t="s">
        <v>6023</v>
      </c>
      <c r="H25" s="79" t="s">
        <v>6038</v>
      </c>
      <c r="I25" s="79" t="s">
        <v>6039</v>
      </c>
      <c r="J25" s="79" t="s">
        <v>6040</v>
      </c>
      <c r="K25" s="80" t="s">
        <v>6041</v>
      </c>
      <c r="M25" s="81"/>
      <c r="N25" s="81"/>
      <c r="O25" s="82"/>
      <c r="P25" s="81"/>
      <c r="Q25" s="81"/>
      <c r="R25" s="81"/>
    </row>
    <row r="26">
      <c r="A26" s="60" t="s">
        <v>6021</v>
      </c>
      <c r="B26" s="60" t="s">
        <v>3812</v>
      </c>
      <c r="C26" s="60" t="s">
        <v>637</v>
      </c>
      <c r="D26" s="79" t="s">
        <v>5975</v>
      </c>
      <c r="E26" s="79" t="s">
        <v>5952</v>
      </c>
      <c r="F26" s="79" t="s">
        <v>6022</v>
      </c>
      <c r="G26" s="79" t="s">
        <v>6023</v>
      </c>
      <c r="H26" s="79" t="s">
        <v>1179</v>
      </c>
      <c r="I26" s="79" t="s">
        <v>6042</v>
      </c>
      <c r="J26" s="79" t="s">
        <v>6043</v>
      </c>
      <c r="K26" s="80" t="s">
        <v>6044</v>
      </c>
      <c r="M26" s="81"/>
      <c r="N26" s="81"/>
      <c r="O26" s="81"/>
      <c r="P26" s="81"/>
      <c r="Q26" s="81"/>
      <c r="R26" s="81"/>
    </row>
    <row r="27">
      <c r="A27" s="60" t="s">
        <v>6045</v>
      </c>
      <c r="B27" s="60" t="s">
        <v>4252</v>
      </c>
      <c r="C27" s="60" t="s">
        <v>287</v>
      </c>
      <c r="D27" s="79" t="s">
        <v>5952</v>
      </c>
      <c r="E27" s="79">
        <v>5.0</v>
      </c>
      <c r="F27" s="83">
        <v>1050.0</v>
      </c>
      <c r="G27" s="79" t="s">
        <v>6046</v>
      </c>
      <c r="H27" s="79" t="s">
        <v>5982</v>
      </c>
      <c r="I27" s="79" t="s">
        <v>5983</v>
      </c>
      <c r="J27" s="79" t="s">
        <v>6047</v>
      </c>
      <c r="K27" s="80" t="s">
        <v>6048</v>
      </c>
      <c r="M27" s="81"/>
      <c r="N27" s="81"/>
      <c r="O27" s="82"/>
      <c r="P27" s="81"/>
      <c r="Q27" s="81"/>
      <c r="R27" s="81"/>
    </row>
    <row r="28">
      <c r="A28" s="60" t="s">
        <v>6045</v>
      </c>
      <c r="B28" s="60" t="s">
        <v>4252</v>
      </c>
      <c r="C28" s="60" t="s">
        <v>287</v>
      </c>
      <c r="D28" s="79" t="s">
        <v>5952</v>
      </c>
      <c r="E28" s="79">
        <v>10.0</v>
      </c>
      <c r="F28" s="83">
        <v>1050.0</v>
      </c>
      <c r="G28" s="79" t="s">
        <v>6046</v>
      </c>
      <c r="H28" s="79" t="s">
        <v>6024</v>
      </c>
      <c r="I28" s="79" t="s">
        <v>6025</v>
      </c>
      <c r="J28" s="79" t="s">
        <v>6049</v>
      </c>
      <c r="K28" s="80" t="s">
        <v>6050</v>
      </c>
      <c r="M28" s="81"/>
      <c r="N28" s="81"/>
      <c r="O28" s="82"/>
      <c r="P28" s="81"/>
      <c r="Q28" s="81"/>
      <c r="R28" s="81"/>
    </row>
    <row r="29">
      <c r="A29" s="60" t="s">
        <v>6045</v>
      </c>
      <c r="B29" s="60" t="s">
        <v>4252</v>
      </c>
      <c r="C29" s="60" t="s">
        <v>287</v>
      </c>
      <c r="D29" s="79" t="s">
        <v>5952</v>
      </c>
      <c r="E29" s="79">
        <v>30.0</v>
      </c>
      <c r="F29" s="83">
        <v>1050.0</v>
      </c>
      <c r="G29" s="79" t="s">
        <v>6046</v>
      </c>
      <c r="H29" s="79" t="s">
        <v>5968</v>
      </c>
      <c r="I29" s="79" t="s">
        <v>5969</v>
      </c>
      <c r="J29" s="79" t="s">
        <v>6051</v>
      </c>
      <c r="K29" s="80" t="s">
        <v>6052</v>
      </c>
      <c r="M29" s="81"/>
      <c r="N29" s="81"/>
      <c r="O29" s="82"/>
      <c r="P29" s="81"/>
      <c r="Q29" s="81"/>
      <c r="R29" s="81"/>
    </row>
    <row r="30">
      <c r="A30" s="60" t="s">
        <v>6045</v>
      </c>
      <c r="B30" s="60" t="s">
        <v>4252</v>
      </c>
      <c r="C30" s="60" t="s">
        <v>287</v>
      </c>
      <c r="D30" s="79" t="s">
        <v>5962</v>
      </c>
      <c r="E30" s="79">
        <v>40.0</v>
      </c>
      <c r="F30" s="83">
        <v>1050.0</v>
      </c>
      <c r="G30" s="79" t="s">
        <v>6046</v>
      </c>
      <c r="H30" s="79" t="s">
        <v>6053</v>
      </c>
      <c r="I30" s="79" t="s">
        <v>6054</v>
      </c>
      <c r="J30" s="79" t="s">
        <v>6055</v>
      </c>
      <c r="K30" s="80" t="s">
        <v>6020</v>
      </c>
      <c r="M30" s="81"/>
      <c r="N30" s="81"/>
      <c r="O30" s="82"/>
      <c r="P30" s="81"/>
      <c r="Q30" s="81"/>
      <c r="R30" s="81"/>
    </row>
    <row r="31">
      <c r="A31" s="60" t="s">
        <v>6045</v>
      </c>
      <c r="B31" s="60" t="s">
        <v>4252</v>
      </c>
      <c r="C31" s="60" t="s">
        <v>287</v>
      </c>
      <c r="D31" s="79" t="s">
        <v>5967</v>
      </c>
      <c r="E31" s="79">
        <v>80.0</v>
      </c>
      <c r="F31" s="83">
        <v>1050.0</v>
      </c>
      <c r="G31" s="79" t="s">
        <v>6046</v>
      </c>
      <c r="H31" s="79" t="s">
        <v>6056</v>
      </c>
      <c r="I31" s="79" t="s">
        <v>6057</v>
      </c>
      <c r="J31" s="79" t="s">
        <v>6058</v>
      </c>
      <c r="K31" s="80" t="s">
        <v>6059</v>
      </c>
      <c r="M31" s="81"/>
      <c r="N31" s="81"/>
      <c r="O31" s="82"/>
      <c r="P31" s="81"/>
      <c r="Q31" s="81"/>
      <c r="R31" s="81"/>
    </row>
    <row r="32">
      <c r="A32" s="60" t="s">
        <v>6045</v>
      </c>
      <c r="B32" s="60" t="s">
        <v>4252</v>
      </c>
      <c r="C32" s="60" t="s">
        <v>287</v>
      </c>
      <c r="D32" s="79" t="s">
        <v>5952</v>
      </c>
      <c r="E32" s="79">
        <v>160.0</v>
      </c>
      <c r="F32" s="83">
        <v>1050.0</v>
      </c>
      <c r="G32" s="79" t="s">
        <v>6046</v>
      </c>
      <c r="H32" s="79" t="s">
        <v>1168</v>
      </c>
      <c r="I32" s="79" t="s">
        <v>6060</v>
      </c>
      <c r="J32" s="79" t="s">
        <v>6061</v>
      </c>
      <c r="K32" s="80" t="s">
        <v>6062</v>
      </c>
      <c r="M32" s="81"/>
      <c r="N32" s="81"/>
      <c r="O32" s="82"/>
      <c r="P32" s="81"/>
      <c r="Q32" s="81"/>
      <c r="R32" s="81"/>
    </row>
    <row r="33">
      <c r="A33" s="60" t="s">
        <v>6045</v>
      </c>
      <c r="B33" s="60" t="s">
        <v>4252</v>
      </c>
      <c r="C33" s="60" t="s">
        <v>287</v>
      </c>
      <c r="D33" s="79" t="s">
        <v>5975</v>
      </c>
      <c r="E33" s="79" t="s">
        <v>5952</v>
      </c>
      <c r="F33" s="83">
        <v>1050.0</v>
      </c>
      <c r="G33" s="79" t="s">
        <v>6046</v>
      </c>
      <c r="H33" s="79" t="s">
        <v>1155</v>
      </c>
      <c r="I33" s="79" t="s">
        <v>6063</v>
      </c>
      <c r="J33" s="79" t="s">
        <v>6064</v>
      </c>
      <c r="K33" s="80" t="s">
        <v>6065</v>
      </c>
      <c r="M33" s="81"/>
      <c r="N33" s="81"/>
      <c r="O33" s="81"/>
      <c r="P33" s="81"/>
      <c r="Q33" s="81"/>
      <c r="R33" s="81"/>
    </row>
    <row r="34">
      <c r="A34" s="60" t="s">
        <v>6066</v>
      </c>
      <c r="B34" s="60" t="s">
        <v>292</v>
      </c>
      <c r="C34" s="60" t="s">
        <v>971</v>
      </c>
      <c r="D34" s="79" t="s">
        <v>5952</v>
      </c>
      <c r="E34" s="79">
        <v>5.0</v>
      </c>
      <c r="F34" s="83">
        <v>1315.0</v>
      </c>
      <c r="G34" s="79" t="s">
        <v>6067</v>
      </c>
      <c r="H34" s="79" t="s">
        <v>5982</v>
      </c>
      <c r="I34" s="79" t="s">
        <v>5983</v>
      </c>
      <c r="J34" s="79" t="s">
        <v>6016</v>
      </c>
      <c r="K34" s="80" t="s">
        <v>6017</v>
      </c>
      <c r="M34" s="81"/>
      <c r="N34" s="81"/>
      <c r="O34" s="82"/>
      <c r="P34" s="81"/>
      <c r="Q34" s="81"/>
      <c r="R34" s="81"/>
    </row>
    <row r="35">
      <c r="A35" s="60" t="s">
        <v>6066</v>
      </c>
      <c r="B35" s="60" t="s">
        <v>292</v>
      </c>
      <c r="C35" s="60" t="s">
        <v>971</v>
      </c>
      <c r="D35" s="79" t="s">
        <v>5952</v>
      </c>
      <c r="E35" s="79">
        <v>10.0</v>
      </c>
      <c r="F35" s="83">
        <v>1315.0</v>
      </c>
      <c r="G35" s="79" t="s">
        <v>6067</v>
      </c>
      <c r="H35" s="79" t="s">
        <v>6030</v>
      </c>
      <c r="I35" s="79" t="s">
        <v>6031</v>
      </c>
      <c r="J35" s="79" t="s">
        <v>6068</v>
      </c>
      <c r="K35" s="80" t="s">
        <v>6069</v>
      </c>
      <c r="M35" s="81"/>
      <c r="N35" s="81"/>
      <c r="O35" s="82"/>
      <c r="P35" s="81"/>
      <c r="Q35" s="81"/>
      <c r="R35" s="81"/>
    </row>
    <row r="36">
      <c r="A36" s="60" t="s">
        <v>6066</v>
      </c>
      <c r="B36" s="60" t="s">
        <v>292</v>
      </c>
      <c r="C36" s="60" t="s">
        <v>971</v>
      </c>
      <c r="D36" s="79" t="s">
        <v>5952</v>
      </c>
      <c r="E36" s="79">
        <v>30.0</v>
      </c>
      <c r="F36" s="83">
        <v>1315.0</v>
      </c>
      <c r="G36" s="79" t="s">
        <v>6067</v>
      </c>
      <c r="H36" s="79" t="s">
        <v>6070</v>
      </c>
      <c r="I36" s="79" t="s">
        <v>6062</v>
      </c>
      <c r="J36" s="79" t="s">
        <v>6071</v>
      </c>
      <c r="K36" s="80" t="s">
        <v>6072</v>
      </c>
      <c r="M36" s="81"/>
      <c r="N36" s="81"/>
      <c r="O36" s="82"/>
      <c r="P36" s="81"/>
      <c r="Q36" s="81"/>
      <c r="R36" s="81"/>
    </row>
    <row r="37">
      <c r="A37" s="60" t="s">
        <v>6066</v>
      </c>
      <c r="B37" s="60" t="s">
        <v>292</v>
      </c>
      <c r="C37" s="60" t="s">
        <v>971</v>
      </c>
      <c r="D37" s="79" t="s">
        <v>5962</v>
      </c>
      <c r="E37" s="79">
        <v>40.0</v>
      </c>
      <c r="F37" s="83">
        <v>1315.0</v>
      </c>
      <c r="G37" s="79" t="s">
        <v>6067</v>
      </c>
      <c r="H37" s="79" t="s">
        <v>6073</v>
      </c>
      <c r="I37" s="79" t="s">
        <v>6074</v>
      </c>
      <c r="J37" s="79" t="s">
        <v>6075</v>
      </c>
      <c r="K37" s="80" t="s">
        <v>6076</v>
      </c>
      <c r="M37" s="81"/>
      <c r="N37" s="81"/>
      <c r="O37" s="82"/>
      <c r="P37" s="81"/>
      <c r="Q37" s="81"/>
      <c r="R37" s="81"/>
    </row>
    <row r="38">
      <c r="A38" s="60" t="s">
        <v>6066</v>
      </c>
      <c r="B38" s="60" t="s">
        <v>292</v>
      </c>
      <c r="C38" s="60" t="s">
        <v>971</v>
      </c>
      <c r="D38" s="79" t="s">
        <v>5967</v>
      </c>
      <c r="E38" s="79">
        <v>80.0</v>
      </c>
      <c r="F38" s="83">
        <v>1315.0</v>
      </c>
      <c r="G38" s="79" t="s">
        <v>6067</v>
      </c>
      <c r="H38" s="79" t="s">
        <v>6077</v>
      </c>
      <c r="I38" s="79" t="s">
        <v>6078</v>
      </c>
      <c r="J38" s="79" t="s">
        <v>6079</v>
      </c>
      <c r="K38" s="80" t="s">
        <v>6080</v>
      </c>
      <c r="M38" s="81"/>
      <c r="N38" s="81"/>
      <c r="O38" s="82"/>
      <c r="P38" s="81"/>
      <c r="Q38" s="81"/>
      <c r="R38" s="81"/>
    </row>
    <row r="39">
      <c r="A39" s="60" t="s">
        <v>6066</v>
      </c>
      <c r="B39" s="60" t="s">
        <v>292</v>
      </c>
      <c r="C39" s="60" t="s">
        <v>971</v>
      </c>
      <c r="D39" s="79" t="s">
        <v>5952</v>
      </c>
      <c r="E39" s="79">
        <v>160.0</v>
      </c>
      <c r="F39" s="83">
        <v>1315.0</v>
      </c>
      <c r="G39" s="79" t="s">
        <v>6067</v>
      </c>
      <c r="H39" s="79" t="s">
        <v>6081</v>
      </c>
      <c r="I39" s="79" t="s">
        <v>6082</v>
      </c>
      <c r="J39" s="79" t="s">
        <v>6083</v>
      </c>
      <c r="K39" s="80" t="s">
        <v>6084</v>
      </c>
      <c r="M39" s="81"/>
      <c r="N39" s="81"/>
      <c r="O39" s="82"/>
      <c r="P39" s="81"/>
      <c r="Q39" s="81"/>
      <c r="R39" s="81"/>
    </row>
    <row r="40">
      <c r="A40" s="60" t="s">
        <v>6066</v>
      </c>
      <c r="B40" s="60" t="s">
        <v>292</v>
      </c>
      <c r="C40" s="60" t="s">
        <v>971</v>
      </c>
      <c r="D40" s="79" t="s">
        <v>5975</v>
      </c>
      <c r="E40" s="79" t="s">
        <v>5952</v>
      </c>
      <c r="F40" s="83">
        <v>1315.0</v>
      </c>
      <c r="G40" s="79" t="s">
        <v>6067</v>
      </c>
      <c r="H40" s="79" t="s">
        <v>1567</v>
      </c>
      <c r="I40" s="79" t="s">
        <v>6085</v>
      </c>
      <c r="J40" s="79" t="s">
        <v>6086</v>
      </c>
      <c r="K40" s="80" t="s">
        <v>6087</v>
      </c>
      <c r="M40" s="81"/>
      <c r="N40" s="81"/>
      <c r="O40" s="81"/>
      <c r="P40" s="81"/>
      <c r="Q40" s="81"/>
      <c r="R40" s="81"/>
    </row>
    <row r="41">
      <c r="A41" s="60" t="s">
        <v>6088</v>
      </c>
      <c r="B41" s="60" t="s">
        <v>4160</v>
      </c>
      <c r="C41" s="60" t="s">
        <v>6089</v>
      </c>
      <c r="D41" s="79" t="s">
        <v>5952</v>
      </c>
      <c r="E41" s="79">
        <v>5.0</v>
      </c>
      <c r="F41" s="83">
        <v>1660.0</v>
      </c>
      <c r="G41" s="79" t="s">
        <v>6090</v>
      </c>
      <c r="H41" s="79" t="s">
        <v>5982</v>
      </c>
      <c r="I41" s="79" t="s">
        <v>5983</v>
      </c>
      <c r="J41" s="79" t="s">
        <v>6091</v>
      </c>
      <c r="K41" s="80" t="s">
        <v>5983</v>
      </c>
      <c r="M41" s="81"/>
      <c r="N41" s="81"/>
      <c r="O41" s="82"/>
      <c r="P41" s="81"/>
      <c r="Q41" s="81"/>
      <c r="R41" s="81"/>
    </row>
    <row r="42">
      <c r="A42" s="60" t="s">
        <v>6088</v>
      </c>
      <c r="B42" s="60" t="s">
        <v>4160</v>
      </c>
      <c r="C42" s="60" t="s">
        <v>6089</v>
      </c>
      <c r="D42" s="79" t="s">
        <v>5952</v>
      </c>
      <c r="E42" s="79">
        <v>10.0</v>
      </c>
      <c r="F42" s="83">
        <v>1660.0</v>
      </c>
      <c r="G42" s="79" t="s">
        <v>6090</v>
      </c>
      <c r="H42" s="79" t="s">
        <v>6030</v>
      </c>
      <c r="I42" s="79" t="s">
        <v>6031</v>
      </c>
      <c r="J42" s="79" t="s">
        <v>6092</v>
      </c>
      <c r="K42" s="80" t="s">
        <v>6093</v>
      </c>
      <c r="M42" s="81"/>
      <c r="N42" s="81"/>
      <c r="O42" s="82"/>
      <c r="P42" s="81"/>
      <c r="Q42" s="81"/>
      <c r="R42" s="81"/>
    </row>
    <row r="43">
      <c r="A43" s="60" t="s">
        <v>6088</v>
      </c>
      <c r="B43" s="60" t="s">
        <v>4160</v>
      </c>
      <c r="C43" s="60" t="s">
        <v>6089</v>
      </c>
      <c r="D43" s="79" t="s">
        <v>5952</v>
      </c>
      <c r="E43" s="79">
        <v>30.0</v>
      </c>
      <c r="F43" s="83">
        <v>1660.0</v>
      </c>
      <c r="G43" s="79" t="s">
        <v>6090</v>
      </c>
      <c r="H43" s="79" t="s">
        <v>6094</v>
      </c>
      <c r="I43" s="79" t="s">
        <v>6095</v>
      </c>
      <c r="J43" s="79" t="s">
        <v>6096</v>
      </c>
      <c r="K43" s="80" t="s">
        <v>6054</v>
      </c>
      <c r="M43" s="81"/>
      <c r="N43" s="81"/>
      <c r="O43" s="82"/>
      <c r="P43" s="81"/>
      <c r="Q43" s="81"/>
      <c r="R43" s="81"/>
    </row>
    <row r="44">
      <c r="A44" s="60" t="s">
        <v>6088</v>
      </c>
      <c r="B44" s="60" t="s">
        <v>4160</v>
      </c>
      <c r="C44" s="60" t="s">
        <v>6089</v>
      </c>
      <c r="D44" s="79" t="s">
        <v>5962</v>
      </c>
      <c r="E44" s="79">
        <v>40.0</v>
      </c>
      <c r="F44" s="83">
        <v>1660.0</v>
      </c>
      <c r="G44" s="79" t="s">
        <v>6090</v>
      </c>
      <c r="H44" s="79" t="s">
        <v>6097</v>
      </c>
      <c r="I44" s="79" t="s">
        <v>6098</v>
      </c>
      <c r="J44" s="79" t="s">
        <v>6099</v>
      </c>
      <c r="K44" s="80" t="s">
        <v>6100</v>
      </c>
      <c r="M44" s="81"/>
      <c r="N44" s="81"/>
      <c r="O44" s="82"/>
      <c r="P44" s="81"/>
      <c r="Q44" s="81"/>
      <c r="R44" s="81"/>
    </row>
    <row r="45">
      <c r="A45" s="60" t="s">
        <v>6088</v>
      </c>
      <c r="B45" s="60" t="s">
        <v>4160</v>
      </c>
      <c r="C45" s="60" t="s">
        <v>6089</v>
      </c>
      <c r="D45" s="79" t="s">
        <v>5967</v>
      </c>
      <c r="E45" s="79">
        <v>80.0</v>
      </c>
      <c r="F45" s="83">
        <v>1660.0</v>
      </c>
      <c r="G45" s="79" t="s">
        <v>6090</v>
      </c>
      <c r="H45" s="79" t="s">
        <v>6101</v>
      </c>
      <c r="I45" s="79" t="s">
        <v>6102</v>
      </c>
      <c r="J45" s="79" t="s">
        <v>6103</v>
      </c>
      <c r="K45" s="80" t="s">
        <v>6104</v>
      </c>
      <c r="M45" s="81"/>
      <c r="N45" s="81"/>
      <c r="O45" s="82"/>
      <c r="P45" s="81"/>
      <c r="Q45" s="81"/>
      <c r="R45" s="81"/>
    </row>
    <row r="46">
      <c r="A46" s="60" t="s">
        <v>6088</v>
      </c>
      <c r="B46" s="60" t="s">
        <v>4160</v>
      </c>
      <c r="C46" s="60" t="s">
        <v>6089</v>
      </c>
      <c r="D46" s="79" t="s">
        <v>5952</v>
      </c>
      <c r="E46" s="79">
        <v>160.0</v>
      </c>
      <c r="F46" s="83">
        <v>1660.0</v>
      </c>
      <c r="G46" s="79" t="s">
        <v>6090</v>
      </c>
      <c r="H46" s="79" t="s">
        <v>6081</v>
      </c>
      <c r="I46" s="79" t="s">
        <v>6082</v>
      </c>
      <c r="J46" s="79" t="s">
        <v>6105</v>
      </c>
      <c r="K46" s="80" t="s">
        <v>6106</v>
      </c>
      <c r="M46" s="81"/>
      <c r="N46" s="81"/>
      <c r="O46" s="82"/>
      <c r="P46" s="81"/>
      <c r="Q46" s="81"/>
      <c r="R46" s="81"/>
    </row>
    <row r="47">
      <c r="A47" s="60" t="s">
        <v>6088</v>
      </c>
      <c r="B47" s="60" t="s">
        <v>4160</v>
      </c>
      <c r="C47" s="60" t="s">
        <v>6089</v>
      </c>
      <c r="D47" s="79" t="s">
        <v>5975</v>
      </c>
      <c r="E47" s="79" t="s">
        <v>5952</v>
      </c>
      <c r="F47" s="83">
        <v>1660.0</v>
      </c>
      <c r="G47" s="79" t="s">
        <v>6090</v>
      </c>
      <c r="H47" s="79" t="s">
        <v>6107</v>
      </c>
      <c r="I47" s="79" t="s">
        <v>6108</v>
      </c>
      <c r="J47" s="79" t="s">
        <v>6109</v>
      </c>
      <c r="K47" s="80" t="s">
        <v>6110</v>
      </c>
      <c r="M47" s="81"/>
      <c r="N47" s="81"/>
      <c r="O47" s="81"/>
      <c r="P47" s="81"/>
      <c r="Q47" s="81"/>
      <c r="R47" s="81"/>
    </row>
    <row r="48">
      <c r="A48" s="60" t="s">
        <v>6111</v>
      </c>
      <c r="B48" s="60" t="s">
        <v>3789</v>
      </c>
      <c r="C48" s="60" t="s">
        <v>6112</v>
      </c>
      <c r="D48" s="79" t="s">
        <v>5952</v>
      </c>
      <c r="E48" s="79">
        <v>5.0</v>
      </c>
      <c r="F48" s="83">
        <v>1900.0</v>
      </c>
      <c r="G48" s="79" t="s">
        <v>6113</v>
      </c>
      <c r="H48" s="79" t="s">
        <v>5982</v>
      </c>
      <c r="I48" s="79" t="s">
        <v>5983</v>
      </c>
      <c r="J48" s="79" t="s">
        <v>6114</v>
      </c>
      <c r="K48" s="80" t="s">
        <v>6115</v>
      </c>
      <c r="M48" s="81"/>
      <c r="N48" s="81"/>
      <c r="O48" s="82"/>
      <c r="P48" s="81"/>
      <c r="Q48" s="81"/>
      <c r="R48" s="81"/>
    </row>
    <row r="49">
      <c r="A49" s="60" t="s">
        <v>6111</v>
      </c>
      <c r="B49" s="60" t="s">
        <v>3789</v>
      </c>
      <c r="C49" s="60" t="s">
        <v>6112</v>
      </c>
      <c r="D49" s="79" t="s">
        <v>5952</v>
      </c>
      <c r="E49" s="79">
        <v>10.0</v>
      </c>
      <c r="F49" s="83">
        <v>1900.0</v>
      </c>
      <c r="G49" s="79" t="s">
        <v>6113</v>
      </c>
      <c r="H49" s="79" t="s">
        <v>6030</v>
      </c>
      <c r="I49" s="79" t="s">
        <v>6031</v>
      </c>
      <c r="J49" s="79" t="s">
        <v>6116</v>
      </c>
      <c r="K49" s="80" t="s">
        <v>6117</v>
      </c>
      <c r="M49" s="81"/>
      <c r="N49" s="81"/>
      <c r="O49" s="82"/>
      <c r="P49" s="81"/>
      <c r="Q49" s="81"/>
      <c r="R49" s="81"/>
    </row>
    <row r="50">
      <c r="A50" s="60" t="s">
        <v>6111</v>
      </c>
      <c r="B50" s="60" t="s">
        <v>3789</v>
      </c>
      <c r="C50" s="60" t="s">
        <v>6112</v>
      </c>
      <c r="D50" s="79" t="s">
        <v>5952</v>
      </c>
      <c r="E50" s="79">
        <v>30.0</v>
      </c>
      <c r="F50" s="83">
        <v>1900.0</v>
      </c>
      <c r="G50" s="79" t="s">
        <v>6113</v>
      </c>
      <c r="H50" s="79" t="s">
        <v>6118</v>
      </c>
      <c r="I50" s="79" t="s">
        <v>6119</v>
      </c>
      <c r="J50" s="79" t="s">
        <v>6120</v>
      </c>
      <c r="K50" s="80" t="s">
        <v>6121</v>
      </c>
      <c r="M50" s="81"/>
      <c r="N50" s="81"/>
      <c r="O50" s="82"/>
      <c r="P50" s="81"/>
      <c r="Q50" s="81"/>
      <c r="R50" s="81"/>
    </row>
    <row r="51">
      <c r="A51" s="60" t="s">
        <v>6111</v>
      </c>
      <c r="B51" s="60" t="s">
        <v>3789</v>
      </c>
      <c r="C51" s="60" t="s">
        <v>6112</v>
      </c>
      <c r="D51" s="79" t="s">
        <v>5962</v>
      </c>
      <c r="E51" s="79">
        <v>40.0</v>
      </c>
      <c r="F51" s="83">
        <v>1900.0</v>
      </c>
      <c r="G51" s="79" t="s">
        <v>6113</v>
      </c>
      <c r="H51" s="79" t="s">
        <v>5995</v>
      </c>
      <c r="I51" s="79" t="s">
        <v>5996</v>
      </c>
      <c r="J51" s="79" t="s">
        <v>6122</v>
      </c>
      <c r="K51" s="80" t="s">
        <v>6123</v>
      </c>
      <c r="M51" s="81"/>
      <c r="N51" s="81"/>
      <c r="O51" s="82"/>
      <c r="P51" s="81"/>
      <c r="Q51" s="81"/>
      <c r="R51" s="81"/>
    </row>
    <row r="52">
      <c r="A52" s="60" t="s">
        <v>6111</v>
      </c>
      <c r="B52" s="60" t="s">
        <v>3789</v>
      </c>
      <c r="C52" s="60" t="s">
        <v>6112</v>
      </c>
      <c r="D52" s="79" t="s">
        <v>5967</v>
      </c>
      <c r="E52" s="79">
        <v>80.0</v>
      </c>
      <c r="F52" s="83">
        <v>1900.0</v>
      </c>
      <c r="G52" s="79" t="s">
        <v>6113</v>
      </c>
      <c r="H52" s="79" t="s">
        <v>6124</v>
      </c>
      <c r="I52" s="79" t="s">
        <v>6125</v>
      </c>
      <c r="J52" s="79" t="s">
        <v>6126</v>
      </c>
      <c r="K52" s="80" t="s">
        <v>6127</v>
      </c>
      <c r="M52" s="81"/>
      <c r="N52" s="81"/>
      <c r="O52" s="82"/>
      <c r="P52" s="81"/>
      <c r="Q52" s="81"/>
      <c r="R52" s="81"/>
    </row>
    <row r="53">
      <c r="A53" s="60" t="s">
        <v>6111</v>
      </c>
      <c r="B53" s="60" t="s">
        <v>3789</v>
      </c>
      <c r="C53" s="60" t="s">
        <v>6112</v>
      </c>
      <c r="D53" s="79" t="s">
        <v>5952</v>
      </c>
      <c r="E53" s="79">
        <v>160.0</v>
      </c>
      <c r="F53" s="83">
        <v>1900.0</v>
      </c>
      <c r="G53" s="79" t="s">
        <v>6113</v>
      </c>
      <c r="H53" s="79" t="s">
        <v>1559</v>
      </c>
      <c r="I53" s="79" t="s">
        <v>6128</v>
      </c>
      <c r="J53" s="79" t="s">
        <v>6129</v>
      </c>
      <c r="K53" s="80" t="s">
        <v>6130</v>
      </c>
      <c r="M53" s="81"/>
      <c r="N53" s="81"/>
      <c r="O53" s="82"/>
      <c r="P53" s="81"/>
      <c r="Q53" s="81"/>
      <c r="R53" s="81"/>
    </row>
    <row r="54">
      <c r="A54" s="60" t="s">
        <v>6111</v>
      </c>
      <c r="B54" s="60" t="s">
        <v>3789</v>
      </c>
      <c r="C54" s="60" t="s">
        <v>6112</v>
      </c>
      <c r="D54" s="79" t="s">
        <v>5975</v>
      </c>
      <c r="E54" s="79" t="s">
        <v>5952</v>
      </c>
      <c r="F54" s="83">
        <v>1900.0</v>
      </c>
      <c r="G54" s="79" t="s">
        <v>6113</v>
      </c>
      <c r="H54" s="79" t="s">
        <v>6131</v>
      </c>
      <c r="I54" s="79" t="s">
        <v>6132</v>
      </c>
      <c r="J54" s="79" t="s">
        <v>6133</v>
      </c>
      <c r="K54" s="80" t="s">
        <v>6134</v>
      </c>
      <c r="M54" s="81"/>
      <c r="N54" s="81"/>
      <c r="O54" s="81"/>
      <c r="P54" s="81"/>
      <c r="Q54" s="81"/>
      <c r="R54" s="81"/>
    </row>
    <row r="55">
      <c r="A55" s="60" t="s">
        <v>6135</v>
      </c>
      <c r="B55" s="60" t="s">
        <v>399</v>
      </c>
      <c r="C55" s="60" t="s">
        <v>6136</v>
      </c>
      <c r="D55" s="79" t="s">
        <v>5952</v>
      </c>
      <c r="E55" s="79">
        <v>5.0</v>
      </c>
      <c r="F55" s="83">
        <v>2375.0</v>
      </c>
      <c r="G55" s="79" t="s">
        <v>6137</v>
      </c>
      <c r="H55" s="79" t="s">
        <v>5982</v>
      </c>
      <c r="I55" s="79" t="s">
        <v>5983</v>
      </c>
      <c r="J55" s="79" t="s">
        <v>6138</v>
      </c>
      <c r="K55" s="80" t="s">
        <v>6139</v>
      </c>
      <c r="M55" s="81"/>
      <c r="N55" s="81"/>
      <c r="O55" s="82"/>
      <c r="P55" s="81"/>
      <c r="Q55" s="81"/>
      <c r="R55" s="81"/>
    </row>
    <row r="56">
      <c r="A56" s="60" t="s">
        <v>6135</v>
      </c>
      <c r="B56" s="60" t="s">
        <v>399</v>
      </c>
      <c r="C56" s="60" t="s">
        <v>6136</v>
      </c>
      <c r="D56" s="79" t="s">
        <v>5952</v>
      </c>
      <c r="E56" s="79" t="s">
        <v>5952</v>
      </c>
      <c r="F56" s="83">
        <v>2375.0</v>
      </c>
      <c r="G56" s="79" t="s">
        <v>6137</v>
      </c>
      <c r="H56" s="79" t="s">
        <v>6024</v>
      </c>
      <c r="I56" s="79" t="s">
        <v>6025</v>
      </c>
      <c r="J56" s="79" t="s">
        <v>6140</v>
      </c>
      <c r="K56" s="80" t="s">
        <v>6141</v>
      </c>
      <c r="M56" s="81"/>
      <c r="N56" s="81"/>
      <c r="O56" s="81"/>
      <c r="P56" s="81"/>
      <c r="Q56" s="81"/>
      <c r="R56" s="81"/>
    </row>
    <row r="57">
      <c r="A57" s="60" t="s">
        <v>6135</v>
      </c>
      <c r="B57" s="60" t="s">
        <v>399</v>
      </c>
      <c r="C57" s="60" t="s">
        <v>6136</v>
      </c>
      <c r="D57" s="79" t="s">
        <v>5952</v>
      </c>
      <c r="E57" s="79">
        <v>10.0</v>
      </c>
      <c r="F57" s="83">
        <v>2375.0</v>
      </c>
      <c r="G57" s="79" t="s">
        <v>6137</v>
      </c>
      <c r="H57" s="79" t="s">
        <v>6030</v>
      </c>
      <c r="I57" s="79" t="s">
        <v>6031</v>
      </c>
      <c r="J57" s="79" t="s">
        <v>6142</v>
      </c>
      <c r="K57" s="80" t="s">
        <v>6143</v>
      </c>
      <c r="M57" s="81"/>
      <c r="N57" s="81"/>
      <c r="O57" s="82"/>
      <c r="P57" s="81"/>
      <c r="Q57" s="81"/>
      <c r="R57" s="81"/>
    </row>
    <row r="58">
      <c r="A58" s="60" t="s">
        <v>6135</v>
      </c>
      <c r="B58" s="60" t="s">
        <v>399</v>
      </c>
      <c r="C58" s="60" t="s">
        <v>6136</v>
      </c>
      <c r="D58" s="79" t="s">
        <v>5952</v>
      </c>
      <c r="E58" s="79">
        <v>30.0</v>
      </c>
      <c r="F58" s="83">
        <v>2375.0</v>
      </c>
      <c r="G58" s="79" t="s">
        <v>6137</v>
      </c>
      <c r="H58" s="79" t="s">
        <v>6118</v>
      </c>
      <c r="I58" s="79" t="s">
        <v>6119</v>
      </c>
      <c r="J58" s="79" t="s">
        <v>6144</v>
      </c>
      <c r="K58" s="80" t="s">
        <v>6145</v>
      </c>
      <c r="M58" s="81"/>
      <c r="N58" s="81"/>
      <c r="O58" s="82"/>
      <c r="P58" s="81"/>
      <c r="Q58" s="81"/>
      <c r="R58" s="81"/>
    </row>
    <row r="59">
      <c r="A59" s="60" t="s">
        <v>6135</v>
      </c>
      <c r="B59" s="60" t="s">
        <v>399</v>
      </c>
      <c r="C59" s="60" t="s">
        <v>6136</v>
      </c>
      <c r="D59" s="79" t="s">
        <v>5952</v>
      </c>
      <c r="E59" s="79" t="s">
        <v>5952</v>
      </c>
      <c r="F59" s="83">
        <v>2375.0</v>
      </c>
      <c r="G59" s="79" t="s">
        <v>6137</v>
      </c>
      <c r="H59" s="79" t="s">
        <v>6146</v>
      </c>
      <c r="I59" s="79" t="s">
        <v>6147</v>
      </c>
      <c r="J59" s="79" t="s">
        <v>6148</v>
      </c>
      <c r="K59" s="80" t="s">
        <v>6149</v>
      </c>
      <c r="M59" s="81"/>
      <c r="N59" s="81"/>
      <c r="O59" s="81"/>
      <c r="P59" s="81"/>
      <c r="Q59" s="81"/>
      <c r="R59" s="81"/>
    </row>
    <row r="60">
      <c r="A60" s="60" t="s">
        <v>6135</v>
      </c>
      <c r="B60" s="60" t="s">
        <v>399</v>
      </c>
      <c r="C60" s="60" t="s">
        <v>6136</v>
      </c>
      <c r="D60" s="79" t="s">
        <v>5962</v>
      </c>
      <c r="E60" s="79">
        <v>40.0</v>
      </c>
      <c r="F60" s="83">
        <v>2375.0</v>
      </c>
      <c r="G60" s="79" t="s">
        <v>6137</v>
      </c>
      <c r="H60" s="79" t="s">
        <v>6056</v>
      </c>
      <c r="I60" s="79" t="s">
        <v>6057</v>
      </c>
      <c r="J60" s="79" t="s">
        <v>6086</v>
      </c>
      <c r="K60" s="80" t="s">
        <v>6150</v>
      </c>
      <c r="M60" s="81"/>
      <c r="N60" s="81"/>
      <c r="O60" s="82"/>
      <c r="P60" s="81"/>
      <c r="Q60" s="81"/>
      <c r="R60" s="81"/>
    </row>
    <row r="61">
      <c r="A61" s="60" t="s">
        <v>6135</v>
      </c>
      <c r="B61" s="60" t="s">
        <v>399</v>
      </c>
      <c r="C61" s="60" t="s">
        <v>6136</v>
      </c>
      <c r="D61" s="79" t="s">
        <v>5952</v>
      </c>
      <c r="E61" s="79" t="s">
        <v>5952</v>
      </c>
      <c r="F61" s="83">
        <v>2375.0</v>
      </c>
      <c r="G61" s="79" t="s">
        <v>6137</v>
      </c>
      <c r="H61" s="79" t="s">
        <v>6151</v>
      </c>
      <c r="I61" s="79" t="s">
        <v>6152</v>
      </c>
      <c r="J61" s="79" t="s">
        <v>6153</v>
      </c>
      <c r="K61" s="80" t="s">
        <v>6154</v>
      </c>
      <c r="M61" s="81"/>
      <c r="N61" s="81"/>
      <c r="O61" s="81"/>
      <c r="P61" s="81"/>
      <c r="Q61" s="81"/>
      <c r="R61" s="81"/>
    </row>
    <row r="62">
      <c r="A62" s="60" t="s">
        <v>6135</v>
      </c>
      <c r="B62" s="60" t="s">
        <v>399</v>
      </c>
      <c r="C62" s="60" t="s">
        <v>6136</v>
      </c>
      <c r="D62" s="79" t="s">
        <v>5952</v>
      </c>
      <c r="E62" s="79" t="s">
        <v>5952</v>
      </c>
      <c r="F62" s="83">
        <v>2375.0</v>
      </c>
      <c r="G62" s="79" t="s">
        <v>6137</v>
      </c>
      <c r="H62" s="79" t="s">
        <v>6038</v>
      </c>
      <c r="I62" s="79" t="s">
        <v>6039</v>
      </c>
      <c r="J62" s="79" t="s">
        <v>6155</v>
      </c>
      <c r="K62" s="80" t="s">
        <v>6156</v>
      </c>
      <c r="M62" s="81"/>
      <c r="N62" s="81"/>
      <c r="O62" s="81"/>
      <c r="P62" s="81"/>
      <c r="Q62" s="81"/>
      <c r="R62" s="81"/>
    </row>
    <row r="63">
      <c r="A63" s="60" t="s">
        <v>6135</v>
      </c>
      <c r="B63" s="60" t="s">
        <v>399</v>
      </c>
      <c r="C63" s="60" t="s">
        <v>6136</v>
      </c>
      <c r="D63" s="79" t="s">
        <v>5967</v>
      </c>
      <c r="E63" s="79">
        <v>80.0</v>
      </c>
      <c r="F63" s="83">
        <v>2375.0</v>
      </c>
      <c r="G63" s="79" t="s">
        <v>6137</v>
      </c>
      <c r="H63" s="79" t="s">
        <v>6157</v>
      </c>
      <c r="I63" s="79" t="s">
        <v>6158</v>
      </c>
      <c r="J63" s="79" t="s">
        <v>6159</v>
      </c>
      <c r="K63" s="80" t="s">
        <v>6160</v>
      </c>
      <c r="M63" s="81"/>
      <c r="N63" s="81"/>
      <c r="O63" s="82"/>
      <c r="P63" s="81"/>
      <c r="Q63" s="81"/>
      <c r="R63" s="81"/>
    </row>
    <row r="64">
      <c r="A64" s="60" t="s">
        <v>6135</v>
      </c>
      <c r="B64" s="60" t="s">
        <v>399</v>
      </c>
      <c r="C64" s="60" t="s">
        <v>6136</v>
      </c>
      <c r="D64" s="79" t="s">
        <v>5952</v>
      </c>
      <c r="E64" s="79" t="s">
        <v>5952</v>
      </c>
      <c r="F64" s="83">
        <v>2375.0</v>
      </c>
      <c r="G64" s="79" t="s">
        <v>6137</v>
      </c>
      <c r="H64" s="79" t="s">
        <v>6081</v>
      </c>
      <c r="I64" s="79" t="s">
        <v>6082</v>
      </c>
      <c r="J64" s="79" t="s">
        <v>6161</v>
      </c>
      <c r="K64" s="80" t="s">
        <v>6162</v>
      </c>
      <c r="M64" s="81"/>
      <c r="N64" s="81"/>
      <c r="O64" s="81"/>
      <c r="P64" s="81"/>
      <c r="Q64" s="81"/>
      <c r="R64" s="81"/>
    </row>
    <row r="65">
      <c r="A65" s="60" t="s">
        <v>6135</v>
      </c>
      <c r="B65" s="60" t="s">
        <v>399</v>
      </c>
      <c r="C65" s="60" t="s">
        <v>6136</v>
      </c>
      <c r="D65" s="79" t="s">
        <v>5952</v>
      </c>
      <c r="E65" s="79" t="s">
        <v>5952</v>
      </c>
      <c r="F65" s="83">
        <v>2375.0</v>
      </c>
      <c r="G65" s="79" t="s">
        <v>6137</v>
      </c>
      <c r="H65" s="79" t="s">
        <v>1559</v>
      </c>
      <c r="I65" s="79" t="s">
        <v>6128</v>
      </c>
      <c r="J65" s="79" t="s">
        <v>6163</v>
      </c>
      <c r="K65" s="80" t="s">
        <v>6164</v>
      </c>
      <c r="M65" s="81"/>
      <c r="N65" s="81"/>
      <c r="O65" s="81"/>
      <c r="P65" s="81"/>
      <c r="Q65" s="81"/>
      <c r="R65" s="81"/>
    </row>
    <row r="66">
      <c r="A66" s="60" t="s">
        <v>6135</v>
      </c>
      <c r="B66" s="60" t="s">
        <v>399</v>
      </c>
      <c r="C66" s="60" t="s">
        <v>6136</v>
      </c>
      <c r="D66" s="79" t="s">
        <v>5952</v>
      </c>
      <c r="E66" s="79">
        <v>160.0</v>
      </c>
      <c r="F66" s="83">
        <v>2375.0</v>
      </c>
      <c r="G66" s="79" t="s">
        <v>6137</v>
      </c>
      <c r="H66" s="79" t="s">
        <v>1111</v>
      </c>
      <c r="I66" s="79" t="s">
        <v>6165</v>
      </c>
      <c r="J66" s="79" t="s">
        <v>6166</v>
      </c>
      <c r="K66" s="80" t="s">
        <v>6167</v>
      </c>
      <c r="M66" s="81"/>
      <c r="N66" s="81"/>
      <c r="O66" s="82"/>
      <c r="P66" s="81"/>
      <c r="Q66" s="81"/>
      <c r="R66" s="81"/>
    </row>
    <row r="67">
      <c r="A67" s="60" t="s">
        <v>6135</v>
      </c>
      <c r="B67" s="60" t="s">
        <v>399</v>
      </c>
      <c r="C67" s="60" t="s">
        <v>6136</v>
      </c>
      <c r="D67" s="79" t="s">
        <v>5975</v>
      </c>
      <c r="E67" s="79" t="s">
        <v>5952</v>
      </c>
      <c r="F67" s="83">
        <v>2375.0</v>
      </c>
      <c r="G67" s="79" t="s">
        <v>6137</v>
      </c>
      <c r="H67" s="79" t="s">
        <v>1304</v>
      </c>
      <c r="I67" s="79" t="s">
        <v>6168</v>
      </c>
      <c r="J67" s="79" t="s">
        <v>6169</v>
      </c>
      <c r="K67" s="80" t="s">
        <v>6170</v>
      </c>
      <c r="M67" s="81"/>
      <c r="N67" s="81"/>
      <c r="O67" s="81"/>
      <c r="P67" s="81"/>
      <c r="Q67" s="81"/>
      <c r="R67" s="81"/>
    </row>
    <row r="68">
      <c r="A68" s="60" t="s">
        <v>6171</v>
      </c>
      <c r="B68" s="60" t="s">
        <v>4054</v>
      </c>
      <c r="C68" s="60" t="s">
        <v>6172</v>
      </c>
      <c r="D68" s="79" t="s">
        <v>5952</v>
      </c>
      <c r="E68" s="79">
        <v>5.0</v>
      </c>
      <c r="F68" s="83">
        <v>2875.0</v>
      </c>
      <c r="G68" s="79" t="s">
        <v>6173</v>
      </c>
      <c r="H68" s="79" t="s">
        <v>6024</v>
      </c>
      <c r="I68" s="79" t="s">
        <v>6025</v>
      </c>
      <c r="J68" s="79" t="s">
        <v>6174</v>
      </c>
      <c r="K68" s="80" t="s">
        <v>6175</v>
      </c>
      <c r="M68" s="81"/>
      <c r="N68" s="81"/>
      <c r="O68" s="82"/>
      <c r="P68" s="81"/>
      <c r="Q68" s="81"/>
      <c r="R68" s="81"/>
    </row>
    <row r="69">
      <c r="A69" s="60" t="s">
        <v>6171</v>
      </c>
      <c r="B69" s="60" t="s">
        <v>4054</v>
      </c>
      <c r="C69" s="60" t="s">
        <v>6172</v>
      </c>
      <c r="D69" s="79" t="s">
        <v>5952</v>
      </c>
      <c r="E69" s="79" t="s">
        <v>5952</v>
      </c>
      <c r="F69" s="83">
        <v>2875.0</v>
      </c>
      <c r="G69" s="79" t="s">
        <v>6173</v>
      </c>
      <c r="H69" s="79" t="s">
        <v>6030</v>
      </c>
      <c r="I69" s="79" t="s">
        <v>6031</v>
      </c>
      <c r="J69" s="79" t="s">
        <v>6176</v>
      </c>
      <c r="K69" s="80" t="s">
        <v>6177</v>
      </c>
      <c r="M69" s="81"/>
      <c r="N69" s="81"/>
      <c r="O69" s="81"/>
      <c r="P69" s="81"/>
      <c r="Q69" s="81"/>
      <c r="R69" s="81"/>
    </row>
    <row r="70">
      <c r="A70" s="60" t="s">
        <v>6171</v>
      </c>
      <c r="B70" s="60" t="s">
        <v>4054</v>
      </c>
      <c r="C70" s="60" t="s">
        <v>6172</v>
      </c>
      <c r="D70" s="79" t="s">
        <v>5952</v>
      </c>
      <c r="E70" s="79">
        <v>10.0</v>
      </c>
      <c r="F70" s="83">
        <v>2875.0</v>
      </c>
      <c r="G70" s="79" t="s">
        <v>6173</v>
      </c>
      <c r="H70" s="79" t="s">
        <v>6178</v>
      </c>
      <c r="I70" s="79" t="s">
        <v>6179</v>
      </c>
      <c r="J70" s="79" t="s">
        <v>6180</v>
      </c>
      <c r="K70" s="80" t="s">
        <v>6181</v>
      </c>
      <c r="M70" s="81"/>
      <c r="N70" s="81"/>
      <c r="O70" s="82"/>
      <c r="P70" s="81"/>
      <c r="Q70" s="81"/>
      <c r="R70" s="81"/>
    </row>
    <row r="71">
      <c r="A71" s="60" t="s">
        <v>6171</v>
      </c>
      <c r="B71" s="60" t="s">
        <v>4054</v>
      </c>
      <c r="C71" s="60" t="s">
        <v>6172</v>
      </c>
      <c r="D71" s="79" t="s">
        <v>5952</v>
      </c>
      <c r="E71" s="79" t="s">
        <v>5952</v>
      </c>
      <c r="F71" s="83">
        <v>2875.0</v>
      </c>
      <c r="G71" s="79" t="s">
        <v>6173</v>
      </c>
      <c r="H71" s="79" t="s">
        <v>6118</v>
      </c>
      <c r="I71" s="79" t="s">
        <v>6119</v>
      </c>
      <c r="J71" s="79" t="s">
        <v>6182</v>
      </c>
      <c r="K71" s="80" t="s">
        <v>6183</v>
      </c>
      <c r="M71" s="81"/>
      <c r="N71" s="81"/>
      <c r="O71" s="81"/>
      <c r="P71" s="81"/>
      <c r="Q71" s="81"/>
      <c r="R71" s="81"/>
    </row>
    <row r="72">
      <c r="A72" s="60" t="s">
        <v>6171</v>
      </c>
      <c r="B72" s="60" t="s">
        <v>4054</v>
      </c>
      <c r="C72" s="60" t="s">
        <v>6172</v>
      </c>
      <c r="D72" s="79" t="s">
        <v>5952</v>
      </c>
      <c r="E72" s="79" t="s">
        <v>5952</v>
      </c>
      <c r="F72" s="83">
        <v>2875.0</v>
      </c>
      <c r="G72" s="79" t="s">
        <v>6173</v>
      </c>
      <c r="H72" s="79" t="s">
        <v>6146</v>
      </c>
      <c r="I72" s="79" t="s">
        <v>6147</v>
      </c>
      <c r="J72" s="79" t="s">
        <v>6184</v>
      </c>
      <c r="K72" s="80" t="s">
        <v>6185</v>
      </c>
      <c r="M72" s="81"/>
      <c r="N72" s="81"/>
      <c r="O72" s="81"/>
      <c r="P72" s="81"/>
      <c r="Q72" s="81"/>
      <c r="R72" s="81"/>
    </row>
    <row r="73">
      <c r="A73" s="60" t="s">
        <v>6171</v>
      </c>
      <c r="B73" s="60" t="s">
        <v>4054</v>
      </c>
      <c r="C73" s="60" t="s">
        <v>6172</v>
      </c>
      <c r="D73" s="79" t="s">
        <v>5952</v>
      </c>
      <c r="E73" s="79" t="s">
        <v>5952</v>
      </c>
      <c r="F73" s="83">
        <v>2875.0</v>
      </c>
      <c r="G73" s="79" t="s">
        <v>6173</v>
      </c>
      <c r="H73" s="79" t="s">
        <v>6186</v>
      </c>
      <c r="I73" s="79" t="s">
        <v>6187</v>
      </c>
      <c r="J73" s="79" t="s">
        <v>6188</v>
      </c>
      <c r="K73" s="80" t="s">
        <v>6189</v>
      </c>
      <c r="M73" s="81"/>
      <c r="N73" s="81"/>
      <c r="O73" s="81"/>
      <c r="P73" s="81"/>
      <c r="Q73" s="81"/>
      <c r="R73" s="81"/>
    </row>
    <row r="74">
      <c r="A74" s="60" t="s">
        <v>6171</v>
      </c>
      <c r="B74" s="60" t="s">
        <v>4054</v>
      </c>
      <c r="C74" s="60" t="s">
        <v>6172</v>
      </c>
      <c r="D74" s="79" t="s">
        <v>5952</v>
      </c>
      <c r="E74" s="79" t="s">
        <v>5952</v>
      </c>
      <c r="F74" s="83">
        <v>2875.0</v>
      </c>
      <c r="G74" s="79" t="s">
        <v>6173</v>
      </c>
      <c r="H74" s="79" t="s">
        <v>6151</v>
      </c>
      <c r="I74" s="79" t="s">
        <v>6152</v>
      </c>
      <c r="J74" s="79" t="s">
        <v>6190</v>
      </c>
      <c r="K74" s="80" t="s">
        <v>6191</v>
      </c>
      <c r="M74" s="81"/>
      <c r="N74" s="81"/>
      <c r="O74" s="81"/>
      <c r="P74" s="81"/>
      <c r="Q74" s="81"/>
      <c r="R74" s="81"/>
    </row>
    <row r="75">
      <c r="A75" s="60" t="s">
        <v>6171</v>
      </c>
      <c r="B75" s="60" t="s">
        <v>4054</v>
      </c>
      <c r="C75" s="60" t="s">
        <v>6172</v>
      </c>
      <c r="D75" s="79" t="s">
        <v>5952</v>
      </c>
      <c r="E75" s="79">
        <v>30.0</v>
      </c>
      <c r="F75" s="83">
        <v>2875.0</v>
      </c>
      <c r="G75" s="79" t="s">
        <v>6173</v>
      </c>
      <c r="H75" s="79" t="s">
        <v>6038</v>
      </c>
      <c r="I75" s="79" t="s">
        <v>6039</v>
      </c>
      <c r="J75" s="79" t="s">
        <v>6192</v>
      </c>
      <c r="K75" s="80" t="s">
        <v>6193</v>
      </c>
      <c r="M75" s="81"/>
      <c r="N75" s="81"/>
      <c r="O75" s="82"/>
      <c r="P75" s="81"/>
      <c r="Q75" s="81"/>
      <c r="R75" s="81"/>
    </row>
    <row r="76">
      <c r="A76" s="60" t="s">
        <v>6171</v>
      </c>
      <c r="B76" s="60" t="s">
        <v>4054</v>
      </c>
      <c r="C76" s="60" t="s">
        <v>6172</v>
      </c>
      <c r="D76" s="79" t="s">
        <v>5962</v>
      </c>
      <c r="E76" s="79">
        <v>40.0</v>
      </c>
      <c r="F76" s="83">
        <v>2875.0</v>
      </c>
      <c r="G76" s="79" t="s">
        <v>6173</v>
      </c>
      <c r="H76" s="79" t="s">
        <v>6194</v>
      </c>
      <c r="I76" s="79" t="s">
        <v>6195</v>
      </c>
      <c r="J76" s="79" t="s">
        <v>6196</v>
      </c>
      <c r="K76" s="80" t="s">
        <v>6197</v>
      </c>
      <c r="M76" s="81"/>
      <c r="N76" s="81"/>
      <c r="O76" s="82"/>
      <c r="P76" s="81"/>
      <c r="Q76" s="81"/>
      <c r="R76" s="81"/>
    </row>
    <row r="77">
      <c r="A77" s="60" t="s">
        <v>6171</v>
      </c>
      <c r="B77" s="60" t="s">
        <v>4054</v>
      </c>
      <c r="C77" s="60" t="s">
        <v>6172</v>
      </c>
      <c r="D77" s="79" t="s">
        <v>5952</v>
      </c>
      <c r="E77" s="79" t="s">
        <v>5952</v>
      </c>
      <c r="F77" s="83">
        <v>2875.0</v>
      </c>
      <c r="G77" s="79" t="s">
        <v>6173</v>
      </c>
      <c r="H77" s="79" t="s">
        <v>6198</v>
      </c>
      <c r="I77" s="79" t="s">
        <v>6199</v>
      </c>
      <c r="J77" s="79" t="s">
        <v>6200</v>
      </c>
      <c r="K77" s="80" t="s">
        <v>6201</v>
      </c>
      <c r="M77" s="81"/>
      <c r="N77" s="81"/>
      <c r="O77" s="81"/>
      <c r="P77" s="81"/>
      <c r="Q77" s="81"/>
      <c r="R77" s="81"/>
    </row>
    <row r="78">
      <c r="A78" s="60" t="s">
        <v>6171</v>
      </c>
      <c r="B78" s="60" t="s">
        <v>4054</v>
      </c>
      <c r="C78" s="60" t="s">
        <v>6172</v>
      </c>
      <c r="D78" s="79" t="s">
        <v>5952</v>
      </c>
      <c r="E78" s="79" t="s">
        <v>5952</v>
      </c>
      <c r="F78" s="83">
        <v>2875.0</v>
      </c>
      <c r="G78" s="79" t="s">
        <v>6173</v>
      </c>
      <c r="H78" s="79" t="s">
        <v>6081</v>
      </c>
      <c r="I78" s="79" t="s">
        <v>6082</v>
      </c>
      <c r="J78" s="79" t="s">
        <v>6202</v>
      </c>
      <c r="K78" s="80" t="s">
        <v>6203</v>
      </c>
      <c r="M78" s="81"/>
      <c r="N78" s="81"/>
      <c r="O78" s="81"/>
      <c r="P78" s="81"/>
      <c r="Q78" s="81"/>
      <c r="R78" s="81"/>
    </row>
    <row r="79">
      <c r="A79" s="60" t="s">
        <v>6171</v>
      </c>
      <c r="B79" s="60" t="s">
        <v>4054</v>
      </c>
      <c r="C79" s="60" t="s">
        <v>6172</v>
      </c>
      <c r="D79" s="79" t="s">
        <v>5967</v>
      </c>
      <c r="E79" s="79">
        <v>80.0</v>
      </c>
      <c r="F79" s="83">
        <v>2875.0</v>
      </c>
      <c r="G79" s="79" t="s">
        <v>6173</v>
      </c>
      <c r="H79" s="79" t="s">
        <v>1218</v>
      </c>
      <c r="I79" s="79" t="s">
        <v>6204</v>
      </c>
      <c r="J79" s="79" t="s">
        <v>6205</v>
      </c>
      <c r="K79" s="80" t="s">
        <v>6206</v>
      </c>
      <c r="M79" s="81"/>
      <c r="N79" s="81"/>
      <c r="O79" s="82"/>
      <c r="P79" s="81"/>
      <c r="Q79" s="81"/>
      <c r="R79" s="81"/>
    </row>
    <row r="80">
      <c r="A80" s="60" t="s">
        <v>6171</v>
      </c>
      <c r="B80" s="60" t="s">
        <v>4054</v>
      </c>
      <c r="C80" s="60" t="s">
        <v>6172</v>
      </c>
      <c r="D80" s="79" t="s">
        <v>5952</v>
      </c>
      <c r="E80" s="79">
        <v>160.0</v>
      </c>
      <c r="F80" s="83">
        <v>2875.0</v>
      </c>
      <c r="G80" s="79" t="s">
        <v>6173</v>
      </c>
      <c r="H80" s="79" t="s">
        <v>6207</v>
      </c>
      <c r="I80" s="79" t="s">
        <v>6208</v>
      </c>
      <c r="J80" s="79" t="s">
        <v>6209</v>
      </c>
      <c r="K80" s="80" t="s">
        <v>6210</v>
      </c>
      <c r="M80" s="81"/>
      <c r="N80" s="81"/>
      <c r="O80" s="82"/>
      <c r="P80" s="81"/>
      <c r="Q80" s="81"/>
      <c r="R80" s="81"/>
    </row>
    <row r="81">
      <c r="A81" s="60" t="s">
        <v>6171</v>
      </c>
      <c r="B81" s="60" t="s">
        <v>4054</v>
      </c>
      <c r="C81" s="60" t="s">
        <v>6172</v>
      </c>
      <c r="D81" s="79" t="s">
        <v>5975</v>
      </c>
      <c r="E81" s="79" t="s">
        <v>5952</v>
      </c>
      <c r="F81" s="83">
        <v>2875.0</v>
      </c>
      <c r="G81" s="79" t="s">
        <v>6173</v>
      </c>
      <c r="H81" s="79" t="s">
        <v>6211</v>
      </c>
      <c r="I81" s="79" t="s">
        <v>6212</v>
      </c>
      <c r="J81" s="79" t="s">
        <v>6213</v>
      </c>
      <c r="K81" s="80" t="s">
        <v>6214</v>
      </c>
      <c r="M81" s="81"/>
      <c r="N81" s="81"/>
      <c r="O81" s="81"/>
      <c r="P81" s="81"/>
      <c r="Q81" s="81"/>
      <c r="R81" s="81"/>
    </row>
    <row r="82">
      <c r="A82" s="60" t="s">
        <v>6215</v>
      </c>
      <c r="B82" s="60" t="s">
        <v>405</v>
      </c>
      <c r="C82" s="60" t="s">
        <v>352</v>
      </c>
      <c r="D82" s="79" t="s">
        <v>5952</v>
      </c>
      <c r="E82" s="79">
        <v>5.0</v>
      </c>
      <c r="F82" s="83">
        <v>3500.0</v>
      </c>
      <c r="G82" s="79" t="s">
        <v>6216</v>
      </c>
      <c r="H82" s="79" t="s">
        <v>6024</v>
      </c>
      <c r="I82" s="79" t="s">
        <v>6025</v>
      </c>
      <c r="J82" s="79" t="s">
        <v>6217</v>
      </c>
      <c r="K82" s="80" t="s">
        <v>6218</v>
      </c>
      <c r="M82" s="81"/>
      <c r="N82" s="81"/>
      <c r="O82" s="82"/>
      <c r="P82" s="81"/>
      <c r="Q82" s="81"/>
      <c r="R82" s="81"/>
    </row>
    <row r="83">
      <c r="A83" s="60" t="s">
        <v>6215</v>
      </c>
      <c r="B83" s="60" t="s">
        <v>405</v>
      </c>
      <c r="C83" s="60" t="s">
        <v>352</v>
      </c>
      <c r="D83" s="79" t="s">
        <v>5952</v>
      </c>
      <c r="E83" s="79" t="s">
        <v>5952</v>
      </c>
      <c r="F83" s="83">
        <v>3500.0</v>
      </c>
      <c r="G83" s="79" t="s">
        <v>6216</v>
      </c>
      <c r="H83" s="79" t="s">
        <v>6030</v>
      </c>
      <c r="I83" s="79" t="s">
        <v>6031</v>
      </c>
      <c r="J83" s="79" t="s">
        <v>6219</v>
      </c>
      <c r="K83" s="80" t="s">
        <v>6220</v>
      </c>
      <c r="M83" s="81"/>
      <c r="N83" s="81"/>
      <c r="O83" s="81"/>
      <c r="P83" s="81"/>
      <c r="Q83" s="81"/>
      <c r="R83" s="81"/>
    </row>
    <row r="84">
      <c r="A84" s="60" t="s">
        <v>6215</v>
      </c>
      <c r="B84" s="60" t="s">
        <v>405</v>
      </c>
      <c r="C84" s="60" t="s">
        <v>352</v>
      </c>
      <c r="D84" s="79" t="s">
        <v>5952</v>
      </c>
      <c r="E84" s="79">
        <v>10.0</v>
      </c>
      <c r="F84" s="83">
        <v>3500.0</v>
      </c>
      <c r="G84" s="79" t="s">
        <v>6216</v>
      </c>
      <c r="H84" s="79" t="s">
        <v>6178</v>
      </c>
      <c r="I84" s="79" t="s">
        <v>6179</v>
      </c>
      <c r="J84" s="79" t="s">
        <v>6221</v>
      </c>
      <c r="K84" s="80" t="s">
        <v>6222</v>
      </c>
      <c r="M84" s="81"/>
      <c r="N84" s="81"/>
      <c r="O84" s="82"/>
      <c r="P84" s="81"/>
      <c r="Q84" s="81"/>
      <c r="R84" s="81"/>
    </row>
    <row r="85">
      <c r="A85" s="60" t="s">
        <v>6215</v>
      </c>
      <c r="B85" s="60" t="s">
        <v>405</v>
      </c>
      <c r="C85" s="60" t="s">
        <v>352</v>
      </c>
      <c r="D85" s="79" t="s">
        <v>5952</v>
      </c>
      <c r="E85" s="79" t="s">
        <v>5952</v>
      </c>
      <c r="F85" s="83">
        <v>3500.0</v>
      </c>
      <c r="G85" s="79" t="s">
        <v>6216</v>
      </c>
      <c r="H85" s="79" t="s">
        <v>6118</v>
      </c>
      <c r="I85" s="79" t="s">
        <v>6119</v>
      </c>
      <c r="J85" s="79" t="s">
        <v>6223</v>
      </c>
      <c r="K85" s="80" t="s">
        <v>6224</v>
      </c>
      <c r="M85" s="81"/>
      <c r="N85" s="81"/>
      <c r="O85" s="81"/>
      <c r="P85" s="81"/>
      <c r="Q85" s="81"/>
      <c r="R85" s="81"/>
    </row>
    <row r="86">
      <c r="A86" s="60" t="s">
        <v>6215</v>
      </c>
      <c r="B86" s="60" t="s">
        <v>405</v>
      </c>
      <c r="C86" s="60" t="s">
        <v>352</v>
      </c>
      <c r="D86" s="79" t="s">
        <v>5952</v>
      </c>
      <c r="E86" s="79" t="s">
        <v>5952</v>
      </c>
      <c r="F86" s="83">
        <v>3500.0</v>
      </c>
      <c r="G86" s="79" t="s">
        <v>6216</v>
      </c>
      <c r="H86" s="79" t="s">
        <v>6146</v>
      </c>
      <c r="I86" s="79" t="s">
        <v>6147</v>
      </c>
      <c r="J86" s="79" t="s">
        <v>6225</v>
      </c>
      <c r="K86" s="80" t="s">
        <v>6226</v>
      </c>
      <c r="M86" s="81"/>
      <c r="N86" s="81"/>
      <c r="O86" s="81"/>
      <c r="P86" s="81"/>
      <c r="Q86" s="81"/>
      <c r="R86" s="81"/>
    </row>
    <row r="87">
      <c r="A87" s="60" t="s">
        <v>6215</v>
      </c>
      <c r="B87" s="60" t="s">
        <v>405</v>
      </c>
      <c r="C87" s="60" t="s">
        <v>352</v>
      </c>
      <c r="D87" s="79" t="s">
        <v>5952</v>
      </c>
      <c r="E87" s="79" t="s">
        <v>5952</v>
      </c>
      <c r="F87" s="83">
        <v>3500.0</v>
      </c>
      <c r="G87" s="79" t="s">
        <v>6216</v>
      </c>
      <c r="H87" s="79" t="s">
        <v>6186</v>
      </c>
      <c r="I87" s="79" t="s">
        <v>6187</v>
      </c>
      <c r="J87" s="79" t="s">
        <v>6227</v>
      </c>
      <c r="K87" s="80" t="s">
        <v>6228</v>
      </c>
      <c r="M87" s="81"/>
      <c r="N87" s="81"/>
      <c r="O87" s="81"/>
      <c r="P87" s="81"/>
      <c r="Q87" s="81"/>
      <c r="R87" s="81"/>
    </row>
    <row r="88">
      <c r="A88" s="60" t="s">
        <v>6215</v>
      </c>
      <c r="B88" s="60" t="s">
        <v>405</v>
      </c>
      <c r="C88" s="60" t="s">
        <v>352</v>
      </c>
      <c r="D88" s="79" t="s">
        <v>5952</v>
      </c>
      <c r="E88" s="79" t="s">
        <v>5952</v>
      </c>
      <c r="F88" s="83">
        <v>3500.0</v>
      </c>
      <c r="G88" s="79" t="s">
        <v>6216</v>
      </c>
      <c r="H88" s="79" t="s">
        <v>6151</v>
      </c>
      <c r="I88" s="79" t="s">
        <v>6152</v>
      </c>
      <c r="J88" s="79" t="s">
        <v>6229</v>
      </c>
      <c r="K88" s="80" t="s">
        <v>6230</v>
      </c>
      <c r="M88" s="81"/>
      <c r="N88" s="81"/>
      <c r="O88" s="81"/>
      <c r="P88" s="81"/>
      <c r="Q88" s="81"/>
      <c r="R88" s="81"/>
    </row>
    <row r="89">
      <c r="A89" s="60" t="s">
        <v>6215</v>
      </c>
      <c r="B89" s="60" t="s">
        <v>405</v>
      </c>
      <c r="C89" s="60" t="s">
        <v>352</v>
      </c>
      <c r="D89" s="79" t="s">
        <v>5952</v>
      </c>
      <c r="E89" s="79">
        <v>30.0</v>
      </c>
      <c r="F89" s="83">
        <v>3500.0</v>
      </c>
      <c r="G89" s="79" t="s">
        <v>6216</v>
      </c>
      <c r="H89" s="79" t="s">
        <v>6038</v>
      </c>
      <c r="I89" s="79" t="s">
        <v>6039</v>
      </c>
      <c r="J89" s="79" t="s">
        <v>6231</v>
      </c>
      <c r="K89" s="80" t="s">
        <v>6232</v>
      </c>
      <c r="M89" s="81"/>
      <c r="N89" s="81"/>
      <c r="O89" s="82"/>
      <c r="P89" s="81"/>
      <c r="Q89" s="81"/>
      <c r="R89" s="81"/>
    </row>
    <row r="90">
      <c r="A90" s="60" t="s">
        <v>6215</v>
      </c>
      <c r="B90" s="60" t="s">
        <v>405</v>
      </c>
      <c r="C90" s="60" t="s">
        <v>352</v>
      </c>
      <c r="D90" s="79" t="s">
        <v>5962</v>
      </c>
      <c r="E90" s="79">
        <v>40.0</v>
      </c>
      <c r="F90" s="83">
        <v>3500.0</v>
      </c>
      <c r="G90" s="79" t="s">
        <v>6216</v>
      </c>
      <c r="H90" s="79" t="s">
        <v>6198</v>
      </c>
      <c r="I90" s="79" t="s">
        <v>6199</v>
      </c>
      <c r="J90" s="79" t="s">
        <v>6233</v>
      </c>
      <c r="K90" s="80" t="s">
        <v>6234</v>
      </c>
      <c r="M90" s="81"/>
      <c r="N90" s="81"/>
      <c r="O90" s="82"/>
      <c r="P90" s="81"/>
      <c r="Q90" s="81"/>
      <c r="R90" s="81"/>
    </row>
    <row r="91">
      <c r="A91" s="60" t="s">
        <v>6215</v>
      </c>
      <c r="B91" s="60" t="s">
        <v>405</v>
      </c>
      <c r="C91" s="60" t="s">
        <v>352</v>
      </c>
      <c r="D91" s="79" t="s">
        <v>5952</v>
      </c>
      <c r="E91" s="79" t="s">
        <v>5952</v>
      </c>
      <c r="F91" s="83">
        <v>3500.0</v>
      </c>
      <c r="G91" s="79" t="s">
        <v>6216</v>
      </c>
      <c r="H91" s="79" t="s">
        <v>6081</v>
      </c>
      <c r="I91" s="79" t="s">
        <v>6082</v>
      </c>
      <c r="J91" s="79" t="s">
        <v>6235</v>
      </c>
      <c r="K91" s="80" t="s">
        <v>6236</v>
      </c>
      <c r="M91" s="81"/>
      <c r="N91" s="81"/>
      <c r="O91" s="81"/>
      <c r="P91" s="81"/>
      <c r="Q91" s="81"/>
      <c r="R91" s="81"/>
    </row>
    <row r="92">
      <c r="A92" s="60" t="s">
        <v>6215</v>
      </c>
      <c r="B92" s="60" t="s">
        <v>405</v>
      </c>
      <c r="C92" s="60" t="s">
        <v>352</v>
      </c>
      <c r="D92" s="79" t="s">
        <v>5952</v>
      </c>
      <c r="E92" s="79" t="s">
        <v>5952</v>
      </c>
      <c r="F92" s="83">
        <v>3500.0</v>
      </c>
      <c r="G92" s="79" t="s">
        <v>6216</v>
      </c>
      <c r="H92" s="79" t="s">
        <v>1559</v>
      </c>
      <c r="I92" s="79" t="s">
        <v>6128</v>
      </c>
      <c r="J92" s="79" t="s">
        <v>6237</v>
      </c>
      <c r="K92" s="80" t="s">
        <v>6238</v>
      </c>
      <c r="M92" s="81"/>
      <c r="N92" s="81"/>
      <c r="O92" s="81"/>
      <c r="P92" s="81"/>
      <c r="Q92" s="81"/>
      <c r="R92" s="81"/>
    </row>
    <row r="93">
      <c r="A93" s="60" t="s">
        <v>6215</v>
      </c>
      <c r="B93" s="60" t="s">
        <v>405</v>
      </c>
      <c r="C93" s="60" t="s">
        <v>352</v>
      </c>
      <c r="D93" s="79" t="s">
        <v>5967</v>
      </c>
      <c r="E93" s="79">
        <v>80.0</v>
      </c>
      <c r="F93" s="83">
        <v>3500.0</v>
      </c>
      <c r="G93" s="79" t="s">
        <v>6216</v>
      </c>
      <c r="H93" s="79" t="s">
        <v>6239</v>
      </c>
      <c r="I93" s="79" t="s">
        <v>6240</v>
      </c>
      <c r="J93" s="79" t="s">
        <v>6241</v>
      </c>
      <c r="K93" s="80" t="s">
        <v>6242</v>
      </c>
      <c r="M93" s="81"/>
      <c r="N93" s="81"/>
      <c r="O93" s="82"/>
      <c r="P93" s="81"/>
      <c r="Q93" s="81"/>
      <c r="R93" s="81"/>
    </row>
    <row r="94">
      <c r="A94" s="60" t="s">
        <v>6215</v>
      </c>
      <c r="B94" s="60" t="s">
        <v>405</v>
      </c>
      <c r="C94" s="60" t="s">
        <v>352</v>
      </c>
      <c r="D94" s="79" t="s">
        <v>5952</v>
      </c>
      <c r="E94" s="79">
        <v>160.0</v>
      </c>
      <c r="F94" s="83">
        <v>3500.0</v>
      </c>
      <c r="G94" s="79" t="s">
        <v>6216</v>
      </c>
      <c r="H94" s="79" t="s">
        <v>6243</v>
      </c>
      <c r="I94" s="79" t="s">
        <v>6244</v>
      </c>
      <c r="J94" s="79" t="s">
        <v>4003</v>
      </c>
      <c r="K94" s="80" t="s">
        <v>6245</v>
      </c>
      <c r="M94" s="81"/>
      <c r="N94" s="81"/>
      <c r="O94" s="82"/>
      <c r="P94" s="81"/>
      <c r="Q94" s="81"/>
      <c r="R94" s="81"/>
    </row>
    <row r="95">
      <c r="A95" s="60" t="s">
        <v>6215</v>
      </c>
      <c r="C95" s="60" t="s">
        <v>352</v>
      </c>
      <c r="D95" s="79" t="s">
        <v>5975</v>
      </c>
      <c r="E95" s="79" t="s">
        <v>5952</v>
      </c>
      <c r="F95" s="83">
        <v>3500.0</v>
      </c>
      <c r="G95" s="79" t="s">
        <v>6216</v>
      </c>
      <c r="H95" s="79" t="s">
        <v>6246</v>
      </c>
      <c r="I95" s="79" t="s">
        <v>6247</v>
      </c>
      <c r="J95" s="79" t="s">
        <v>6248</v>
      </c>
      <c r="K95" s="80" t="s">
        <v>6249</v>
      </c>
      <c r="M95" s="81"/>
      <c r="N95" s="81"/>
      <c r="O95" s="81"/>
      <c r="P95" s="81"/>
      <c r="Q95" s="81"/>
      <c r="R95" s="81"/>
    </row>
    <row r="96">
      <c r="A96" s="60" t="s">
        <v>6250</v>
      </c>
      <c r="C96" s="60" t="s">
        <v>6251</v>
      </c>
      <c r="D96" s="79" t="s">
        <v>5952</v>
      </c>
      <c r="E96" s="79">
        <v>5.0</v>
      </c>
      <c r="F96" s="83">
        <v>4000.0</v>
      </c>
      <c r="G96" s="79" t="s">
        <v>6252</v>
      </c>
      <c r="H96" s="79" t="s">
        <v>6024</v>
      </c>
      <c r="I96" s="79" t="s">
        <v>6025</v>
      </c>
      <c r="J96" s="79" t="s">
        <v>6253</v>
      </c>
      <c r="K96" s="80" t="s">
        <v>6254</v>
      </c>
      <c r="M96" s="81"/>
      <c r="N96" s="81"/>
      <c r="O96" s="82"/>
      <c r="P96" s="81"/>
      <c r="Q96" s="81"/>
      <c r="R96" s="81"/>
    </row>
    <row r="97">
      <c r="A97" s="60" t="s">
        <v>6250</v>
      </c>
      <c r="B97" s="60" t="s">
        <v>405</v>
      </c>
      <c r="C97" s="60" t="s">
        <v>6251</v>
      </c>
      <c r="D97" s="79" t="s">
        <v>5952</v>
      </c>
      <c r="E97" s="79" t="s">
        <v>5952</v>
      </c>
      <c r="F97" s="83">
        <v>4000.0</v>
      </c>
      <c r="G97" s="79" t="s">
        <v>6252</v>
      </c>
      <c r="H97" s="79" t="s">
        <v>6030</v>
      </c>
      <c r="I97" s="79" t="s">
        <v>6031</v>
      </c>
      <c r="J97" s="79" t="s">
        <v>6188</v>
      </c>
      <c r="K97" s="80" t="s">
        <v>6255</v>
      </c>
      <c r="M97" s="81"/>
      <c r="N97" s="81"/>
      <c r="O97" s="81"/>
      <c r="P97" s="81"/>
      <c r="Q97" s="81"/>
      <c r="R97" s="81"/>
    </row>
    <row r="98">
      <c r="A98" s="60" t="s">
        <v>6250</v>
      </c>
      <c r="B98" s="60" t="s">
        <v>4878</v>
      </c>
      <c r="C98" s="60" t="s">
        <v>6251</v>
      </c>
      <c r="D98" s="79" t="s">
        <v>5952</v>
      </c>
      <c r="E98" s="79">
        <v>10.0</v>
      </c>
      <c r="F98" s="83">
        <v>4000.0</v>
      </c>
      <c r="G98" s="79" t="s">
        <v>6252</v>
      </c>
      <c r="H98" s="79" t="s">
        <v>6178</v>
      </c>
      <c r="I98" s="79" t="s">
        <v>6179</v>
      </c>
      <c r="J98" s="79" t="s">
        <v>6256</v>
      </c>
      <c r="K98" s="80" t="s">
        <v>6257</v>
      </c>
      <c r="M98" s="81"/>
      <c r="N98" s="81"/>
      <c r="O98" s="82"/>
      <c r="P98" s="81"/>
      <c r="Q98" s="81"/>
      <c r="R98" s="81"/>
    </row>
    <row r="99">
      <c r="A99" s="60" t="s">
        <v>6250</v>
      </c>
      <c r="B99" s="60" t="s">
        <v>4878</v>
      </c>
      <c r="C99" s="60" t="s">
        <v>6251</v>
      </c>
      <c r="D99" s="79" t="s">
        <v>5952</v>
      </c>
      <c r="E99" s="79" t="s">
        <v>5952</v>
      </c>
      <c r="F99" s="83">
        <v>4000.0</v>
      </c>
      <c r="G99" s="79" t="s">
        <v>6252</v>
      </c>
      <c r="H99" s="79" t="s">
        <v>6118</v>
      </c>
      <c r="I99" s="79" t="s">
        <v>6119</v>
      </c>
      <c r="J99" s="79" t="s">
        <v>6258</v>
      </c>
      <c r="K99" s="80" t="s">
        <v>6259</v>
      </c>
      <c r="M99" s="81"/>
      <c r="N99" s="81"/>
      <c r="O99" s="81"/>
      <c r="P99" s="81"/>
      <c r="Q99" s="81"/>
      <c r="R99" s="81"/>
    </row>
    <row r="100">
      <c r="A100" s="60" t="s">
        <v>6250</v>
      </c>
      <c r="B100" s="60" t="s">
        <v>4878</v>
      </c>
      <c r="C100" s="60" t="s">
        <v>6251</v>
      </c>
      <c r="D100" s="79" t="s">
        <v>5952</v>
      </c>
      <c r="E100" s="79" t="s">
        <v>5952</v>
      </c>
      <c r="F100" s="83">
        <v>4000.0</v>
      </c>
      <c r="G100" s="79" t="s">
        <v>6252</v>
      </c>
      <c r="H100" s="79" t="s">
        <v>6146</v>
      </c>
      <c r="I100" s="79" t="s">
        <v>6147</v>
      </c>
      <c r="J100" s="79" t="s">
        <v>6260</v>
      </c>
      <c r="K100" s="80" t="s">
        <v>6261</v>
      </c>
      <c r="M100" s="81"/>
      <c r="N100" s="81"/>
      <c r="O100" s="81"/>
      <c r="P100" s="81"/>
      <c r="Q100" s="81"/>
      <c r="R100" s="81"/>
    </row>
    <row r="101">
      <c r="A101" s="60" t="s">
        <v>6250</v>
      </c>
      <c r="B101" s="60" t="s">
        <v>4878</v>
      </c>
      <c r="C101" s="60" t="s">
        <v>6251</v>
      </c>
      <c r="D101" s="79" t="s">
        <v>5952</v>
      </c>
      <c r="E101" s="79" t="s">
        <v>5952</v>
      </c>
      <c r="F101" s="83">
        <v>4000.0</v>
      </c>
      <c r="G101" s="79" t="s">
        <v>6252</v>
      </c>
      <c r="H101" s="79" t="s">
        <v>6186</v>
      </c>
      <c r="I101" s="79" t="s">
        <v>6187</v>
      </c>
      <c r="J101" s="79" t="s">
        <v>6133</v>
      </c>
      <c r="K101" s="80" t="s">
        <v>6262</v>
      </c>
      <c r="M101" s="81"/>
      <c r="N101" s="81"/>
      <c r="O101" s="81"/>
      <c r="P101" s="81"/>
      <c r="Q101" s="81"/>
      <c r="R101" s="81"/>
    </row>
    <row r="102">
      <c r="A102" s="60" t="s">
        <v>6250</v>
      </c>
      <c r="B102" s="60" t="s">
        <v>4878</v>
      </c>
      <c r="C102" s="60" t="s">
        <v>6251</v>
      </c>
      <c r="D102" s="79" t="s">
        <v>5952</v>
      </c>
      <c r="E102" s="79" t="s">
        <v>5952</v>
      </c>
      <c r="F102" s="83">
        <v>4000.0</v>
      </c>
      <c r="G102" s="79" t="s">
        <v>6252</v>
      </c>
      <c r="H102" s="79" t="s">
        <v>6151</v>
      </c>
      <c r="I102" s="79" t="s">
        <v>6152</v>
      </c>
      <c r="J102" s="79" t="s">
        <v>6263</v>
      </c>
      <c r="K102" s="80" t="s">
        <v>6264</v>
      </c>
      <c r="M102" s="81"/>
      <c r="N102" s="81"/>
      <c r="O102" s="81"/>
      <c r="P102" s="81"/>
      <c r="Q102" s="81"/>
      <c r="R102" s="81"/>
    </row>
    <row r="103">
      <c r="A103" s="60" t="s">
        <v>6250</v>
      </c>
      <c r="B103" s="60" t="s">
        <v>4878</v>
      </c>
      <c r="C103" s="60" t="s">
        <v>6251</v>
      </c>
      <c r="D103" s="79" t="s">
        <v>5952</v>
      </c>
      <c r="E103" s="79">
        <v>30.0</v>
      </c>
      <c r="F103" s="83">
        <v>4000.0</v>
      </c>
      <c r="G103" s="79" t="s">
        <v>6252</v>
      </c>
      <c r="H103" s="79" t="s">
        <v>6038</v>
      </c>
      <c r="I103" s="79" t="s">
        <v>6039</v>
      </c>
      <c r="J103" s="79" t="s">
        <v>6265</v>
      </c>
      <c r="K103" s="80" t="s">
        <v>6206</v>
      </c>
      <c r="M103" s="81"/>
      <c r="N103" s="81"/>
      <c r="O103" s="82"/>
      <c r="P103" s="81"/>
      <c r="Q103" s="81"/>
      <c r="R103" s="81"/>
    </row>
    <row r="104">
      <c r="A104" s="60" t="s">
        <v>6250</v>
      </c>
      <c r="B104" s="60" t="s">
        <v>4878</v>
      </c>
      <c r="C104" s="60" t="s">
        <v>6251</v>
      </c>
      <c r="D104" s="79" t="s">
        <v>5962</v>
      </c>
      <c r="E104" s="79">
        <v>40.0</v>
      </c>
      <c r="F104" s="83">
        <v>4000.0</v>
      </c>
      <c r="G104" s="79" t="s">
        <v>6252</v>
      </c>
      <c r="H104" s="79" t="s">
        <v>1499</v>
      </c>
      <c r="I104" s="79" t="s">
        <v>6266</v>
      </c>
      <c r="J104" s="79" t="s">
        <v>6267</v>
      </c>
      <c r="K104" s="80" t="s">
        <v>6268</v>
      </c>
      <c r="M104" s="81"/>
      <c r="N104" s="81"/>
      <c r="O104" s="82"/>
      <c r="P104" s="81"/>
      <c r="Q104" s="81"/>
      <c r="R104" s="81"/>
    </row>
    <row r="105">
      <c r="A105" s="60" t="s">
        <v>6250</v>
      </c>
      <c r="B105" s="60" t="s">
        <v>4878</v>
      </c>
      <c r="C105" s="60" t="s">
        <v>6251</v>
      </c>
      <c r="D105" s="79" t="s">
        <v>5952</v>
      </c>
      <c r="E105" s="79" t="s">
        <v>5952</v>
      </c>
      <c r="F105" s="83">
        <v>4000.0</v>
      </c>
      <c r="G105" s="79" t="s">
        <v>6252</v>
      </c>
      <c r="H105" s="79" t="s">
        <v>6081</v>
      </c>
      <c r="I105" s="79" t="s">
        <v>6082</v>
      </c>
      <c r="J105" s="79" t="s">
        <v>6209</v>
      </c>
      <c r="K105" s="80" t="s">
        <v>6210</v>
      </c>
      <c r="M105" s="81"/>
      <c r="N105" s="81"/>
      <c r="O105" s="81"/>
      <c r="P105" s="81"/>
      <c r="Q105" s="81"/>
      <c r="R105" s="81"/>
    </row>
    <row r="106">
      <c r="A106" s="60" t="s">
        <v>6250</v>
      </c>
      <c r="B106" s="60" t="s">
        <v>4878</v>
      </c>
      <c r="C106" s="60" t="s">
        <v>6251</v>
      </c>
      <c r="D106" s="79" t="s">
        <v>5952</v>
      </c>
      <c r="E106" s="79" t="s">
        <v>5952</v>
      </c>
      <c r="F106" s="83">
        <v>4000.0</v>
      </c>
      <c r="G106" s="79" t="s">
        <v>6252</v>
      </c>
      <c r="H106" s="79" t="s">
        <v>1559</v>
      </c>
      <c r="I106" s="79" t="s">
        <v>6128</v>
      </c>
      <c r="J106" s="79" t="s">
        <v>6269</v>
      </c>
      <c r="K106" s="80" t="s">
        <v>6270</v>
      </c>
      <c r="M106" s="81"/>
      <c r="N106" s="81"/>
      <c r="O106" s="81"/>
      <c r="P106" s="81"/>
      <c r="Q106" s="81"/>
      <c r="R106" s="81"/>
    </row>
    <row r="107">
      <c r="A107" s="60" t="s">
        <v>6250</v>
      </c>
      <c r="B107" s="60" t="s">
        <v>4878</v>
      </c>
      <c r="C107" s="60" t="s">
        <v>6251</v>
      </c>
      <c r="D107" s="79" t="s">
        <v>5967</v>
      </c>
      <c r="E107" s="79">
        <v>80.0</v>
      </c>
      <c r="F107" s="83">
        <v>4000.0</v>
      </c>
      <c r="G107" s="79" t="s">
        <v>6252</v>
      </c>
      <c r="H107" s="79" t="s">
        <v>1161</v>
      </c>
      <c r="I107" s="79" t="s">
        <v>6271</v>
      </c>
      <c r="J107" s="79" t="s">
        <v>6272</v>
      </c>
      <c r="K107" s="80" t="s">
        <v>6273</v>
      </c>
      <c r="M107" s="81"/>
      <c r="N107" s="81"/>
      <c r="O107" s="82"/>
      <c r="P107" s="81"/>
      <c r="Q107" s="81"/>
      <c r="R107" s="81"/>
    </row>
    <row r="108">
      <c r="A108" s="60" t="s">
        <v>6274</v>
      </c>
      <c r="B108" s="60" t="s">
        <v>4878</v>
      </c>
      <c r="C108" s="60" t="s">
        <v>6275</v>
      </c>
      <c r="D108" s="79" t="s">
        <v>5952</v>
      </c>
      <c r="E108" s="79">
        <v>5.0</v>
      </c>
      <c r="F108" s="83">
        <v>4500.0</v>
      </c>
      <c r="G108" s="79" t="s">
        <v>6276</v>
      </c>
      <c r="H108" s="79" t="s">
        <v>6024</v>
      </c>
      <c r="I108" s="79" t="s">
        <v>6025</v>
      </c>
      <c r="J108" s="79" t="s">
        <v>6277</v>
      </c>
      <c r="K108" s="80" t="s">
        <v>6278</v>
      </c>
      <c r="M108" s="81"/>
      <c r="N108" s="81"/>
      <c r="O108" s="82"/>
      <c r="P108" s="81"/>
      <c r="Q108" s="81"/>
      <c r="R108" s="81"/>
    </row>
    <row r="109">
      <c r="A109" s="60" t="s">
        <v>6274</v>
      </c>
      <c r="B109" s="60" t="s">
        <v>4878</v>
      </c>
      <c r="C109" s="60" t="s">
        <v>6275</v>
      </c>
      <c r="D109" s="79" t="s">
        <v>5952</v>
      </c>
      <c r="E109" s="79" t="s">
        <v>5952</v>
      </c>
      <c r="F109" s="83">
        <v>4500.0</v>
      </c>
      <c r="G109" s="79" t="s">
        <v>6276</v>
      </c>
      <c r="H109" s="79" t="s">
        <v>6030</v>
      </c>
      <c r="I109" s="79" t="s">
        <v>6031</v>
      </c>
      <c r="J109" s="79" t="s">
        <v>6279</v>
      </c>
      <c r="K109" s="80" t="s">
        <v>6240</v>
      </c>
      <c r="M109" s="81"/>
      <c r="N109" s="81"/>
      <c r="O109" s="81"/>
      <c r="P109" s="81"/>
      <c r="Q109" s="81"/>
      <c r="R109" s="81"/>
    </row>
    <row r="110">
      <c r="A110" s="60" t="s">
        <v>6274</v>
      </c>
      <c r="B110" s="60" t="s">
        <v>449</v>
      </c>
      <c r="C110" s="60" t="s">
        <v>6275</v>
      </c>
      <c r="D110" s="79" t="s">
        <v>5952</v>
      </c>
      <c r="E110" s="79">
        <v>10.0</v>
      </c>
      <c r="F110" s="83">
        <v>4500.0</v>
      </c>
      <c r="G110" s="79" t="s">
        <v>6276</v>
      </c>
      <c r="H110" s="79" t="s">
        <v>6178</v>
      </c>
      <c r="I110" s="79" t="s">
        <v>6179</v>
      </c>
      <c r="J110" s="79" t="s">
        <v>6280</v>
      </c>
      <c r="K110" s="80" t="s">
        <v>6281</v>
      </c>
      <c r="M110" s="81"/>
      <c r="N110" s="81"/>
      <c r="O110" s="82"/>
      <c r="P110" s="81"/>
      <c r="Q110" s="81"/>
      <c r="R110" s="81"/>
    </row>
    <row r="111">
      <c r="A111" s="60" t="s">
        <v>6274</v>
      </c>
      <c r="B111" s="60" t="s">
        <v>449</v>
      </c>
      <c r="C111" s="60" t="s">
        <v>6275</v>
      </c>
      <c r="D111" s="79" t="s">
        <v>5952</v>
      </c>
      <c r="E111" s="79" t="s">
        <v>5952</v>
      </c>
      <c r="F111" s="83">
        <v>4500.0</v>
      </c>
      <c r="G111" s="79" t="s">
        <v>6276</v>
      </c>
      <c r="H111" s="79" t="s">
        <v>6118</v>
      </c>
      <c r="I111" s="79" t="s">
        <v>6119</v>
      </c>
      <c r="J111" s="79" t="s">
        <v>6282</v>
      </c>
      <c r="K111" s="80" t="s">
        <v>6283</v>
      </c>
      <c r="M111" s="81"/>
      <c r="N111" s="81"/>
      <c r="O111" s="81"/>
      <c r="P111" s="81"/>
      <c r="Q111" s="81"/>
      <c r="R111" s="81"/>
    </row>
    <row r="112">
      <c r="A112" s="60" t="s">
        <v>6274</v>
      </c>
      <c r="B112" s="60" t="s">
        <v>449</v>
      </c>
      <c r="C112" s="60" t="s">
        <v>6275</v>
      </c>
      <c r="D112" s="79" t="s">
        <v>5952</v>
      </c>
      <c r="E112" s="79" t="s">
        <v>5952</v>
      </c>
      <c r="F112" s="83">
        <v>4500.0</v>
      </c>
      <c r="G112" s="79" t="s">
        <v>6276</v>
      </c>
      <c r="H112" s="79" t="s">
        <v>6146</v>
      </c>
      <c r="I112" s="79" t="s">
        <v>6147</v>
      </c>
      <c r="J112" s="79" t="s">
        <v>6284</v>
      </c>
      <c r="K112" s="80" t="s">
        <v>6285</v>
      </c>
      <c r="M112" s="81"/>
      <c r="N112" s="81"/>
      <c r="O112" s="81"/>
      <c r="P112" s="81"/>
      <c r="Q112" s="81"/>
      <c r="R112" s="81"/>
    </row>
    <row r="113">
      <c r="A113" s="60" t="s">
        <v>6274</v>
      </c>
      <c r="B113" s="60" t="s">
        <v>449</v>
      </c>
      <c r="C113" s="60" t="s">
        <v>6275</v>
      </c>
      <c r="D113" s="79" t="s">
        <v>5952</v>
      </c>
      <c r="E113" s="79" t="s">
        <v>5952</v>
      </c>
      <c r="F113" s="83">
        <v>4500.0</v>
      </c>
      <c r="G113" s="79" t="s">
        <v>6276</v>
      </c>
      <c r="H113" s="79" t="s">
        <v>6186</v>
      </c>
      <c r="I113" s="79" t="s">
        <v>6187</v>
      </c>
      <c r="J113" s="79" t="s">
        <v>6286</v>
      </c>
      <c r="K113" s="80" t="s">
        <v>6287</v>
      </c>
      <c r="M113" s="81"/>
      <c r="N113" s="81"/>
      <c r="O113" s="81"/>
      <c r="P113" s="81"/>
      <c r="Q113" s="81"/>
      <c r="R113" s="81"/>
    </row>
    <row r="114">
      <c r="A114" s="60" t="s">
        <v>6274</v>
      </c>
      <c r="B114" s="60" t="s">
        <v>449</v>
      </c>
      <c r="C114" s="60" t="s">
        <v>6275</v>
      </c>
      <c r="D114" s="79" t="s">
        <v>5952</v>
      </c>
      <c r="E114" s="79" t="s">
        <v>5952</v>
      </c>
      <c r="F114" s="83">
        <v>4500.0</v>
      </c>
      <c r="G114" s="79" t="s">
        <v>6276</v>
      </c>
      <c r="H114" s="79" t="s">
        <v>6151</v>
      </c>
      <c r="I114" s="79" t="s">
        <v>6152</v>
      </c>
      <c r="J114" s="79" t="s">
        <v>6288</v>
      </c>
      <c r="K114" s="80" t="s">
        <v>6289</v>
      </c>
      <c r="M114" s="81"/>
      <c r="N114" s="81"/>
      <c r="O114" s="81"/>
      <c r="P114" s="81"/>
      <c r="Q114" s="81"/>
      <c r="R114" s="81"/>
    </row>
    <row r="115">
      <c r="A115" s="60" t="s">
        <v>6274</v>
      </c>
      <c r="B115" s="60" t="s">
        <v>449</v>
      </c>
      <c r="C115" s="60" t="s">
        <v>6275</v>
      </c>
      <c r="D115" s="79" t="s">
        <v>5952</v>
      </c>
      <c r="E115" s="79">
        <v>30.0</v>
      </c>
      <c r="F115" s="83">
        <v>4500.0</v>
      </c>
      <c r="G115" s="79" t="s">
        <v>6276</v>
      </c>
      <c r="H115" s="79" t="s">
        <v>6038</v>
      </c>
      <c r="I115" s="79" t="s">
        <v>6039</v>
      </c>
      <c r="J115" s="79" t="s">
        <v>6290</v>
      </c>
      <c r="K115" s="80" t="s">
        <v>6291</v>
      </c>
      <c r="M115" s="81"/>
      <c r="N115" s="81"/>
      <c r="O115" s="82"/>
      <c r="P115" s="81"/>
      <c r="Q115" s="81"/>
      <c r="R115" s="81"/>
    </row>
    <row r="116">
      <c r="A116" s="60" t="s">
        <v>6274</v>
      </c>
      <c r="B116" s="60" t="s">
        <v>449</v>
      </c>
      <c r="C116" s="60" t="s">
        <v>6275</v>
      </c>
      <c r="D116" s="79" t="s">
        <v>5952</v>
      </c>
      <c r="E116" s="79" t="s">
        <v>5952</v>
      </c>
      <c r="F116" s="83">
        <v>4500.0</v>
      </c>
      <c r="G116" s="79" t="s">
        <v>6276</v>
      </c>
      <c r="H116" s="79" t="s">
        <v>6194</v>
      </c>
      <c r="I116" s="79" t="s">
        <v>6195</v>
      </c>
      <c r="J116" s="79" t="s">
        <v>6292</v>
      </c>
      <c r="K116" s="80" t="s">
        <v>6293</v>
      </c>
      <c r="M116" s="81"/>
      <c r="N116" s="81"/>
      <c r="O116" s="81"/>
      <c r="P116" s="81"/>
      <c r="Q116" s="81"/>
      <c r="R116" s="81"/>
    </row>
    <row r="117">
      <c r="A117" s="60" t="s">
        <v>6274</v>
      </c>
      <c r="B117" s="60" t="s">
        <v>449</v>
      </c>
      <c r="C117" s="60" t="s">
        <v>6275</v>
      </c>
      <c r="D117" s="79" t="s">
        <v>5952</v>
      </c>
      <c r="E117" s="79" t="s">
        <v>5952</v>
      </c>
      <c r="F117" s="83">
        <v>4500.0</v>
      </c>
      <c r="G117" s="79" t="s">
        <v>6276</v>
      </c>
      <c r="H117" s="79" t="s">
        <v>1168</v>
      </c>
      <c r="I117" s="79" t="s">
        <v>6060</v>
      </c>
      <c r="J117" s="79" t="s">
        <v>6209</v>
      </c>
      <c r="K117" s="80" t="s">
        <v>6294</v>
      </c>
      <c r="M117" s="81"/>
      <c r="N117" s="81"/>
      <c r="O117" s="81"/>
      <c r="P117" s="81"/>
      <c r="Q117" s="81"/>
      <c r="R117" s="81"/>
    </row>
    <row r="118">
      <c r="A118" s="60" t="s">
        <v>6274</v>
      </c>
      <c r="B118" s="60" t="s">
        <v>449</v>
      </c>
      <c r="C118" s="60" t="s">
        <v>6275</v>
      </c>
      <c r="D118" s="79" t="s">
        <v>5962</v>
      </c>
      <c r="E118" s="79">
        <v>40.0</v>
      </c>
      <c r="F118" s="83">
        <v>4500.0</v>
      </c>
      <c r="G118" s="79" t="s">
        <v>6276</v>
      </c>
      <c r="H118" s="79" t="s">
        <v>6295</v>
      </c>
      <c r="I118" s="79" t="s">
        <v>6296</v>
      </c>
      <c r="J118" s="79" t="s">
        <v>6297</v>
      </c>
      <c r="K118" s="80" t="s">
        <v>6298</v>
      </c>
      <c r="M118" s="81"/>
      <c r="N118" s="81"/>
      <c r="O118" s="82"/>
      <c r="P118" s="81"/>
      <c r="Q118" s="81"/>
      <c r="R118" s="81"/>
    </row>
    <row r="119">
      <c r="A119" s="60" t="s">
        <v>6274</v>
      </c>
      <c r="B119" s="60" t="s">
        <v>449</v>
      </c>
      <c r="C119" s="60" t="s">
        <v>6275</v>
      </c>
      <c r="D119" s="79" t="s">
        <v>5952</v>
      </c>
      <c r="E119" s="79" t="s">
        <v>5952</v>
      </c>
      <c r="F119" s="83">
        <v>4500.0</v>
      </c>
      <c r="G119" s="79" t="s">
        <v>6276</v>
      </c>
      <c r="H119" s="79" t="s">
        <v>6081</v>
      </c>
      <c r="I119" s="79" t="s">
        <v>6082</v>
      </c>
      <c r="J119" s="79" t="s">
        <v>6299</v>
      </c>
      <c r="K119" s="80" t="s">
        <v>6300</v>
      </c>
      <c r="M119" s="81"/>
      <c r="N119" s="81"/>
      <c r="O119" s="81"/>
      <c r="P119" s="81"/>
      <c r="Q119" s="81"/>
      <c r="R119" s="81"/>
    </row>
    <row r="120">
      <c r="A120" s="60" t="s">
        <v>6274</v>
      </c>
      <c r="B120" s="60" t="s">
        <v>449</v>
      </c>
      <c r="C120" s="60" t="s">
        <v>6275</v>
      </c>
      <c r="D120" s="79" t="s">
        <v>5952</v>
      </c>
      <c r="E120" s="79" t="s">
        <v>5952</v>
      </c>
      <c r="F120" s="83">
        <v>4500.0</v>
      </c>
      <c r="G120" s="79" t="s">
        <v>6276</v>
      </c>
      <c r="H120" s="79" t="s">
        <v>1559</v>
      </c>
      <c r="I120" s="79" t="s">
        <v>6128</v>
      </c>
      <c r="J120" s="79" t="s">
        <v>6301</v>
      </c>
      <c r="K120" s="80" t="s">
        <v>6302</v>
      </c>
      <c r="M120" s="81"/>
      <c r="N120" s="81"/>
      <c r="O120" s="81"/>
      <c r="P120" s="81"/>
      <c r="Q120" s="81"/>
      <c r="R120" s="81"/>
    </row>
    <row r="121">
      <c r="A121" s="60" t="s">
        <v>6274</v>
      </c>
      <c r="B121" s="60" t="s">
        <v>449</v>
      </c>
      <c r="C121" s="60" t="s">
        <v>6275</v>
      </c>
      <c r="D121" s="79" t="s">
        <v>5952</v>
      </c>
      <c r="E121" s="79" t="s">
        <v>5952</v>
      </c>
      <c r="F121" s="83">
        <v>4500.0</v>
      </c>
      <c r="G121" s="79" t="s">
        <v>6276</v>
      </c>
      <c r="H121" s="79" t="s">
        <v>1213</v>
      </c>
      <c r="I121" s="79" t="s">
        <v>6303</v>
      </c>
      <c r="J121" s="79" t="s">
        <v>6304</v>
      </c>
      <c r="K121" s="80" t="s">
        <v>6305</v>
      </c>
      <c r="M121" s="81"/>
      <c r="N121" s="81"/>
      <c r="O121" s="81"/>
      <c r="P121" s="81"/>
      <c r="Q121" s="81"/>
      <c r="R121" s="81"/>
    </row>
    <row r="122">
      <c r="A122" s="60" t="s">
        <v>6274</v>
      </c>
      <c r="B122" s="60" t="s">
        <v>449</v>
      </c>
      <c r="C122" s="60" t="s">
        <v>6275</v>
      </c>
      <c r="D122" s="79" t="s">
        <v>5967</v>
      </c>
      <c r="E122" s="79">
        <v>80.0</v>
      </c>
      <c r="F122" s="83">
        <v>4500.0</v>
      </c>
      <c r="G122" s="79" t="s">
        <v>6276</v>
      </c>
      <c r="H122" s="79" t="s">
        <v>1093</v>
      </c>
      <c r="I122" s="79" t="s">
        <v>6306</v>
      </c>
      <c r="J122" s="79" t="s">
        <v>6307</v>
      </c>
      <c r="K122" s="80" t="s">
        <v>6308</v>
      </c>
      <c r="M122" s="81"/>
      <c r="N122" s="81"/>
      <c r="O122" s="82"/>
      <c r="P122" s="81"/>
      <c r="Q122" s="81"/>
      <c r="R122" s="81"/>
    </row>
    <row r="123">
      <c r="A123" s="60" t="s">
        <v>6274</v>
      </c>
      <c r="B123" s="60" t="s">
        <v>449</v>
      </c>
      <c r="C123" s="60" t="s">
        <v>6275</v>
      </c>
      <c r="D123" s="79" t="s">
        <v>5952</v>
      </c>
      <c r="E123" s="79">
        <v>120.0</v>
      </c>
      <c r="F123" s="83">
        <v>4500.0</v>
      </c>
      <c r="G123" s="79" t="s">
        <v>6276</v>
      </c>
      <c r="H123" s="79" t="s">
        <v>6243</v>
      </c>
      <c r="I123" s="79" t="s">
        <v>6244</v>
      </c>
      <c r="J123" s="79" t="s">
        <v>6309</v>
      </c>
      <c r="K123" s="80" t="s">
        <v>6310</v>
      </c>
      <c r="M123" s="81"/>
      <c r="N123" s="81"/>
      <c r="O123" s="82"/>
      <c r="P123" s="81"/>
      <c r="Q123" s="81"/>
      <c r="R123" s="81"/>
    </row>
    <row r="124">
      <c r="A124" s="60" t="s">
        <v>6274</v>
      </c>
      <c r="B124" s="60" t="s">
        <v>449</v>
      </c>
      <c r="C124" s="60" t="s">
        <v>6275</v>
      </c>
      <c r="D124" s="79" t="s">
        <v>5952</v>
      </c>
      <c r="E124" s="79">
        <v>160.0</v>
      </c>
      <c r="F124" s="83">
        <v>4500.0</v>
      </c>
      <c r="G124" s="79" t="s">
        <v>6276</v>
      </c>
      <c r="H124" s="79" t="s">
        <v>1299</v>
      </c>
      <c r="I124" s="79" t="s">
        <v>6311</v>
      </c>
      <c r="J124" s="79" t="s">
        <v>6312</v>
      </c>
      <c r="K124" s="80" t="s">
        <v>6313</v>
      </c>
      <c r="M124" s="81"/>
      <c r="N124" s="81"/>
      <c r="O124" s="82"/>
      <c r="P124" s="81"/>
      <c r="Q124" s="81"/>
      <c r="R124" s="81"/>
    </row>
    <row r="125">
      <c r="A125" s="60" t="s">
        <v>6274</v>
      </c>
      <c r="B125" s="60" t="s">
        <v>449</v>
      </c>
      <c r="C125" s="60" t="s">
        <v>6275</v>
      </c>
      <c r="D125" s="79" t="s">
        <v>5975</v>
      </c>
      <c r="E125" s="79" t="s">
        <v>5952</v>
      </c>
      <c r="F125" s="83">
        <v>4500.0</v>
      </c>
      <c r="G125" s="79" t="s">
        <v>6276</v>
      </c>
      <c r="H125" s="79" t="s">
        <v>6314</v>
      </c>
      <c r="I125" s="79" t="s">
        <v>6315</v>
      </c>
      <c r="J125" s="79" t="s">
        <v>6316</v>
      </c>
      <c r="K125" s="80" t="s">
        <v>6317</v>
      </c>
      <c r="M125" s="81"/>
      <c r="N125" s="81"/>
      <c r="O125" s="81"/>
      <c r="P125" s="81"/>
      <c r="Q125" s="81"/>
      <c r="R125" s="81"/>
    </row>
    <row r="126">
      <c r="A126" s="60" t="s">
        <v>6318</v>
      </c>
      <c r="B126" s="60" t="s">
        <v>449</v>
      </c>
      <c r="C126" s="60" t="s">
        <v>1595</v>
      </c>
      <c r="D126" s="79" t="s">
        <v>5952</v>
      </c>
      <c r="E126" s="79" t="s">
        <v>5952</v>
      </c>
      <c r="F126" s="83">
        <v>5563.0</v>
      </c>
      <c r="G126" s="79" t="s">
        <v>6319</v>
      </c>
      <c r="H126" s="79" t="s">
        <v>6024</v>
      </c>
      <c r="I126" s="79" t="s">
        <v>6025</v>
      </c>
      <c r="J126" s="79" t="s">
        <v>6129</v>
      </c>
      <c r="K126" s="80" t="s">
        <v>6320</v>
      </c>
      <c r="M126" s="81"/>
      <c r="N126" s="81"/>
      <c r="O126" s="81"/>
      <c r="P126" s="81"/>
      <c r="Q126" s="81"/>
      <c r="R126" s="81"/>
    </row>
    <row r="127">
      <c r="A127" s="60" t="s">
        <v>6318</v>
      </c>
      <c r="B127" s="60" t="s">
        <v>449</v>
      </c>
      <c r="C127" s="60" t="s">
        <v>1595</v>
      </c>
      <c r="D127" s="79" t="s">
        <v>5952</v>
      </c>
      <c r="E127" s="79">
        <v>5.0</v>
      </c>
      <c r="F127" s="83">
        <v>5563.0</v>
      </c>
      <c r="G127" s="79" t="s">
        <v>6319</v>
      </c>
      <c r="H127" s="79" t="s">
        <v>6030</v>
      </c>
      <c r="I127" s="79" t="s">
        <v>6031</v>
      </c>
      <c r="J127" s="79" t="s">
        <v>6321</v>
      </c>
      <c r="K127" s="80" t="s">
        <v>6322</v>
      </c>
      <c r="M127" s="81"/>
      <c r="N127" s="81"/>
      <c r="O127" s="82"/>
      <c r="P127" s="81"/>
      <c r="Q127" s="81"/>
      <c r="R127" s="81"/>
    </row>
    <row r="128">
      <c r="A128" s="60" t="s">
        <v>6318</v>
      </c>
      <c r="B128" s="60" t="s">
        <v>443</v>
      </c>
      <c r="C128" s="60" t="s">
        <v>1595</v>
      </c>
      <c r="D128" s="79" t="s">
        <v>5952</v>
      </c>
      <c r="E128" s="79" t="s">
        <v>5952</v>
      </c>
      <c r="F128" s="83">
        <v>5563.0</v>
      </c>
      <c r="G128" s="79" t="s">
        <v>6319</v>
      </c>
      <c r="H128" s="79" t="s">
        <v>6118</v>
      </c>
      <c r="I128" s="79" t="s">
        <v>6119</v>
      </c>
      <c r="J128" s="79" t="s">
        <v>6323</v>
      </c>
      <c r="K128" s="80" t="s">
        <v>6324</v>
      </c>
      <c r="M128" s="81"/>
      <c r="N128" s="81"/>
      <c r="O128" s="81"/>
      <c r="P128" s="81"/>
      <c r="Q128" s="81"/>
      <c r="R128" s="81"/>
    </row>
    <row r="129">
      <c r="A129" s="60" t="s">
        <v>6318</v>
      </c>
      <c r="B129" s="60" t="s">
        <v>443</v>
      </c>
      <c r="C129" s="60" t="s">
        <v>1595</v>
      </c>
      <c r="D129" s="79" t="s">
        <v>5952</v>
      </c>
      <c r="E129" s="79">
        <v>10.0</v>
      </c>
      <c r="F129" s="83">
        <v>5563.0</v>
      </c>
      <c r="G129" s="79" t="s">
        <v>6319</v>
      </c>
      <c r="H129" s="79" t="s">
        <v>6325</v>
      </c>
      <c r="I129" s="79" t="s">
        <v>6326</v>
      </c>
      <c r="J129" s="79" t="s">
        <v>6327</v>
      </c>
      <c r="K129" s="80" t="s">
        <v>6328</v>
      </c>
      <c r="M129" s="81"/>
      <c r="N129" s="81"/>
      <c r="O129" s="82"/>
      <c r="P129" s="81"/>
      <c r="Q129" s="81"/>
      <c r="R129" s="81"/>
    </row>
    <row r="130">
      <c r="A130" s="60" t="s">
        <v>6318</v>
      </c>
      <c r="B130" s="60" t="s">
        <v>443</v>
      </c>
      <c r="C130" s="60" t="s">
        <v>1595</v>
      </c>
      <c r="D130" s="79" t="s">
        <v>5952</v>
      </c>
      <c r="E130" s="79" t="s">
        <v>5952</v>
      </c>
      <c r="F130" s="83">
        <v>5563.0</v>
      </c>
      <c r="G130" s="79" t="s">
        <v>6319</v>
      </c>
      <c r="H130" s="79" t="s">
        <v>6186</v>
      </c>
      <c r="I130" s="79" t="s">
        <v>6187</v>
      </c>
      <c r="J130" s="79" t="s">
        <v>6329</v>
      </c>
      <c r="K130" s="80" t="s">
        <v>6330</v>
      </c>
      <c r="M130" s="81"/>
      <c r="N130" s="81"/>
      <c r="O130" s="81"/>
      <c r="P130" s="81"/>
      <c r="Q130" s="81"/>
      <c r="R130" s="81"/>
    </row>
    <row r="131">
      <c r="A131" s="60" t="s">
        <v>6318</v>
      </c>
      <c r="B131" s="60" t="s">
        <v>443</v>
      </c>
      <c r="C131" s="60" t="s">
        <v>1595</v>
      </c>
      <c r="D131" s="79" t="s">
        <v>5952</v>
      </c>
      <c r="E131" s="79" t="s">
        <v>5952</v>
      </c>
      <c r="F131" s="83">
        <v>5563.0</v>
      </c>
      <c r="G131" s="79" t="s">
        <v>6319</v>
      </c>
      <c r="H131" s="79" t="s">
        <v>6038</v>
      </c>
      <c r="I131" s="79" t="s">
        <v>6039</v>
      </c>
      <c r="J131" s="79" t="s">
        <v>6297</v>
      </c>
      <c r="K131" s="80" t="s">
        <v>6331</v>
      </c>
      <c r="M131" s="81"/>
      <c r="N131" s="81"/>
      <c r="O131" s="81"/>
      <c r="P131" s="81"/>
      <c r="Q131" s="81"/>
      <c r="R131" s="81"/>
    </row>
    <row r="132">
      <c r="A132" s="60" t="s">
        <v>6318</v>
      </c>
      <c r="B132" s="60" t="s">
        <v>443</v>
      </c>
      <c r="C132" s="60" t="s">
        <v>1595</v>
      </c>
      <c r="D132" s="79" t="s">
        <v>5952</v>
      </c>
      <c r="E132" s="79" t="s">
        <v>5952</v>
      </c>
      <c r="F132" s="83">
        <v>5563.0</v>
      </c>
      <c r="G132" s="79" t="s">
        <v>6319</v>
      </c>
      <c r="H132" s="79" t="s">
        <v>1168</v>
      </c>
      <c r="I132" s="79" t="s">
        <v>6060</v>
      </c>
      <c r="J132" s="79" t="s">
        <v>6332</v>
      </c>
      <c r="K132" s="80" t="s">
        <v>6333</v>
      </c>
      <c r="M132" s="81"/>
      <c r="N132" s="81"/>
      <c r="O132" s="81"/>
      <c r="P132" s="81"/>
      <c r="Q132" s="81"/>
      <c r="R132" s="81"/>
    </row>
    <row r="133">
      <c r="A133" s="60" t="s">
        <v>6318</v>
      </c>
      <c r="B133" s="60" t="s">
        <v>443</v>
      </c>
      <c r="C133" s="60" t="s">
        <v>1595</v>
      </c>
      <c r="D133" s="79" t="s">
        <v>5962</v>
      </c>
      <c r="E133" s="79">
        <v>40.0</v>
      </c>
      <c r="F133" s="83">
        <v>5563.0</v>
      </c>
      <c r="G133" s="79" t="s">
        <v>6319</v>
      </c>
      <c r="H133" s="79" t="s">
        <v>1555</v>
      </c>
      <c r="I133" s="79" t="s">
        <v>6334</v>
      </c>
      <c r="J133" s="79" t="s">
        <v>6335</v>
      </c>
      <c r="K133" s="80" t="s">
        <v>6336</v>
      </c>
      <c r="M133" s="81"/>
      <c r="N133" s="81"/>
      <c r="O133" s="82"/>
      <c r="P133" s="81"/>
      <c r="Q133" s="81"/>
      <c r="R133" s="81"/>
    </row>
    <row r="134">
      <c r="A134" s="60" t="s">
        <v>6318</v>
      </c>
      <c r="B134" s="60" t="s">
        <v>443</v>
      </c>
      <c r="C134" s="60" t="s">
        <v>1595</v>
      </c>
      <c r="D134" s="79" t="s">
        <v>5952</v>
      </c>
      <c r="E134" s="79" t="s">
        <v>5952</v>
      </c>
      <c r="F134" s="83">
        <v>5563.0</v>
      </c>
      <c r="G134" s="79" t="s">
        <v>6319</v>
      </c>
      <c r="H134" s="79" t="s">
        <v>1559</v>
      </c>
      <c r="I134" s="79" t="s">
        <v>6128</v>
      </c>
      <c r="J134" s="79" t="s">
        <v>6337</v>
      </c>
      <c r="K134" s="80" t="s">
        <v>6338</v>
      </c>
      <c r="M134" s="81"/>
      <c r="N134" s="81"/>
      <c r="O134" s="81"/>
      <c r="P134" s="81"/>
      <c r="Q134" s="81"/>
      <c r="R134" s="81"/>
    </row>
    <row r="135">
      <c r="A135" s="60" t="s">
        <v>6318</v>
      </c>
      <c r="B135" s="60" t="s">
        <v>443</v>
      </c>
      <c r="C135" s="60" t="s">
        <v>1595</v>
      </c>
      <c r="D135" s="79" t="s">
        <v>5952</v>
      </c>
      <c r="E135" s="79" t="s">
        <v>5952</v>
      </c>
      <c r="F135" s="83">
        <v>5563.0</v>
      </c>
      <c r="G135" s="79" t="s">
        <v>6319</v>
      </c>
      <c r="H135" s="79" t="s">
        <v>1213</v>
      </c>
      <c r="I135" s="79" t="s">
        <v>6303</v>
      </c>
      <c r="J135" s="79" t="s">
        <v>6339</v>
      </c>
      <c r="K135" s="80" t="s">
        <v>6340</v>
      </c>
      <c r="M135" s="81"/>
      <c r="N135" s="81"/>
      <c r="O135" s="81"/>
      <c r="P135" s="81"/>
      <c r="Q135" s="81"/>
      <c r="R135" s="81"/>
    </row>
    <row r="136">
      <c r="A136" s="60" t="s">
        <v>6318</v>
      </c>
      <c r="B136" s="60" t="s">
        <v>443</v>
      </c>
      <c r="C136" s="60" t="s">
        <v>1595</v>
      </c>
      <c r="D136" s="79" t="s">
        <v>5952</v>
      </c>
      <c r="E136" s="79" t="s">
        <v>5952</v>
      </c>
      <c r="F136" s="83">
        <v>5563.0</v>
      </c>
      <c r="G136" s="79" t="s">
        <v>6319</v>
      </c>
      <c r="H136" s="79" t="s">
        <v>1111</v>
      </c>
      <c r="I136" s="79" t="s">
        <v>6165</v>
      </c>
      <c r="J136" s="79" t="s">
        <v>6341</v>
      </c>
      <c r="K136" s="80" t="s">
        <v>6342</v>
      </c>
      <c r="M136" s="81"/>
      <c r="N136" s="81"/>
      <c r="O136" s="81"/>
      <c r="P136" s="81"/>
      <c r="Q136" s="81"/>
      <c r="R136" s="81"/>
    </row>
    <row r="137">
      <c r="A137" s="60" t="s">
        <v>6318</v>
      </c>
      <c r="B137" s="60" t="s">
        <v>443</v>
      </c>
      <c r="C137" s="60" t="s">
        <v>1595</v>
      </c>
      <c r="D137" s="79" t="s">
        <v>5967</v>
      </c>
      <c r="E137" s="79">
        <v>80.0</v>
      </c>
      <c r="F137" s="83">
        <v>5563.0</v>
      </c>
      <c r="G137" s="79" t="s">
        <v>6319</v>
      </c>
      <c r="H137" s="79" t="s">
        <v>6207</v>
      </c>
      <c r="I137" s="79" t="s">
        <v>6208</v>
      </c>
      <c r="J137" s="79" t="s">
        <v>6343</v>
      </c>
      <c r="K137" s="80" t="s">
        <v>6344</v>
      </c>
      <c r="M137" s="81"/>
      <c r="N137" s="81"/>
      <c r="O137" s="82"/>
      <c r="P137" s="81"/>
      <c r="Q137" s="81"/>
      <c r="R137" s="81"/>
    </row>
    <row r="138">
      <c r="A138" s="60" t="s">
        <v>6318</v>
      </c>
      <c r="B138" s="60" t="s">
        <v>443</v>
      </c>
      <c r="C138" s="60" t="s">
        <v>1595</v>
      </c>
      <c r="D138" s="79" t="s">
        <v>5952</v>
      </c>
      <c r="E138" s="79">
        <v>120.0</v>
      </c>
      <c r="F138" s="83">
        <v>5563.0</v>
      </c>
      <c r="G138" s="79" t="s">
        <v>6319</v>
      </c>
      <c r="H138" s="79" t="s">
        <v>6345</v>
      </c>
      <c r="I138" s="79" t="s">
        <v>6346</v>
      </c>
      <c r="J138" s="79" t="s">
        <v>6347</v>
      </c>
      <c r="K138" s="80" t="s">
        <v>6348</v>
      </c>
      <c r="M138" s="81"/>
      <c r="N138" s="81"/>
      <c r="O138" s="82"/>
      <c r="P138" s="81"/>
      <c r="Q138" s="81"/>
      <c r="R138" s="81"/>
    </row>
    <row r="139">
      <c r="A139" s="60" t="s">
        <v>6318</v>
      </c>
      <c r="B139" s="60" t="s">
        <v>443</v>
      </c>
      <c r="C139" s="60" t="s">
        <v>1595</v>
      </c>
      <c r="D139" s="79" t="s">
        <v>5952</v>
      </c>
      <c r="E139" s="79">
        <v>160.0</v>
      </c>
      <c r="F139" s="83">
        <v>5563.0</v>
      </c>
      <c r="G139" s="79" t="s">
        <v>6319</v>
      </c>
      <c r="H139" s="79" t="s">
        <v>6349</v>
      </c>
      <c r="I139" s="79" t="s">
        <v>6350</v>
      </c>
      <c r="J139" s="79" t="s">
        <v>6351</v>
      </c>
      <c r="K139" s="80" t="s">
        <v>6352</v>
      </c>
      <c r="M139" s="81"/>
      <c r="N139" s="81"/>
      <c r="O139" s="82"/>
      <c r="P139" s="81"/>
      <c r="Q139" s="81"/>
      <c r="R139" s="81"/>
    </row>
    <row r="140">
      <c r="A140" s="60" t="s">
        <v>6318</v>
      </c>
      <c r="B140" s="60" t="s">
        <v>443</v>
      </c>
      <c r="C140" s="60" t="s">
        <v>1595</v>
      </c>
      <c r="D140" s="79" t="s">
        <v>5975</v>
      </c>
      <c r="E140" s="79" t="s">
        <v>5952</v>
      </c>
      <c r="F140" s="83">
        <v>5563.0</v>
      </c>
      <c r="G140" s="79" t="s">
        <v>6319</v>
      </c>
      <c r="H140" s="79" t="s">
        <v>6353</v>
      </c>
      <c r="I140" s="79" t="s">
        <v>6354</v>
      </c>
      <c r="J140" s="79" t="s">
        <v>6355</v>
      </c>
      <c r="K140" s="80" t="s">
        <v>6356</v>
      </c>
      <c r="M140" s="81"/>
      <c r="N140" s="81"/>
      <c r="O140" s="81"/>
      <c r="P140" s="81"/>
      <c r="Q140" s="81"/>
      <c r="R140" s="81"/>
    </row>
    <row r="141">
      <c r="A141" s="60" t="s">
        <v>6357</v>
      </c>
      <c r="B141" s="60" t="s">
        <v>443</v>
      </c>
      <c r="C141" s="60" t="s">
        <v>351</v>
      </c>
      <c r="D141" s="79" t="s">
        <v>5952</v>
      </c>
      <c r="E141" s="79" t="s">
        <v>5952</v>
      </c>
      <c r="F141" s="83">
        <v>6625.0</v>
      </c>
      <c r="G141" s="79" t="s">
        <v>6358</v>
      </c>
      <c r="H141" s="79" t="s">
        <v>6024</v>
      </c>
      <c r="I141" s="79" t="s">
        <v>6025</v>
      </c>
      <c r="J141" s="79" t="s">
        <v>6196</v>
      </c>
      <c r="K141" s="80" t="s">
        <v>6261</v>
      </c>
      <c r="M141" s="81"/>
      <c r="N141" s="81"/>
      <c r="O141" s="81"/>
      <c r="P141" s="81"/>
      <c r="Q141" s="81"/>
      <c r="R141" s="81"/>
    </row>
    <row r="142">
      <c r="A142" s="60" t="s">
        <v>6357</v>
      </c>
      <c r="B142" s="60" t="s">
        <v>443</v>
      </c>
      <c r="C142" s="60" t="s">
        <v>351</v>
      </c>
      <c r="D142" s="79" t="s">
        <v>5952</v>
      </c>
      <c r="E142" s="79">
        <v>5.0</v>
      </c>
      <c r="F142" s="83">
        <v>6625.0</v>
      </c>
      <c r="G142" s="79" t="s">
        <v>6358</v>
      </c>
      <c r="H142" s="79" t="s">
        <v>6030</v>
      </c>
      <c r="I142" s="79" t="s">
        <v>6031</v>
      </c>
      <c r="J142" s="79" t="s">
        <v>6359</v>
      </c>
      <c r="K142" s="80" t="s">
        <v>6360</v>
      </c>
      <c r="M142" s="81"/>
      <c r="N142" s="81"/>
      <c r="O142" s="82"/>
      <c r="P142" s="81"/>
      <c r="Q142" s="81"/>
      <c r="R142" s="81"/>
    </row>
    <row r="143">
      <c r="A143" s="60" t="s">
        <v>6357</v>
      </c>
      <c r="B143" s="60" t="s">
        <v>357</v>
      </c>
      <c r="C143" s="60" t="s">
        <v>351</v>
      </c>
      <c r="D143" s="79" t="s">
        <v>5952</v>
      </c>
      <c r="E143" s="79" t="s">
        <v>5952</v>
      </c>
      <c r="F143" s="83">
        <v>6625.0</v>
      </c>
      <c r="G143" s="79" t="s">
        <v>6358</v>
      </c>
      <c r="H143" s="79" t="s">
        <v>6118</v>
      </c>
      <c r="I143" s="79" t="s">
        <v>6119</v>
      </c>
      <c r="J143" s="79" t="s">
        <v>6235</v>
      </c>
      <c r="K143" s="80" t="s">
        <v>6361</v>
      </c>
      <c r="M143" s="81"/>
      <c r="N143" s="81"/>
      <c r="O143" s="81"/>
      <c r="P143" s="81"/>
      <c r="Q143" s="81"/>
      <c r="R143" s="81"/>
    </row>
    <row r="144">
      <c r="A144" s="60" t="s">
        <v>6357</v>
      </c>
      <c r="B144" s="60" t="s">
        <v>357</v>
      </c>
      <c r="C144" s="60" t="s">
        <v>351</v>
      </c>
      <c r="D144" s="79" t="s">
        <v>5952</v>
      </c>
      <c r="E144" s="79">
        <v>10.0</v>
      </c>
      <c r="F144" s="83">
        <v>6625.0</v>
      </c>
      <c r="G144" s="79" t="s">
        <v>6358</v>
      </c>
      <c r="H144" s="79" t="s">
        <v>6325</v>
      </c>
      <c r="I144" s="79" t="s">
        <v>6326</v>
      </c>
      <c r="J144" s="79" t="s">
        <v>3984</v>
      </c>
      <c r="K144" s="80" t="s">
        <v>6362</v>
      </c>
      <c r="M144" s="81"/>
      <c r="N144" s="81"/>
      <c r="O144" s="82"/>
      <c r="P144" s="81"/>
      <c r="Q144" s="81"/>
      <c r="R144" s="81"/>
    </row>
    <row r="145">
      <c r="A145" s="60" t="s">
        <v>6357</v>
      </c>
      <c r="B145" s="60" t="s">
        <v>357</v>
      </c>
      <c r="C145" s="60" t="s">
        <v>351</v>
      </c>
      <c r="D145" s="79" t="s">
        <v>5952</v>
      </c>
      <c r="E145" s="79" t="s">
        <v>5952</v>
      </c>
      <c r="F145" s="83">
        <v>6625.0</v>
      </c>
      <c r="G145" s="79" t="s">
        <v>6358</v>
      </c>
      <c r="H145" s="79" t="s">
        <v>6146</v>
      </c>
      <c r="I145" s="79" t="s">
        <v>6147</v>
      </c>
      <c r="J145" s="79" t="s">
        <v>6363</v>
      </c>
      <c r="K145" s="80" t="s">
        <v>6364</v>
      </c>
      <c r="M145" s="81"/>
      <c r="N145" s="81"/>
      <c r="O145" s="81"/>
      <c r="P145" s="81"/>
      <c r="Q145" s="81"/>
      <c r="R145" s="81"/>
    </row>
    <row r="146">
      <c r="A146" s="60" t="s">
        <v>6357</v>
      </c>
      <c r="B146" s="60" t="s">
        <v>357</v>
      </c>
      <c r="C146" s="60" t="s">
        <v>351</v>
      </c>
      <c r="D146" s="79" t="s">
        <v>5952</v>
      </c>
      <c r="E146" s="79" t="s">
        <v>5952</v>
      </c>
      <c r="F146" s="83">
        <v>6625.0</v>
      </c>
      <c r="G146" s="79" t="s">
        <v>6358</v>
      </c>
      <c r="H146" s="79" t="s">
        <v>6186</v>
      </c>
      <c r="I146" s="79" t="s">
        <v>6187</v>
      </c>
      <c r="J146" s="79" t="s">
        <v>6365</v>
      </c>
      <c r="K146" s="80" t="s">
        <v>6366</v>
      </c>
      <c r="M146" s="81"/>
      <c r="N146" s="81"/>
      <c r="O146" s="81"/>
      <c r="P146" s="81"/>
      <c r="Q146" s="81"/>
      <c r="R146" s="81"/>
    </row>
    <row r="147">
      <c r="A147" s="60" t="s">
        <v>6357</v>
      </c>
      <c r="B147" s="60" t="s">
        <v>357</v>
      </c>
      <c r="C147" s="60" t="s">
        <v>351</v>
      </c>
      <c r="D147" s="79" t="s">
        <v>5952</v>
      </c>
      <c r="E147" s="79" t="s">
        <v>5952</v>
      </c>
      <c r="F147" s="83">
        <v>6625.0</v>
      </c>
      <c r="G147" s="79" t="s">
        <v>6358</v>
      </c>
      <c r="H147" s="79" t="s">
        <v>6151</v>
      </c>
      <c r="I147" s="79" t="s">
        <v>6152</v>
      </c>
      <c r="J147" s="79" t="s">
        <v>6367</v>
      </c>
      <c r="K147" s="80" t="s">
        <v>6368</v>
      </c>
      <c r="M147" s="81"/>
      <c r="N147" s="81"/>
      <c r="O147" s="81"/>
      <c r="P147" s="81"/>
      <c r="Q147" s="81"/>
      <c r="R147" s="81"/>
    </row>
    <row r="148">
      <c r="A148" s="60" t="s">
        <v>6357</v>
      </c>
      <c r="B148" s="60" t="s">
        <v>357</v>
      </c>
      <c r="C148" s="60" t="s">
        <v>351</v>
      </c>
      <c r="D148" s="79" t="s">
        <v>5952</v>
      </c>
      <c r="E148" s="79" t="s">
        <v>5952</v>
      </c>
      <c r="F148" s="83">
        <v>6625.0</v>
      </c>
      <c r="G148" s="79" t="s">
        <v>6358</v>
      </c>
      <c r="H148" s="79" t="s">
        <v>6038</v>
      </c>
      <c r="I148" s="79" t="s">
        <v>6039</v>
      </c>
      <c r="J148" s="79" t="s">
        <v>6369</v>
      </c>
      <c r="K148" s="80" t="s">
        <v>6370</v>
      </c>
      <c r="M148" s="81"/>
      <c r="N148" s="81"/>
      <c r="O148" s="81"/>
      <c r="P148" s="81"/>
      <c r="Q148" s="81"/>
      <c r="R148" s="81"/>
    </row>
    <row r="149">
      <c r="A149" s="60" t="s">
        <v>6357</v>
      </c>
      <c r="B149" s="60" t="s">
        <v>357</v>
      </c>
      <c r="C149" s="60" t="s">
        <v>351</v>
      </c>
      <c r="D149" s="79" t="s">
        <v>5952</v>
      </c>
      <c r="E149" s="79" t="s">
        <v>5952</v>
      </c>
      <c r="F149" s="83">
        <v>6625.0</v>
      </c>
      <c r="G149" s="79" t="s">
        <v>6358</v>
      </c>
      <c r="H149" s="79" t="s">
        <v>6194</v>
      </c>
      <c r="I149" s="79" t="s">
        <v>6195</v>
      </c>
      <c r="J149" s="79" t="s">
        <v>6371</v>
      </c>
      <c r="K149" s="80" t="s">
        <v>6372</v>
      </c>
      <c r="M149" s="81"/>
      <c r="N149" s="81"/>
      <c r="O149" s="81"/>
      <c r="P149" s="81"/>
      <c r="Q149" s="81"/>
      <c r="R149" s="81"/>
    </row>
    <row r="150">
      <c r="A150" s="60" t="s">
        <v>6357</v>
      </c>
      <c r="B150" s="60" t="s">
        <v>357</v>
      </c>
      <c r="C150" s="60" t="s">
        <v>351</v>
      </c>
      <c r="D150" s="79" t="s">
        <v>5952</v>
      </c>
      <c r="E150" s="79" t="s">
        <v>5952</v>
      </c>
      <c r="F150" s="83">
        <v>6625.0</v>
      </c>
      <c r="G150" s="79" t="s">
        <v>6358</v>
      </c>
      <c r="H150" s="79" t="s">
        <v>1168</v>
      </c>
      <c r="I150" s="79" t="s">
        <v>6060</v>
      </c>
      <c r="J150" s="79" t="s">
        <v>6307</v>
      </c>
      <c r="K150" s="80" t="s">
        <v>6373</v>
      </c>
      <c r="M150" s="81"/>
      <c r="N150" s="81"/>
      <c r="O150" s="81"/>
      <c r="P150" s="81"/>
      <c r="Q150" s="81"/>
      <c r="R150" s="81"/>
    </row>
    <row r="151">
      <c r="A151" s="60" t="s">
        <v>6357</v>
      </c>
      <c r="B151" s="60" t="s">
        <v>357</v>
      </c>
      <c r="C151" s="60" t="s">
        <v>351</v>
      </c>
      <c r="D151" s="79" t="s">
        <v>5952</v>
      </c>
      <c r="E151" s="79" t="s">
        <v>5952</v>
      </c>
      <c r="F151" s="83">
        <v>6625.0</v>
      </c>
      <c r="G151" s="79" t="s">
        <v>6358</v>
      </c>
      <c r="H151" s="79" t="s">
        <v>6081</v>
      </c>
      <c r="I151" s="79" t="s">
        <v>6082</v>
      </c>
      <c r="J151" s="79" t="s">
        <v>6374</v>
      </c>
      <c r="K151" s="80" t="s">
        <v>6375</v>
      </c>
      <c r="M151" s="81"/>
      <c r="N151" s="81"/>
      <c r="O151" s="81"/>
      <c r="P151" s="81"/>
      <c r="Q151" s="81"/>
      <c r="R151" s="81"/>
    </row>
    <row r="152">
      <c r="A152" s="60" t="s">
        <v>6357</v>
      </c>
      <c r="B152" s="60" t="s">
        <v>357</v>
      </c>
      <c r="C152" s="60" t="s">
        <v>351</v>
      </c>
      <c r="D152" s="79" t="s">
        <v>5962</v>
      </c>
      <c r="E152" s="79">
        <v>40.0</v>
      </c>
      <c r="F152" s="83">
        <v>6625.0</v>
      </c>
      <c r="G152" s="79" t="s">
        <v>6358</v>
      </c>
      <c r="H152" s="79" t="s">
        <v>6376</v>
      </c>
      <c r="I152" s="79" t="s">
        <v>6377</v>
      </c>
      <c r="J152" s="79" t="s">
        <v>6378</v>
      </c>
      <c r="K152" s="80" t="s">
        <v>6379</v>
      </c>
      <c r="M152" s="81"/>
      <c r="N152" s="81"/>
      <c r="O152" s="82"/>
      <c r="P152" s="81"/>
      <c r="Q152" s="81"/>
      <c r="R152" s="81"/>
    </row>
    <row r="153">
      <c r="A153" s="60" t="s">
        <v>6357</v>
      </c>
      <c r="B153" s="60" t="s">
        <v>357</v>
      </c>
      <c r="C153" s="60" t="s">
        <v>351</v>
      </c>
      <c r="D153" s="79" t="s">
        <v>5952</v>
      </c>
      <c r="E153" s="79" t="s">
        <v>5952</v>
      </c>
      <c r="F153" s="83">
        <v>6625.0</v>
      </c>
      <c r="G153" s="79" t="s">
        <v>6358</v>
      </c>
      <c r="H153" s="79" t="s">
        <v>1213</v>
      </c>
      <c r="I153" s="79" t="s">
        <v>6303</v>
      </c>
      <c r="J153" s="79" t="s">
        <v>6380</v>
      </c>
      <c r="K153" s="80" t="s">
        <v>6381</v>
      </c>
      <c r="M153" s="81"/>
      <c r="N153" s="81"/>
      <c r="O153" s="81"/>
      <c r="P153" s="81"/>
      <c r="Q153" s="81"/>
      <c r="R153" s="81"/>
    </row>
    <row r="154">
      <c r="A154" s="60" t="s">
        <v>6357</v>
      </c>
      <c r="B154" s="60" t="s">
        <v>357</v>
      </c>
      <c r="C154" s="60" t="s">
        <v>351</v>
      </c>
      <c r="D154" s="79" t="s">
        <v>5952</v>
      </c>
      <c r="E154" s="79" t="s">
        <v>5952</v>
      </c>
      <c r="F154" s="83">
        <v>6625.0</v>
      </c>
      <c r="G154" s="79" t="s">
        <v>6358</v>
      </c>
      <c r="H154" s="79" t="s">
        <v>1111</v>
      </c>
      <c r="I154" s="79" t="s">
        <v>6165</v>
      </c>
      <c r="J154" s="79" t="s">
        <v>6382</v>
      </c>
      <c r="K154" s="80" t="s">
        <v>6383</v>
      </c>
      <c r="M154" s="81"/>
      <c r="N154" s="81"/>
      <c r="O154" s="81"/>
      <c r="P154" s="81"/>
      <c r="Q154" s="81"/>
      <c r="R154" s="81"/>
    </row>
    <row r="155">
      <c r="A155" s="60" t="s">
        <v>6357</v>
      </c>
      <c r="B155" s="60" t="s">
        <v>357</v>
      </c>
      <c r="C155" s="60" t="s">
        <v>351</v>
      </c>
      <c r="D155" s="79" t="s">
        <v>5952</v>
      </c>
      <c r="E155" s="79" t="s">
        <v>5952</v>
      </c>
      <c r="F155" s="83">
        <v>6625.0</v>
      </c>
      <c r="G155" s="79" t="s">
        <v>6358</v>
      </c>
      <c r="H155" s="79" t="s">
        <v>6207</v>
      </c>
      <c r="I155" s="79" t="s">
        <v>6208</v>
      </c>
      <c r="J155" s="79" t="s">
        <v>6384</v>
      </c>
      <c r="K155" s="80" t="s">
        <v>6385</v>
      </c>
      <c r="M155" s="81"/>
      <c r="N155" s="81"/>
      <c r="O155" s="81"/>
      <c r="P155" s="81"/>
      <c r="Q155" s="81"/>
      <c r="R155" s="81"/>
    </row>
    <row r="156">
      <c r="A156" s="60" t="s">
        <v>6357</v>
      </c>
      <c r="B156" s="60" t="s">
        <v>357</v>
      </c>
      <c r="C156" s="60" t="s">
        <v>351</v>
      </c>
      <c r="D156" s="79" t="s">
        <v>5967</v>
      </c>
      <c r="E156" s="79">
        <v>80.0</v>
      </c>
      <c r="F156" s="83">
        <v>6625.0</v>
      </c>
      <c r="G156" s="79" t="s">
        <v>6358</v>
      </c>
      <c r="H156" s="79" t="s">
        <v>1337</v>
      </c>
      <c r="I156" s="79" t="s">
        <v>6386</v>
      </c>
      <c r="J156" s="79" t="s">
        <v>6387</v>
      </c>
      <c r="K156" s="80" t="s">
        <v>6388</v>
      </c>
      <c r="M156" s="81"/>
      <c r="N156" s="81"/>
      <c r="O156" s="82"/>
      <c r="P156" s="81"/>
      <c r="Q156" s="81"/>
      <c r="R156" s="81"/>
    </row>
    <row r="157">
      <c r="A157" s="60" t="s">
        <v>6357</v>
      </c>
      <c r="B157" s="60" t="s">
        <v>357</v>
      </c>
      <c r="C157" s="60" t="s">
        <v>351</v>
      </c>
      <c r="D157" s="79" t="s">
        <v>5952</v>
      </c>
      <c r="E157" s="79" t="s">
        <v>5952</v>
      </c>
      <c r="F157" s="83">
        <v>6625.0</v>
      </c>
      <c r="G157" s="79" t="s">
        <v>6358</v>
      </c>
      <c r="H157" s="79" t="s">
        <v>6345</v>
      </c>
      <c r="I157" s="79" t="s">
        <v>6346</v>
      </c>
      <c r="J157" s="79" t="s">
        <v>6389</v>
      </c>
      <c r="K157" s="80" t="s">
        <v>6390</v>
      </c>
      <c r="M157" s="81"/>
      <c r="N157" s="81"/>
      <c r="O157" s="81"/>
      <c r="P157" s="81"/>
      <c r="Q157" s="81"/>
      <c r="R157" s="81"/>
    </row>
    <row r="158">
      <c r="A158" s="60" t="s">
        <v>6357</v>
      </c>
      <c r="B158" s="60" t="s">
        <v>357</v>
      </c>
      <c r="C158" s="60" t="s">
        <v>351</v>
      </c>
      <c r="D158" s="79" t="s">
        <v>5952</v>
      </c>
      <c r="E158" s="79">
        <v>120.0</v>
      </c>
      <c r="F158" s="83">
        <v>6625.0</v>
      </c>
      <c r="G158" s="79" t="s">
        <v>6358</v>
      </c>
      <c r="H158" s="79" t="s">
        <v>6391</v>
      </c>
      <c r="I158" s="79" t="s">
        <v>6392</v>
      </c>
      <c r="J158" s="79" t="s">
        <v>6393</v>
      </c>
      <c r="K158" s="80" t="s">
        <v>6394</v>
      </c>
      <c r="M158" s="81"/>
      <c r="N158" s="81"/>
      <c r="O158" s="82"/>
      <c r="P158" s="81"/>
      <c r="Q158" s="81"/>
      <c r="R158" s="81"/>
    </row>
    <row r="159">
      <c r="A159" s="60" t="s">
        <v>6357</v>
      </c>
      <c r="B159" s="60" t="s">
        <v>357</v>
      </c>
      <c r="C159" s="60" t="s">
        <v>351</v>
      </c>
      <c r="D159" s="79" t="s">
        <v>5952</v>
      </c>
      <c r="E159" s="79" t="s">
        <v>5952</v>
      </c>
      <c r="F159" s="83">
        <v>6625.0</v>
      </c>
      <c r="G159" s="79" t="s">
        <v>6358</v>
      </c>
      <c r="H159" s="79" t="s">
        <v>6349</v>
      </c>
      <c r="I159" s="79" t="s">
        <v>6350</v>
      </c>
      <c r="J159" s="79" t="s">
        <v>6395</v>
      </c>
      <c r="K159" s="80" t="s">
        <v>6396</v>
      </c>
      <c r="M159" s="81"/>
      <c r="N159" s="81"/>
      <c r="O159" s="81"/>
      <c r="P159" s="81"/>
      <c r="Q159" s="81"/>
      <c r="R159" s="81"/>
    </row>
    <row r="160">
      <c r="A160" s="60" t="s">
        <v>6357</v>
      </c>
      <c r="B160" s="60" t="s">
        <v>357</v>
      </c>
      <c r="C160" s="60" t="s">
        <v>351</v>
      </c>
      <c r="D160" s="79" t="s">
        <v>5952</v>
      </c>
      <c r="E160" s="79">
        <v>160.0</v>
      </c>
      <c r="F160" s="83">
        <v>6625.0</v>
      </c>
      <c r="G160" s="79" t="s">
        <v>6358</v>
      </c>
      <c r="H160" s="79" t="s">
        <v>6397</v>
      </c>
      <c r="I160" s="79" t="s">
        <v>6398</v>
      </c>
      <c r="J160" s="79" t="s">
        <v>6399</v>
      </c>
      <c r="K160" s="80" t="s">
        <v>6400</v>
      </c>
      <c r="M160" s="81"/>
      <c r="N160" s="81"/>
      <c r="O160" s="82"/>
      <c r="P160" s="81"/>
      <c r="Q160" s="81"/>
      <c r="R160" s="81"/>
    </row>
    <row r="161">
      <c r="A161" s="60" t="s">
        <v>6357</v>
      </c>
      <c r="B161" s="60" t="s">
        <v>357</v>
      </c>
      <c r="C161" s="60" t="s">
        <v>351</v>
      </c>
      <c r="D161" s="79" t="s">
        <v>5952</v>
      </c>
      <c r="E161" s="79" t="s">
        <v>5952</v>
      </c>
      <c r="F161" s="83">
        <v>6625.0</v>
      </c>
      <c r="G161" s="79" t="s">
        <v>6358</v>
      </c>
      <c r="H161" s="79" t="s">
        <v>6353</v>
      </c>
      <c r="I161" s="79" t="s">
        <v>6354</v>
      </c>
      <c r="J161" s="79" t="s">
        <v>6401</v>
      </c>
      <c r="K161" s="80" t="s">
        <v>6402</v>
      </c>
      <c r="M161" s="81"/>
      <c r="N161" s="81"/>
      <c r="O161" s="81"/>
      <c r="P161" s="81"/>
      <c r="Q161" s="81"/>
      <c r="R161" s="81"/>
    </row>
    <row r="162">
      <c r="A162" s="60" t="s">
        <v>6357</v>
      </c>
      <c r="B162" s="60" t="s">
        <v>357</v>
      </c>
      <c r="C162" s="60" t="s">
        <v>351</v>
      </c>
      <c r="D162" s="79" t="s">
        <v>5975</v>
      </c>
      <c r="E162" s="79" t="s">
        <v>5952</v>
      </c>
      <c r="F162" s="83">
        <v>6625.0</v>
      </c>
      <c r="G162" s="79" t="s">
        <v>6358</v>
      </c>
      <c r="H162" s="79" t="s">
        <v>6403</v>
      </c>
      <c r="I162" s="79" t="s">
        <v>6404</v>
      </c>
      <c r="J162" s="79" t="s">
        <v>6405</v>
      </c>
      <c r="K162" s="80" t="s">
        <v>6406</v>
      </c>
      <c r="M162" s="81"/>
      <c r="N162" s="81"/>
      <c r="O162" s="81"/>
      <c r="P162" s="81"/>
      <c r="Q162" s="81"/>
      <c r="R162" s="81"/>
    </row>
    <row r="163">
      <c r="A163" s="60" t="s">
        <v>6357</v>
      </c>
      <c r="B163" s="60" t="s">
        <v>357</v>
      </c>
      <c r="C163" s="60" t="s">
        <v>351</v>
      </c>
      <c r="D163" s="79" t="s">
        <v>5952</v>
      </c>
      <c r="E163" s="79" t="s">
        <v>5952</v>
      </c>
      <c r="F163" s="83">
        <v>6625.0</v>
      </c>
      <c r="G163" s="79" t="s">
        <v>6358</v>
      </c>
      <c r="H163" s="79" t="s">
        <v>6407</v>
      </c>
      <c r="I163" s="79" t="s">
        <v>6408</v>
      </c>
      <c r="J163" s="79" t="s">
        <v>6409</v>
      </c>
      <c r="K163" s="80" t="s">
        <v>6410</v>
      </c>
      <c r="M163" s="81"/>
      <c r="N163" s="81"/>
      <c r="O163" s="81"/>
      <c r="P163" s="81"/>
      <c r="Q163" s="81"/>
      <c r="R163" s="81"/>
    </row>
    <row r="164">
      <c r="A164" s="60" t="s">
        <v>6411</v>
      </c>
      <c r="B164" s="60" t="s">
        <v>357</v>
      </c>
      <c r="C164" s="60" t="s">
        <v>6412</v>
      </c>
      <c r="D164" s="79" t="s">
        <v>5952</v>
      </c>
      <c r="E164" s="79">
        <v>5.0</v>
      </c>
      <c r="F164" s="83">
        <v>8625.0</v>
      </c>
      <c r="G164" s="79" t="s">
        <v>6413</v>
      </c>
      <c r="H164" s="79" t="s">
        <v>6030</v>
      </c>
      <c r="I164" s="79" t="s">
        <v>6031</v>
      </c>
      <c r="J164" s="79" t="s">
        <v>6414</v>
      </c>
      <c r="K164" s="80" t="s">
        <v>6415</v>
      </c>
      <c r="M164" s="81"/>
      <c r="N164" s="81"/>
      <c r="O164" s="82"/>
      <c r="P164" s="81"/>
      <c r="Q164" s="81"/>
      <c r="R164" s="81"/>
    </row>
    <row r="165">
      <c r="A165" s="60" t="s">
        <v>6411</v>
      </c>
      <c r="B165" s="60" t="s">
        <v>357</v>
      </c>
      <c r="C165" s="60" t="s">
        <v>6412</v>
      </c>
      <c r="D165" s="79" t="s">
        <v>5952</v>
      </c>
      <c r="E165" s="79" t="s">
        <v>5952</v>
      </c>
      <c r="F165" s="83">
        <v>8625.0</v>
      </c>
      <c r="G165" s="79" t="s">
        <v>6413</v>
      </c>
      <c r="H165" s="79" t="s">
        <v>6118</v>
      </c>
      <c r="I165" s="79" t="s">
        <v>6119</v>
      </c>
      <c r="J165" s="79" t="s">
        <v>6299</v>
      </c>
      <c r="K165" s="80" t="s">
        <v>6416</v>
      </c>
      <c r="M165" s="81"/>
      <c r="N165" s="81"/>
      <c r="O165" s="81"/>
      <c r="P165" s="81"/>
      <c r="Q165" s="81"/>
      <c r="R165" s="81"/>
    </row>
    <row r="166">
      <c r="A166" s="60" t="s">
        <v>6411</v>
      </c>
      <c r="B166" s="60" t="s">
        <v>534</v>
      </c>
      <c r="C166" s="60" t="s">
        <v>6412</v>
      </c>
      <c r="D166" s="79" t="s">
        <v>5952</v>
      </c>
      <c r="E166" s="79">
        <v>10.0</v>
      </c>
      <c r="F166" s="83">
        <v>8625.0</v>
      </c>
      <c r="G166" s="79" t="s">
        <v>6413</v>
      </c>
      <c r="H166" s="79" t="s">
        <v>6417</v>
      </c>
      <c r="I166" s="79" t="s">
        <v>6418</v>
      </c>
      <c r="J166" s="79" t="s">
        <v>6419</v>
      </c>
      <c r="K166" s="80" t="s">
        <v>6420</v>
      </c>
      <c r="M166" s="81"/>
      <c r="N166" s="81"/>
      <c r="O166" s="82"/>
      <c r="P166" s="81"/>
      <c r="Q166" s="81"/>
      <c r="R166" s="81"/>
    </row>
    <row r="167">
      <c r="A167" s="60" t="s">
        <v>6411</v>
      </c>
      <c r="B167" s="60" t="s">
        <v>534</v>
      </c>
      <c r="C167" s="60" t="s">
        <v>6412</v>
      </c>
      <c r="D167" s="79" t="s">
        <v>5952</v>
      </c>
      <c r="E167" s="79" t="s">
        <v>5952</v>
      </c>
      <c r="F167" s="83">
        <v>8625.0</v>
      </c>
      <c r="G167" s="79" t="s">
        <v>6413</v>
      </c>
      <c r="H167" s="79" t="s">
        <v>6186</v>
      </c>
      <c r="I167" s="79" t="s">
        <v>6187</v>
      </c>
      <c r="J167" s="79" t="s">
        <v>4033</v>
      </c>
      <c r="K167" s="80" t="s">
        <v>6421</v>
      </c>
      <c r="M167" s="81"/>
      <c r="N167" s="81"/>
      <c r="O167" s="81"/>
      <c r="P167" s="81"/>
      <c r="Q167" s="81"/>
      <c r="R167" s="81"/>
    </row>
    <row r="168">
      <c r="A168" s="60" t="s">
        <v>6411</v>
      </c>
      <c r="B168" s="60" t="s">
        <v>534</v>
      </c>
      <c r="C168" s="60" t="s">
        <v>6412</v>
      </c>
      <c r="D168" s="79" t="s">
        <v>5952</v>
      </c>
      <c r="E168" s="79" t="s">
        <v>5952</v>
      </c>
      <c r="F168" s="83">
        <v>8625.0</v>
      </c>
      <c r="G168" s="79" t="s">
        <v>6413</v>
      </c>
      <c r="H168" s="79" t="s">
        <v>6038</v>
      </c>
      <c r="I168" s="79" t="s">
        <v>6039</v>
      </c>
      <c r="J168" s="79" t="s">
        <v>6422</v>
      </c>
      <c r="K168" s="80" t="s">
        <v>6423</v>
      </c>
      <c r="M168" s="81"/>
      <c r="N168" s="81"/>
      <c r="O168" s="81"/>
      <c r="P168" s="81"/>
      <c r="Q168" s="81"/>
      <c r="R168" s="81"/>
    </row>
    <row r="169">
      <c r="A169" s="60" t="s">
        <v>6411</v>
      </c>
      <c r="B169" s="60" t="s">
        <v>534</v>
      </c>
      <c r="C169" s="60" t="s">
        <v>6412</v>
      </c>
      <c r="D169" s="79" t="s">
        <v>5952</v>
      </c>
      <c r="E169" s="79" t="s">
        <v>5952</v>
      </c>
      <c r="F169" s="83">
        <v>8625.0</v>
      </c>
      <c r="G169" s="79" t="s">
        <v>6413</v>
      </c>
      <c r="H169" s="79" t="s">
        <v>6194</v>
      </c>
      <c r="I169" s="79" t="s">
        <v>6195</v>
      </c>
      <c r="J169" s="79" t="s">
        <v>6424</v>
      </c>
      <c r="K169" s="80" t="s">
        <v>6425</v>
      </c>
      <c r="M169" s="81"/>
      <c r="N169" s="81"/>
      <c r="O169" s="81"/>
      <c r="P169" s="81"/>
      <c r="Q169" s="81"/>
      <c r="R169" s="81"/>
    </row>
    <row r="170">
      <c r="A170" s="60" t="s">
        <v>6411</v>
      </c>
      <c r="B170" s="60" t="s">
        <v>534</v>
      </c>
      <c r="C170" s="60" t="s">
        <v>6412</v>
      </c>
      <c r="D170" s="79" t="s">
        <v>5952</v>
      </c>
      <c r="E170" s="79" t="s">
        <v>5952</v>
      </c>
      <c r="F170" s="83">
        <v>8625.0</v>
      </c>
      <c r="G170" s="79" t="s">
        <v>6413</v>
      </c>
      <c r="H170" s="79" t="s">
        <v>1168</v>
      </c>
      <c r="I170" s="79" t="s">
        <v>6060</v>
      </c>
      <c r="J170" s="79" t="s">
        <v>6426</v>
      </c>
      <c r="K170" s="80" t="s">
        <v>6427</v>
      </c>
      <c r="M170" s="81"/>
      <c r="N170" s="81"/>
      <c r="O170" s="81"/>
      <c r="P170" s="81"/>
      <c r="Q170" s="81"/>
      <c r="R170" s="81"/>
    </row>
    <row r="171">
      <c r="A171" s="60" t="s">
        <v>6411</v>
      </c>
      <c r="B171" s="60" t="s">
        <v>534</v>
      </c>
      <c r="C171" s="60" t="s">
        <v>6412</v>
      </c>
      <c r="D171" s="79" t="s">
        <v>5952</v>
      </c>
      <c r="E171" s="79">
        <v>20.0</v>
      </c>
      <c r="F171" s="83">
        <v>8625.0</v>
      </c>
      <c r="G171" s="79" t="s">
        <v>6413</v>
      </c>
      <c r="H171" s="79" t="s">
        <v>6081</v>
      </c>
      <c r="I171" s="79" t="s">
        <v>6082</v>
      </c>
      <c r="J171" s="79" t="s">
        <v>6428</v>
      </c>
      <c r="K171" s="80" t="s">
        <v>6429</v>
      </c>
      <c r="M171" s="81"/>
      <c r="N171" s="81"/>
      <c r="O171" s="82"/>
      <c r="P171" s="81"/>
      <c r="Q171" s="81"/>
      <c r="R171" s="81"/>
    </row>
    <row r="172">
      <c r="A172" s="60" t="s">
        <v>6411</v>
      </c>
      <c r="B172" s="60" t="s">
        <v>534</v>
      </c>
      <c r="C172" s="60" t="s">
        <v>6412</v>
      </c>
      <c r="D172" s="79" t="s">
        <v>5952</v>
      </c>
      <c r="E172" s="79">
        <v>30.0</v>
      </c>
      <c r="F172" s="83">
        <v>8625.0</v>
      </c>
      <c r="G172" s="79" t="s">
        <v>6413</v>
      </c>
      <c r="H172" s="79" t="s">
        <v>1583</v>
      </c>
      <c r="I172" s="79" t="s">
        <v>6430</v>
      </c>
      <c r="J172" s="79" t="s">
        <v>6431</v>
      </c>
      <c r="K172" s="80" t="s">
        <v>6432</v>
      </c>
      <c r="M172" s="81"/>
      <c r="N172" s="81"/>
      <c r="O172" s="82"/>
      <c r="P172" s="81"/>
      <c r="Q172" s="81"/>
      <c r="R172" s="81"/>
    </row>
    <row r="173">
      <c r="A173" s="60" t="s">
        <v>6411</v>
      </c>
      <c r="B173" s="60" t="s">
        <v>534</v>
      </c>
      <c r="C173" s="60" t="s">
        <v>6412</v>
      </c>
      <c r="D173" s="79" t="s">
        <v>5952</v>
      </c>
      <c r="E173" s="79" t="s">
        <v>5952</v>
      </c>
      <c r="F173" s="83">
        <v>8625.0</v>
      </c>
      <c r="G173" s="79" t="s">
        <v>6413</v>
      </c>
      <c r="H173" s="79" t="s">
        <v>1213</v>
      </c>
      <c r="I173" s="79" t="s">
        <v>6303</v>
      </c>
      <c r="J173" s="79" t="s">
        <v>6433</v>
      </c>
      <c r="K173" s="80" t="s">
        <v>6434</v>
      </c>
      <c r="M173" s="81"/>
      <c r="N173" s="81"/>
      <c r="O173" s="81"/>
      <c r="P173" s="81"/>
      <c r="Q173" s="81"/>
      <c r="R173" s="81"/>
    </row>
    <row r="174">
      <c r="A174" s="60" t="s">
        <v>6411</v>
      </c>
      <c r="B174" s="60" t="s">
        <v>534</v>
      </c>
      <c r="C174" s="60" t="s">
        <v>6412</v>
      </c>
      <c r="D174" s="79" t="s">
        <v>5962</v>
      </c>
      <c r="E174" s="79">
        <v>40.0</v>
      </c>
      <c r="F174" s="83">
        <v>8625.0</v>
      </c>
      <c r="G174" s="79" t="s">
        <v>6413</v>
      </c>
      <c r="H174" s="79" t="s">
        <v>1105</v>
      </c>
      <c r="I174" s="79" t="s">
        <v>6435</v>
      </c>
      <c r="J174" s="79" t="s">
        <v>6436</v>
      </c>
      <c r="K174" s="80" t="s">
        <v>6437</v>
      </c>
      <c r="M174" s="81"/>
      <c r="N174" s="81"/>
      <c r="O174" s="82"/>
      <c r="P174" s="81"/>
      <c r="Q174" s="81"/>
      <c r="R174" s="81"/>
    </row>
    <row r="175">
      <c r="A175" s="60" t="s">
        <v>6411</v>
      </c>
      <c r="B175" s="60" t="s">
        <v>534</v>
      </c>
      <c r="C175" s="60" t="s">
        <v>6412</v>
      </c>
      <c r="D175" s="79" t="s">
        <v>5952</v>
      </c>
      <c r="E175" s="79" t="s">
        <v>5952</v>
      </c>
      <c r="F175" s="83">
        <v>8625.0</v>
      </c>
      <c r="G175" s="79" t="s">
        <v>6413</v>
      </c>
      <c r="H175" s="79" t="s">
        <v>1111</v>
      </c>
      <c r="I175" s="79" t="s">
        <v>6165</v>
      </c>
      <c r="J175" s="79" t="s">
        <v>6438</v>
      </c>
      <c r="K175" s="80" t="s">
        <v>6439</v>
      </c>
      <c r="M175" s="81"/>
      <c r="N175" s="81"/>
      <c r="O175" s="81"/>
      <c r="P175" s="81"/>
      <c r="Q175" s="81"/>
      <c r="R175" s="81"/>
    </row>
    <row r="176">
      <c r="A176" s="60" t="s">
        <v>6411</v>
      </c>
      <c r="B176" s="60" t="s">
        <v>534</v>
      </c>
      <c r="C176" s="60" t="s">
        <v>6412</v>
      </c>
      <c r="D176" s="79" t="s">
        <v>5952</v>
      </c>
      <c r="E176" s="79" t="s">
        <v>5952</v>
      </c>
      <c r="F176" s="83">
        <v>8625.0</v>
      </c>
      <c r="G176" s="79" t="s">
        <v>6413</v>
      </c>
      <c r="H176" s="79" t="s">
        <v>6207</v>
      </c>
      <c r="I176" s="79" t="s">
        <v>6208</v>
      </c>
      <c r="J176" s="79" t="s">
        <v>6440</v>
      </c>
      <c r="K176" s="80" t="s">
        <v>6441</v>
      </c>
      <c r="M176" s="81"/>
      <c r="N176" s="81"/>
      <c r="O176" s="81"/>
      <c r="P176" s="81"/>
      <c r="Q176" s="81"/>
      <c r="R176" s="81"/>
    </row>
    <row r="177">
      <c r="A177" s="60" t="s">
        <v>6411</v>
      </c>
      <c r="B177" s="60" t="s">
        <v>534</v>
      </c>
      <c r="C177" s="60" t="s">
        <v>6412</v>
      </c>
      <c r="D177" s="79" t="s">
        <v>5952</v>
      </c>
      <c r="E177" s="79">
        <v>60.0</v>
      </c>
      <c r="F177" s="83">
        <v>8625.0</v>
      </c>
      <c r="G177" s="79" t="s">
        <v>6413</v>
      </c>
      <c r="H177" s="79" t="s">
        <v>6442</v>
      </c>
      <c r="I177" s="79" t="s">
        <v>6443</v>
      </c>
      <c r="J177" s="79" t="s">
        <v>6444</v>
      </c>
      <c r="K177" s="80" t="s">
        <v>6445</v>
      </c>
      <c r="M177" s="81"/>
      <c r="N177" s="81"/>
      <c r="O177" s="82"/>
      <c r="P177" s="81"/>
      <c r="Q177" s="81"/>
      <c r="R177" s="81"/>
    </row>
    <row r="178">
      <c r="A178" s="60" t="s">
        <v>6411</v>
      </c>
      <c r="B178" s="60" t="s">
        <v>534</v>
      </c>
      <c r="C178" s="60" t="s">
        <v>6412</v>
      </c>
      <c r="D178" s="79" t="s">
        <v>5952</v>
      </c>
      <c r="E178" s="79" t="s">
        <v>5952</v>
      </c>
      <c r="F178" s="83">
        <v>8625.0</v>
      </c>
      <c r="G178" s="79" t="s">
        <v>6413</v>
      </c>
      <c r="H178" s="79" t="s">
        <v>6243</v>
      </c>
      <c r="I178" s="79" t="s">
        <v>6244</v>
      </c>
      <c r="J178" s="79" t="s">
        <v>6446</v>
      </c>
      <c r="K178" s="80" t="s">
        <v>6447</v>
      </c>
      <c r="M178" s="81"/>
      <c r="N178" s="81"/>
      <c r="O178" s="81"/>
      <c r="P178" s="81"/>
      <c r="Q178" s="81"/>
      <c r="R178" s="81"/>
    </row>
    <row r="179">
      <c r="A179" s="60" t="s">
        <v>6411</v>
      </c>
      <c r="B179" s="60" t="s">
        <v>534</v>
      </c>
      <c r="C179" s="60" t="s">
        <v>6412</v>
      </c>
      <c r="D179" s="79" t="s">
        <v>5967</v>
      </c>
      <c r="E179" s="79">
        <v>80.0</v>
      </c>
      <c r="F179" s="83">
        <v>8625.0</v>
      </c>
      <c r="G179" s="79" t="s">
        <v>6413</v>
      </c>
      <c r="H179" s="79" t="s">
        <v>6345</v>
      </c>
      <c r="I179" s="79" t="s">
        <v>6346</v>
      </c>
      <c r="J179" s="79" t="s">
        <v>6448</v>
      </c>
      <c r="K179" s="80" t="s">
        <v>6449</v>
      </c>
      <c r="M179" s="81"/>
      <c r="N179" s="81"/>
      <c r="O179" s="82"/>
      <c r="P179" s="81"/>
      <c r="Q179" s="81"/>
      <c r="R179" s="81"/>
    </row>
    <row r="180">
      <c r="A180" s="60" t="s">
        <v>6411</v>
      </c>
      <c r="B180" s="60" t="s">
        <v>534</v>
      </c>
      <c r="C180" s="60" t="s">
        <v>6412</v>
      </c>
      <c r="D180" s="79" t="s">
        <v>5952</v>
      </c>
      <c r="E180" s="79" t="s">
        <v>5952</v>
      </c>
      <c r="F180" s="83">
        <v>8625.0</v>
      </c>
      <c r="G180" s="79" t="s">
        <v>6413</v>
      </c>
      <c r="H180" s="79" t="s">
        <v>6391</v>
      </c>
      <c r="I180" s="79" t="s">
        <v>6392</v>
      </c>
      <c r="J180" s="79" t="s">
        <v>6450</v>
      </c>
      <c r="K180" s="80" t="s">
        <v>6451</v>
      </c>
      <c r="M180" s="81"/>
      <c r="N180" s="81"/>
      <c r="O180" s="81"/>
      <c r="P180" s="81"/>
      <c r="Q180" s="81"/>
      <c r="R180" s="81"/>
    </row>
    <row r="181">
      <c r="A181" s="60" t="s">
        <v>6411</v>
      </c>
      <c r="B181" s="60" t="s">
        <v>534</v>
      </c>
      <c r="C181" s="60" t="s">
        <v>6412</v>
      </c>
      <c r="D181" s="79" t="s">
        <v>5952</v>
      </c>
      <c r="E181" s="79">
        <v>100.0</v>
      </c>
      <c r="F181" s="83">
        <v>8625.0</v>
      </c>
      <c r="G181" s="79" t="s">
        <v>6413</v>
      </c>
      <c r="H181" s="79" t="s">
        <v>6452</v>
      </c>
      <c r="I181" s="79" t="s">
        <v>6453</v>
      </c>
      <c r="J181" s="79" t="s">
        <v>6454</v>
      </c>
      <c r="K181" s="80" t="s">
        <v>6455</v>
      </c>
      <c r="M181" s="81"/>
      <c r="N181" s="81"/>
      <c r="O181" s="82"/>
      <c r="P181" s="81"/>
      <c r="Q181" s="81"/>
      <c r="R181" s="81"/>
    </row>
    <row r="182">
      <c r="A182" s="60" t="s">
        <v>6411</v>
      </c>
      <c r="B182" s="60" t="s">
        <v>534</v>
      </c>
      <c r="C182" s="60" t="s">
        <v>6412</v>
      </c>
      <c r="D182" s="79" t="s">
        <v>5952</v>
      </c>
      <c r="E182" s="79" t="s">
        <v>5952</v>
      </c>
      <c r="F182" s="83">
        <v>8625.0</v>
      </c>
      <c r="G182" s="79" t="s">
        <v>6413</v>
      </c>
      <c r="H182" s="79" t="s">
        <v>6349</v>
      </c>
      <c r="I182" s="79" t="s">
        <v>6350</v>
      </c>
      <c r="J182" s="79" t="s">
        <v>6456</v>
      </c>
      <c r="K182" s="80" t="s">
        <v>6457</v>
      </c>
      <c r="M182" s="81"/>
      <c r="N182" s="81"/>
      <c r="O182" s="81"/>
      <c r="P182" s="81"/>
      <c r="Q182" s="81"/>
      <c r="R182" s="81"/>
    </row>
    <row r="183">
      <c r="A183" s="60" t="s">
        <v>6411</v>
      </c>
      <c r="B183" s="60" t="s">
        <v>534</v>
      </c>
      <c r="C183" s="60" t="s">
        <v>6412</v>
      </c>
      <c r="D183" s="79" t="s">
        <v>5952</v>
      </c>
      <c r="E183" s="79">
        <v>120.0</v>
      </c>
      <c r="F183" s="83">
        <v>8625.0</v>
      </c>
      <c r="G183" s="79" t="s">
        <v>6413</v>
      </c>
      <c r="H183" s="79" t="s">
        <v>6397</v>
      </c>
      <c r="I183" s="79" t="s">
        <v>6398</v>
      </c>
      <c r="J183" s="79" t="s">
        <v>6458</v>
      </c>
      <c r="K183" s="80" t="s">
        <v>6459</v>
      </c>
      <c r="M183" s="81"/>
      <c r="N183" s="81"/>
      <c r="O183" s="82"/>
      <c r="P183" s="81"/>
      <c r="Q183" s="81"/>
      <c r="R183" s="81"/>
    </row>
    <row r="184">
      <c r="A184" s="60" t="s">
        <v>6411</v>
      </c>
      <c r="B184" s="60" t="s">
        <v>534</v>
      </c>
      <c r="C184" s="60" t="s">
        <v>6412</v>
      </c>
      <c r="D184" s="79" t="s">
        <v>5952</v>
      </c>
      <c r="E184" s="79" t="s">
        <v>5952</v>
      </c>
      <c r="F184" s="83">
        <v>8625.0</v>
      </c>
      <c r="G184" s="79" t="s">
        <v>6413</v>
      </c>
      <c r="H184" s="79" t="s">
        <v>6353</v>
      </c>
      <c r="I184" s="79" t="s">
        <v>6354</v>
      </c>
      <c r="J184" s="79" t="s">
        <v>6460</v>
      </c>
      <c r="K184" s="80" t="s">
        <v>6461</v>
      </c>
      <c r="M184" s="81"/>
      <c r="N184" s="81"/>
      <c r="O184" s="81"/>
      <c r="P184" s="81"/>
      <c r="Q184" s="81"/>
      <c r="R184" s="81"/>
    </row>
    <row r="185">
      <c r="A185" s="60" t="s">
        <v>6411</v>
      </c>
      <c r="B185" s="60" t="s">
        <v>534</v>
      </c>
      <c r="C185" s="60" t="s">
        <v>6412</v>
      </c>
      <c r="D185" s="79" t="s">
        <v>5952</v>
      </c>
      <c r="E185" s="79">
        <v>140.0</v>
      </c>
      <c r="F185" s="83">
        <v>8625.0</v>
      </c>
      <c r="G185" s="79" t="s">
        <v>6413</v>
      </c>
      <c r="H185" s="79" t="s">
        <v>6462</v>
      </c>
      <c r="I185" s="79" t="s">
        <v>6463</v>
      </c>
      <c r="J185" s="79" t="s">
        <v>6464</v>
      </c>
      <c r="K185" s="80" t="s">
        <v>6465</v>
      </c>
      <c r="M185" s="81"/>
      <c r="N185" s="81"/>
      <c r="O185" s="82"/>
      <c r="P185" s="81"/>
      <c r="Q185" s="81"/>
      <c r="R185" s="81"/>
    </row>
    <row r="186">
      <c r="A186" s="60" t="s">
        <v>6411</v>
      </c>
      <c r="B186" s="60" t="s">
        <v>534</v>
      </c>
      <c r="C186" s="60" t="s">
        <v>6412</v>
      </c>
      <c r="D186" s="79" t="s">
        <v>5975</v>
      </c>
      <c r="E186" s="79" t="s">
        <v>5952</v>
      </c>
      <c r="F186" s="83">
        <v>8625.0</v>
      </c>
      <c r="G186" s="79" t="s">
        <v>6413</v>
      </c>
      <c r="H186" s="79" t="s">
        <v>6407</v>
      </c>
      <c r="I186" s="79" t="s">
        <v>6408</v>
      </c>
      <c r="J186" s="79" t="s">
        <v>6466</v>
      </c>
      <c r="K186" s="80" t="s">
        <v>6467</v>
      </c>
      <c r="M186" s="81"/>
      <c r="N186" s="81"/>
      <c r="O186" s="81"/>
      <c r="P186" s="81"/>
      <c r="Q186" s="81"/>
      <c r="R186" s="81"/>
    </row>
    <row r="187">
      <c r="A187" s="60" t="s">
        <v>6411</v>
      </c>
      <c r="B187" s="60" t="s">
        <v>534</v>
      </c>
      <c r="C187" s="60" t="s">
        <v>6412</v>
      </c>
      <c r="D187" s="79" t="s">
        <v>5952</v>
      </c>
      <c r="E187" s="79">
        <v>160.0</v>
      </c>
      <c r="F187" s="83">
        <v>8625.0</v>
      </c>
      <c r="G187" s="79" t="s">
        <v>6413</v>
      </c>
      <c r="H187" s="79" t="s">
        <v>6468</v>
      </c>
      <c r="I187" s="79" t="s">
        <v>6469</v>
      </c>
      <c r="J187" s="79" t="s">
        <v>6470</v>
      </c>
      <c r="K187" s="80" t="s">
        <v>6471</v>
      </c>
      <c r="M187" s="81"/>
      <c r="N187" s="81"/>
      <c r="O187" s="82"/>
      <c r="P187" s="81"/>
      <c r="Q187" s="81"/>
      <c r="R187" s="81"/>
    </row>
    <row r="188">
      <c r="A188" s="60" t="s">
        <v>6411</v>
      </c>
      <c r="B188" s="60" t="s">
        <v>534</v>
      </c>
      <c r="C188" s="60" t="s">
        <v>6412</v>
      </c>
      <c r="D188" s="79" t="s">
        <v>5952</v>
      </c>
      <c r="E188" s="79" t="s">
        <v>5952</v>
      </c>
      <c r="F188" s="83">
        <v>8625.0</v>
      </c>
      <c r="G188" s="79" t="s">
        <v>6413</v>
      </c>
      <c r="H188" s="83">
        <v>1000.0</v>
      </c>
      <c r="I188" s="79" t="s">
        <v>6472</v>
      </c>
      <c r="J188" s="79" t="s">
        <v>6473</v>
      </c>
      <c r="K188" s="80" t="s">
        <v>6474</v>
      </c>
      <c r="M188" s="81"/>
      <c r="N188" s="81"/>
      <c r="O188" s="81"/>
      <c r="P188" s="81"/>
      <c r="Q188" s="81"/>
      <c r="R188" s="81"/>
    </row>
    <row r="189">
      <c r="A189" s="60" t="s">
        <v>6475</v>
      </c>
      <c r="B189" s="60" t="s">
        <v>534</v>
      </c>
      <c r="C189" s="60" t="s">
        <v>6476</v>
      </c>
      <c r="D189" s="79" t="s">
        <v>5952</v>
      </c>
      <c r="E189" s="79">
        <v>5.0</v>
      </c>
      <c r="F189" s="83">
        <v>10750.0</v>
      </c>
      <c r="G189" s="79" t="s">
        <v>6477</v>
      </c>
      <c r="H189" s="79" t="s">
        <v>6325</v>
      </c>
      <c r="I189" s="79" t="s">
        <v>6326</v>
      </c>
      <c r="J189" s="79" t="s">
        <v>6478</v>
      </c>
      <c r="K189" s="80" t="s">
        <v>6479</v>
      </c>
      <c r="M189" s="81"/>
      <c r="N189" s="81"/>
      <c r="O189" s="82"/>
      <c r="P189" s="81"/>
      <c r="Q189" s="81"/>
      <c r="R189" s="81"/>
    </row>
    <row r="190">
      <c r="A190" s="60" t="s">
        <v>6475</v>
      </c>
      <c r="B190" s="60" t="s">
        <v>534</v>
      </c>
      <c r="C190" s="60" t="s">
        <v>6476</v>
      </c>
      <c r="D190" s="79" t="s">
        <v>5952</v>
      </c>
      <c r="E190" s="79" t="s">
        <v>5952</v>
      </c>
      <c r="F190" s="83">
        <v>10750.0</v>
      </c>
      <c r="G190" s="79" t="s">
        <v>6477</v>
      </c>
      <c r="H190" s="79" t="s">
        <v>6186</v>
      </c>
      <c r="I190" s="79" t="s">
        <v>6187</v>
      </c>
      <c r="J190" s="79" t="s">
        <v>6480</v>
      </c>
      <c r="K190" s="80" t="s">
        <v>6481</v>
      </c>
      <c r="M190" s="81"/>
      <c r="N190" s="81"/>
      <c r="O190" s="81"/>
      <c r="P190" s="81"/>
      <c r="Q190" s="81"/>
      <c r="R190" s="81"/>
    </row>
    <row r="191">
      <c r="A191" s="60" t="s">
        <v>6475</v>
      </c>
      <c r="B191" s="60" t="s">
        <v>546</v>
      </c>
      <c r="C191" s="60" t="s">
        <v>6476</v>
      </c>
      <c r="D191" s="79" t="s">
        <v>5952</v>
      </c>
      <c r="E191" s="79">
        <v>10.0</v>
      </c>
      <c r="F191" s="83">
        <v>10750.0</v>
      </c>
      <c r="G191" s="79" t="s">
        <v>6477</v>
      </c>
      <c r="H191" s="79" t="s">
        <v>6482</v>
      </c>
      <c r="I191" s="79" t="s">
        <v>6483</v>
      </c>
      <c r="J191" s="79" t="s">
        <v>6484</v>
      </c>
      <c r="K191" s="80" t="s">
        <v>6485</v>
      </c>
      <c r="M191" s="81"/>
      <c r="N191" s="81"/>
      <c r="O191" s="82"/>
      <c r="P191" s="81"/>
      <c r="Q191" s="81"/>
      <c r="R191" s="81"/>
    </row>
    <row r="192">
      <c r="A192" s="60" t="s">
        <v>6475</v>
      </c>
      <c r="B192" s="60" t="s">
        <v>546</v>
      </c>
      <c r="C192" s="60" t="s">
        <v>6476</v>
      </c>
      <c r="D192" s="79" t="s">
        <v>5952</v>
      </c>
      <c r="E192" s="79" t="s">
        <v>5952</v>
      </c>
      <c r="F192" s="83">
        <v>10750.0</v>
      </c>
      <c r="G192" s="79" t="s">
        <v>6477</v>
      </c>
      <c r="H192" s="79" t="s">
        <v>6038</v>
      </c>
      <c r="I192" s="79" t="s">
        <v>6039</v>
      </c>
      <c r="J192" s="79" t="s">
        <v>6486</v>
      </c>
      <c r="K192" s="80" t="s">
        <v>6487</v>
      </c>
      <c r="M192" s="81"/>
      <c r="N192" s="81"/>
      <c r="O192" s="81"/>
      <c r="P192" s="81"/>
      <c r="Q192" s="81"/>
      <c r="R192" s="81"/>
    </row>
    <row r="193">
      <c r="A193" s="60" t="s">
        <v>6475</v>
      </c>
      <c r="B193" s="60" t="s">
        <v>546</v>
      </c>
      <c r="C193" s="60" t="s">
        <v>6476</v>
      </c>
      <c r="D193" s="79" t="s">
        <v>5952</v>
      </c>
      <c r="E193" s="79" t="s">
        <v>5952</v>
      </c>
      <c r="F193" s="83">
        <v>10750.0</v>
      </c>
      <c r="G193" s="79" t="s">
        <v>6477</v>
      </c>
      <c r="H193" s="79" t="s">
        <v>6194</v>
      </c>
      <c r="I193" s="79" t="s">
        <v>6195</v>
      </c>
      <c r="J193" s="79" t="s">
        <v>6488</v>
      </c>
      <c r="K193" s="80" t="s">
        <v>6489</v>
      </c>
      <c r="M193" s="81"/>
      <c r="N193" s="81"/>
      <c r="O193" s="81"/>
      <c r="P193" s="81"/>
      <c r="Q193" s="81"/>
      <c r="R193" s="81"/>
    </row>
    <row r="194">
      <c r="A194" s="60" t="s">
        <v>6475</v>
      </c>
      <c r="B194" s="60" t="s">
        <v>546</v>
      </c>
      <c r="C194" s="60" t="s">
        <v>6476</v>
      </c>
      <c r="D194" s="79" t="s">
        <v>5952</v>
      </c>
      <c r="E194" s="79" t="s">
        <v>5952</v>
      </c>
      <c r="F194" s="83">
        <v>10750.0</v>
      </c>
      <c r="G194" s="79" t="s">
        <v>6477</v>
      </c>
      <c r="H194" s="79" t="s">
        <v>1168</v>
      </c>
      <c r="I194" s="79" t="s">
        <v>6060</v>
      </c>
      <c r="J194" s="79" t="s">
        <v>6490</v>
      </c>
      <c r="K194" s="80" t="s">
        <v>6491</v>
      </c>
      <c r="M194" s="81"/>
      <c r="N194" s="81"/>
      <c r="O194" s="81"/>
      <c r="P194" s="81"/>
      <c r="Q194" s="81"/>
      <c r="R194" s="81"/>
    </row>
    <row r="195">
      <c r="A195" s="60" t="s">
        <v>6475</v>
      </c>
      <c r="B195" s="60" t="s">
        <v>546</v>
      </c>
      <c r="C195" s="60" t="s">
        <v>6476</v>
      </c>
      <c r="D195" s="79" t="s">
        <v>5952</v>
      </c>
      <c r="E195" s="79">
        <v>20.0</v>
      </c>
      <c r="F195" s="83">
        <v>10750.0</v>
      </c>
      <c r="G195" s="79" t="s">
        <v>6477</v>
      </c>
      <c r="H195" s="79" t="s">
        <v>6081</v>
      </c>
      <c r="I195" s="79" t="s">
        <v>6082</v>
      </c>
      <c r="J195" s="79" t="s">
        <v>6492</v>
      </c>
      <c r="K195" s="80" t="s">
        <v>6493</v>
      </c>
      <c r="M195" s="81"/>
      <c r="N195" s="81"/>
      <c r="O195" s="82"/>
      <c r="P195" s="81"/>
      <c r="Q195" s="81"/>
      <c r="R195" s="81"/>
    </row>
    <row r="196">
      <c r="A196" s="60" t="s">
        <v>6475</v>
      </c>
      <c r="B196" s="60" t="s">
        <v>546</v>
      </c>
      <c r="C196" s="60" t="s">
        <v>6476</v>
      </c>
      <c r="D196" s="79" t="s">
        <v>5952</v>
      </c>
      <c r="E196" s="79" t="s">
        <v>5952</v>
      </c>
      <c r="F196" s="83">
        <v>10750.0</v>
      </c>
      <c r="G196" s="79" t="s">
        <v>6477</v>
      </c>
      <c r="H196" s="79" t="s">
        <v>1586</v>
      </c>
      <c r="I196" s="79" t="s">
        <v>6494</v>
      </c>
      <c r="J196" s="79" t="s">
        <v>6495</v>
      </c>
      <c r="K196" s="80" t="s">
        <v>6496</v>
      </c>
      <c r="M196" s="81"/>
      <c r="N196" s="81"/>
      <c r="O196" s="81"/>
      <c r="P196" s="81"/>
      <c r="Q196" s="81"/>
      <c r="R196" s="81"/>
    </row>
    <row r="197">
      <c r="A197" s="60" t="s">
        <v>6475</v>
      </c>
      <c r="B197" s="60" t="s">
        <v>546</v>
      </c>
      <c r="C197" s="60" t="s">
        <v>6476</v>
      </c>
      <c r="D197" s="79" t="s">
        <v>5952</v>
      </c>
      <c r="E197" s="79">
        <v>30.0</v>
      </c>
      <c r="F197" s="83">
        <v>10750.0</v>
      </c>
      <c r="G197" s="79" t="s">
        <v>6477</v>
      </c>
      <c r="H197" s="79" t="s">
        <v>1189</v>
      </c>
      <c r="I197" s="79" t="s">
        <v>6497</v>
      </c>
      <c r="J197" s="79" t="s">
        <v>6498</v>
      </c>
      <c r="K197" s="80" t="s">
        <v>6499</v>
      </c>
      <c r="M197" s="81"/>
      <c r="N197" s="81"/>
      <c r="O197" s="82"/>
      <c r="P197" s="81"/>
      <c r="Q197" s="81"/>
      <c r="R197" s="81"/>
    </row>
    <row r="198">
      <c r="A198" s="60" t="s">
        <v>6475</v>
      </c>
      <c r="B198" s="60" t="s">
        <v>546</v>
      </c>
      <c r="C198" s="60" t="s">
        <v>6476</v>
      </c>
      <c r="D198" s="79" t="s">
        <v>5952</v>
      </c>
      <c r="E198" s="79" t="s">
        <v>5952</v>
      </c>
      <c r="F198" s="83">
        <v>10750.0</v>
      </c>
      <c r="G198" s="79" t="s">
        <v>6477</v>
      </c>
      <c r="H198" s="79" t="s">
        <v>1111</v>
      </c>
      <c r="I198" s="79" t="s">
        <v>6165</v>
      </c>
      <c r="J198" s="79" t="s">
        <v>6500</v>
      </c>
      <c r="K198" s="80" t="s">
        <v>6501</v>
      </c>
      <c r="M198" s="81"/>
      <c r="N198" s="81"/>
      <c r="O198" s="81"/>
      <c r="P198" s="81"/>
      <c r="Q198" s="81"/>
      <c r="R198" s="81"/>
    </row>
    <row r="199">
      <c r="A199" s="60" t="s">
        <v>6475</v>
      </c>
      <c r="B199" s="60" t="s">
        <v>546</v>
      </c>
      <c r="C199" s="60" t="s">
        <v>6476</v>
      </c>
      <c r="D199" s="79" t="s">
        <v>5962</v>
      </c>
      <c r="E199" s="79">
        <v>40.0</v>
      </c>
      <c r="F199" s="83">
        <v>10750.0</v>
      </c>
      <c r="G199" s="79" t="s">
        <v>6477</v>
      </c>
      <c r="H199" s="79" t="s">
        <v>1532</v>
      </c>
      <c r="I199" s="79" t="s">
        <v>6502</v>
      </c>
      <c r="J199" s="79" t="s">
        <v>6503</v>
      </c>
      <c r="K199" s="80" t="s">
        <v>6504</v>
      </c>
      <c r="M199" s="81"/>
      <c r="N199" s="81"/>
      <c r="O199" s="82"/>
      <c r="P199" s="81"/>
      <c r="Q199" s="81"/>
      <c r="R199" s="81"/>
    </row>
    <row r="200">
      <c r="A200" s="60" t="s">
        <v>6475</v>
      </c>
      <c r="B200" s="60" t="s">
        <v>546</v>
      </c>
      <c r="C200" s="60" t="s">
        <v>6476</v>
      </c>
      <c r="D200" s="79" t="s">
        <v>5952</v>
      </c>
      <c r="E200" s="79" t="s">
        <v>5952</v>
      </c>
      <c r="F200" s="83">
        <v>10750.0</v>
      </c>
      <c r="G200" s="79" t="s">
        <v>6477</v>
      </c>
      <c r="H200" s="79" t="s">
        <v>6243</v>
      </c>
      <c r="I200" s="79" t="s">
        <v>6244</v>
      </c>
      <c r="J200" s="79" t="s">
        <v>6505</v>
      </c>
      <c r="K200" s="80" t="s">
        <v>6506</v>
      </c>
      <c r="M200" s="81"/>
      <c r="N200" s="81"/>
      <c r="O200" s="81"/>
      <c r="P200" s="81"/>
      <c r="Q200" s="81"/>
      <c r="R200" s="81"/>
    </row>
    <row r="201">
      <c r="A201" s="60" t="s">
        <v>6475</v>
      </c>
      <c r="B201" s="60" t="s">
        <v>546</v>
      </c>
      <c r="C201" s="60" t="s">
        <v>6476</v>
      </c>
      <c r="D201" s="79" t="s">
        <v>5967</v>
      </c>
      <c r="E201" s="79">
        <v>60.0</v>
      </c>
      <c r="F201" s="83">
        <v>10750.0</v>
      </c>
      <c r="G201" s="79" t="s">
        <v>6477</v>
      </c>
      <c r="H201" s="79" t="s">
        <v>6345</v>
      </c>
      <c r="I201" s="79" t="s">
        <v>6346</v>
      </c>
      <c r="J201" s="79" t="s">
        <v>6507</v>
      </c>
      <c r="K201" s="80" t="s">
        <v>6508</v>
      </c>
      <c r="M201" s="81"/>
      <c r="N201" s="81"/>
      <c r="O201" s="82"/>
      <c r="P201" s="81"/>
      <c r="Q201" s="81"/>
      <c r="R201" s="81"/>
    </row>
    <row r="202">
      <c r="A202" s="60" t="s">
        <v>6475</v>
      </c>
      <c r="B202" s="60" t="s">
        <v>546</v>
      </c>
      <c r="C202" s="60" t="s">
        <v>6476</v>
      </c>
      <c r="D202" s="79" t="s">
        <v>5952</v>
      </c>
      <c r="E202" s="79" t="s">
        <v>5952</v>
      </c>
      <c r="F202" s="83">
        <v>10750.0</v>
      </c>
      <c r="G202" s="79" t="s">
        <v>6477</v>
      </c>
      <c r="H202" s="79" t="s">
        <v>6391</v>
      </c>
      <c r="I202" s="79" t="s">
        <v>6392</v>
      </c>
      <c r="J202" s="79" t="s">
        <v>6509</v>
      </c>
      <c r="K202" s="80" t="s">
        <v>6510</v>
      </c>
      <c r="M202" s="81"/>
      <c r="N202" s="81"/>
      <c r="O202" s="81"/>
      <c r="P202" s="81"/>
      <c r="Q202" s="81"/>
      <c r="R202" s="81"/>
    </row>
    <row r="203">
      <c r="A203" s="60" t="s">
        <v>6475</v>
      </c>
      <c r="B203" s="60" t="s">
        <v>546</v>
      </c>
      <c r="C203" s="60" t="s">
        <v>6476</v>
      </c>
      <c r="D203" s="79" t="s">
        <v>5952</v>
      </c>
      <c r="E203" s="79">
        <v>80.0</v>
      </c>
      <c r="F203" s="83">
        <v>10750.0</v>
      </c>
      <c r="G203" s="79" t="s">
        <v>6477</v>
      </c>
      <c r="H203" s="79" t="s">
        <v>6452</v>
      </c>
      <c r="I203" s="79" t="s">
        <v>6453</v>
      </c>
      <c r="J203" s="79" t="s">
        <v>6511</v>
      </c>
      <c r="K203" s="80" t="s">
        <v>6512</v>
      </c>
      <c r="M203" s="81"/>
      <c r="N203" s="81"/>
      <c r="O203" s="82"/>
      <c r="P203" s="81"/>
      <c r="Q203" s="81"/>
      <c r="R203" s="81"/>
    </row>
    <row r="204">
      <c r="A204" s="60" t="s">
        <v>6475</v>
      </c>
      <c r="B204" s="60" t="s">
        <v>546</v>
      </c>
      <c r="C204" s="60" t="s">
        <v>6476</v>
      </c>
      <c r="D204" s="79" t="s">
        <v>5952</v>
      </c>
      <c r="E204" s="79" t="s">
        <v>5952</v>
      </c>
      <c r="F204" s="83">
        <v>10750.0</v>
      </c>
      <c r="G204" s="79" t="s">
        <v>6477</v>
      </c>
      <c r="H204" s="79" t="s">
        <v>6349</v>
      </c>
      <c r="I204" s="79" t="s">
        <v>6350</v>
      </c>
      <c r="J204" s="79" t="s">
        <v>6513</v>
      </c>
      <c r="K204" s="80" t="s">
        <v>6514</v>
      </c>
      <c r="M204" s="81"/>
      <c r="N204" s="81"/>
      <c r="O204" s="81"/>
      <c r="P204" s="81"/>
      <c r="Q204" s="81"/>
      <c r="R204" s="81"/>
    </row>
    <row r="205">
      <c r="A205" s="60" t="s">
        <v>6475</v>
      </c>
      <c r="B205" s="60" t="s">
        <v>546</v>
      </c>
      <c r="C205" s="60" t="s">
        <v>6476</v>
      </c>
      <c r="D205" s="79" t="s">
        <v>5952</v>
      </c>
      <c r="E205" s="79">
        <v>100.0</v>
      </c>
      <c r="F205" s="83">
        <v>10750.0</v>
      </c>
      <c r="G205" s="79" t="s">
        <v>6477</v>
      </c>
      <c r="H205" s="79" t="s">
        <v>6397</v>
      </c>
      <c r="I205" s="79" t="s">
        <v>6398</v>
      </c>
      <c r="J205" s="79" t="s">
        <v>6515</v>
      </c>
      <c r="K205" s="80" t="s">
        <v>6516</v>
      </c>
      <c r="M205" s="81"/>
      <c r="N205" s="81"/>
      <c r="O205" s="82"/>
      <c r="P205" s="81"/>
      <c r="Q205" s="81"/>
      <c r="R205" s="81"/>
    </row>
    <row r="206">
      <c r="A206" s="60" t="s">
        <v>6475</v>
      </c>
      <c r="B206" s="60" t="s">
        <v>546</v>
      </c>
      <c r="C206" s="60" t="s">
        <v>6476</v>
      </c>
      <c r="D206" s="79" t="s">
        <v>5952</v>
      </c>
      <c r="E206" s="79" t="s">
        <v>5952</v>
      </c>
      <c r="F206" s="83">
        <v>10750.0</v>
      </c>
      <c r="G206" s="79" t="s">
        <v>6477</v>
      </c>
      <c r="H206" s="79" t="s">
        <v>6462</v>
      </c>
      <c r="I206" s="79" t="s">
        <v>6463</v>
      </c>
      <c r="J206" s="79" t="s">
        <v>6517</v>
      </c>
      <c r="K206" s="80" t="s">
        <v>6518</v>
      </c>
      <c r="M206" s="81"/>
      <c r="N206" s="81"/>
      <c r="O206" s="81"/>
      <c r="P206" s="81"/>
      <c r="Q206" s="81"/>
      <c r="R206" s="81"/>
    </row>
    <row r="207">
      <c r="A207" s="60" t="s">
        <v>6475</v>
      </c>
      <c r="B207" s="60" t="s">
        <v>546</v>
      </c>
      <c r="C207" s="60" t="s">
        <v>6476</v>
      </c>
      <c r="D207" s="79" t="s">
        <v>5952</v>
      </c>
      <c r="E207" s="79">
        <v>120.0</v>
      </c>
      <c r="F207" s="83">
        <v>10750.0</v>
      </c>
      <c r="G207" s="79" t="s">
        <v>6477</v>
      </c>
      <c r="H207" s="79" t="s">
        <v>6519</v>
      </c>
      <c r="I207" s="79" t="s">
        <v>6520</v>
      </c>
      <c r="J207" s="79" t="s">
        <v>6521</v>
      </c>
      <c r="K207" s="80" t="s">
        <v>6522</v>
      </c>
      <c r="M207" s="81"/>
      <c r="N207" s="81"/>
      <c r="O207" s="82"/>
      <c r="P207" s="81"/>
      <c r="Q207" s="81"/>
      <c r="R207" s="81"/>
    </row>
    <row r="208">
      <c r="A208" s="60" t="s">
        <v>6475</v>
      </c>
      <c r="B208" s="60" t="s">
        <v>546</v>
      </c>
      <c r="C208" s="60" t="s">
        <v>6476</v>
      </c>
      <c r="D208" s="79" t="s">
        <v>5952</v>
      </c>
      <c r="E208" s="79" t="s">
        <v>5952</v>
      </c>
      <c r="F208" s="83">
        <v>10750.0</v>
      </c>
      <c r="G208" s="79" t="s">
        <v>6477</v>
      </c>
      <c r="H208" s="79" t="s">
        <v>6407</v>
      </c>
      <c r="I208" s="79" t="s">
        <v>6408</v>
      </c>
      <c r="J208" s="79" t="s">
        <v>6523</v>
      </c>
      <c r="K208" s="80" t="s">
        <v>6524</v>
      </c>
      <c r="M208" s="81"/>
      <c r="N208" s="81"/>
      <c r="O208" s="81"/>
      <c r="P208" s="81"/>
      <c r="Q208" s="81"/>
      <c r="R208" s="81"/>
    </row>
    <row r="209">
      <c r="A209" s="60" t="s">
        <v>6475</v>
      </c>
      <c r="B209" s="60" t="s">
        <v>546</v>
      </c>
      <c r="C209" s="60" t="s">
        <v>6476</v>
      </c>
      <c r="D209" s="79" t="s">
        <v>5952</v>
      </c>
      <c r="E209" s="79" t="s">
        <v>5952</v>
      </c>
      <c r="F209" s="83">
        <v>10750.0</v>
      </c>
      <c r="G209" s="79" t="s">
        <v>6477</v>
      </c>
      <c r="H209" s="79" t="s">
        <v>6525</v>
      </c>
      <c r="I209" s="79" t="s">
        <v>6526</v>
      </c>
      <c r="J209" s="79" t="s">
        <v>6527</v>
      </c>
      <c r="K209" s="80" t="s">
        <v>6528</v>
      </c>
      <c r="M209" s="81"/>
      <c r="N209" s="81"/>
      <c r="O209" s="81"/>
      <c r="P209" s="81"/>
      <c r="Q209" s="81"/>
      <c r="R209" s="81"/>
    </row>
    <row r="210">
      <c r="A210" s="60" t="s">
        <v>6475</v>
      </c>
      <c r="B210" s="60" t="s">
        <v>546</v>
      </c>
      <c r="C210" s="60" t="s">
        <v>6476</v>
      </c>
      <c r="D210" s="79" t="s">
        <v>5975</v>
      </c>
      <c r="E210" s="79">
        <v>140.0</v>
      </c>
      <c r="F210" s="83">
        <v>10750.0</v>
      </c>
      <c r="G210" s="79" t="s">
        <v>6477</v>
      </c>
      <c r="H210" s="83">
        <v>1000.0</v>
      </c>
      <c r="I210" s="79" t="s">
        <v>6472</v>
      </c>
      <c r="J210" s="79" t="s">
        <v>6529</v>
      </c>
      <c r="K210" s="80" t="s">
        <v>6530</v>
      </c>
      <c r="M210" s="81"/>
      <c r="N210" s="81"/>
      <c r="O210" s="82"/>
      <c r="P210" s="81"/>
      <c r="Q210" s="81"/>
      <c r="R210" s="81"/>
    </row>
    <row r="211">
      <c r="A211" s="60" t="s">
        <v>6475</v>
      </c>
      <c r="B211" s="60" t="s">
        <v>546</v>
      </c>
      <c r="C211" s="60" t="s">
        <v>6476</v>
      </c>
      <c r="D211" s="79" t="s">
        <v>5952</v>
      </c>
      <c r="E211" s="79">
        <v>160.0</v>
      </c>
      <c r="F211" s="83">
        <v>10750.0</v>
      </c>
      <c r="G211" s="79" t="s">
        <v>6477</v>
      </c>
      <c r="H211" s="83">
        <v>1125.0</v>
      </c>
      <c r="I211" s="79" t="s">
        <v>6531</v>
      </c>
      <c r="J211" s="79" t="s">
        <v>6532</v>
      </c>
      <c r="K211" s="80" t="s">
        <v>6533</v>
      </c>
      <c r="M211" s="81"/>
      <c r="N211" s="81"/>
      <c r="O211" s="82"/>
      <c r="P211" s="81"/>
      <c r="Q211" s="81"/>
      <c r="R211" s="81"/>
    </row>
    <row r="212">
      <c r="A212" s="60" t="s">
        <v>6475</v>
      </c>
      <c r="B212" s="60" t="s">
        <v>546</v>
      </c>
      <c r="C212" s="60" t="s">
        <v>6476</v>
      </c>
      <c r="D212" s="79" t="s">
        <v>5952</v>
      </c>
      <c r="E212" s="79" t="s">
        <v>5952</v>
      </c>
      <c r="F212" s="83">
        <v>10750.0</v>
      </c>
      <c r="G212" s="79" t="s">
        <v>6477</v>
      </c>
      <c r="H212" s="83">
        <v>1250.0</v>
      </c>
      <c r="I212" s="79" t="s">
        <v>6534</v>
      </c>
      <c r="J212" s="79" t="s">
        <v>6535</v>
      </c>
      <c r="K212" s="80" t="s">
        <v>6536</v>
      </c>
      <c r="M212" s="81"/>
      <c r="N212" s="81"/>
      <c r="O212" s="81"/>
      <c r="P212" s="81"/>
      <c r="Q212" s="81"/>
      <c r="R212" s="81"/>
    </row>
    <row r="213">
      <c r="A213" s="60" t="s">
        <v>6537</v>
      </c>
      <c r="B213" s="60" t="s">
        <v>546</v>
      </c>
      <c r="C213" s="60" t="s">
        <v>465</v>
      </c>
      <c r="D213" s="79" t="s">
        <v>5952</v>
      </c>
      <c r="E213" s="79">
        <v>5.0</v>
      </c>
      <c r="F213" s="83">
        <v>12750.0</v>
      </c>
      <c r="G213" s="79" t="s">
        <v>6538</v>
      </c>
      <c r="H213" s="79" t="s">
        <v>6186</v>
      </c>
      <c r="I213" s="79" t="s">
        <v>6187</v>
      </c>
      <c r="J213" s="79" t="s">
        <v>6539</v>
      </c>
      <c r="K213" s="80" t="s">
        <v>6540</v>
      </c>
      <c r="M213" s="81"/>
      <c r="N213" s="81"/>
      <c r="O213" s="82"/>
      <c r="P213" s="81"/>
      <c r="Q213" s="81"/>
      <c r="R213" s="81"/>
    </row>
    <row r="214">
      <c r="A214" s="60" t="s">
        <v>6537</v>
      </c>
      <c r="B214" s="60" t="s">
        <v>546</v>
      </c>
      <c r="C214" s="60" t="s">
        <v>465</v>
      </c>
      <c r="D214" s="79" t="s">
        <v>5952</v>
      </c>
      <c r="E214" s="79" t="s">
        <v>5952</v>
      </c>
      <c r="F214" s="83">
        <v>12750.0</v>
      </c>
      <c r="G214" s="79" t="s">
        <v>6538</v>
      </c>
      <c r="H214" s="79" t="s">
        <v>6151</v>
      </c>
      <c r="I214" s="79" t="s">
        <v>6152</v>
      </c>
      <c r="J214" s="79" t="s">
        <v>6541</v>
      </c>
      <c r="K214" s="80" t="s">
        <v>6542</v>
      </c>
      <c r="M214" s="81"/>
      <c r="N214" s="81"/>
      <c r="O214" s="81"/>
      <c r="P214" s="81"/>
      <c r="Q214" s="81"/>
      <c r="R214" s="81"/>
    </row>
    <row r="215">
      <c r="A215" s="60" t="s">
        <v>6537</v>
      </c>
      <c r="B215" s="60" t="s">
        <v>611</v>
      </c>
      <c r="C215" s="60" t="s">
        <v>465</v>
      </c>
      <c r="D215" s="79" t="s">
        <v>5952</v>
      </c>
      <c r="E215" s="79">
        <v>10.0</v>
      </c>
      <c r="F215" s="83">
        <v>12750.0</v>
      </c>
      <c r="G215" s="79" t="s">
        <v>6538</v>
      </c>
      <c r="H215" s="79" t="s">
        <v>6543</v>
      </c>
      <c r="I215" s="79" t="s">
        <v>6544</v>
      </c>
      <c r="J215" s="79" t="s">
        <v>6545</v>
      </c>
      <c r="K215" s="80" t="s">
        <v>6546</v>
      </c>
      <c r="M215" s="81"/>
      <c r="N215" s="81"/>
      <c r="O215" s="82"/>
      <c r="P215" s="81"/>
      <c r="Q215" s="81"/>
      <c r="R215" s="81"/>
    </row>
    <row r="216">
      <c r="A216" s="60" t="s">
        <v>6537</v>
      </c>
      <c r="B216" s="60" t="s">
        <v>611</v>
      </c>
      <c r="C216" s="60" t="s">
        <v>465</v>
      </c>
      <c r="D216" s="79" t="s">
        <v>5952</v>
      </c>
      <c r="E216" s="79" t="s">
        <v>5952</v>
      </c>
      <c r="F216" s="83">
        <v>12750.0</v>
      </c>
      <c r="G216" s="79" t="s">
        <v>6538</v>
      </c>
      <c r="H216" s="79" t="s">
        <v>6038</v>
      </c>
      <c r="I216" s="79" t="s">
        <v>6039</v>
      </c>
      <c r="J216" s="79" t="s">
        <v>6547</v>
      </c>
      <c r="K216" s="80" t="s">
        <v>6548</v>
      </c>
      <c r="M216" s="81"/>
      <c r="N216" s="81"/>
      <c r="O216" s="81"/>
      <c r="P216" s="81"/>
      <c r="Q216" s="81"/>
      <c r="R216" s="81"/>
    </row>
    <row r="217">
      <c r="A217" s="60" t="s">
        <v>6537</v>
      </c>
      <c r="B217" s="60" t="s">
        <v>611</v>
      </c>
      <c r="C217" s="60" t="s">
        <v>465</v>
      </c>
      <c r="D217" s="79" t="s">
        <v>5952</v>
      </c>
      <c r="E217" s="79" t="s">
        <v>5952</v>
      </c>
      <c r="F217" s="83">
        <v>12750.0</v>
      </c>
      <c r="G217" s="79" t="s">
        <v>6538</v>
      </c>
      <c r="H217" s="79" t="s">
        <v>6194</v>
      </c>
      <c r="I217" s="79" t="s">
        <v>6195</v>
      </c>
      <c r="J217" s="79" t="s">
        <v>6549</v>
      </c>
      <c r="K217" s="80" t="s">
        <v>6550</v>
      </c>
      <c r="M217" s="81"/>
      <c r="N217" s="81"/>
      <c r="O217" s="81"/>
      <c r="P217" s="81"/>
      <c r="Q217" s="81"/>
      <c r="R217" s="81"/>
    </row>
    <row r="218">
      <c r="A218" s="60" t="s">
        <v>6537</v>
      </c>
      <c r="B218" s="60" t="s">
        <v>611</v>
      </c>
      <c r="C218" s="60" t="s">
        <v>465</v>
      </c>
      <c r="D218" s="79" t="s">
        <v>5952</v>
      </c>
      <c r="E218" s="79" t="s">
        <v>5952</v>
      </c>
      <c r="F218" s="83">
        <v>12750.0</v>
      </c>
      <c r="G218" s="79" t="s">
        <v>6538</v>
      </c>
      <c r="H218" s="79" t="s">
        <v>1168</v>
      </c>
      <c r="I218" s="79" t="s">
        <v>6060</v>
      </c>
      <c r="J218" s="79" t="s">
        <v>6551</v>
      </c>
      <c r="K218" s="80" t="s">
        <v>6552</v>
      </c>
      <c r="M218" s="81"/>
      <c r="N218" s="81"/>
      <c r="O218" s="81"/>
      <c r="P218" s="81"/>
      <c r="Q218" s="81"/>
      <c r="R218" s="81"/>
    </row>
    <row r="219">
      <c r="A219" s="60" t="s">
        <v>6537</v>
      </c>
      <c r="B219" s="60" t="s">
        <v>611</v>
      </c>
      <c r="C219" s="60" t="s">
        <v>465</v>
      </c>
      <c r="D219" s="79" t="s">
        <v>5952</v>
      </c>
      <c r="E219" s="79">
        <v>20.0</v>
      </c>
      <c r="F219" s="83">
        <v>12750.0</v>
      </c>
      <c r="G219" s="79" t="s">
        <v>6538</v>
      </c>
      <c r="H219" s="79" t="s">
        <v>6081</v>
      </c>
      <c r="I219" s="79" t="s">
        <v>6082</v>
      </c>
      <c r="J219" s="79" t="s">
        <v>6553</v>
      </c>
      <c r="K219" s="80" t="s">
        <v>6554</v>
      </c>
      <c r="M219" s="81"/>
      <c r="N219" s="81"/>
      <c r="O219" s="82"/>
      <c r="P219" s="81"/>
      <c r="Q219" s="81"/>
      <c r="R219" s="81"/>
    </row>
    <row r="220">
      <c r="A220" s="60" t="s">
        <v>6537</v>
      </c>
      <c r="B220" s="60" t="s">
        <v>611</v>
      </c>
      <c r="C220" s="60" t="s">
        <v>465</v>
      </c>
      <c r="D220" s="79" t="s">
        <v>5952</v>
      </c>
      <c r="E220" s="79" t="s">
        <v>5952</v>
      </c>
      <c r="F220" s="83">
        <v>12750.0</v>
      </c>
      <c r="G220" s="79" t="s">
        <v>6538</v>
      </c>
      <c r="H220" s="79" t="s">
        <v>1559</v>
      </c>
      <c r="I220" s="79" t="s">
        <v>6128</v>
      </c>
      <c r="J220" s="79" t="s">
        <v>6555</v>
      </c>
      <c r="K220" s="80" t="s">
        <v>6556</v>
      </c>
      <c r="M220" s="81"/>
      <c r="N220" s="81"/>
      <c r="O220" s="81"/>
      <c r="P220" s="81"/>
      <c r="Q220" s="81"/>
      <c r="R220" s="81"/>
    </row>
    <row r="221">
      <c r="A221" s="60" t="s">
        <v>6537</v>
      </c>
      <c r="B221" s="60" t="s">
        <v>611</v>
      </c>
      <c r="C221" s="60" t="s">
        <v>465</v>
      </c>
      <c r="D221" s="79" t="s">
        <v>5952</v>
      </c>
      <c r="E221" s="79" t="s">
        <v>5952</v>
      </c>
      <c r="F221" s="83">
        <v>12750.0</v>
      </c>
      <c r="G221" s="79" t="s">
        <v>6538</v>
      </c>
      <c r="H221" s="79" t="s">
        <v>1213</v>
      </c>
      <c r="I221" s="79" t="s">
        <v>6303</v>
      </c>
      <c r="J221" s="79" t="s">
        <v>6557</v>
      </c>
      <c r="K221" s="80" t="s">
        <v>6558</v>
      </c>
      <c r="M221" s="81"/>
      <c r="N221" s="81"/>
      <c r="O221" s="81"/>
      <c r="P221" s="81"/>
      <c r="Q221" s="81"/>
      <c r="R221" s="81"/>
    </row>
    <row r="222">
      <c r="A222" s="60" t="s">
        <v>6537</v>
      </c>
      <c r="B222" s="60" t="s">
        <v>611</v>
      </c>
      <c r="C222" s="60" t="s">
        <v>465</v>
      </c>
      <c r="D222" s="79" t="s">
        <v>5952</v>
      </c>
      <c r="E222" s="79">
        <v>30.0</v>
      </c>
      <c r="F222" s="83">
        <v>12750.0</v>
      </c>
      <c r="G222" s="79" t="s">
        <v>6538</v>
      </c>
      <c r="H222" s="79" t="s">
        <v>1101</v>
      </c>
      <c r="I222" s="79" t="s">
        <v>6559</v>
      </c>
      <c r="J222" s="79" t="s">
        <v>6560</v>
      </c>
      <c r="K222" s="80" t="s">
        <v>6561</v>
      </c>
      <c r="M222" s="81"/>
      <c r="N222" s="81"/>
      <c r="O222" s="82"/>
      <c r="P222" s="81"/>
      <c r="Q222" s="81"/>
      <c r="R222" s="81"/>
    </row>
    <row r="223">
      <c r="A223" s="60" t="s">
        <v>6537</v>
      </c>
      <c r="B223" s="60" t="s">
        <v>611</v>
      </c>
      <c r="C223" s="60" t="s">
        <v>465</v>
      </c>
      <c r="D223" s="79" t="s">
        <v>5952</v>
      </c>
      <c r="E223" s="79" t="s">
        <v>5952</v>
      </c>
      <c r="F223" s="83">
        <v>12750.0</v>
      </c>
      <c r="G223" s="79" t="s">
        <v>6538</v>
      </c>
      <c r="H223" s="79" t="s">
        <v>1111</v>
      </c>
      <c r="I223" s="79" t="s">
        <v>6165</v>
      </c>
      <c r="J223" s="79" t="s">
        <v>6562</v>
      </c>
      <c r="K223" s="80" t="s">
        <v>6563</v>
      </c>
      <c r="M223" s="81"/>
      <c r="N223" s="81"/>
      <c r="O223" s="81"/>
      <c r="P223" s="81"/>
      <c r="Q223" s="81"/>
      <c r="R223" s="81"/>
    </row>
    <row r="224">
      <c r="A224" s="60" t="s">
        <v>6537</v>
      </c>
      <c r="B224" s="60" t="s">
        <v>611</v>
      </c>
      <c r="C224" s="60" t="s">
        <v>465</v>
      </c>
      <c r="D224" s="79" t="s">
        <v>5962</v>
      </c>
      <c r="E224" s="79" t="s">
        <v>5952</v>
      </c>
      <c r="F224" s="83">
        <v>12750.0</v>
      </c>
      <c r="G224" s="79" t="s">
        <v>6538</v>
      </c>
      <c r="H224" s="79" t="s">
        <v>6207</v>
      </c>
      <c r="I224" s="79" t="s">
        <v>6208</v>
      </c>
      <c r="J224" s="79" t="s">
        <v>6564</v>
      </c>
      <c r="K224" s="80" t="s">
        <v>6565</v>
      </c>
      <c r="M224" s="81"/>
      <c r="N224" s="81"/>
      <c r="O224" s="81"/>
      <c r="P224" s="81"/>
      <c r="Q224" s="81"/>
      <c r="R224" s="81"/>
    </row>
    <row r="225">
      <c r="A225" s="60" t="s">
        <v>6537</v>
      </c>
      <c r="B225" s="60" t="s">
        <v>611</v>
      </c>
      <c r="C225" s="60" t="s">
        <v>465</v>
      </c>
      <c r="D225" s="79" t="s">
        <v>5952</v>
      </c>
      <c r="E225" s="79">
        <v>40.0</v>
      </c>
      <c r="F225" s="83">
        <v>12750.0</v>
      </c>
      <c r="G225" s="79" t="s">
        <v>6538</v>
      </c>
      <c r="H225" s="79" t="s">
        <v>6442</v>
      </c>
      <c r="I225" s="79" t="s">
        <v>6443</v>
      </c>
      <c r="J225" s="79" t="s">
        <v>6566</v>
      </c>
      <c r="K225" s="80" t="s">
        <v>6567</v>
      </c>
      <c r="M225" s="81"/>
      <c r="N225" s="81"/>
      <c r="O225" s="82"/>
      <c r="P225" s="81"/>
      <c r="Q225" s="81"/>
      <c r="R225" s="81"/>
    </row>
    <row r="226">
      <c r="A226" s="60" t="s">
        <v>6537</v>
      </c>
      <c r="B226" s="60" t="s">
        <v>611</v>
      </c>
      <c r="C226" s="60" t="s">
        <v>465</v>
      </c>
      <c r="D226" s="79" t="s">
        <v>5952</v>
      </c>
      <c r="E226" s="79" t="s">
        <v>5952</v>
      </c>
      <c r="F226" s="83">
        <v>12750.0</v>
      </c>
      <c r="G226" s="79" t="s">
        <v>6538</v>
      </c>
      <c r="H226" s="79" t="s">
        <v>6243</v>
      </c>
      <c r="I226" s="79" t="s">
        <v>6244</v>
      </c>
      <c r="J226" s="79" t="s">
        <v>6568</v>
      </c>
      <c r="K226" s="80" t="s">
        <v>6569</v>
      </c>
      <c r="M226" s="81"/>
      <c r="N226" s="81"/>
      <c r="O226" s="81"/>
      <c r="P226" s="81"/>
      <c r="Q226" s="81"/>
      <c r="R226" s="81"/>
    </row>
    <row r="227">
      <c r="A227" s="60" t="s">
        <v>6537</v>
      </c>
      <c r="B227" s="60" t="s">
        <v>611</v>
      </c>
      <c r="C227" s="60" t="s">
        <v>465</v>
      </c>
      <c r="D227" s="79" t="s">
        <v>5967</v>
      </c>
      <c r="E227" s="79" t="s">
        <v>5952</v>
      </c>
      <c r="F227" s="83">
        <v>12750.0</v>
      </c>
      <c r="G227" s="79" t="s">
        <v>6538</v>
      </c>
      <c r="H227" s="79" t="s">
        <v>6345</v>
      </c>
      <c r="I227" s="79" t="s">
        <v>6346</v>
      </c>
      <c r="J227" s="79" t="s">
        <v>6570</v>
      </c>
      <c r="K227" s="80" t="s">
        <v>6571</v>
      </c>
      <c r="M227" s="81"/>
      <c r="N227" s="81"/>
      <c r="O227" s="81"/>
      <c r="P227" s="81"/>
      <c r="Q227" s="81"/>
      <c r="R227" s="81"/>
    </row>
    <row r="228">
      <c r="A228" s="60" t="s">
        <v>6537</v>
      </c>
      <c r="B228" s="60" t="s">
        <v>611</v>
      </c>
      <c r="C228" s="60" t="s">
        <v>465</v>
      </c>
      <c r="D228" s="79" t="s">
        <v>5952</v>
      </c>
      <c r="E228" s="79">
        <v>60.0</v>
      </c>
      <c r="F228" s="83">
        <v>12750.0</v>
      </c>
      <c r="G228" s="79" t="s">
        <v>6538</v>
      </c>
      <c r="H228" s="79" t="s">
        <v>6391</v>
      </c>
      <c r="I228" s="79" t="s">
        <v>6392</v>
      </c>
      <c r="J228" s="79" t="s">
        <v>6572</v>
      </c>
      <c r="K228" s="80" t="s">
        <v>6573</v>
      </c>
      <c r="M228" s="81"/>
      <c r="N228" s="81"/>
      <c r="O228" s="82"/>
      <c r="P228" s="81"/>
      <c r="Q228" s="81"/>
      <c r="R228" s="81"/>
    </row>
    <row r="229">
      <c r="A229" s="60" t="s">
        <v>6537</v>
      </c>
      <c r="B229" s="60" t="s">
        <v>611</v>
      </c>
      <c r="C229" s="60" t="s">
        <v>465</v>
      </c>
      <c r="D229" s="79" t="s">
        <v>5952</v>
      </c>
      <c r="E229" s="79" t="s">
        <v>5952</v>
      </c>
      <c r="F229" s="83">
        <v>12750.0</v>
      </c>
      <c r="G229" s="79" t="s">
        <v>6538</v>
      </c>
      <c r="H229" s="79" t="s">
        <v>6349</v>
      </c>
      <c r="I229" s="79" t="s">
        <v>6350</v>
      </c>
      <c r="J229" s="79" t="s">
        <v>6574</v>
      </c>
      <c r="K229" s="80" t="s">
        <v>6575</v>
      </c>
      <c r="M229" s="81"/>
      <c r="N229" s="81"/>
      <c r="O229" s="81"/>
      <c r="P229" s="81"/>
      <c r="Q229" s="81"/>
      <c r="R229" s="81"/>
    </row>
    <row r="230">
      <c r="A230" s="60" t="s">
        <v>6537</v>
      </c>
      <c r="B230" s="60" t="s">
        <v>611</v>
      </c>
      <c r="C230" s="60" t="s">
        <v>465</v>
      </c>
      <c r="D230" s="79" t="s">
        <v>5952</v>
      </c>
      <c r="E230" s="79">
        <v>80.0</v>
      </c>
      <c r="F230" s="83">
        <v>12750.0</v>
      </c>
      <c r="G230" s="79" t="s">
        <v>6538</v>
      </c>
      <c r="H230" s="79" t="s">
        <v>6576</v>
      </c>
      <c r="I230" s="79" t="s">
        <v>6577</v>
      </c>
      <c r="J230" s="79" t="s">
        <v>6578</v>
      </c>
      <c r="K230" s="80" t="s">
        <v>6579</v>
      </c>
      <c r="M230" s="81"/>
      <c r="N230" s="81"/>
      <c r="O230" s="82"/>
      <c r="P230" s="81"/>
      <c r="Q230" s="81"/>
      <c r="R230" s="81"/>
    </row>
    <row r="231">
      <c r="A231" s="60" t="s">
        <v>6537</v>
      </c>
      <c r="B231" s="60" t="s">
        <v>611</v>
      </c>
      <c r="C231" s="60" t="s">
        <v>465</v>
      </c>
      <c r="D231" s="79" t="s">
        <v>5952</v>
      </c>
      <c r="E231" s="79" t="s">
        <v>5952</v>
      </c>
      <c r="F231" s="83">
        <v>12750.0</v>
      </c>
      <c r="G231" s="79" t="s">
        <v>6538</v>
      </c>
      <c r="H231" s="79" t="s">
        <v>6353</v>
      </c>
      <c r="I231" s="79" t="s">
        <v>6354</v>
      </c>
      <c r="J231" s="79" t="s">
        <v>6580</v>
      </c>
      <c r="K231" s="80" t="s">
        <v>6581</v>
      </c>
      <c r="M231" s="81"/>
      <c r="N231" s="81"/>
      <c r="O231" s="81"/>
      <c r="P231" s="81"/>
      <c r="Q231" s="81"/>
      <c r="R231" s="81"/>
    </row>
    <row r="232">
      <c r="A232" s="60" t="s">
        <v>6537</v>
      </c>
      <c r="B232" s="60" t="s">
        <v>611</v>
      </c>
      <c r="C232" s="60" t="s">
        <v>465</v>
      </c>
      <c r="D232" s="79" t="s">
        <v>5952</v>
      </c>
      <c r="E232" s="79" t="s">
        <v>5952</v>
      </c>
      <c r="F232" s="83">
        <v>12750.0</v>
      </c>
      <c r="G232" s="79" t="s">
        <v>6538</v>
      </c>
      <c r="H232" s="79" t="s">
        <v>6462</v>
      </c>
      <c r="I232" s="79" t="s">
        <v>6463</v>
      </c>
      <c r="J232" s="79" t="s">
        <v>6582</v>
      </c>
      <c r="K232" s="80" t="s">
        <v>6583</v>
      </c>
      <c r="M232" s="81"/>
      <c r="N232" s="81"/>
      <c r="O232" s="81"/>
      <c r="P232" s="81"/>
      <c r="Q232" s="81"/>
      <c r="R232" s="81"/>
    </row>
    <row r="233">
      <c r="A233" s="60" t="s">
        <v>6537</v>
      </c>
      <c r="B233" s="60" t="s">
        <v>611</v>
      </c>
      <c r="C233" s="60" t="s">
        <v>465</v>
      </c>
      <c r="D233" s="79" t="s">
        <v>5952</v>
      </c>
      <c r="E233" s="79">
        <v>100.0</v>
      </c>
      <c r="F233" s="83">
        <v>12750.0</v>
      </c>
      <c r="G233" s="79" t="s">
        <v>6538</v>
      </c>
      <c r="H233" s="79" t="s">
        <v>6519</v>
      </c>
      <c r="I233" s="79" t="s">
        <v>6520</v>
      </c>
      <c r="J233" s="79" t="s">
        <v>6584</v>
      </c>
      <c r="K233" s="80" t="s">
        <v>6585</v>
      </c>
      <c r="M233" s="81"/>
      <c r="N233" s="81"/>
      <c r="O233" s="82"/>
      <c r="P233" s="81"/>
      <c r="Q233" s="81"/>
      <c r="R233" s="81"/>
    </row>
    <row r="234">
      <c r="A234" s="60" t="s">
        <v>6537</v>
      </c>
      <c r="B234" s="60" t="s">
        <v>611</v>
      </c>
      <c r="C234" s="60" t="s">
        <v>465</v>
      </c>
      <c r="D234" s="79" t="s">
        <v>5952</v>
      </c>
      <c r="E234" s="79" t="s">
        <v>5952</v>
      </c>
      <c r="F234" s="83">
        <v>12750.0</v>
      </c>
      <c r="G234" s="79" t="s">
        <v>6538</v>
      </c>
      <c r="H234" s="79" t="s">
        <v>6407</v>
      </c>
      <c r="I234" s="79" t="s">
        <v>6408</v>
      </c>
      <c r="J234" s="79" t="s">
        <v>6586</v>
      </c>
      <c r="K234" s="80" t="s">
        <v>6587</v>
      </c>
      <c r="M234" s="81"/>
      <c r="N234" s="81"/>
      <c r="O234" s="81"/>
      <c r="P234" s="81"/>
      <c r="Q234" s="81"/>
      <c r="R234" s="81"/>
    </row>
    <row r="235">
      <c r="A235" s="60" t="s">
        <v>6537</v>
      </c>
      <c r="B235" s="60" t="s">
        <v>611</v>
      </c>
      <c r="C235" s="60" t="s">
        <v>465</v>
      </c>
      <c r="D235" s="79" t="s">
        <v>5952</v>
      </c>
      <c r="E235" s="79" t="s">
        <v>5952</v>
      </c>
      <c r="F235" s="83">
        <v>12750.0</v>
      </c>
      <c r="G235" s="79" t="s">
        <v>6538</v>
      </c>
      <c r="H235" s="79" t="s">
        <v>6525</v>
      </c>
      <c r="I235" s="79" t="s">
        <v>6526</v>
      </c>
      <c r="J235" s="79" t="s">
        <v>6588</v>
      </c>
      <c r="K235" s="80" t="s">
        <v>6589</v>
      </c>
      <c r="M235" s="81"/>
      <c r="N235" s="81"/>
      <c r="O235" s="81"/>
      <c r="P235" s="81"/>
      <c r="Q235" s="81"/>
      <c r="R235" s="81"/>
    </row>
    <row r="236">
      <c r="A236" s="60" t="s">
        <v>6537</v>
      </c>
      <c r="B236" s="60" t="s">
        <v>611</v>
      </c>
      <c r="C236" s="60" t="s">
        <v>465</v>
      </c>
      <c r="D236" s="79" t="s">
        <v>5975</v>
      </c>
      <c r="E236" s="79">
        <v>120.0</v>
      </c>
      <c r="F236" s="83">
        <v>12750.0</v>
      </c>
      <c r="G236" s="79" t="s">
        <v>6538</v>
      </c>
      <c r="H236" s="83">
        <v>1000.0</v>
      </c>
      <c r="I236" s="79" t="s">
        <v>6472</v>
      </c>
      <c r="J236" s="79" t="s">
        <v>6590</v>
      </c>
      <c r="K236" s="80" t="s">
        <v>6591</v>
      </c>
      <c r="M236" s="81"/>
      <c r="N236" s="81"/>
      <c r="O236" s="82"/>
      <c r="P236" s="81"/>
      <c r="Q236" s="81"/>
      <c r="R236" s="81"/>
    </row>
    <row r="237">
      <c r="A237" s="60" t="s">
        <v>6537</v>
      </c>
      <c r="B237" s="60" t="s">
        <v>611</v>
      </c>
      <c r="C237" s="60" t="s">
        <v>465</v>
      </c>
      <c r="D237" s="79" t="s">
        <v>5952</v>
      </c>
      <c r="E237" s="79" t="s">
        <v>5952</v>
      </c>
      <c r="F237" s="83">
        <v>12750.0</v>
      </c>
      <c r="G237" s="79" t="s">
        <v>6538</v>
      </c>
      <c r="H237" s="83">
        <v>1062.0</v>
      </c>
      <c r="I237" s="79" t="s">
        <v>6592</v>
      </c>
      <c r="J237" s="79" t="s">
        <v>6593</v>
      </c>
      <c r="K237" s="80" t="s">
        <v>6594</v>
      </c>
      <c r="M237" s="81"/>
      <c r="N237" s="81"/>
      <c r="O237" s="81"/>
      <c r="P237" s="81"/>
      <c r="Q237" s="81"/>
      <c r="R237" s="81"/>
    </row>
    <row r="238">
      <c r="A238" s="60" t="s">
        <v>6537</v>
      </c>
      <c r="B238" s="60" t="s">
        <v>611</v>
      </c>
      <c r="C238" s="60" t="s">
        <v>465</v>
      </c>
      <c r="D238" s="79" t="s">
        <v>5952</v>
      </c>
      <c r="E238" s="79">
        <v>140.0</v>
      </c>
      <c r="F238" s="83">
        <v>12750.0</v>
      </c>
      <c r="G238" s="79" t="s">
        <v>6538</v>
      </c>
      <c r="H238" s="83">
        <v>1125.0</v>
      </c>
      <c r="I238" s="79" t="s">
        <v>6531</v>
      </c>
      <c r="J238" s="79" t="s">
        <v>6595</v>
      </c>
      <c r="K238" s="80" t="s">
        <v>6596</v>
      </c>
      <c r="M238" s="81"/>
      <c r="N238" s="81"/>
      <c r="O238" s="82"/>
      <c r="P238" s="81"/>
      <c r="Q238" s="81"/>
      <c r="R238" s="81"/>
    </row>
    <row r="239">
      <c r="A239" s="60" t="s">
        <v>6537</v>
      </c>
      <c r="B239" s="60" t="s">
        <v>611</v>
      </c>
      <c r="C239" s="60" t="s">
        <v>465</v>
      </c>
      <c r="D239" s="79" t="s">
        <v>5952</v>
      </c>
      <c r="E239" s="79" t="s">
        <v>5952</v>
      </c>
      <c r="F239" s="83">
        <v>12750.0</v>
      </c>
      <c r="G239" s="79" t="s">
        <v>6538</v>
      </c>
      <c r="H239" s="83">
        <v>1250.0</v>
      </c>
      <c r="I239" s="79" t="s">
        <v>6534</v>
      </c>
      <c r="J239" s="79" t="s">
        <v>6597</v>
      </c>
      <c r="K239" s="80" t="s">
        <v>6598</v>
      </c>
      <c r="M239" s="81"/>
      <c r="N239" s="81"/>
      <c r="O239" s="81"/>
      <c r="P239" s="81"/>
      <c r="Q239" s="81"/>
      <c r="R239" s="81"/>
    </row>
    <row r="240">
      <c r="A240" s="60" t="s">
        <v>6537</v>
      </c>
      <c r="B240" s="60" t="s">
        <v>611</v>
      </c>
      <c r="C240" s="60" t="s">
        <v>465</v>
      </c>
      <c r="D240" s="79" t="s">
        <v>5952</v>
      </c>
      <c r="E240" s="79">
        <v>160.0</v>
      </c>
      <c r="F240" s="83">
        <v>12750.0</v>
      </c>
      <c r="G240" s="79" t="s">
        <v>6538</v>
      </c>
      <c r="H240" s="83">
        <v>1312.0</v>
      </c>
      <c r="I240" s="79" t="s">
        <v>6429</v>
      </c>
      <c r="J240" s="79" t="s">
        <v>6599</v>
      </c>
      <c r="K240" s="80" t="s">
        <v>6600</v>
      </c>
      <c r="M240" s="81"/>
      <c r="N240" s="81"/>
      <c r="O240" s="82"/>
      <c r="P240" s="81"/>
      <c r="Q240" s="81"/>
      <c r="R240" s="81"/>
    </row>
    <row r="241">
      <c r="A241" s="60" t="s">
        <v>6601</v>
      </c>
      <c r="B241" s="60" t="s">
        <v>611</v>
      </c>
      <c r="C241" s="60" t="s">
        <v>6602</v>
      </c>
      <c r="D241" s="79" t="s">
        <v>5952</v>
      </c>
      <c r="E241" s="79">
        <v>5.0</v>
      </c>
      <c r="F241" s="83">
        <v>14000.0</v>
      </c>
      <c r="G241" s="79">
        <v>356.0</v>
      </c>
      <c r="H241" s="79" t="s">
        <v>6186</v>
      </c>
      <c r="I241" s="79" t="s">
        <v>6187</v>
      </c>
      <c r="J241" s="79" t="s">
        <v>6603</v>
      </c>
      <c r="K241" s="80" t="s">
        <v>6604</v>
      </c>
      <c r="M241" s="81"/>
      <c r="N241" s="81"/>
      <c r="O241" s="82"/>
      <c r="P241" s="81"/>
      <c r="Q241" s="81"/>
      <c r="R241" s="81"/>
    </row>
    <row r="242">
      <c r="A242" s="60" t="s">
        <v>6601</v>
      </c>
      <c r="B242" s="60" t="s">
        <v>611</v>
      </c>
      <c r="C242" s="60" t="s">
        <v>6602</v>
      </c>
      <c r="D242" s="79" t="s">
        <v>5952</v>
      </c>
      <c r="E242" s="79" t="s">
        <v>5952</v>
      </c>
      <c r="F242" s="83">
        <v>14000.0</v>
      </c>
      <c r="G242" s="79">
        <v>356.0</v>
      </c>
      <c r="H242" s="79" t="s">
        <v>6038</v>
      </c>
      <c r="I242" s="79" t="s">
        <v>6039</v>
      </c>
      <c r="J242" s="79" t="s">
        <v>6605</v>
      </c>
      <c r="K242" s="80" t="s">
        <v>6606</v>
      </c>
      <c r="M242" s="81"/>
      <c r="N242" s="81"/>
      <c r="O242" s="81"/>
      <c r="P242" s="81"/>
      <c r="Q242" s="81"/>
      <c r="R242" s="81"/>
    </row>
    <row r="243">
      <c r="A243" s="60" t="s">
        <v>6601</v>
      </c>
      <c r="B243" s="60" t="s">
        <v>632</v>
      </c>
      <c r="C243" s="60" t="s">
        <v>6602</v>
      </c>
      <c r="D243" s="79" t="s">
        <v>5952</v>
      </c>
      <c r="E243" s="79" t="s">
        <v>5952</v>
      </c>
      <c r="F243" s="83">
        <v>14000.0</v>
      </c>
      <c r="G243" s="79">
        <v>356.0</v>
      </c>
      <c r="H243" s="79" t="s">
        <v>6194</v>
      </c>
      <c r="I243" s="79" t="s">
        <v>6195</v>
      </c>
      <c r="J243" s="79" t="s">
        <v>6607</v>
      </c>
      <c r="K243" s="80" t="s">
        <v>6608</v>
      </c>
      <c r="M243" s="81"/>
      <c r="N243" s="81"/>
      <c r="O243" s="81"/>
      <c r="P243" s="81"/>
      <c r="Q243" s="81"/>
      <c r="R243" s="81"/>
    </row>
    <row r="244">
      <c r="A244" s="60" t="s">
        <v>6601</v>
      </c>
      <c r="B244" s="60" t="s">
        <v>632</v>
      </c>
      <c r="C244" s="60" t="s">
        <v>6602</v>
      </c>
      <c r="D244" s="79" t="s">
        <v>5952</v>
      </c>
      <c r="E244" s="79" t="s">
        <v>5952</v>
      </c>
      <c r="F244" s="83">
        <v>14000.0</v>
      </c>
      <c r="G244" s="79">
        <v>356.0</v>
      </c>
      <c r="H244" s="79" t="s">
        <v>6609</v>
      </c>
      <c r="I244" s="79" t="s">
        <v>6610</v>
      </c>
      <c r="J244" s="79" t="s">
        <v>6611</v>
      </c>
      <c r="K244" s="80" t="s">
        <v>6612</v>
      </c>
      <c r="M244" s="81"/>
      <c r="N244" s="81"/>
      <c r="O244" s="81"/>
      <c r="P244" s="81"/>
      <c r="Q244" s="81"/>
      <c r="R244" s="81"/>
    </row>
    <row r="245">
      <c r="A245" s="60" t="s">
        <v>6601</v>
      </c>
      <c r="B245" s="60" t="s">
        <v>632</v>
      </c>
      <c r="C245" s="60" t="s">
        <v>6602</v>
      </c>
      <c r="D245" s="79" t="s">
        <v>5952</v>
      </c>
      <c r="E245" s="79" t="s">
        <v>5952</v>
      </c>
      <c r="F245" s="83">
        <v>14000.0</v>
      </c>
      <c r="G245" s="79">
        <v>356.0</v>
      </c>
      <c r="H245" s="79" t="s">
        <v>1168</v>
      </c>
      <c r="I245" s="79" t="s">
        <v>6060</v>
      </c>
      <c r="J245" s="79" t="s">
        <v>6613</v>
      </c>
      <c r="K245" s="80" t="s">
        <v>6614</v>
      </c>
      <c r="M245" s="81"/>
      <c r="N245" s="81"/>
      <c r="O245" s="81"/>
      <c r="P245" s="81"/>
      <c r="Q245" s="81"/>
      <c r="R245" s="81"/>
    </row>
    <row r="246">
      <c r="A246" s="60" t="s">
        <v>6601</v>
      </c>
      <c r="B246" s="60" t="s">
        <v>632</v>
      </c>
      <c r="C246" s="60" t="s">
        <v>6602</v>
      </c>
      <c r="D246" s="79" t="s">
        <v>5952</v>
      </c>
      <c r="E246" s="79">
        <v>10.0</v>
      </c>
      <c r="F246" s="83">
        <v>14000.0</v>
      </c>
      <c r="G246" s="79">
        <v>356.0</v>
      </c>
      <c r="H246" s="79" t="s">
        <v>6081</v>
      </c>
      <c r="I246" s="79" t="s">
        <v>6082</v>
      </c>
      <c r="J246" s="79" t="s">
        <v>6615</v>
      </c>
      <c r="K246" s="80" t="s">
        <v>6616</v>
      </c>
      <c r="M246" s="81"/>
      <c r="N246" s="81"/>
      <c r="O246" s="82"/>
      <c r="P246" s="81"/>
      <c r="Q246" s="81"/>
      <c r="R246" s="81"/>
    </row>
    <row r="247">
      <c r="A247" s="60" t="s">
        <v>6601</v>
      </c>
      <c r="B247" s="60" t="s">
        <v>632</v>
      </c>
      <c r="C247" s="60" t="s">
        <v>6602</v>
      </c>
      <c r="D247" s="79" t="s">
        <v>5952</v>
      </c>
      <c r="E247" s="79" t="s">
        <v>5952</v>
      </c>
      <c r="F247" s="83">
        <v>14000.0</v>
      </c>
      <c r="G247" s="79">
        <v>356.0</v>
      </c>
      <c r="H247" s="79" t="s">
        <v>1559</v>
      </c>
      <c r="I247" s="79" t="s">
        <v>6128</v>
      </c>
      <c r="J247" s="79" t="s">
        <v>6617</v>
      </c>
      <c r="K247" s="80" t="s">
        <v>6618</v>
      </c>
      <c r="M247" s="81"/>
      <c r="N247" s="81"/>
      <c r="O247" s="81"/>
      <c r="P247" s="81"/>
      <c r="Q247" s="81"/>
      <c r="R247" s="81"/>
    </row>
    <row r="248">
      <c r="A248" s="60" t="s">
        <v>6601</v>
      </c>
      <c r="B248" s="60" t="s">
        <v>632</v>
      </c>
      <c r="C248" s="60" t="s">
        <v>6602</v>
      </c>
      <c r="D248" s="79" t="s">
        <v>5952</v>
      </c>
      <c r="E248" s="79">
        <v>20.0</v>
      </c>
      <c r="F248" s="83">
        <v>14000.0</v>
      </c>
      <c r="G248" s="79">
        <v>356.0</v>
      </c>
      <c r="H248" s="79" t="s">
        <v>1213</v>
      </c>
      <c r="I248" s="79" t="s">
        <v>6303</v>
      </c>
      <c r="J248" s="79" t="s">
        <v>6619</v>
      </c>
      <c r="K248" s="80" t="s">
        <v>6563</v>
      </c>
      <c r="M248" s="81"/>
      <c r="N248" s="81"/>
      <c r="O248" s="82"/>
      <c r="P248" s="81"/>
      <c r="Q248" s="81"/>
      <c r="R248" s="81"/>
    </row>
    <row r="249">
      <c r="A249" s="60" t="s">
        <v>6601</v>
      </c>
      <c r="B249" s="60" t="s">
        <v>632</v>
      </c>
      <c r="C249" s="60" t="s">
        <v>6602</v>
      </c>
      <c r="D249" s="79" t="s">
        <v>5952</v>
      </c>
      <c r="E249" s="79" t="s">
        <v>5952</v>
      </c>
      <c r="F249" s="83">
        <v>14000.0</v>
      </c>
      <c r="G249" s="79">
        <v>356.0</v>
      </c>
      <c r="H249" s="79" t="s">
        <v>1111</v>
      </c>
      <c r="I249" s="79" t="s">
        <v>6165</v>
      </c>
      <c r="J249" s="79" t="s">
        <v>6620</v>
      </c>
      <c r="K249" s="80" t="s">
        <v>6621</v>
      </c>
      <c r="M249" s="81"/>
      <c r="N249" s="81"/>
      <c r="O249" s="81"/>
      <c r="P249" s="81"/>
      <c r="Q249" s="81"/>
      <c r="R249" s="81"/>
    </row>
    <row r="250">
      <c r="A250" s="60" t="s">
        <v>6601</v>
      </c>
      <c r="B250" s="60" t="s">
        <v>632</v>
      </c>
      <c r="C250" s="60" t="s">
        <v>6602</v>
      </c>
      <c r="D250" s="79" t="s">
        <v>5962</v>
      </c>
      <c r="E250" s="79">
        <v>30.0</v>
      </c>
      <c r="F250" s="83">
        <v>14000.0</v>
      </c>
      <c r="G250" s="79">
        <v>356.0</v>
      </c>
      <c r="H250" s="79" t="s">
        <v>6207</v>
      </c>
      <c r="I250" s="79" t="s">
        <v>6208</v>
      </c>
      <c r="J250" s="79" t="s">
        <v>6622</v>
      </c>
      <c r="K250" s="80" t="s">
        <v>6623</v>
      </c>
      <c r="M250" s="81"/>
      <c r="N250" s="81"/>
      <c r="O250" s="82"/>
      <c r="P250" s="81"/>
      <c r="Q250" s="81"/>
      <c r="R250" s="81"/>
    </row>
    <row r="251">
      <c r="A251" s="60" t="s">
        <v>6601</v>
      </c>
      <c r="B251" s="60" t="s">
        <v>632</v>
      </c>
      <c r="C251" s="60" t="s">
        <v>6602</v>
      </c>
      <c r="D251" s="79" t="s">
        <v>5952</v>
      </c>
      <c r="E251" s="79" t="s">
        <v>5952</v>
      </c>
      <c r="F251" s="83">
        <v>14000.0</v>
      </c>
      <c r="G251" s="79">
        <v>356.0</v>
      </c>
      <c r="H251" s="79" t="s">
        <v>6442</v>
      </c>
      <c r="I251" s="79" t="s">
        <v>6443</v>
      </c>
      <c r="J251" s="79" t="s">
        <v>6624</v>
      </c>
      <c r="K251" s="80" t="s">
        <v>6625</v>
      </c>
      <c r="M251" s="81"/>
      <c r="N251" s="81"/>
      <c r="O251" s="81"/>
      <c r="P251" s="81"/>
      <c r="Q251" s="81"/>
      <c r="R251" s="81"/>
    </row>
    <row r="252">
      <c r="A252" s="60" t="s">
        <v>6601</v>
      </c>
      <c r="B252" s="60" t="s">
        <v>632</v>
      </c>
      <c r="C252" s="60" t="s">
        <v>6602</v>
      </c>
      <c r="D252" s="79" t="s">
        <v>5952</v>
      </c>
      <c r="E252" s="79">
        <v>40.0</v>
      </c>
      <c r="F252" s="83">
        <v>14000.0</v>
      </c>
      <c r="G252" s="79">
        <v>356.0</v>
      </c>
      <c r="H252" s="79" t="s">
        <v>6243</v>
      </c>
      <c r="I252" s="79" t="s">
        <v>6244</v>
      </c>
      <c r="J252" s="79" t="s">
        <v>6626</v>
      </c>
      <c r="K252" s="80" t="s">
        <v>6627</v>
      </c>
      <c r="M252" s="81"/>
      <c r="N252" s="81"/>
      <c r="O252" s="82"/>
      <c r="P252" s="81"/>
      <c r="Q252" s="81"/>
      <c r="R252" s="81"/>
    </row>
    <row r="253">
      <c r="A253" s="60" t="s">
        <v>6601</v>
      </c>
      <c r="B253" s="60" t="s">
        <v>632</v>
      </c>
      <c r="C253" s="60" t="s">
        <v>6602</v>
      </c>
      <c r="D253" s="79" t="s">
        <v>5952</v>
      </c>
      <c r="E253" s="79" t="s">
        <v>5952</v>
      </c>
      <c r="F253" s="83">
        <v>14000.0</v>
      </c>
      <c r="G253" s="79">
        <v>356.0</v>
      </c>
      <c r="H253" s="79" t="s">
        <v>1196</v>
      </c>
      <c r="I253" s="79" t="s">
        <v>6628</v>
      </c>
      <c r="J253" s="79" t="s">
        <v>6629</v>
      </c>
      <c r="K253" s="80" t="s">
        <v>6630</v>
      </c>
      <c r="M253" s="81"/>
      <c r="N253" s="81"/>
      <c r="O253" s="81"/>
      <c r="P253" s="81"/>
      <c r="Q253" s="81"/>
      <c r="R253" s="81"/>
    </row>
    <row r="254">
      <c r="A254" s="60" t="s">
        <v>6601</v>
      </c>
      <c r="B254" s="60" t="s">
        <v>632</v>
      </c>
      <c r="C254" s="60" t="s">
        <v>6602</v>
      </c>
      <c r="D254" s="79" t="s">
        <v>5967</v>
      </c>
      <c r="E254" s="79" t="s">
        <v>5952</v>
      </c>
      <c r="F254" s="83">
        <v>14000.0</v>
      </c>
      <c r="G254" s="79">
        <v>356.0</v>
      </c>
      <c r="H254" s="79" t="s">
        <v>6345</v>
      </c>
      <c r="I254" s="79" t="s">
        <v>6346</v>
      </c>
      <c r="J254" s="79" t="s">
        <v>6631</v>
      </c>
      <c r="K254" s="80" t="s">
        <v>6632</v>
      </c>
      <c r="M254" s="81"/>
      <c r="N254" s="81"/>
      <c r="O254" s="81"/>
      <c r="P254" s="81"/>
      <c r="Q254" s="81"/>
      <c r="R254" s="81"/>
    </row>
    <row r="255">
      <c r="A255" s="60" t="s">
        <v>6601</v>
      </c>
      <c r="B255" s="60" t="s">
        <v>632</v>
      </c>
      <c r="C255" s="60" t="s">
        <v>6602</v>
      </c>
      <c r="D255" s="79" t="s">
        <v>5952</v>
      </c>
      <c r="E255" s="79" t="s">
        <v>5952</v>
      </c>
      <c r="F255" s="83">
        <v>14000.0</v>
      </c>
      <c r="G255" s="79">
        <v>356.0</v>
      </c>
      <c r="H255" s="79" t="s">
        <v>6391</v>
      </c>
      <c r="I255" s="79" t="s">
        <v>6392</v>
      </c>
      <c r="J255" s="79" t="s">
        <v>6633</v>
      </c>
      <c r="K255" s="80" t="s">
        <v>6634</v>
      </c>
      <c r="M255" s="81"/>
      <c r="N255" s="81"/>
      <c r="O255" s="81"/>
      <c r="P255" s="81"/>
      <c r="Q255" s="81"/>
      <c r="R255" s="81"/>
    </row>
    <row r="256">
      <c r="A256" s="60" t="s">
        <v>6601</v>
      </c>
      <c r="B256" s="60" t="s">
        <v>632</v>
      </c>
      <c r="C256" s="60" t="s">
        <v>6602</v>
      </c>
      <c r="D256" s="79" t="s">
        <v>5952</v>
      </c>
      <c r="E256" s="79">
        <v>60.0</v>
      </c>
      <c r="F256" s="83">
        <v>14000.0</v>
      </c>
      <c r="G256" s="79">
        <v>356.0</v>
      </c>
      <c r="H256" s="79" t="s">
        <v>6452</v>
      </c>
      <c r="I256" s="79" t="s">
        <v>6453</v>
      </c>
      <c r="J256" s="79" t="s">
        <v>6635</v>
      </c>
      <c r="K256" s="80" t="s">
        <v>6636</v>
      </c>
      <c r="M256" s="81"/>
      <c r="N256" s="81"/>
      <c r="O256" s="82"/>
      <c r="P256" s="81"/>
      <c r="Q256" s="81"/>
      <c r="R256" s="81"/>
    </row>
    <row r="257">
      <c r="A257" s="60" t="s">
        <v>6601</v>
      </c>
      <c r="B257" s="60" t="s">
        <v>632</v>
      </c>
      <c r="C257" s="60" t="s">
        <v>6602</v>
      </c>
      <c r="D257" s="79" t="s">
        <v>5952</v>
      </c>
      <c r="E257" s="79" t="s">
        <v>5952</v>
      </c>
      <c r="F257" s="83">
        <v>14000.0</v>
      </c>
      <c r="G257" s="79">
        <v>356.0</v>
      </c>
      <c r="H257" s="79" t="s">
        <v>6349</v>
      </c>
      <c r="I257" s="79" t="s">
        <v>6350</v>
      </c>
      <c r="J257" s="79" t="s">
        <v>6637</v>
      </c>
      <c r="K257" s="80" t="s">
        <v>6638</v>
      </c>
      <c r="M257" s="81"/>
      <c r="N257" s="81"/>
      <c r="O257" s="81"/>
      <c r="P257" s="81"/>
      <c r="Q257" s="81"/>
      <c r="R257" s="81"/>
    </row>
    <row r="258">
      <c r="A258" s="60" t="s">
        <v>6601</v>
      </c>
      <c r="B258" s="60" t="s">
        <v>632</v>
      </c>
      <c r="C258" s="60" t="s">
        <v>6602</v>
      </c>
      <c r="D258" s="79" t="s">
        <v>5952</v>
      </c>
      <c r="E258" s="79" t="s">
        <v>5952</v>
      </c>
      <c r="F258" s="83">
        <v>14000.0</v>
      </c>
      <c r="G258" s="79">
        <v>356.0</v>
      </c>
      <c r="H258" s="79" t="s">
        <v>6576</v>
      </c>
      <c r="I258" s="79" t="s">
        <v>6577</v>
      </c>
      <c r="J258" s="79" t="s">
        <v>6639</v>
      </c>
      <c r="K258" s="80" t="s">
        <v>6640</v>
      </c>
      <c r="M258" s="81"/>
      <c r="N258" s="81"/>
      <c r="O258" s="81"/>
      <c r="P258" s="81"/>
      <c r="Q258" s="81"/>
      <c r="R258" s="81"/>
    </row>
    <row r="259">
      <c r="A259" s="60" t="s">
        <v>6601</v>
      </c>
      <c r="B259" s="60" t="s">
        <v>632</v>
      </c>
      <c r="C259" s="60" t="s">
        <v>6602</v>
      </c>
      <c r="D259" s="79" t="s">
        <v>5952</v>
      </c>
      <c r="E259" s="79">
        <v>80.0</v>
      </c>
      <c r="F259" s="83">
        <v>14000.0</v>
      </c>
      <c r="G259" s="79">
        <v>356.0</v>
      </c>
      <c r="H259" s="79" t="s">
        <v>6353</v>
      </c>
      <c r="I259" s="79" t="s">
        <v>6354</v>
      </c>
      <c r="J259" s="79" t="s">
        <v>6641</v>
      </c>
      <c r="K259" s="80" t="s">
        <v>6642</v>
      </c>
      <c r="M259" s="81"/>
      <c r="N259" s="81"/>
      <c r="O259" s="82"/>
      <c r="P259" s="81"/>
      <c r="Q259" s="81"/>
      <c r="R259" s="81"/>
    </row>
    <row r="260">
      <c r="A260" s="60" t="s">
        <v>6601</v>
      </c>
      <c r="B260" s="60" t="s">
        <v>632</v>
      </c>
      <c r="C260" s="60" t="s">
        <v>6602</v>
      </c>
      <c r="D260" s="79" t="s">
        <v>5952</v>
      </c>
      <c r="E260" s="79" t="s">
        <v>5952</v>
      </c>
      <c r="F260" s="83">
        <v>14000.0</v>
      </c>
      <c r="G260" s="79">
        <v>356.0</v>
      </c>
      <c r="H260" s="79" t="s">
        <v>6462</v>
      </c>
      <c r="I260" s="79" t="s">
        <v>6463</v>
      </c>
      <c r="J260" s="79" t="s">
        <v>6643</v>
      </c>
      <c r="K260" s="80" t="s">
        <v>6644</v>
      </c>
      <c r="M260" s="81"/>
      <c r="N260" s="81"/>
      <c r="O260" s="81"/>
      <c r="P260" s="81"/>
      <c r="Q260" s="81"/>
      <c r="R260" s="81"/>
    </row>
    <row r="261">
      <c r="A261" s="60" t="s">
        <v>6601</v>
      </c>
      <c r="B261" s="60" t="s">
        <v>632</v>
      </c>
      <c r="C261" s="60" t="s">
        <v>6602</v>
      </c>
      <c r="D261" s="79" t="s">
        <v>5952</v>
      </c>
      <c r="E261" s="79" t="s">
        <v>5952</v>
      </c>
      <c r="F261" s="83">
        <v>14000.0</v>
      </c>
      <c r="G261" s="79">
        <v>356.0</v>
      </c>
      <c r="H261" s="79" t="s">
        <v>6407</v>
      </c>
      <c r="I261" s="79" t="s">
        <v>6408</v>
      </c>
      <c r="J261" s="79" t="s">
        <v>6645</v>
      </c>
      <c r="K261" s="80" t="s">
        <v>6646</v>
      </c>
      <c r="M261" s="81"/>
      <c r="N261" s="81"/>
      <c r="O261" s="81"/>
      <c r="P261" s="81"/>
      <c r="Q261" s="81"/>
      <c r="R261" s="81"/>
    </row>
    <row r="262">
      <c r="A262" s="60" t="s">
        <v>6601</v>
      </c>
      <c r="B262" s="60" t="s">
        <v>632</v>
      </c>
      <c r="C262" s="60" t="s">
        <v>6602</v>
      </c>
      <c r="D262" s="79" t="s">
        <v>5952</v>
      </c>
      <c r="E262" s="79">
        <v>100.0</v>
      </c>
      <c r="F262" s="83">
        <v>14000.0</v>
      </c>
      <c r="G262" s="79">
        <v>356.0</v>
      </c>
      <c r="H262" s="79" t="s">
        <v>6525</v>
      </c>
      <c r="I262" s="79" t="s">
        <v>6526</v>
      </c>
      <c r="J262" s="79" t="s">
        <v>6647</v>
      </c>
      <c r="K262" s="80" t="s">
        <v>6648</v>
      </c>
      <c r="M262" s="81"/>
      <c r="N262" s="81"/>
      <c r="O262" s="82"/>
      <c r="P262" s="81"/>
      <c r="Q262" s="81"/>
      <c r="R262" s="81"/>
    </row>
    <row r="263">
      <c r="A263" s="60" t="s">
        <v>6601</v>
      </c>
      <c r="B263" s="60" t="s">
        <v>632</v>
      </c>
      <c r="C263" s="60" t="s">
        <v>6602</v>
      </c>
      <c r="D263" s="79" t="s">
        <v>5952</v>
      </c>
      <c r="E263" s="79" t="s">
        <v>5952</v>
      </c>
      <c r="F263" s="83">
        <v>14000.0</v>
      </c>
      <c r="G263" s="79">
        <v>356.0</v>
      </c>
      <c r="H263" s="83">
        <v>1000.0</v>
      </c>
      <c r="I263" s="79" t="s">
        <v>6472</v>
      </c>
      <c r="J263" s="79" t="s">
        <v>6649</v>
      </c>
      <c r="K263" s="80" t="s">
        <v>6650</v>
      </c>
      <c r="M263" s="81"/>
      <c r="N263" s="81"/>
      <c r="O263" s="81"/>
      <c r="P263" s="81"/>
      <c r="Q263" s="81"/>
      <c r="R263" s="81"/>
    </row>
    <row r="264">
      <c r="A264" s="60" t="s">
        <v>6601</v>
      </c>
      <c r="B264" s="60" t="s">
        <v>632</v>
      </c>
      <c r="C264" s="60" t="s">
        <v>6602</v>
      </c>
      <c r="D264" s="79" t="s">
        <v>5952</v>
      </c>
      <c r="E264" s="79" t="s">
        <v>5952</v>
      </c>
      <c r="F264" s="83">
        <v>14000.0</v>
      </c>
      <c r="G264" s="79">
        <v>356.0</v>
      </c>
      <c r="H264" s="83">
        <v>1062.0</v>
      </c>
      <c r="I264" s="79" t="s">
        <v>6592</v>
      </c>
      <c r="J264" s="79" t="s">
        <v>6651</v>
      </c>
      <c r="K264" s="80" t="s">
        <v>6652</v>
      </c>
      <c r="M264" s="81"/>
      <c r="N264" s="81"/>
      <c r="O264" s="81"/>
      <c r="P264" s="81"/>
      <c r="Q264" s="81"/>
      <c r="R264" s="81"/>
    </row>
    <row r="265">
      <c r="A265" s="60" t="s">
        <v>6601</v>
      </c>
      <c r="B265" s="60" t="s">
        <v>632</v>
      </c>
      <c r="C265" s="60" t="s">
        <v>6602</v>
      </c>
      <c r="D265" s="79" t="s">
        <v>5952</v>
      </c>
      <c r="E265" s="79">
        <v>120.0</v>
      </c>
      <c r="F265" s="83">
        <v>14000.0</v>
      </c>
      <c r="G265" s="79">
        <v>356.0</v>
      </c>
      <c r="H265" s="83">
        <v>1094.0</v>
      </c>
      <c r="I265" s="79" t="s">
        <v>6653</v>
      </c>
      <c r="J265" s="79" t="s">
        <v>6654</v>
      </c>
      <c r="K265" s="80" t="s">
        <v>6655</v>
      </c>
      <c r="M265" s="81"/>
      <c r="N265" s="81"/>
      <c r="O265" s="82"/>
      <c r="P265" s="81"/>
      <c r="Q265" s="81"/>
      <c r="R265" s="81"/>
    </row>
    <row r="266">
      <c r="A266" s="60" t="s">
        <v>6601</v>
      </c>
      <c r="B266" s="60" t="s">
        <v>632</v>
      </c>
      <c r="C266" s="60" t="s">
        <v>6602</v>
      </c>
      <c r="D266" s="79" t="s">
        <v>5952</v>
      </c>
      <c r="E266" s="79" t="s">
        <v>5952</v>
      </c>
      <c r="F266" s="83">
        <v>14000.0</v>
      </c>
      <c r="G266" s="79">
        <v>356.0</v>
      </c>
      <c r="H266" s="83">
        <v>1125.0</v>
      </c>
      <c r="I266" s="79" t="s">
        <v>6531</v>
      </c>
      <c r="J266" s="79" t="s">
        <v>6656</v>
      </c>
      <c r="K266" s="80" t="s">
        <v>6657</v>
      </c>
      <c r="M266" s="81"/>
      <c r="N266" s="81"/>
      <c r="O266" s="81"/>
      <c r="P266" s="81"/>
      <c r="Q266" s="81"/>
      <c r="R266" s="81"/>
    </row>
    <row r="267">
      <c r="A267" s="60" t="s">
        <v>6601</v>
      </c>
      <c r="B267" s="60" t="s">
        <v>632</v>
      </c>
      <c r="C267" s="60" t="s">
        <v>6602</v>
      </c>
      <c r="D267" s="79" t="s">
        <v>5952</v>
      </c>
      <c r="E267" s="79">
        <v>140.0</v>
      </c>
      <c r="F267" s="83">
        <v>14000.0</v>
      </c>
      <c r="G267" s="79">
        <v>356.0</v>
      </c>
      <c r="H267" s="83">
        <v>1250.0</v>
      </c>
      <c r="I267" s="79" t="s">
        <v>6534</v>
      </c>
      <c r="J267" s="79" t="s">
        <v>6658</v>
      </c>
      <c r="K267" s="80" t="s">
        <v>6659</v>
      </c>
      <c r="M267" s="81"/>
      <c r="N267" s="81"/>
      <c r="O267" s="82"/>
      <c r="P267" s="81"/>
      <c r="Q267" s="81"/>
      <c r="R267" s="81"/>
    </row>
    <row r="268">
      <c r="A268" s="60" t="s">
        <v>6601</v>
      </c>
      <c r="B268" s="60" t="s">
        <v>632</v>
      </c>
      <c r="C268" s="60" t="s">
        <v>6602</v>
      </c>
      <c r="D268" s="79" t="s">
        <v>5952</v>
      </c>
      <c r="E268" s="79">
        <v>160.0</v>
      </c>
      <c r="F268" s="83">
        <v>14000.0</v>
      </c>
      <c r="G268" s="79">
        <v>356.0</v>
      </c>
      <c r="H268" s="83">
        <v>1406.0</v>
      </c>
      <c r="I268" s="79" t="s">
        <v>6660</v>
      </c>
      <c r="J268" s="79" t="s">
        <v>6661</v>
      </c>
      <c r="K268" s="80" t="s">
        <v>6662</v>
      </c>
      <c r="M268" s="81"/>
      <c r="N268" s="81"/>
      <c r="O268" s="82"/>
      <c r="P268" s="81"/>
      <c r="Q268" s="81"/>
      <c r="R268" s="81"/>
    </row>
    <row r="269">
      <c r="A269" s="60" t="s">
        <v>6601</v>
      </c>
      <c r="B269" s="60" t="s">
        <v>632</v>
      </c>
      <c r="C269" s="60" t="s">
        <v>6602</v>
      </c>
      <c r="D269" s="79" t="s">
        <v>5952</v>
      </c>
      <c r="E269" s="79" t="s">
        <v>5952</v>
      </c>
      <c r="F269" s="83">
        <v>14000.0</v>
      </c>
      <c r="G269" s="79">
        <v>356.0</v>
      </c>
      <c r="H269" s="83">
        <v>2000.0</v>
      </c>
      <c r="I269" s="79" t="s">
        <v>6663</v>
      </c>
      <c r="J269" s="79" t="s">
        <v>6664</v>
      </c>
      <c r="K269" s="80" t="s">
        <v>6665</v>
      </c>
      <c r="M269" s="81"/>
      <c r="N269" s="81"/>
      <c r="O269" s="81"/>
      <c r="P269" s="81"/>
      <c r="Q269" s="81"/>
      <c r="R269" s="81"/>
    </row>
    <row r="270">
      <c r="A270" s="60" t="s">
        <v>6601</v>
      </c>
      <c r="B270" s="60" t="s">
        <v>632</v>
      </c>
      <c r="C270" s="60" t="s">
        <v>6602</v>
      </c>
      <c r="D270" s="79" t="s">
        <v>5952</v>
      </c>
      <c r="E270" s="79" t="s">
        <v>5952</v>
      </c>
      <c r="F270" s="83">
        <v>14000.0</v>
      </c>
      <c r="G270" s="79">
        <v>356.0</v>
      </c>
      <c r="H270" s="83">
        <v>2125.0</v>
      </c>
      <c r="I270" s="79" t="s">
        <v>6666</v>
      </c>
      <c r="J270" s="79" t="s">
        <v>6667</v>
      </c>
      <c r="K270" s="80" t="s">
        <v>6668</v>
      </c>
      <c r="M270" s="81"/>
      <c r="N270" s="81"/>
      <c r="O270" s="81"/>
      <c r="P270" s="81"/>
      <c r="Q270" s="81"/>
      <c r="R270" s="81"/>
    </row>
    <row r="271">
      <c r="A271" s="60" t="s">
        <v>6601</v>
      </c>
      <c r="B271" s="60" t="s">
        <v>632</v>
      </c>
      <c r="C271" s="60" t="s">
        <v>6602</v>
      </c>
      <c r="D271" s="79" t="s">
        <v>5952</v>
      </c>
      <c r="E271" s="79" t="s">
        <v>5952</v>
      </c>
      <c r="F271" s="83">
        <v>14000.0</v>
      </c>
      <c r="G271" s="79">
        <v>356.0</v>
      </c>
      <c r="H271" s="83">
        <v>2200.0</v>
      </c>
      <c r="I271" s="79" t="s">
        <v>6669</v>
      </c>
      <c r="J271" s="79" t="s">
        <v>6670</v>
      </c>
      <c r="K271" s="80" t="s">
        <v>6671</v>
      </c>
      <c r="M271" s="81"/>
      <c r="N271" s="81"/>
      <c r="O271" s="81"/>
      <c r="P271" s="81"/>
      <c r="Q271" s="81"/>
      <c r="R271" s="81"/>
    </row>
    <row r="272">
      <c r="A272" s="60" t="s">
        <v>6601</v>
      </c>
      <c r="B272" s="60" t="s">
        <v>632</v>
      </c>
      <c r="C272" s="60" t="s">
        <v>6602</v>
      </c>
      <c r="D272" s="79" t="s">
        <v>5952</v>
      </c>
      <c r="E272" s="79" t="s">
        <v>5952</v>
      </c>
      <c r="F272" s="83">
        <v>14000.0</v>
      </c>
      <c r="G272" s="79">
        <v>356.0</v>
      </c>
      <c r="H272" s="83">
        <v>2500.0</v>
      </c>
      <c r="I272" s="79" t="s">
        <v>6672</v>
      </c>
      <c r="J272" s="79" t="s">
        <v>6673</v>
      </c>
      <c r="K272" s="80" t="s">
        <v>6674</v>
      </c>
      <c r="M272" s="81"/>
      <c r="N272" s="81"/>
      <c r="O272" s="81"/>
      <c r="P272" s="81"/>
      <c r="Q272" s="81"/>
      <c r="R272" s="81"/>
    </row>
    <row r="273">
      <c r="A273" s="60" t="s">
        <v>6675</v>
      </c>
      <c r="B273" s="60" t="s">
        <v>274</v>
      </c>
      <c r="C273" s="60" t="s">
        <v>6676</v>
      </c>
      <c r="D273" s="79" t="s">
        <v>5952</v>
      </c>
      <c r="E273" s="79">
        <v>5.0</v>
      </c>
      <c r="F273" s="83">
        <v>16000.0</v>
      </c>
      <c r="G273" s="79" t="s">
        <v>6677</v>
      </c>
      <c r="H273" s="79" t="s">
        <v>6482</v>
      </c>
      <c r="I273" s="79" t="s">
        <v>6483</v>
      </c>
      <c r="J273" s="79" t="s">
        <v>3849</v>
      </c>
      <c r="K273" s="80" t="s">
        <v>6678</v>
      </c>
      <c r="M273" s="81"/>
      <c r="N273" s="81"/>
      <c r="O273" s="82"/>
      <c r="P273" s="81"/>
      <c r="Q273" s="81"/>
      <c r="R273" s="81"/>
    </row>
    <row r="274">
      <c r="A274" s="60" t="s">
        <v>6675</v>
      </c>
      <c r="B274" s="60" t="s">
        <v>274</v>
      </c>
      <c r="C274" s="60" t="s">
        <v>6676</v>
      </c>
      <c r="D274" s="79" t="s">
        <v>5952</v>
      </c>
      <c r="E274" s="79" t="s">
        <v>5952</v>
      </c>
      <c r="F274" s="83">
        <v>16000.0</v>
      </c>
      <c r="G274" s="79" t="s">
        <v>6677</v>
      </c>
      <c r="H274" s="79" t="s">
        <v>6038</v>
      </c>
      <c r="I274" s="79" t="s">
        <v>6039</v>
      </c>
      <c r="J274" s="79" t="s">
        <v>6679</v>
      </c>
      <c r="K274" s="80" t="s">
        <v>6680</v>
      </c>
      <c r="M274" s="81"/>
      <c r="N274" s="81"/>
      <c r="O274" s="81"/>
      <c r="P274" s="81"/>
      <c r="Q274" s="81"/>
      <c r="R274" s="81"/>
    </row>
    <row r="275">
      <c r="A275" s="60" t="s">
        <v>6675</v>
      </c>
      <c r="B275" s="60" t="s">
        <v>274</v>
      </c>
      <c r="C275" s="60" t="s">
        <v>6676</v>
      </c>
      <c r="D275" s="79" t="s">
        <v>5952</v>
      </c>
      <c r="E275" s="79" t="s">
        <v>5952</v>
      </c>
      <c r="F275" s="83">
        <v>16000.0</v>
      </c>
      <c r="G275" s="79" t="s">
        <v>6677</v>
      </c>
      <c r="H275" s="79" t="s">
        <v>6194</v>
      </c>
      <c r="I275" s="79" t="s">
        <v>6195</v>
      </c>
      <c r="J275" s="79" t="s">
        <v>6681</v>
      </c>
      <c r="K275" s="80" t="s">
        <v>6682</v>
      </c>
      <c r="M275" s="81"/>
      <c r="N275" s="81"/>
      <c r="O275" s="81"/>
      <c r="P275" s="81"/>
      <c r="Q275" s="81"/>
      <c r="R275" s="81"/>
    </row>
    <row r="276">
      <c r="A276" s="60" t="s">
        <v>6675</v>
      </c>
      <c r="B276" s="60" t="s">
        <v>274</v>
      </c>
      <c r="C276" s="60" t="s">
        <v>6676</v>
      </c>
      <c r="D276" s="79" t="s">
        <v>5952</v>
      </c>
      <c r="E276" s="79" t="s">
        <v>5952</v>
      </c>
      <c r="F276" s="83">
        <v>16000.0</v>
      </c>
      <c r="G276" s="79" t="s">
        <v>6677</v>
      </c>
      <c r="H276" s="79" t="s">
        <v>1168</v>
      </c>
      <c r="I276" s="79" t="s">
        <v>6060</v>
      </c>
      <c r="J276" s="79" t="s">
        <v>6683</v>
      </c>
      <c r="K276" s="80" t="s">
        <v>6684</v>
      </c>
      <c r="M276" s="81"/>
      <c r="N276" s="81"/>
      <c r="O276" s="81"/>
      <c r="P276" s="81"/>
      <c r="Q276" s="81"/>
      <c r="R276" s="81"/>
    </row>
    <row r="277">
      <c r="A277" s="60" t="s">
        <v>6675</v>
      </c>
      <c r="B277" s="60" t="s">
        <v>274</v>
      </c>
      <c r="C277" s="60" t="s">
        <v>6676</v>
      </c>
      <c r="D277" s="79" t="s">
        <v>5952</v>
      </c>
      <c r="E277" s="79">
        <v>10.0</v>
      </c>
      <c r="F277" s="83">
        <v>16000.0</v>
      </c>
      <c r="G277" s="79" t="s">
        <v>6677</v>
      </c>
      <c r="H277" s="79" t="s">
        <v>6081</v>
      </c>
      <c r="I277" s="79" t="s">
        <v>6082</v>
      </c>
      <c r="J277" s="79" t="s">
        <v>6685</v>
      </c>
      <c r="K277" s="80" t="s">
        <v>6686</v>
      </c>
      <c r="M277" s="81"/>
      <c r="N277" s="81"/>
      <c r="O277" s="82"/>
      <c r="P277" s="81"/>
      <c r="Q277" s="81"/>
      <c r="R277" s="81"/>
    </row>
    <row r="278">
      <c r="A278" s="60" t="s">
        <v>6675</v>
      </c>
      <c r="B278" s="60" t="s">
        <v>274</v>
      </c>
      <c r="C278" s="60" t="s">
        <v>6676</v>
      </c>
      <c r="D278" s="79" t="s">
        <v>5952</v>
      </c>
      <c r="E278" s="79" t="s">
        <v>5952</v>
      </c>
      <c r="F278" s="83">
        <v>16000.0</v>
      </c>
      <c r="G278" s="79" t="s">
        <v>6677</v>
      </c>
      <c r="H278" s="79" t="s">
        <v>1559</v>
      </c>
      <c r="I278" s="79" t="s">
        <v>6128</v>
      </c>
      <c r="J278" s="79" t="s">
        <v>6687</v>
      </c>
      <c r="K278" s="80" t="s">
        <v>6688</v>
      </c>
      <c r="M278" s="81"/>
      <c r="N278" s="81"/>
      <c r="O278" s="81"/>
      <c r="P278" s="81"/>
      <c r="Q278" s="81"/>
      <c r="R278" s="81"/>
    </row>
    <row r="279">
      <c r="A279" s="60" t="s">
        <v>6675</v>
      </c>
      <c r="B279" s="60" t="s">
        <v>274</v>
      </c>
      <c r="C279" s="60" t="s">
        <v>6676</v>
      </c>
      <c r="D279" s="79" t="s">
        <v>5952</v>
      </c>
      <c r="E279" s="79">
        <v>20.0</v>
      </c>
      <c r="F279" s="83">
        <v>16000.0</v>
      </c>
      <c r="G279" s="79" t="s">
        <v>6677</v>
      </c>
      <c r="H279" s="79" t="s">
        <v>1213</v>
      </c>
      <c r="I279" s="79" t="s">
        <v>6303</v>
      </c>
      <c r="J279" s="79" t="s">
        <v>6689</v>
      </c>
      <c r="K279" s="80" t="s">
        <v>6690</v>
      </c>
      <c r="M279" s="81"/>
      <c r="N279" s="81"/>
      <c r="O279" s="82"/>
      <c r="P279" s="81"/>
      <c r="Q279" s="81"/>
      <c r="R279" s="81"/>
    </row>
    <row r="280">
      <c r="A280" s="60" t="s">
        <v>6675</v>
      </c>
      <c r="B280" s="60" t="s">
        <v>274</v>
      </c>
      <c r="C280" s="60" t="s">
        <v>6676</v>
      </c>
      <c r="D280" s="79" t="s">
        <v>5952</v>
      </c>
      <c r="E280" s="79" t="s">
        <v>5952</v>
      </c>
      <c r="F280" s="83">
        <v>16000.0</v>
      </c>
      <c r="G280" s="79" t="s">
        <v>6677</v>
      </c>
      <c r="H280" s="79" t="s">
        <v>1111</v>
      </c>
      <c r="I280" s="79" t="s">
        <v>6165</v>
      </c>
      <c r="J280" s="79" t="s">
        <v>6691</v>
      </c>
      <c r="K280" s="80" t="s">
        <v>6692</v>
      </c>
      <c r="M280" s="81"/>
      <c r="N280" s="81"/>
      <c r="O280" s="81"/>
      <c r="P280" s="81"/>
      <c r="Q280" s="81"/>
      <c r="R280" s="81"/>
    </row>
    <row r="281">
      <c r="A281" s="60" t="s">
        <v>6675</v>
      </c>
      <c r="B281" s="60" t="s">
        <v>274</v>
      </c>
      <c r="C281" s="60" t="s">
        <v>6676</v>
      </c>
      <c r="D281" s="79" t="s">
        <v>5962</v>
      </c>
      <c r="E281" s="79">
        <v>30.0</v>
      </c>
      <c r="F281" s="83">
        <v>16000.0</v>
      </c>
      <c r="G281" s="79" t="s">
        <v>6677</v>
      </c>
      <c r="H281" s="79" t="s">
        <v>6207</v>
      </c>
      <c r="I281" s="79" t="s">
        <v>6208</v>
      </c>
      <c r="J281" s="79" t="s">
        <v>6693</v>
      </c>
      <c r="K281" s="80" t="s">
        <v>6694</v>
      </c>
      <c r="M281" s="81"/>
      <c r="N281" s="81"/>
      <c r="O281" s="82"/>
      <c r="P281" s="81"/>
      <c r="Q281" s="81"/>
      <c r="R281" s="81"/>
    </row>
    <row r="282">
      <c r="A282" s="60" t="s">
        <v>6675</v>
      </c>
      <c r="B282" s="60" t="s">
        <v>274</v>
      </c>
      <c r="C282" s="60" t="s">
        <v>6676</v>
      </c>
      <c r="D282" s="79" t="s">
        <v>5952</v>
      </c>
      <c r="E282" s="79" t="s">
        <v>5952</v>
      </c>
      <c r="F282" s="83">
        <v>16000.0</v>
      </c>
      <c r="G282" s="79" t="s">
        <v>6677</v>
      </c>
      <c r="H282" s="79" t="s">
        <v>6442</v>
      </c>
      <c r="I282" s="79" t="s">
        <v>6443</v>
      </c>
      <c r="J282" s="79" t="s">
        <v>6695</v>
      </c>
      <c r="K282" s="80" t="s">
        <v>6696</v>
      </c>
      <c r="M282" s="81"/>
      <c r="N282" s="81"/>
      <c r="O282" s="81"/>
      <c r="P282" s="81"/>
      <c r="Q282" s="81"/>
      <c r="R282" s="81"/>
    </row>
    <row r="283">
      <c r="A283" s="60" t="s">
        <v>6675</v>
      </c>
      <c r="B283" s="60" t="s">
        <v>274</v>
      </c>
      <c r="C283" s="60" t="s">
        <v>6676</v>
      </c>
      <c r="D283" s="79" t="s">
        <v>5952</v>
      </c>
      <c r="E283" s="79" t="s">
        <v>5952</v>
      </c>
      <c r="F283" s="83">
        <v>16000.0</v>
      </c>
      <c r="G283" s="79" t="s">
        <v>6677</v>
      </c>
      <c r="H283" s="79" t="s">
        <v>6243</v>
      </c>
      <c r="I283" s="79" t="s">
        <v>6244</v>
      </c>
      <c r="J283" s="79" t="s">
        <v>6697</v>
      </c>
      <c r="K283" s="80" t="s">
        <v>6698</v>
      </c>
      <c r="M283" s="81"/>
      <c r="N283" s="81"/>
      <c r="O283" s="81"/>
      <c r="P283" s="81"/>
      <c r="Q283" s="81"/>
      <c r="R283" s="81"/>
    </row>
    <row r="284">
      <c r="A284" s="60" t="s">
        <v>6675</v>
      </c>
      <c r="B284" s="60" t="s">
        <v>274</v>
      </c>
      <c r="C284" s="60" t="s">
        <v>6676</v>
      </c>
      <c r="D284" s="79" t="s">
        <v>5952</v>
      </c>
      <c r="E284" s="79" t="s">
        <v>5952</v>
      </c>
      <c r="F284" s="83">
        <v>16000.0</v>
      </c>
      <c r="G284" s="79" t="s">
        <v>6677</v>
      </c>
      <c r="H284" s="79" t="s">
        <v>1196</v>
      </c>
      <c r="I284" s="79" t="s">
        <v>6628</v>
      </c>
      <c r="J284" s="79" t="s">
        <v>6699</v>
      </c>
      <c r="K284" s="80" t="s">
        <v>6700</v>
      </c>
      <c r="M284" s="81"/>
      <c r="N284" s="81"/>
      <c r="O284" s="81"/>
      <c r="P284" s="81"/>
      <c r="Q284" s="81"/>
      <c r="R284" s="81"/>
    </row>
    <row r="285">
      <c r="A285" s="60" t="s">
        <v>6675</v>
      </c>
      <c r="B285" s="60" t="s">
        <v>274</v>
      </c>
      <c r="C285" s="60" t="s">
        <v>6676</v>
      </c>
      <c r="D285" s="79" t="s">
        <v>5967</v>
      </c>
      <c r="E285" s="79">
        <v>40.0</v>
      </c>
      <c r="F285" s="83">
        <v>16000.0</v>
      </c>
      <c r="G285" s="79" t="s">
        <v>6677</v>
      </c>
      <c r="H285" s="79" t="s">
        <v>6345</v>
      </c>
      <c r="I285" s="79" t="s">
        <v>6346</v>
      </c>
      <c r="J285" s="79" t="s">
        <v>6701</v>
      </c>
      <c r="K285" s="80" t="s">
        <v>6702</v>
      </c>
      <c r="M285" s="81"/>
      <c r="N285" s="81"/>
      <c r="O285" s="82"/>
      <c r="P285" s="81"/>
      <c r="Q285" s="81"/>
      <c r="R285" s="81"/>
    </row>
    <row r="286">
      <c r="A286" s="60" t="s">
        <v>6675</v>
      </c>
      <c r="B286" s="60" t="s">
        <v>274</v>
      </c>
      <c r="C286" s="60" t="s">
        <v>6676</v>
      </c>
      <c r="D286" s="79" t="s">
        <v>5952</v>
      </c>
      <c r="E286" s="79" t="s">
        <v>5952</v>
      </c>
      <c r="F286" s="83">
        <v>16000.0</v>
      </c>
      <c r="G286" s="79" t="s">
        <v>6677</v>
      </c>
      <c r="H286" s="79" t="s">
        <v>6391</v>
      </c>
      <c r="I286" s="79" t="s">
        <v>6392</v>
      </c>
      <c r="J286" s="79" t="s">
        <v>6703</v>
      </c>
      <c r="K286" s="80" t="s">
        <v>6704</v>
      </c>
      <c r="M286" s="81"/>
      <c r="N286" s="81"/>
      <c r="O286" s="81"/>
      <c r="P286" s="81"/>
      <c r="Q286" s="81"/>
      <c r="R286" s="81"/>
    </row>
    <row r="287">
      <c r="A287" s="60" t="s">
        <v>6675</v>
      </c>
      <c r="B287" s="60" t="s">
        <v>274</v>
      </c>
      <c r="C287" s="60" t="s">
        <v>6676</v>
      </c>
      <c r="D287" s="79" t="s">
        <v>5952</v>
      </c>
      <c r="E287" s="79" t="s">
        <v>5952</v>
      </c>
      <c r="F287" s="83">
        <v>16000.0</v>
      </c>
      <c r="G287" s="79" t="s">
        <v>6677</v>
      </c>
      <c r="H287" s="79" t="s">
        <v>6349</v>
      </c>
      <c r="I287" s="79" t="s">
        <v>6350</v>
      </c>
      <c r="J287" s="79" t="s">
        <v>6705</v>
      </c>
      <c r="K287" s="80" t="s">
        <v>6706</v>
      </c>
      <c r="M287" s="81"/>
      <c r="N287" s="81"/>
      <c r="O287" s="81"/>
      <c r="P287" s="81"/>
      <c r="Q287" s="81"/>
      <c r="R287" s="81"/>
    </row>
    <row r="288">
      <c r="A288" s="60" t="s">
        <v>6675</v>
      </c>
      <c r="B288" s="60" t="s">
        <v>274</v>
      </c>
      <c r="C288" s="60" t="s">
        <v>6676</v>
      </c>
      <c r="D288" s="79" t="s">
        <v>5952</v>
      </c>
      <c r="E288" s="79">
        <v>60.0</v>
      </c>
      <c r="F288" s="83">
        <v>16000.0</v>
      </c>
      <c r="G288" s="79" t="s">
        <v>6677</v>
      </c>
      <c r="H288" s="79" t="s">
        <v>6707</v>
      </c>
      <c r="I288" s="79" t="s">
        <v>6708</v>
      </c>
      <c r="J288" s="79" t="s">
        <v>6709</v>
      </c>
      <c r="K288" s="80" t="s">
        <v>6710</v>
      </c>
      <c r="M288" s="81"/>
      <c r="N288" s="81"/>
      <c r="O288" s="82"/>
      <c r="P288" s="81"/>
      <c r="Q288" s="81"/>
      <c r="R288" s="81"/>
    </row>
    <row r="289">
      <c r="A289" s="60" t="s">
        <v>6675</v>
      </c>
      <c r="B289" s="60" t="s">
        <v>274</v>
      </c>
      <c r="C289" s="60" t="s">
        <v>6676</v>
      </c>
      <c r="D289" s="79" t="s">
        <v>5952</v>
      </c>
      <c r="E289" s="79" t="s">
        <v>5952</v>
      </c>
      <c r="F289" s="83">
        <v>16000.0</v>
      </c>
      <c r="G289" s="79" t="s">
        <v>6677</v>
      </c>
      <c r="H289" s="79" t="s">
        <v>6576</v>
      </c>
      <c r="I289" s="79" t="s">
        <v>6577</v>
      </c>
      <c r="J289" s="79" t="s">
        <v>6711</v>
      </c>
      <c r="K289" s="80" t="s">
        <v>6712</v>
      </c>
      <c r="M289" s="81"/>
      <c r="N289" s="81"/>
      <c r="O289" s="81"/>
      <c r="P289" s="81"/>
      <c r="Q289" s="81"/>
      <c r="R289" s="81"/>
    </row>
    <row r="290">
      <c r="A290" s="60" t="s">
        <v>6675</v>
      </c>
      <c r="B290" s="60" t="s">
        <v>274</v>
      </c>
      <c r="C290" s="60" t="s">
        <v>6676</v>
      </c>
      <c r="D290" s="79" t="s">
        <v>5952</v>
      </c>
      <c r="E290" s="79" t="s">
        <v>5952</v>
      </c>
      <c r="F290" s="83">
        <v>16000.0</v>
      </c>
      <c r="G290" s="79" t="s">
        <v>6677</v>
      </c>
      <c r="H290" s="79" t="s">
        <v>6353</v>
      </c>
      <c r="I290" s="79" t="s">
        <v>6354</v>
      </c>
      <c r="J290" s="79" t="s">
        <v>6713</v>
      </c>
      <c r="K290" s="80" t="s">
        <v>6714</v>
      </c>
      <c r="M290" s="81"/>
      <c r="N290" s="81"/>
      <c r="O290" s="81"/>
      <c r="P290" s="81"/>
      <c r="Q290" s="81"/>
      <c r="R290" s="81"/>
    </row>
    <row r="291">
      <c r="A291" s="60" t="s">
        <v>6675</v>
      </c>
      <c r="B291" s="60" t="s">
        <v>274</v>
      </c>
      <c r="C291" s="60" t="s">
        <v>6676</v>
      </c>
      <c r="D291" s="79" t="s">
        <v>5952</v>
      </c>
      <c r="E291" s="79" t="s">
        <v>5952</v>
      </c>
      <c r="F291" s="83">
        <v>16000.0</v>
      </c>
      <c r="G291" s="79" t="s">
        <v>6677</v>
      </c>
      <c r="H291" s="79" t="s">
        <v>6462</v>
      </c>
      <c r="I291" s="79" t="s">
        <v>6463</v>
      </c>
      <c r="J291" s="79" t="s">
        <v>6715</v>
      </c>
      <c r="K291" s="80" t="s">
        <v>6716</v>
      </c>
      <c r="M291" s="81"/>
      <c r="N291" s="81"/>
      <c r="O291" s="81"/>
      <c r="P291" s="81"/>
      <c r="Q291" s="81"/>
      <c r="R291" s="81"/>
    </row>
    <row r="292">
      <c r="A292" s="60" t="s">
        <v>6675</v>
      </c>
      <c r="B292" s="60" t="s">
        <v>274</v>
      </c>
      <c r="C292" s="60" t="s">
        <v>6676</v>
      </c>
      <c r="D292" s="79" t="s">
        <v>5952</v>
      </c>
      <c r="E292" s="79">
        <v>80.0</v>
      </c>
      <c r="F292" s="83">
        <v>16000.0</v>
      </c>
      <c r="G292" s="79" t="s">
        <v>6677</v>
      </c>
      <c r="H292" s="79" t="s">
        <v>6519</v>
      </c>
      <c r="I292" s="79" t="s">
        <v>6520</v>
      </c>
      <c r="J292" s="79" t="s">
        <v>6717</v>
      </c>
      <c r="K292" s="80" t="s">
        <v>6718</v>
      </c>
      <c r="M292" s="81"/>
      <c r="N292" s="81"/>
      <c r="O292" s="82"/>
      <c r="P292" s="81"/>
      <c r="Q292" s="81"/>
      <c r="R292" s="81"/>
    </row>
    <row r="293">
      <c r="A293" s="60" t="s">
        <v>6675</v>
      </c>
      <c r="B293" s="60" t="s">
        <v>274</v>
      </c>
      <c r="C293" s="60" t="s">
        <v>6676</v>
      </c>
      <c r="D293" s="79" t="s">
        <v>5952</v>
      </c>
      <c r="E293" s="79" t="s">
        <v>5952</v>
      </c>
      <c r="F293" s="83">
        <v>16000.0</v>
      </c>
      <c r="G293" s="79" t="s">
        <v>6677</v>
      </c>
      <c r="H293" s="79" t="s">
        <v>6407</v>
      </c>
      <c r="I293" s="79" t="s">
        <v>6408</v>
      </c>
      <c r="J293" s="79" t="s">
        <v>6719</v>
      </c>
      <c r="K293" s="80" t="s">
        <v>6720</v>
      </c>
      <c r="M293" s="81"/>
      <c r="N293" s="81"/>
      <c r="O293" s="81"/>
      <c r="P293" s="81"/>
      <c r="Q293" s="81"/>
      <c r="R293" s="81"/>
    </row>
    <row r="294">
      <c r="A294" s="60" t="s">
        <v>6675</v>
      </c>
      <c r="B294" s="60" t="s">
        <v>274</v>
      </c>
      <c r="C294" s="60" t="s">
        <v>6676</v>
      </c>
      <c r="D294" s="79" t="s">
        <v>5952</v>
      </c>
      <c r="E294" s="79" t="s">
        <v>5952</v>
      </c>
      <c r="F294" s="83">
        <v>16000.0</v>
      </c>
      <c r="G294" s="79" t="s">
        <v>6677</v>
      </c>
      <c r="H294" s="79" t="s">
        <v>6525</v>
      </c>
      <c r="I294" s="79" t="s">
        <v>6526</v>
      </c>
      <c r="J294" s="79" t="s">
        <v>6721</v>
      </c>
      <c r="K294" s="80" t="s">
        <v>6722</v>
      </c>
      <c r="M294" s="81"/>
      <c r="N294" s="81"/>
      <c r="O294" s="81"/>
      <c r="P294" s="81"/>
      <c r="Q294" s="81"/>
      <c r="R294" s="81"/>
    </row>
    <row r="295">
      <c r="A295" s="60" t="s">
        <v>6675</v>
      </c>
      <c r="B295" s="60" t="s">
        <v>274</v>
      </c>
      <c r="C295" s="60" t="s">
        <v>6676</v>
      </c>
      <c r="D295" s="79" t="s">
        <v>5952</v>
      </c>
      <c r="E295" s="79" t="s">
        <v>5952</v>
      </c>
      <c r="F295" s="83">
        <v>16000.0</v>
      </c>
      <c r="G295" s="79" t="s">
        <v>6677</v>
      </c>
      <c r="H295" s="83">
        <v>1000.0</v>
      </c>
      <c r="I295" s="79" t="s">
        <v>6472</v>
      </c>
      <c r="J295" s="79" t="s">
        <v>6723</v>
      </c>
      <c r="K295" s="80" t="s">
        <v>6724</v>
      </c>
      <c r="M295" s="81"/>
      <c r="N295" s="81"/>
      <c r="O295" s="81"/>
      <c r="P295" s="81"/>
      <c r="Q295" s="81"/>
      <c r="R295" s="81"/>
    </row>
    <row r="296">
      <c r="A296" s="60" t="s">
        <v>6675</v>
      </c>
      <c r="B296" s="60" t="s">
        <v>274</v>
      </c>
      <c r="C296" s="60" t="s">
        <v>6676</v>
      </c>
      <c r="D296" s="79" t="s">
        <v>5952</v>
      </c>
      <c r="E296" s="79">
        <v>100.0</v>
      </c>
      <c r="F296" s="83">
        <v>16000.0</v>
      </c>
      <c r="G296" s="79" t="s">
        <v>6677</v>
      </c>
      <c r="H296" s="83">
        <v>1031.0</v>
      </c>
      <c r="I296" s="79" t="s">
        <v>6725</v>
      </c>
      <c r="J296" s="79" t="s">
        <v>6726</v>
      </c>
      <c r="K296" s="80" t="s">
        <v>6727</v>
      </c>
      <c r="M296" s="81"/>
      <c r="N296" s="81"/>
      <c r="O296" s="82"/>
      <c r="P296" s="81"/>
      <c r="Q296" s="81"/>
      <c r="R296" s="81"/>
    </row>
    <row r="297">
      <c r="A297" s="60" t="s">
        <v>6675</v>
      </c>
      <c r="B297" s="60" t="s">
        <v>274</v>
      </c>
      <c r="C297" s="60" t="s">
        <v>6676</v>
      </c>
      <c r="D297" s="79" t="s">
        <v>5952</v>
      </c>
      <c r="E297" s="79" t="s">
        <v>5952</v>
      </c>
      <c r="F297" s="83">
        <v>16000.0</v>
      </c>
      <c r="G297" s="79" t="s">
        <v>6677</v>
      </c>
      <c r="H297" s="83">
        <v>1062.0</v>
      </c>
      <c r="I297" s="79" t="s">
        <v>6592</v>
      </c>
      <c r="J297" s="79" t="s">
        <v>6728</v>
      </c>
      <c r="K297" s="80" t="s">
        <v>6729</v>
      </c>
      <c r="M297" s="81"/>
      <c r="N297" s="81"/>
      <c r="O297" s="81"/>
      <c r="P297" s="81"/>
      <c r="Q297" s="81"/>
      <c r="R297" s="81"/>
    </row>
    <row r="298">
      <c r="A298" s="60" t="s">
        <v>6675</v>
      </c>
      <c r="B298" s="60" t="s">
        <v>274</v>
      </c>
      <c r="C298" s="60" t="s">
        <v>6676</v>
      </c>
      <c r="D298" s="79" t="s">
        <v>5952</v>
      </c>
      <c r="E298" s="79" t="s">
        <v>5952</v>
      </c>
      <c r="F298" s="83">
        <v>16000.0</v>
      </c>
      <c r="G298" s="79" t="s">
        <v>6677</v>
      </c>
      <c r="H298" s="83">
        <v>1125.0</v>
      </c>
      <c r="I298" s="79" t="s">
        <v>6531</v>
      </c>
      <c r="J298" s="79" t="s">
        <v>6730</v>
      </c>
      <c r="K298" s="80" t="s">
        <v>6731</v>
      </c>
      <c r="M298" s="81"/>
      <c r="N298" s="81"/>
      <c r="O298" s="81"/>
      <c r="P298" s="81"/>
      <c r="Q298" s="81"/>
      <c r="R298" s="81"/>
    </row>
    <row r="299">
      <c r="A299" s="60" t="s">
        <v>6675</v>
      </c>
      <c r="B299" s="60" t="s">
        <v>274</v>
      </c>
      <c r="C299" s="60" t="s">
        <v>6676</v>
      </c>
      <c r="D299" s="79" t="s">
        <v>5952</v>
      </c>
      <c r="E299" s="79" t="s">
        <v>5952</v>
      </c>
      <c r="F299" s="83">
        <v>16000.0</v>
      </c>
      <c r="G299" s="79" t="s">
        <v>6677</v>
      </c>
      <c r="H299" s="83">
        <v>1188.0</v>
      </c>
      <c r="I299" s="79" t="s">
        <v>6732</v>
      </c>
      <c r="J299" s="79" t="s">
        <v>6733</v>
      </c>
      <c r="K299" s="80" t="s">
        <v>6734</v>
      </c>
      <c r="M299" s="81"/>
      <c r="N299" s="81"/>
      <c r="O299" s="81"/>
      <c r="P299" s="81"/>
      <c r="Q299" s="81"/>
      <c r="R299" s="81"/>
    </row>
    <row r="300">
      <c r="A300" s="60" t="s">
        <v>6675</v>
      </c>
      <c r="B300" s="60" t="s">
        <v>274</v>
      </c>
      <c r="C300" s="60" t="s">
        <v>6676</v>
      </c>
      <c r="D300" s="79" t="s">
        <v>5952</v>
      </c>
      <c r="E300" s="79">
        <v>120.0</v>
      </c>
      <c r="F300" s="83">
        <v>16000.0</v>
      </c>
      <c r="G300" s="79" t="s">
        <v>6677</v>
      </c>
      <c r="H300" s="83">
        <v>1219.0</v>
      </c>
      <c r="I300" s="79" t="s">
        <v>6735</v>
      </c>
      <c r="J300" s="79" t="s">
        <v>6736</v>
      </c>
      <c r="K300" s="80" t="s">
        <v>6737</v>
      </c>
      <c r="M300" s="81"/>
      <c r="N300" s="81"/>
      <c r="O300" s="82"/>
      <c r="P300" s="81"/>
      <c r="Q300" s="81"/>
      <c r="R300" s="81"/>
    </row>
    <row r="301">
      <c r="A301" s="60" t="s">
        <v>6675</v>
      </c>
      <c r="B301" s="60" t="s">
        <v>274</v>
      </c>
      <c r="C301" s="60" t="s">
        <v>6676</v>
      </c>
      <c r="D301" s="79" t="s">
        <v>5952</v>
      </c>
      <c r="E301" s="79" t="s">
        <v>5952</v>
      </c>
      <c r="F301" s="83">
        <v>16000.0</v>
      </c>
      <c r="G301" s="79" t="s">
        <v>6677</v>
      </c>
      <c r="H301" s="83">
        <v>1250.0</v>
      </c>
      <c r="I301" s="79" t="s">
        <v>6534</v>
      </c>
      <c r="J301" s="79" t="s">
        <v>6738</v>
      </c>
      <c r="K301" s="80" t="s">
        <v>6739</v>
      </c>
      <c r="M301" s="81"/>
      <c r="N301" s="81"/>
      <c r="O301" s="81"/>
      <c r="P301" s="81"/>
      <c r="Q301" s="81"/>
      <c r="R301" s="81"/>
    </row>
    <row r="302">
      <c r="A302" s="60" t="s">
        <v>6675</v>
      </c>
      <c r="B302" s="60" t="s">
        <v>274</v>
      </c>
      <c r="C302" s="60" t="s">
        <v>6676</v>
      </c>
      <c r="D302" s="79" t="s">
        <v>5952</v>
      </c>
      <c r="E302" s="79">
        <v>140.0</v>
      </c>
      <c r="F302" s="83">
        <v>16000.0</v>
      </c>
      <c r="G302" s="79" t="s">
        <v>6677</v>
      </c>
      <c r="H302" s="83">
        <v>1438.0</v>
      </c>
      <c r="I302" s="79" t="s">
        <v>6740</v>
      </c>
      <c r="J302" s="79" t="s">
        <v>6741</v>
      </c>
      <c r="K302" s="80" t="s">
        <v>6742</v>
      </c>
      <c r="M302" s="81"/>
      <c r="N302" s="81"/>
      <c r="O302" s="82"/>
      <c r="P302" s="81"/>
      <c r="Q302" s="81"/>
      <c r="R302" s="81"/>
    </row>
    <row r="303">
      <c r="A303" s="60" t="s">
        <v>6675</v>
      </c>
      <c r="B303" s="60" t="s">
        <v>274</v>
      </c>
      <c r="C303" s="60" t="s">
        <v>6676</v>
      </c>
      <c r="D303" s="79" t="s">
        <v>5952</v>
      </c>
      <c r="E303" s="79">
        <v>160.0</v>
      </c>
      <c r="F303" s="83">
        <v>16000.0</v>
      </c>
      <c r="G303" s="79" t="s">
        <v>6677</v>
      </c>
      <c r="H303" s="83">
        <v>1594.0</v>
      </c>
      <c r="I303" s="79" t="s">
        <v>6743</v>
      </c>
      <c r="J303" s="79" t="s">
        <v>6744</v>
      </c>
      <c r="K303" s="80" t="s">
        <v>6745</v>
      </c>
      <c r="M303" s="81"/>
      <c r="N303" s="81"/>
      <c r="O303" s="82"/>
      <c r="P303" s="81"/>
      <c r="Q303" s="81"/>
      <c r="R303" s="81"/>
    </row>
    <row r="304">
      <c r="A304" s="60" t="s">
        <v>6746</v>
      </c>
      <c r="B304" s="60" t="s">
        <v>683</v>
      </c>
      <c r="C304" s="60" t="s">
        <v>6747</v>
      </c>
      <c r="D304" s="79" t="s">
        <v>5952</v>
      </c>
      <c r="E304" s="79">
        <v>5.0</v>
      </c>
      <c r="F304" s="83">
        <v>18000.0</v>
      </c>
      <c r="G304" s="79">
        <v>457.0</v>
      </c>
      <c r="H304" s="79" t="s">
        <v>6482</v>
      </c>
      <c r="I304" s="79" t="s">
        <v>6483</v>
      </c>
      <c r="J304" s="79" t="s">
        <v>6748</v>
      </c>
      <c r="K304" s="80" t="s">
        <v>6749</v>
      </c>
      <c r="M304" s="81"/>
      <c r="N304" s="81"/>
      <c r="O304" s="82"/>
      <c r="P304" s="81"/>
      <c r="Q304" s="81"/>
      <c r="R304" s="81"/>
    </row>
    <row r="305">
      <c r="A305" s="60" t="s">
        <v>6746</v>
      </c>
      <c r="B305" s="60" t="s">
        <v>683</v>
      </c>
      <c r="C305" s="60" t="s">
        <v>6747</v>
      </c>
      <c r="D305" s="79" t="s">
        <v>5952</v>
      </c>
      <c r="E305" s="79" t="s">
        <v>5952</v>
      </c>
      <c r="F305" s="83">
        <v>18000.0</v>
      </c>
      <c r="G305" s="79">
        <v>457.0</v>
      </c>
      <c r="H305" s="79" t="s">
        <v>6038</v>
      </c>
      <c r="I305" s="79" t="s">
        <v>6039</v>
      </c>
      <c r="J305" s="79" t="s">
        <v>6750</v>
      </c>
      <c r="K305" s="80" t="s">
        <v>6751</v>
      </c>
      <c r="M305" s="81"/>
      <c r="N305" s="81"/>
      <c r="O305" s="81"/>
      <c r="P305" s="81"/>
      <c r="Q305" s="81"/>
      <c r="R305" s="81"/>
    </row>
    <row r="306">
      <c r="A306" s="60" t="s">
        <v>6746</v>
      </c>
      <c r="B306" s="60" t="s">
        <v>683</v>
      </c>
      <c r="C306" s="60" t="s">
        <v>6747</v>
      </c>
      <c r="D306" s="79" t="s">
        <v>5952</v>
      </c>
      <c r="E306" s="79" t="s">
        <v>5952</v>
      </c>
      <c r="F306" s="83">
        <v>18000.0</v>
      </c>
      <c r="G306" s="79">
        <v>457.0</v>
      </c>
      <c r="H306" s="79" t="s">
        <v>1168</v>
      </c>
      <c r="I306" s="79" t="s">
        <v>6060</v>
      </c>
      <c r="J306" s="79" t="s">
        <v>6752</v>
      </c>
      <c r="K306" s="80" t="s">
        <v>6753</v>
      </c>
      <c r="M306" s="81"/>
      <c r="N306" s="81"/>
      <c r="O306" s="81"/>
      <c r="P306" s="81"/>
      <c r="Q306" s="81"/>
      <c r="R306" s="81"/>
    </row>
    <row r="307">
      <c r="A307" s="60" t="s">
        <v>6746</v>
      </c>
      <c r="B307" s="60" t="s">
        <v>683</v>
      </c>
      <c r="C307" s="60" t="s">
        <v>6747</v>
      </c>
      <c r="D307" s="79" t="s">
        <v>5952</v>
      </c>
      <c r="E307" s="79">
        <v>10.0</v>
      </c>
      <c r="F307" s="83">
        <v>18000.0</v>
      </c>
      <c r="G307" s="79">
        <v>457.0</v>
      </c>
      <c r="H307" s="79" t="s">
        <v>6081</v>
      </c>
      <c r="I307" s="79" t="s">
        <v>6082</v>
      </c>
      <c r="J307" s="79" t="s">
        <v>6754</v>
      </c>
      <c r="K307" s="80" t="s">
        <v>6755</v>
      </c>
      <c r="M307" s="81"/>
      <c r="N307" s="81"/>
      <c r="O307" s="82"/>
      <c r="P307" s="81"/>
      <c r="Q307" s="81"/>
      <c r="R307" s="81"/>
    </row>
    <row r="308">
      <c r="A308" s="60" t="s">
        <v>6746</v>
      </c>
      <c r="B308" s="60" t="s">
        <v>683</v>
      </c>
      <c r="C308" s="60" t="s">
        <v>6747</v>
      </c>
      <c r="D308" s="79" t="s">
        <v>5952</v>
      </c>
      <c r="E308" s="79" t="s">
        <v>5952</v>
      </c>
      <c r="F308" s="83">
        <v>18000.0</v>
      </c>
      <c r="G308" s="79">
        <v>457.0</v>
      </c>
      <c r="H308" s="79" t="s">
        <v>1559</v>
      </c>
      <c r="I308" s="79" t="s">
        <v>6128</v>
      </c>
      <c r="J308" s="79" t="s">
        <v>6756</v>
      </c>
      <c r="K308" s="80" t="s">
        <v>6757</v>
      </c>
      <c r="M308" s="81"/>
      <c r="N308" s="81"/>
      <c r="O308" s="81"/>
      <c r="P308" s="81"/>
      <c r="Q308" s="81"/>
      <c r="R308" s="81"/>
    </row>
    <row r="309">
      <c r="A309" s="60" t="s">
        <v>6746</v>
      </c>
      <c r="B309" s="60" t="s">
        <v>683</v>
      </c>
      <c r="C309" s="60" t="s">
        <v>6747</v>
      </c>
      <c r="D309" s="79" t="s">
        <v>5952</v>
      </c>
      <c r="E309" s="79">
        <v>20.0</v>
      </c>
      <c r="F309" s="83">
        <v>18000.0</v>
      </c>
      <c r="G309" s="79">
        <v>457.0</v>
      </c>
      <c r="H309" s="79" t="s">
        <v>1213</v>
      </c>
      <c r="I309" s="79" t="s">
        <v>6303</v>
      </c>
      <c r="J309" s="79" t="s">
        <v>6758</v>
      </c>
      <c r="K309" s="80" t="s">
        <v>6759</v>
      </c>
      <c r="M309" s="81"/>
      <c r="N309" s="81"/>
      <c r="O309" s="82"/>
      <c r="P309" s="81"/>
      <c r="Q309" s="81"/>
      <c r="R309" s="81"/>
    </row>
    <row r="310">
      <c r="A310" s="60" t="s">
        <v>6746</v>
      </c>
      <c r="B310" s="60" t="s">
        <v>683</v>
      </c>
      <c r="C310" s="60" t="s">
        <v>6747</v>
      </c>
      <c r="D310" s="79" t="s">
        <v>5952</v>
      </c>
      <c r="E310" s="79" t="s">
        <v>5952</v>
      </c>
      <c r="F310" s="83">
        <v>18000.0</v>
      </c>
      <c r="G310" s="79">
        <v>457.0</v>
      </c>
      <c r="H310" s="79" t="s">
        <v>1111</v>
      </c>
      <c r="I310" s="79" t="s">
        <v>6165</v>
      </c>
      <c r="J310" s="79" t="s">
        <v>6760</v>
      </c>
      <c r="K310" s="80" t="s">
        <v>6761</v>
      </c>
      <c r="M310" s="81"/>
      <c r="N310" s="81"/>
      <c r="O310" s="81"/>
      <c r="P310" s="81"/>
      <c r="Q310" s="81"/>
      <c r="R310" s="81"/>
    </row>
    <row r="311">
      <c r="A311" s="60" t="s">
        <v>6746</v>
      </c>
      <c r="B311" s="60" t="s">
        <v>683</v>
      </c>
      <c r="C311" s="60" t="s">
        <v>6747</v>
      </c>
      <c r="D311" s="79" t="s">
        <v>5962</v>
      </c>
      <c r="E311" s="79" t="s">
        <v>5952</v>
      </c>
      <c r="F311" s="83">
        <v>18000.0</v>
      </c>
      <c r="G311" s="79">
        <v>457.0</v>
      </c>
      <c r="H311" s="79" t="s">
        <v>6207</v>
      </c>
      <c r="I311" s="79" t="s">
        <v>6208</v>
      </c>
      <c r="J311" s="79" t="s">
        <v>6762</v>
      </c>
      <c r="K311" s="80" t="s">
        <v>6763</v>
      </c>
      <c r="M311" s="81"/>
      <c r="N311" s="81"/>
      <c r="O311" s="81"/>
      <c r="P311" s="81"/>
      <c r="Q311" s="81"/>
      <c r="R311" s="81"/>
    </row>
    <row r="312">
      <c r="A312" s="60" t="s">
        <v>6746</v>
      </c>
      <c r="B312" s="60" t="s">
        <v>683</v>
      </c>
      <c r="C312" s="60" t="s">
        <v>6747</v>
      </c>
      <c r="D312" s="79" t="s">
        <v>5952</v>
      </c>
      <c r="E312" s="79" t="s">
        <v>5952</v>
      </c>
      <c r="F312" s="83">
        <v>18000.0</v>
      </c>
      <c r="G312" s="79">
        <v>457.0</v>
      </c>
      <c r="H312" s="79" t="s">
        <v>6442</v>
      </c>
      <c r="I312" s="79" t="s">
        <v>6443</v>
      </c>
      <c r="J312" s="79" t="s">
        <v>6764</v>
      </c>
      <c r="K312" s="80" t="s">
        <v>6765</v>
      </c>
      <c r="M312" s="81"/>
      <c r="N312" s="81"/>
      <c r="O312" s="81"/>
      <c r="P312" s="81"/>
      <c r="Q312" s="81"/>
      <c r="R312" s="81"/>
    </row>
    <row r="313">
      <c r="A313" s="60" t="s">
        <v>6746</v>
      </c>
      <c r="B313" s="60" t="s">
        <v>683</v>
      </c>
      <c r="C313" s="60" t="s">
        <v>6747</v>
      </c>
      <c r="D313" s="79" t="s">
        <v>5952</v>
      </c>
      <c r="E313" s="79">
        <v>30.0</v>
      </c>
      <c r="F313" s="83">
        <v>18000.0</v>
      </c>
      <c r="G313" s="79">
        <v>457.0</v>
      </c>
      <c r="H313" s="79" t="s">
        <v>6243</v>
      </c>
      <c r="I313" s="79" t="s">
        <v>6244</v>
      </c>
      <c r="J313" s="79" t="s">
        <v>6766</v>
      </c>
      <c r="K313" s="80" t="s">
        <v>6767</v>
      </c>
      <c r="M313" s="81"/>
      <c r="N313" s="81"/>
      <c r="O313" s="82"/>
      <c r="P313" s="81"/>
      <c r="Q313" s="81"/>
      <c r="R313" s="81"/>
    </row>
    <row r="314">
      <c r="A314" s="60" t="s">
        <v>6746</v>
      </c>
      <c r="B314" s="60" t="s">
        <v>683</v>
      </c>
      <c r="C314" s="60" t="s">
        <v>6747</v>
      </c>
      <c r="D314" s="79" t="s">
        <v>5952</v>
      </c>
      <c r="E314" s="79" t="s">
        <v>5952</v>
      </c>
      <c r="F314" s="83">
        <v>18000.0</v>
      </c>
      <c r="G314" s="79">
        <v>457.0</v>
      </c>
      <c r="H314" s="79" t="s">
        <v>1196</v>
      </c>
      <c r="I314" s="79" t="s">
        <v>6628</v>
      </c>
      <c r="J314" s="79" t="s">
        <v>6768</v>
      </c>
      <c r="K314" s="80" t="s">
        <v>6769</v>
      </c>
      <c r="M314" s="81"/>
      <c r="N314" s="81"/>
      <c r="O314" s="81"/>
      <c r="P314" s="81"/>
      <c r="Q314" s="81"/>
      <c r="R314" s="81"/>
    </row>
    <row r="315">
      <c r="A315" s="60" t="s">
        <v>6746</v>
      </c>
      <c r="B315" s="60" t="s">
        <v>683</v>
      </c>
      <c r="C315" s="60" t="s">
        <v>6747</v>
      </c>
      <c r="D315" s="79" t="s">
        <v>5967</v>
      </c>
      <c r="E315" s="79" t="s">
        <v>5952</v>
      </c>
      <c r="F315" s="83">
        <v>18000.0</v>
      </c>
      <c r="G315" s="79">
        <v>457.0</v>
      </c>
      <c r="H315" s="79" t="s">
        <v>6345</v>
      </c>
      <c r="I315" s="79" t="s">
        <v>6346</v>
      </c>
      <c r="J315" s="79" t="s">
        <v>6770</v>
      </c>
      <c r="K315" s="80" t="s">
        <v>6771</v>
      </c>
      <c r="M315" s="81"/>
      <c r="N315" s="81"/>
      <c r="O315" s="81"/>
      <c r="P315" s="81"/>
      <c r="Q315" s="81"/>
      <c r="R315" s="81"/>
    </row>
    <row r="316">
      <c r="A316" s="60" t="s">
        <v>6746</v>
      </c>
      <c r="B316" s="60" t="s">
        <v>683</v>
      </c>
      <c r="C316" s="60" t="s">
        <v>6747</v>
      </c>
      <c r="D316" s="79" t="s">
        <v>5952</v>
      </c>
      <c r="E316" s="79">
        <v>40.0</v>
      </c>
      <c r="F316" s="83">
        <v>18000.0</v>
      </c>
      <c r="G316" s="79">
        <v>457.0</v>
      </c>
      <c r="H316" s="79" t="s">
        <v>6391</v>
      </c>
      <c r="I316" s="79" t="s">
        <v>6392</v>
      </c>
      <c r="J316" s="79" t="s">
        <v>6772</v>
      </c>
      <c r="K316" s="80" t="s">
        <v>6773</v>
      </c>
      <c r="M316" s="81"/>
      <c r="N316" s="81"/>
      <c r="O316" s="82"/>
      <c r="P316" s="81"/>
      <c r="Q316" s="81"/>
      <c r="R316" s="81"/>
    </row>
    <row r="317">
      <c r="A317" s="60" t="s">
        <v>6746</v>
      </c>
      <c r="B317" s="60" t="s">
        <v>683</v>
      </c>
      <c r="C317" s="60" t="s">
        <v>6747</v>
      </c>
      <c r="D317" s="79" t="s">
        <v>5952</v>
      </c>
      <c r="E317" s="79" t="s">
        <v>5952</v>
      </c>
      <c r="F317" s="83">
        <v>18000.0</v>
      </c>
      <c r="G317" s="79">
        <v>457.0</v>
      </c>
      <c r="H317" s="79" t="s">
        <v>6349</v>
      </c>
      <c r="I317" s="79" t="s">
        <v>6350</v>
      </c>
      <c r="J317" s="79" t="s">
        <v>6774</v>
      </c>
      <c r="K317" s="80" t="s">
        <v>6775</v>
      </c>
      <c r="M317" s="81"/>
      <c r="N317" s="81"/>
      <c r="O317" s="81"/>
      <c r="P317" s="81"/>
      <c r="Q317" s="81"/>
      <c r="R317" s="81"/>
    </row>
    <row r="318">
      <c r="A318" s="60" t="s">
        <v>6746</v>
      </c>
      <c r="B318" s="60" t="s">
        <v>683</v>
      </c>
      <c r="C318" s="60" t="s">
        <v>6747</v>
      </c>
      <c r="D318" s="79" t="s">
        <v>5952</v>
      </c>
      <c r="E318" s="79" t="s">
        <v>5952</v>
      </c>
      <c r="F318" s="83">
        <v>18000.0</v>
      </c>
      <c r="G318" s="79">
        <v>457.0</v>
      </c>
      <c r="H318" s="79" t="s">
        <v>6576</v>
      </c>
      <c r="I318" s="79" t="s">
        <v>6577</v>
      </c>
      <c r="J318" s="79" t="s">
        <v>6776</v>
      </c>
      <c r="K318" s="80" t="s">
        <v>6777</v>
      </c>
      <c r="M318" s="81"/>
      <c r="N318" s="81"/>
      <c r="O318" s="81"/>
      <c r="P318" s="81"/>
      <c r="Q318" s="81"/>
      <c r="R318" s="81"/>
    </row>
    <row r="319">
      <c r="A319" s="60" t="s">
        <v>6746</v>
      </c>
      <c r="B319" s="60" t="s">
        <v>683</v>
      </c>
      <c r="C319" s="60" t="s">
        <v>6747</v>
      </c>
      <c r="D319" s="79" t="s">
        <v>5952</v>
      </c>
      <c r="E319" s="79">
        <v>60.0</v>
      </c>
      <c r="F319" s="83">
        <v>18000.0</v>
      </c>
      <c r="G319" s="79">
        <v>457.0</v>
      </c>
      <c r="H319" s="79" t="s">
        <v>6353</v>
      </c>
      <c r="I319" s="79" t="s">
        <v>6354</v>
      </c>
      <c r="J319" s="79" t="s">
        <v>6778</v>
      </c>
      <c r="K319" s="80" t="s">
        <v>6779</v>
      </c>
      <c r="M319" s="81"/>
      <c r="N319" s="81"/>
      <c r="O319" s="82"/>
      <c r="P319" s="81"/>
      <c r="Q319" s="81"/>
      <c r="R319" s="81"/>
    </row>
    <row r="320">
      <c r="A320" s="60" t="s">
        <v>6746</v>
      </c>
      <c r="B320" s="60" t="s">
        <v>683</v>
      </c>
      <c r="C320" s="60" t="s">
        <v>6747</v>
      </c>
      <c r="D320" s="79" t="s">
        <v>5952</v>
      </c>
      <c r="E320" s="79" t="s">
        <v>5952</v>
      </c>
      <c r="F320" s="83">
        <v>18000.0</v>
      </c>
      <c r="G320" s="79">
        <v>457.0</v>
      </c>
      <c r="H320" s="79" t="s">
        <v>6462</v>
      </c>
      <c r="I320" s="79" t="s">
        <v>6463</v>
      </c>
      <c r="J320" s="79" t="s">
        <v>6780</v>
      </c>
      <c r="K320" s="80" t="s">
        <v>6781</v>
      </c>
      <c r="M320" s="81"/>
      <c r="N320" s="81"/>
      <c r="O320" s="81"/>
      <c r="P320" s="81"/>
      <c r="Q320" s="81"/>
      <c r="R320" s="81"/>
    </row>
    <row r="321">
      <c r="A321" s="60" t="s">
        <v>6746</v>
      </c>
      <c r="B321" s="60" t="s">
        <v>683</v>
      </c>
      <c r="C321" s="60" t="s">
        <v>6747</v>
      </c>
      <c r="D321" s="79" t="s">
        <v>5952</v>
      </c>
      <c r="E321" s="79" t="s">
        <v>5952</v>
      </c>
      <c r="F321" s="83">
        <v>18000.0</v>
      </c>
      <c r="G321" s="79">
        <v>457.0</v>
      </c>
      <c r="H321" s="79" t="s">
        <v>6407</v>
      </c>
      <c r="I321" s="79" t="s">
        <v>6408</v>
      </c>
      <c r="J321" s="79" t="s">
        <v>6782</v>
      </c>
      <c r="K321" s="80" t="s">
        <v>6783</v>
      </c>
      <c r="M321" s="81"/>
      <c r="N321" s="81"/>
      <c r="O321" s="81"/>
      <c r="P321" s="81"/>
      <c r="Q321" s="81"/>
      <c r="R321" s="81"/>
    </row>
    <row r="322">
      <c r="A322" s="60" t="s">
        <v>6746</v>
      </c>
      <c r="B322" s="60" t="s">
        <v>683</v>
      </c>
      <c r="C322" s="60" t="s">
        <v>6747</v>
      </c>
      <c r="D322" s="79" t="s">
        <v>5952</v>
      </c>
      <c r="E322" s="79">
        <v>80.0</v>
      </c>
      <c r="F322" s="83">
        <v>18000.0</v>
      </c>
      <c r="G322" s="79">
        <v>457.0</v>
      </c>
      <c r="H322" s="79" t="s">
        <v>6525</v>
      </c>
      <c r="I322" s="79" t="s">
        <v>6526</v>
      </c>
      <c r="J322" s="79" t="s">
        <v>6784</v>
      </c>
      <c r="K322" s="80" t="s">
        <v>6785</v>
      </c>
      <c r="M322" s="81"/>
      <c r="N322" s="81"/>
      <c r="O322" s="82"/>
      <c r="P322" s="81"/>
      <c r="Q322" s="81"/>
      <c r="R322" s="81"/>
    </row>
    <row r="323">
      <c r="A323" s="60" t="s">
        <v>6746</v>
      </c>
      <c r="B323" s="60" t="s">
        <v>683</v>
      </c>
      <c r="C323" s="60" t="s">
        <v>6747</v>
      </c>
      <c r="D323" s="79" t="s">
        <v>5952</v>
      </c>
      <c r="E323" s="79" t="s">
        <v>5952</v>
      </c>
      <c r="F323" s="83">
        <v>18000.0</v>
      </c>
      <c r="G323" s="79">
        <v>457.0</v>
      </c>
      <c r="H323" s="83">
        <v>1000.0</v>
      </c>
      <c r="I323" s="79" t="s">
        <v>6472</v>
      </c>
      <c r="J323" s="79" t="s">
        <v>6786</v>
      </c>
      <c r="K323" s="80" t="s">
        <v>6787</v>
      </c>
      <c r="M323" s="81"/>
      <c r="N323" s="81"/>
      <c r="O323" s="81"/>
      <c r="P323" s="81"/>
      <c r="Q323" s="81"/>
      <c r="R323" s="81"/>
    </row>
    <row r="324">
      <c r="A324" s="60" t="s">
        <v>6746</v>
      </c>
      <c r="B324" s="60" t="s">
        <v>683</v>
      </c>
      <c r="C324" s="60" t="s">
        <v>6747</v>
      </c>
      <c r="D324" s="79" t="s">
        <v>5952</v>
      </c>
      <c r="E324" s="79" t="s">
        <v>5952</v>
      </c>
      <c r="F324" s="83">
        <v>18000.0</v>
      </c>
      <c r="G324" s="79">
        <v>457.0</v>
      </c>
      <c r="H324" s="83">
        <v>1062.0</v>
      </c>
      <c r="I324" s="79" t="s">
        <v>6592</v>
      </c>
      <c r="J324" s="79" t="s">
        <v>6788</v>
      </c>
      <c r="K324" s="80" t="s">
        <v>6789</v>
      </c>
      <c r="M324" s="81"/>
      <c r="N324" s="81"/>
      <c r="O324" s="81"/>
      <c r="P324" s="81"/>
      <c r="Q324" s="81"/>
      <c r="R324" s="81"/>
    </row>
    <row r="325">
      <c r="A325" s="60" t="s">
        <v>6746</v>
      </c>
      <c r="B325" s="60" t="s">
        <v>683</v>
      </c>
      <c r="C325" s="60" t="s">
        <v>6747</v>
      </c>
      <c r="D325" s="79" t="s">
        <v>5952</v>
      </c>
      <c r="E325" s="79" t="s">
        <v>5952</v>
      </c>
      <c r="F325" s="83">
        <v>18000.0</v>
      </c>
      <c r="G325" s="79">
        <v>457.0</v>
      </c>
      <c r="H325" s="83">
        <v>1125.0</v>
      </c>
      <c r="I325" s="79" t="s">
        <v>6531</v>
      </c>
      <c r="J325" s="79" t="s">
        <v>6790</v>
      </c>
      <c r="K325" s="80" t="s">
        <v>6791</v>
      </c>
      <c r="M325" s="81"/>
      <c r="N325" s="81"/>
      <c r="O325" s="81"/>
      <c r="P325" s="81"/>
      <c r="Q325" s="81"/>
      <c r="R325" s="81"/>
    </row>
    <row r="326">
      <c r="A326" s="60" t="s">
        <v>6746</v>
      </c>
      <c r="B326" s="60" t="s">
        <v>683</v>
      </c>
      <c r="C326" s="60" t="s">
        <v>6747</v>
      </c>
      <c r="D326" s="79" t="s">
        <v>5952</v>
      </c>
      <c r="E326" s="79">
        <v>100.0</v>
      </c>
      <c r="F326" s="83">
        <v>18000.0</v>
      </c>
      <c r="G326" s="79">
        <v>457.0</v>
      </c>
      <c r="H326" s="83">
        <v>1156.0</v>
      </c>
      <c r="I326" s="79" t="s">
        <v>6792</v>
      </c>
      <c r="J326" s="79" t="s">
        <v>6793</v>
      </c>
      <c r="K326" s="80" t="s">
        <v>6794</v>
      </c>
      <c r="M326" s="81"/>
      <c r="N326" s="81"/>
      <c r="O326" s="82"/>
      <c r="P326" s="81"/>
      <c r="Q326" s="81"/>
      <c r="R326" s="81"/>
    </row>
    <row r="327">
      <c r="A327" s="60" t="s">
        <v>6746</v>
      </c>
      <c r="B327" s="60" t="s">
        <v>683</v>
      </c>
      <c r="C327" s="60" t="s">
        <v>6747</v>
      </c>
      <c r="D327" s="79" t="s">
        <v>5952</v>
      </c>
      <c r="E327" s="79" t="s">
        <v>5952</v>
      </c>
      <c r="F327" s="83">
        <v>18000.0</v>
      </c>
      <c r="G327" s="79">
        <v>457.0</v>
      </c>
      <c r="H327" s="83">
        <v>1188.0</v>
      </c>
      <c r="I327" s="79" t="s">
        <v>6732</v>
      </c>
      <c r="J327" s="79" t="s">
        <v>6795</v>
      </c>
      <c r="K327" s="80" t="s">
        <v>6796</v>
      </c>
      <c r="M327" s="81"/>
      <c r="N327" s="81"/>
      <c r="O327" s="81"/>
      <c r="P327" s="81"/>
      <c r="Q327" s="81"/>
      <c r="R327" s="81"/>
    </row>
    <row r="328">
      <c r="A328" s="60" t="s">
        <v>6746</v>
      </c>
      <c r="B328" s="60" t="s">
        <v>683</v>
      </c>
      <c r="C328" s="60" t="s">
        <v>6747</v>
      </c>
      <c r="D328" s="79" t="s">
        <v>5952</v>
      </c>
      <c r="E328" s="79" t="s">
        <v>5952</v>
      </c>
      <c r="F328" s="83">
        <v>18000.0</v>
      </c>
      <c r="G328" s="79">
        <v>457.0</v>
      </c>
      <c r="H328" s="83">
        <v>1250.0</v>
      </c>
      <c r="I328" s="79" t="s">
        <v>6534</v>
      </c>
      <c r="J328" s="79" t="s">
        <v>6797</v>
      </c>
      <c r="K328" s="80" t="s">
        <v>6798</v>
      </c>
      <c r="M328" s="81"/>
      <c r="N328" s="81"/>
      <c r="O328" s="81"/>
      <c r="P328" s="81"/>
      <c r="Q328" s="81"/>
      <c r="R328" s="81"/>
    </row>
    <row r="329">
      <c r="A329" s="60" t="s">
        <v>6746</v>
      </c>
      <c r="B329" s="60" t="s">
        <v>683</v>
      </c>
      <c r="C329" s="60" t="s">
        <v>6747</v>
      </c>
      <c r="D329" s="79" t="s">
        <v>5952</v>
      </c>
      <c r="E329" s="79">
        <v>120.0</v>
      </c>
      <c r="F329" s="83">
        <v>18000.0</v>
      </c>
      <c r="G329" s="79">
        <v>457.0</v>
      </c>
      <c r="H329" s="83">
        <v>1375.0</v>
      </c>
      <c r="I329" s="79" t="s">
        <v>6799</v>
      </c>
      <c r="J329" s="79" t="s">
        <v>6800</v>
      </c>
      <c r="K329" s="80" t="s">
        <v>6801</v>
      </c>
      <c r="M329" s="81"/>
      <c r="N329" s="81"/>
      <c r="O329" s="82"/>
      <c r="P329" s="81"/>
      <c r="Q329" s="81"/>
      <c r="R329" s="81"/>
    </row>
    <row r="330">
      <c r="A330" s="60" t="s">
        <v>6746</v>
      </c>
      <c r="B330" s="60" t="s">
        <v>683</v>
      </c>
      <c r="C330" s="60" t="s">
        <v>6747</v>
      </c>
      <c r="D330" s="79" t="s">
        <v>5952</v>
      </c>
      <c r="E330" s="79">
        <v>140.0</v>
      </c>
      <c r="F330" s="83">
        <v>18000.0</v>
      </c>
      <c r="G330" s="79">
        <v>457.0</v>
      </c>
      <c r="H330" s="83">
        <v>1562.0</v>
      </c>
      <c r="I330" s="79" t="s">
        <v>6802</v>
      </c>
      <c r="J330" s="79" t="s">
        <v>6803</v>
      </c>
      <c r="K330" s="80" t="s">
        <v>6804</v>
      </c>
      <c r="M330" s="81"/>
      <c r="N330" s="81"/>
      <c r="O330" s="82"/>
      <c r="P330" s="81"/>
      <c r="Q330" s="81"/>
      <c r="R330" s="81"/>
    </row>
    <row r="331">
      <c r="A331" s="60" t="s">
        <v>6746</v>
      </c>
      <c r="B331" s="60" t="s">
        <v>683</v>
      </c>
      <c r="C331" s="60" t="s">
        <v>6747</v>
      </c>
      <c r="D331" s="79" t="s">
        <v>5952</v>
      </c>
      <c r="E331" s="79">
        <v>160.0</v>
      </c>
      <c r="F331" s="83">
        <v>18000.0</v>
      </c>
      <c r="G331" s="79">
        <v>457.0</v>
      </c>
      <c r="H331" s="83">
        <v>1781.0</v>
      </c>
      <c r="I331" s="79" t="s">
        <v>6805</v>
      </c>
      <c r="J331" s="79" t="s">
        <v>6806</v>
      </c>
      <c r="K331" s="80" t="s">
        <v>6807</v>
      </c>
      <c r="M331" s="81"/>
      <c r="N331" s="81"/>
      <c r="O331" s="82"/>
      <c r="P331" s="81"/>
      <c r="Q331" s="81"/>
      <c r="R331" s="81"/>
    </row>
    <row r="332">
      <c r="A332" s="60" t="s">
        <v>6808</v>
      </c>
      <c r="B332" s="60" t="s">
        <v>287</v>
      </c>
      <c r="C332" s="60" t="s">
        <v>6809</v>
      </c>
      <c r="D332" s="79" t="s">
        <v>5952</v>
      </c>
      <c r="E332" s="79">
        <v>5.0</v>
      </c>
      <c r="F332" s="83">
        <v>20000.0</v>
      </c>
      <c r="G332" s="79">
        <v>508.0</v>
      </c>
      <c r="H332" s="79" t="s">
        <v>6038</v>
      </c>
      <c r="I332" s="79" t="s">
        <v>6039</v>
      </c>
      <c r="J332" s="79" t="s">
        <v>6810</v>
      </c>
      <c r="K332" s="80" t="s">
        <v>6811</v>
      </c>
      <c r="M332" s="81"/>
      <c r="N332" s="81"/>
      <c r="O332" s="82"/>
      <c r="P332" s="81"/>
      <c r="Q332" s="81"/>
      <c r="R332" s="81"/>
    </row>
    <row r="333">
      <c r="A333" s="60" t="s">
        <v>6808</v>
      </c>
      <c r="B333" s="60" t="s">
        <v>287</v>
      </c>
      <c r="C333" s="60" t="s">
        <v>6809</v>
      </c>
      <c r="D333" s="79" t="s">
        <v>5952</v>
      </c>
      <c r="E333" s="79" t="s">
        <v>5952</v>
      </c>
      <c r="F333" s="83">
        <v>20000.0</v>
      </c>
      <c r="G333" s="79">
        <v>508.0</v>
      </c>
      <c r="H333" s="79" t="s">
        <v>1168</v>
      </c>
      <c r="I333" s="79" t="s">
        <v>6060</v>
      </c>
      <c r="J333" s="79" t="s">
        <v>6812</v>
      </c>
      <c r="K333" s="80" t="s">
        <v>6813</v>
      </c>
      <c r="M333" s="81"/>
      <c r="N333" s="81"/>
      <c r="O333" s="81"/>
      <c r="P333" s="81"/>
      <c r="Q333" s="81"/>
      <c r="R333" s="81"/>
    </row>
    <row r="334">
      <c r="A334" s="60" t="s">
        <v>6808</v>
      </c>
      <c r="B334" s="60" t="s">
        <v>287</v>
      </c>
      <c r="C334" s="60" t="s">
        <v>6809</v>
      </c>
      <c r="D334" s="79" t="s">
        <v>5952</v>
      </c>
      <c r="E334" s="79">
        <v>10.0</v>
      </c>
      <c r="F334" s="83">
        <v>20000.0</v>
      </c>
      <c r="G334" s="79">
        <v>508.0</v>
      </c>
      <c r="H334" s="79" t="s">
        <v>6081</v>
      </c>
      <c r="I334" s="79" t="s">
        <v>6082</v>
      </c>
      <c r="J334" s="79" t="s">
        <v>6814</v>
      </c>
      <c r="K334" s="80" t="s">
        <v>6815</v>
      </c>
      <c r="M334" s="81"/>
      <c r="N334" s="81"/>
      <c r="O334" s="82"/>
      <c r="P334" s="81"/>
      <c r="Q334" s="81"/>
      <c r="R334" s="81"/>
    </row>
    <row r="335">
      <c r="A335" s="60" t="s">
        <v>6808</v>
      </c>
      <c r="B335" s="60" t="s">
        <v>287</v>
      </c>
      <c r="C335" s="60" t="s">
        <v>6809</v>
      </c>
      <c r="D335" s="79" t="s">
        <v>5952</v>
      </c>
      <c r="E335" s="79" t="s">
        <v>5952</v>
      </c>
      <c r="F335" s="83">
        <v>20000.0</v>
      </c>
      <c r="G335" s="79">
        <v>508.0</v>
      </c>
      <c r="H335" s="79" t="s">
        <v>1559</v>
      </c>
      <c r="I335" s="79" t="s">
        <v>6128</v>
      </c>
      <c r="J335" s="79" t="s">
        <v>6816</v>
      </c>
      <c r="K335" s="80" t="s">
        <v>6817</v>
      </c>
      <c r="M335" s="81"/>
      <c r="N335" s="81"/>
      <c r="O335" s="81"/>
      <c r="P335" s="81"/>
      <c r="Q335" s="81"/>
      <c r="R335" s="81"/>
    </row>
    <row r="336">
      <c r="A336" s="60" t="s">
        <v>6808</v>
      </c>
      <c r="B336" s="60" t="s">
        <v>287</v>
      </c>
      <c r="C336" s="60" t="s">
        <v>6809</v>
      </c>
      <c r="D336" s="79" t="s">
        <v>5952</v>
      </c>
      <c r="E336" s="79" t="s">
        <v>5952</v>
      </c>
      <c r="F336" s="83">
        <v>20000.0</v>
      </c>
      <c r="G336" s="79">
        <v>508.0</v>
      </c>
      <c r="H336" s="79" t="s">
        <v>1213</v>
      </c>
      <c r="I336" s="79" t="s">
        <v>6303</v>
      </c>
      <c r="J336" s="79" t="s">
        <v>6818</v>
      </c>
      <c r="K336" s="80" t="s">
        <v>6819</v>
      </c>
      <c r="M336" s="81"/>
      <c r="N336" s="81"/>
      <c r="O336" s="81"/>
      <c r="P336" s="81"/>
      <c r="Q336" s="81"/>
      <c r="R336" s="81"/>
    </row>
    <row r="337">
      <c r="A337" s="60" t="s">
        <v>6808</v>
      </c>
      <c r="B337" s="60" t="s">
        <v>287</v>
      </c>
      <c r="C337" s="60" t="s">
        <v>6809</v>
      </c>
      <c r="D337" s="79" t="s">
        <v>5952</v>
      </c>
      <c r="E337" s="79" t="s">
        <v>5952</v>
      </c>
      <c r="F337" s="83">
        <v>20000.0</v>
      </c>
      <c r="G337" s="79">
        <v>508.0</v>
      </c>
      <c r="H337" s="79" t="s">
        <v>1111</v>
      </c>
      <c r="I337" s="79" t="s">
        <v>6165</v>
      </c>
      <c r="J337" s="79" t="s">
        <v>6820</v>
      </c>
      <c r="K337" s="80" t="s">
        <v>6821</v>
      </c>
      <c r="M337" s="81"/>
      <c r="N337" s="81"/>
      <c r="O337" s="81"/>
      <c r="P337" s="81"/>
      <c r="Q337" s="81"/>
      <c r="R337" s="81"/>
    </row>
    <row r="338">
      <c r="A338" s="60" t="s">
        <v>6808</v>
      </c>
      <c r="B338" s="60" t="s">
        <v>287</v>
      </c>
      <c r="C338" s="60" t="s">
        <v>6809</v>
      </c>
      <c r="D338" s="79" t="s">
        <v>5962</v>
      </c>
      <c r="E338" s="79">
        <v>20.0</v>
      </c>
      <c r="F338" s="83">
        <v>20000.0</v>
      </c>
      <c r="G338" s="79">
        <v>508.0</v>
      </c>
      <c r="H338" s="79" t="s">
        <v>6207</v>
      </c>
      <c r="I338" s="79" t="s">
        <v>6208</v>
      </c>
      <c r="J338" s="79" t="s">
        <v>6822</v>
      </c>
      <c r="K338" s="80" t="s">
        <v>6823</v>
      </c>
      <c r="M338" s="81"/>
      <c r="N338" s="81"/>
      <c r="O338" s="82"/>
      <c r="P338" s="81"/>
      <c r="Q338" s="81"/>
      <c r="R338" s="81"/>
    </row>
    <row r="339">
      <c r="A339" s="60" t="s">
        <v>6808</v>
      </c>
      <c r="B339" s="60" t="s">
        <v>287</v>
      </c>
      <c r="C339" s="60" t="s">
        <v>6809</v>
      </c>
      <c r="D339" s="79" t="s">
        <v>5952</v>
      </c>
      <c r="E339" s="79" t="s">
        <v>5952</v>
      </c>
      <c r="F339" s="83">
        <v>20000.0</v>
      </c>
      <c r="G339" s="79">
        <v>508.0</v>
      </c>
      <c r="H339" s="79" t="s">
        <v>6442</v>
      </c>
      <c r="I339" s="79" t="s">
        <v>6443</v>
      </c>
      <c r="J339" s="79" t="s">
        <v>6824</v>
      </c>
      <c r="K339" s="80" t="s">
        <v>6825</v>
      </c>
      <c r="M339" s="81"/>
      <c r="N339" s="81"/>
      <c r="O339" s="81"/>
      <c r="P339" s="81"/>
      <c r="Q339" s="81"/>
      <c r="R339" s="81"/>
    </row>
    <row r="340">
      <c r="A340" s="60" t="s">
        <v>6808</v>
      </c>
      <c r="B340" s="60" t="s">
        <v>287</v>
      </c>
      <c r="C340" s="60" t="s">
        <v>6809</v>
      </c>
      <c r="D340" s="79" t="s">
        <v>5952</v>
      </c>
      <c r="E340" s="79" t="s">
        <v>5952</v>
      </c>
      <c r="F340" s="83">
        <v>20000.0</v>
      </c>
      <c r="G340" s="79">
        <v>508.0</v>
      </c>
      <c r="H340" s="79" t="s">
        <v>6243</v>
      </c>
      <c r="I340" s="79" t="s">
        <v>6244</v>
      </c>
      <c r="J340" s="79" t="s">
        <v>6826</v>
      </c>
      <c r="K340" s="80" t="s">
        <v>6827</v>
      </c>
      <c r="M340" s="81"/>
      <c r="N340" s="81"/>
      <c r="O340" s="81"/>
      <c r="P340" s="81"/>
      <c r="Q340" s="81"/>
      <c r="R340" s="81"/>
    </row>
    <row r="341">
      <c r="A341" s="60" t="s">
        <v>6808</v>
      </c>
      <c r="B341" s="60" t="s">
        <v>287</v>
      </c>
      <c r="C341" s="60" t="s">
        <v>6809</v>
      </c>
      <c r="D341" s="79" t="s">
        <v>5952</v>
      </c>
      <c r="E341" s="79" t="s">
        <v>5952</v>
      </c>
      <c r="F341" s="83">
        <v>20000.0</v>
      </c>
      <c r="G341" s="79">
        <v>508.0</v>
      </c>
      <c r="H341" s="79" t="s">
        <v>1196</v>
      </c>
      <c r="I341" s="79" t="s">
        <v>6628</v>
      </c>
      <c r="J341" s="79" t="s">
        <v>6828</v>
      </c>
      <c r="K341" s="80" t="s">
        <v>6829</v>
      </c>
      <c r="M341" s="81"/>
      <c r="N341" s="81"/>
      <c r="O341" s="81"/>
      <c r="P341" s="81"/>
      <c r="Q341" s="81"/>
      <c r="R341" s="81"/>
    </row>
    <row r="342">
      <c r="A342" s="60" t="s">
        <v>6808</v>
      </c>
      <c r="B342" s="60" t="s">
        <v>287</v>
      </c>
      <c r="C342" s="60" t="s">
        <v>6809</v>
      </c>
      <c r="D342" s="79" t="s">
        <v>5967</v>
      </c>
      <c r="E342" s="79">
        <v>30.0</v>
      </c>
      <c r="F342" s="83">
        <v>20000.0</v>
      </c>
      <c r="G342" s="79">
        <v>508.0</v>
      </c>
      <c r="H342" s="79" t="s">
        <v>6345</v>
      </c>
      <c r="I342" s="79" t="s">
        <v>6346</v>
      </c>
      <c r="J342" s="79" t="s">
        <v>6529</v>
      </c>
      <c r="K342" s="80" t="s">
        <v>6830</v>
      </c>
      <c r="M342" s="81"/>
      <c r="N342" s="81"/>
      <c r="O342" s="82"/>
      <c r="P342" s="81"/>
      <c r="Q342" s="81"/>
      <c r="R342" s="81"/>
    </row>
    <row r="343">
      <c r="A343" s="60" t="s">
        <v>6808</v>
      </c>
      <c r="B343" s="60" t="s">
        <v>287</v>
      </c>
      <c r="C343" s="60" t="s">
        <v>6809</v>
      </c>
      <c r="D343" s="79" t="s">
        <v>5952</v>
      </c>
      <c r="E343" s="79" t="s">
        <v>5952</v>
      </c>
      <c r="F343" s="83">
        <v>20000.0</v>
      </c>
      <c r="G343" s="79">
        <v>508.0</v>
      </c>
      <c r="H343" s="79" t="s">
        <v>6391</v>
      </c>
      <c r="I343" s="79" t="s">
        <v>6392</v>
      </c>
      <c r="J343" s="79" t="s">
        <v>6831</v>
      </c>
      <c r="K343" s="80" t="s">
        <v>6832</v>
      </c>
      <c r="M343" s="81"/>
      <c r="N343" s="81"/>
      <c r="O343" s="81"/>
      <c r="P343" s="81"/>
      <c r="Q343" s="81"/>
      <c r="R343" s="81"/>
    </row>
    <row r="344">
      <c r="A344" s="60" t="s">
        <v>6808</v>
      </c>
      <c r="B344" s="60" t="s">
        <v>287</v>
      </c>
      <c r="C344" s="60" t="s">
        <v>6809</v>
      </c>
      <c r="D344" s="79" t="s">
        <v>5952</v>
      </c>
      <c r="E344" s="79">
        <v>40.0</v>
      </c>
      <c r="F344" s="83">
        <v>20000.0</v>
      </c>
      <c r="G344" s="79">
        <v>508.0</v>
      </c>
      <c r="H344" s="79" t="s">
        <v>6452</v>
      </c>
      <c r="I344" s="79" t="s">
        <v>6453</v>
      </c>
      <c r="J344" s="79" t="s">
        <v>6833</v>
      </c>
      <c r="K344" s="80" t="s">
        <v>6834</v>
      </c>
      <c r="M344" s="81"/>
      <c r="N344" s="81"/>
      <c r="O344" s="82"/>
      <c r="P344" s="81"/>
      <c r="Q344" s="81"/>
      <c r="R344" s="81"/>
    </row>
    <row r="345">
      <c r="A345" s="60" t="s">
        <v>6808</v>
      </c>
      <c r="B345" s="60" t="s">
        <v>287</v>
      </c>
      <c r="C345" s="60" t="s">
        <v>6809</v>
      </c>
      <c r="D345" s="79" t="s">
        <v>5952</v>
      </c>
      <c r="E345" s="79" t="s">
        <v>5952</v>
      </c>
      <c r="F345" s="83">
        <v>20000.0</v>
      </c>
      <c r="G345" s="79">
        <v>508.0</v>
      </c>
      <c r="H345" s="79" t="s">
        <v>6349</v>
      </c>
      <c r="I345" s="79" t="s">
        <v>6350</v>
      </c>
      <c r="J345" s="79" t="s">
        <v>6835</v>
      </c>
      <c r="K345" s="80" t="s">
        <v>6836</v>
      </c>
      <c r="M345" s="81"/>
      <c r="N345" s="81"/>
      <c r="O345" s="81"/>
      <c r="P345" s="81"/>
      <c r="Q345" s="81"/>
      <c r="R345" s="81"/>
    </row>
    <row r="346">
      <c r="A346" s="60" t="s">
        <v>6808</v>
      </c>
      <c r="B346" s="60" t="s">
        <v>287</v>
      </c>
      <c r="C346" s="60" t="s">
        <v>6809</v>
      </c>
      <c r="D346" s="79" t="s">
        <v>5952</v>
      </c>
      <c r="E346" s="79" t="s">
        <v>5952</v>
      </c>
      <c r="F346" s="83">
        <v>20000.0</v>
      </c>
      <c r="G346" s="79">
        <v>508.0</v>
      </c>
      <c r="H346" s="79" t="s">
        <v>6576</v>
      </c>
      <c r="I346" s="79" t="s">
        <v>6577</v>
      </c>
      <c r="J346" s="79" t="s">
        <v>6837</v>
      </c>
      <c r="K346" s="80" t="s">
        <v>6838</v>
      </c>
      <c r="M346" s="81"/>
      <c r="N346" s="81"/>
      <c r="O346" s="81"/>
      <c r="P346" s="81"/>
      <c r="Q346" s="81"/>
      <c r="R346" s="81"/>
    </row>
    <row r="347">
      <c r="A347" s="60" t="s">
        <v>6808</v>
      </c>
      <c r="B347" s="60" t="s">
        <v>287</v>
      </c>
      <c r="C347" s="60" t="s">
        <v>6809</v>
      </c>
      <c r="D347" s="79" t="s">
        <v>5952</v>
      </c>
      <c r="E347" s="79" t="s">
        <v>5952</v>
      </c>
      <c r="F347" s="83">
        <v>20000.0</v>
      </c>
      <c r="G347" s="79">
        <v>508.0</v>
      </c>
      <c r="H347" s="79" t="s">
        <v>6353</v>
      </c>
      <c r="I347" s="79" t="s">
        <v>6354</v>
      </c>
      <c r="J347" s="79" t="s">
        <v>6839</v>
      </c>
      <c r="K347" s="80" t="s">
        <v>6840</v>
      </c>
      <c r="M347" s="81"/>
      <c r="N347" s="81"/>
      <c r="O347" s="81"/>
      <c r="P347" s="81"/>
      <c r="Q347" s="81"/>
      <c r="R347" s="81"/>
    </row>
    <row r="348">
      <c r="A348" s="60" t="s">
        <v>6808</v>
      </c>
      <c r="B348" s="60" t="s">
        <v>287</v>
      </c>
      <c r="C348" s="60" t="s">
        <v>6809</v>
      </c>
      <c r="D348" s="79" t="s">
        <v>5952</v>
      </c>
      <c r="E348" s="79">
        <v>60.0</v>
      </c>
      <c r="F348" s="83">
        <v>20000.0</v>
      </c>
      <c r="G348" s="79">
        <v>508.0</v>
      </c>
      <c r="H348" s="79" t="s">
        <v>6462</v>
      </c>
      <c r="I348" s="79" t="s">
        <v>6463</v>
      </c>
      <c r="J348" s="79" t="s">
        <v>6841</v>
      </c>
      <c r="K348" s="80" t="s">
        <v>6842</v>
      </c>
      <c r="M348" s="81"/>
      <c r="N348" s="81"/>
      <c r="O348" s="82"/>
      <c r="P348" s="81"/>
      <c r="Q348" s="81"/>
      <c r="R348" s="81"/>
    </row>
    <row r="349">
      <c r="A349" s="60" t="s">
        <v>6808</v>
      </c>
      <c r="B349" s="60" t="s">
        <v>287</v>
      </c>
      <c r="C349" s="60" t="s">
        <v>6809</v>
      </c>
      <c r="D349" s="79" t="s">
        <v>5952</v>
      </c>
      <c r="E349" s="79" t="s">
        <v>5952</v>
      </c>
      <c r="F349" s="83">
        <v>20000.0</v>
      </c>
      <c r="G349" s="79">
        <v>508.0</v>
      </c>
      <c r="H349" s="79" t="s">
        <v>6407</v>
      </c>
      <c r="I349" s="79" t="s">
        <v>6408</v>
      </c>
      <c r="J349" s="79" t="s">
        <v>6730</v>
      </c>
      <c r="K349" s="80" t="s">
        <v>6843</v>
      </c>
      <c r="M349" s="81"/>
      <c r="N349" s="81"/>
      <c r="O349" s="81"/>
      <c r="P349" s="81"/>
      <c r="Q349" s="81"/>
      <c r="R349" s="81"/>
    </row>
    <row r="350">
      <c r="A350" s="60" t="s">
        <v>6808</v>
      </c>
      <c r="B350" s="60" t="s">
        <v>287</v>
      </c>
      <c r="C350" s="60" t="s">
        <v>6809</v>
      </c>
      <c r="D350" s="79" t="s">
        <v>5952</v>
      </c>
      <c r="E350" s="79" t="s">
        <v>5952</v>
      </c>
      <c r="F350" s="83">
        <v>20000.0</v>
      </c>
      <c r="G350" s="79">
        <v>508.0</v>
      </c>
      <c r="H350" s="79" t="s">
        <v>6525</v>
      </c>
      <c r="I350" s="79" t="s">
        <v>6526</v>
      </c>
      <c r="J350" s="79" t="s">
        <v>6844</v>
      </c>
      <c r="K350" s="80" t="s">
        <v>6845</v>
      </c>
      <c r="M350" s="81"/>
      <c r="N350" s="81"/>
      <c r="O350" s="81"/>
      <c r="P350" s="81"/>
      <c r="Q350" s="81"/>
      <c r="R350" s="81"/>
    </row>
    <row r="351">
      <c r="A351" s="60" t="s">
        <v>6808</v>
      </c>
      <c r="B351" s="60" t="s">
        <v>287</v>
      </c>
      <c r="C351" s="60" t="s">
        <v>6809</v>
      </c>
      <c r="D351" s="79" t="s">
        <v>5952</v>
      </c>
      <c r="E351" s="79" t="s">
        <v>5952</v>
      </c>
      <c r="F351" s="83">
        <v>20000.0</v>
      </c>
      <c r="G351" s="79">
        <v>508.0</v>
      </c>
      <c r="H351" s="83">
        <v>1000.0</v>
      </c>
      <c r="I351" s="79" t="s">
        <v>6472</v>
      </c>
      <c r="J351" s="79" t="s">
        <v>6846</v>
      </c>
      <c r="K351" s="80" t="s">
        <v>6847</v>
      </c>
      <c r="M351" s="81"/>
      <c r="N351" s="81"/>
      <c r="O351" s="81"/>
      <c r="P351" s="81"/>
      <c r="Q351" s="81"/>
      <c r="R351" s="81"/>
    </row>
    <row r="352">
      <c r="A352" s="60" t="s">
        <v>6808</v>
      </c>
      <c r="B352" s="60" t="s">
        <v>287</v>
      </c>
      <c r="C352" s="60" t="s">
        <v>6809</v>
      </c>
      <c r="D352" s="79" t="s">
        <v>5952</v>
      </c>
      <c r="E352" s="79">
        <v>80.0</v>
      </c>
      <c r="F352" s="83">
        <v>20000.0</v>
      </c>
      <c r="G352" s="79">
        <v>508.0</v>
      </c>
      <c r="H352" s="83">
        <v>1031.0</v>
      </c>
      <c r="I352" s="79" t="s">
        <v>6725</v>
      </c>
      <c r="J352" s="79" t="s">
        <v>6848</v>
      </c>
      <c r="K352" s="80" t="s">
        <v>6849</v>
      </c>
      <c r="M352" s="81"/>
      <c r="N352" s="81"/>
      <c r="O352" s="82"/>
      <c r="P352" s="81"/>
      <c r="Q352" s="81"/>
      <c r="R352" s="81"/>
    </row>
    <row r="353">
      <c r="A353" s="60" t="s">
        <v>6808</v>
      </c>
      <c r="B353" s="60" t="s">
        <v>287</v>
      </c>
      <c r="C353" s="60" t="s">
        <v>6809</v>
      </c>
      <c r="D353" s="79" t="s">
        <v>5952</v>
      </c>
      <c r="E353" s="79" t="s">
        <v>5952</v>
      </c>
      <c r="F353" s="83">
        <v>20000.0</v>
      </c>
      <c r="G353" s="79">
        <v>508.0</v>
      </c>
      <c r="H353" s="83">
        <v>1062.0</v>
      </c>
      <c r="I353" s="79" t="s">
        <v>6592</v>
      </c>
      <c r="J353" s="79" t="s">
        <v>6850</v>
      </c>
      <c r="K353" s="80" t="s">
        <v>6851</v>
      </c>
      <c r="M353" s="81"/>
      <c r="N353" s="81"/>
      <c r="O353" s="81"/>
      <c r="P353" s="81"/>
      <c r="Q353" s="81"/>
      <c r="R353" s="81"/>
    </row>
    <row r="354">
      <c r="A354" s="60" t="s">
        <v>6808</v>
      </c>
      <c r="B354" s="60" t="s">
        <v>287</v>
      </c>
      <c r="C354" s="60" t="s">
        <v>6809</v>
      </c>
      <c r="D354" s="79" t="s">
        <v>5952</v>
      </c>
      <c r="E354" s="79" t="s">
        <v>5952</v>
      </c>
      <c r="F354" s="83">
        <v>20000.0</v>
      </c>
      <c r="G354" s="79">
        <v>508.0</v>
      </c>
      <c r="H354" s="83">
        <v>1125.0</v>
      </c>
      <c r="I354" s="79" t="s">
        <v>6531</v>
      </c>
      <c r="J354" s="79" t="s">
        <v>6852</v>
      </c>
      <c r="K354" s="80" t="s">
        <v>6853</v>
      </c>
      <c r="M354" s="81"/>
      <c r="N354" s="81"/>
      <c r="O354" s="81"/>
      <c r="P354" s="81"/>
      <c r="Q354" s="81"/>
      <c r="R354" s="81"/>
    </row>
    <row r="355">
      <c r="A355" s="60" t="s">
        <v>6808</v>
      </c>
      <c r="B355" s="60" t="s">
        <v>287</v>
      </c>
      <c r="C355" s="60" t="s">
        <v>6809</v>
      </c>
      <c r="D355" s="79" t="s">
        <v>5952</v>
      </c>
      <c r="E355" s="79" t="s">
        <v>5952</v>
      </c>
      <c r="F355" s="83">
        <v>20000.0</v>
      </c>
      <c r="G355" s="79">
        <v>508.0</v>
      </c>
      <c r="H355" s="83">
        <v>1188.0</v>
      </c>
      <c r="I355" s="79" t="s">
        <v>6732</v>
      </c>
      <c r="J355" s="79" t="s">
        <v>6854</v>
      </c>
      <c r="K355" s="80" t="s">
        <v>6855</v>
      </c>
      <c r="M355" s="81"/>
      <c r="N355" s="81"/>
      <c r="O355" s="81"/>
      <c r="P355" s="81"/>
      <c r="Q355" s="81"/>
      <c r="R355" s="81"/>
    </row>
    <row r="356">
      <c r="A356" s="60" t="s">
        <v>6808</v>
      </c>
      <c r="B356" s="60" t="s">
        <v>287</v>
      </c>
      <c r="C356" s="60" t="s">
        <v>6809</v>
      </c>
      <c r="D356" s="79" t="s">
        <v>5952</v>
      </c>
      <c r="E356" s="79" t="s">
        <v>5952</v>
      </c>
      <c r="F356" s="83">
        <v>20000.0</v>
      </c>
      <c r="G356" s="79">
        <v>508.0</v>
      </c>
      <c r="H356" s="83">
        <v>1250.0</v>
      </c>
      <c r="I356" s="79" t="s">
        <v>6534</v>
      </c>
      <c r="J356" s="79" t="s">
        <v>6856</v>
      </c>
      <c r="K356" s="80" t="s">
        <v>6857</v>
      </c>
      <c r="M356" s="81"/>
      <c r="N356" s="81"/>
      <c r="O356" s="81"/>
      <c r="P356" s="81"/>
      <c r="Q356" s="81"/>
      <c r="R356" s="81"/>
    </row>
    <row r="357">
      <c r="A357" s="60" t="s">
        <v>6808</v>
      </c>
      <c r="B357" s="60" t="s">
        <v>287</v>
      </c>
      <c r="C357" s="60" t="s">
        <v>6809</v>
      </c>
      <c r="D357" s="79" t="s">
        <v>5952</v>
      </c>
      <c r="E357" s="79">
        <v>100.0</v>
      </c>
      <c r="F357" s="83">
        <v>20000.0</v>
      </c>
      <c r="G357" s="79">
        <v>508.0</v>
      </c>
      <c r="H357" s="83">
        <v>1281.0</v>
      </c>
      <c r="I357" s="79" t="s">
        <v>6858</v>
      </c>
      <c r="J357" s="79" t="s">
        <v>6859</v>
      </c>
      <c r="K357" s="80" t="s">
        <v>6860</v>
      </c>
      <c r="M357" s="81"/>
      <c r="N357" s="81"/>
      <c r="O357" s="82"/>
      <c r="P357" s="81"/>
      <c r="Q357" s="81"/>
      <c r="R357" s="81"/>
    </row>
    <row r="358">
      <c r="A358" s="60" t="s">
        <v>6808</v>
      </c>
      <c r="B358" s="60" t="s">
        <v>287</v>
      </c>
      <c r="C358" s="60" t="s">
        <v>6809</v>
      </c>
      <c r="D358" s="79" t="s">
        <v>5952</v>
      </c>
      <c r="E358" s="79" t="s">
        <v>5952</v>
      </c>
      <c r="F358" s="83">
        <v>20000.0</v>
      </c>
      <c r="G358" s="79">
        <v>508.0</v>
      </c>
      <c r="H358" s="83">
        <v>1312.0</v>
      </c>
      <c r="I358" s="79" t="s">
        <v>6429</v>
      </c>
      <c r="J358" s="79" t="s">
        <v>6861</v>
      </c>
      <c r="K358" s="80" t="s">
        <v>6862</v>
      </c>
      <c r="M358" s="81"/>
      <c r="N358" s="81"/>
      <c r="O358" s="81"/>
      <c r="P358" s="81"/>
      <c r="Q358" s="81"/>
      <c r="R358" s="81"/>
    </row>
    <row r="359">
      <c r="A359" s="60" t="s">
        <v>6808</v>
      </c>
      <c r="B359" s="60" t="s">
        <v>287</v>
      </c>
      <c r="C359" s="60" t="s">
        <v>6809</v>
      </c>
      <c r="D359" s="79" t="s">
        <v>5952</v>
      </c>
      <c r="E359" s="79" t="s">
        <v>5952</v>
      </c>
      <c r="F359" s="83">
        <v>20000.0</v>
      </c>
      <c r="G359" s="79">
        <v>508.0</v>
      </c>
      <c r="H359" s="83">
        <v>1375.0</v>
      </c>
      <c r="I359" s="79" t="s">
        <v>6799</v>
      </c>
      <c r="J359" s="79" t="s">
        <v>6863</v>
      </c>
      <c r="K359" s="80" t="s">
        <v>6864</v>
      </c>
      <c r="M359" s="81"/>
      <c r="N359" s="81"/>
      <c r="O359" s="81"/>
      <c r="P359" s="81"/>
      <c r="Q359" s="81"/>
      <c r="R359" s="81"/>
    </row>
    <row r="360">
      <c r="A360" s="60" t="s">
        <v>6808</v>
      </c>
      <c r="B360" s="60" t="s">
        <v>287</v>
      </c>
      <c r="C360" s="60" t="s">
        <v>6809</v>
      </c>
      <c r="D360" s="79" t="s">
        <v>5952</v>
      </c>
      <c r="E360" s="79">
        <v>120.0</v>
      </c>
      <c r="F360" s="83">
        <v>20000.0</v>
      </c>
      <c r="G360" s="79">
        <v>508.0</v>
      </c>
      <c r="H360" s="83">
        <v>1500.0</v>
      </c>
      <c r="I360" s="79" t="s">
        <v>6865</v>
      </c>
      <c r="J360" s="79" t="s">
        <v>6866</v>
      </c>
      <c r="K360" s="80" t="s">
        <v>6867</v>
      </c>
      <c r="M360" s="81"/>
      <c r="N360" s="81"/>
      <c r="O360" s="82"/>
      <c r="P360" s="81"/>
      <c r="Q360" s="81"/>
      <c r="R360" s="81"/>
    </row>
    <row r="361">
      <c r="A361" s="60" t="s">
        <v>6808</v>
      </c>
      <c r="B361" s="60" t="s">
        <v>287</v>
      </c>
      <c r="C361" s="60" t="s">
        <v>6809</v>
      </c>
      <c r="D361" s="79" t="s">
        <v>5952</v>
      </c>
      <c r="E361" s="79">
        <v>140.0</v>
      </c>
      <c r="F361" s="83">
        <v>20000.0</v>
      </c>
      <c r="G361" s="79">
        <v>508.0</v>
      </c>
      <c r="H361" s="83">
        <v>1750.0</v>
      </c>
      <c r="I361" s="79" t="s">
        <v>6868</v>
      </c>
      <c r="J361" s="79" t="s">
        <v>6869</v>
      </c>
      <c r="K361" s="80" t="s">
        <v>6870</v>
      </c>
      <c r="M361" s="81"/>
      <c r="N361" s="81"/>
      <c r="O361" s="82"/>
      <c r="P361" s="81"/>
      <c r="Q361" s="81"/>
      <c r="R361" s="81"/>
    </row>
    <row r="362">
      <c r="A362" s="60" t="s">
        <v>6808</v>
      </c>
      <c r="B362" s="60" t="s">
        <v>287</v>
      </c>
      <c r="C362" s="60" t="s">
        <v>6809</v>
      </c>
      <c r="D362" s="79" t="s">
        <v>5952</v>
      </c>
      <c r="E362" s="79">
        <v>160.0</v>
      </c>
      <c r="F362" s="83">
        <v>20000.0</v>
      </c>
      <c r="G362" s="79">
        <v>508.0</v>
      </c>
      <c r="H362" s="83">
        <v>1969.0</v>
      </c>
      <c r="I362" s="79" t="s">
        <v>6871</v>
      </c>
      <c r="J362" s="79" t="s">
        <v>6872</v>
      </c>
      <c r="K362" s="80" t="s">
        <v>6873</v>
      </c>
      <c r="M362" s="81"/>
      <c r="N362" s="81"/>
      <c r="O362" s="82"/>
      <c r="P362" s="81"/>
      <c r="Q362" s="81"/>
      <c r="R362" s="81"/>
    </row>
    <row r="363">
      <c r="A363" s="60" t="s">
        <v>6874</v>
      </c>
      <c r="B363" s="60" t="s">
        <v>737</v>
      </c>
      <c r="C363" s="60" t="s">
        <v>6875</v>
      </c>
      <c r="D363" s="79" t="s">
        <v>5952</v>
      </c>
      <c r="E363" s="79">
        <v>5.0</v>
      </c>
      <c r="F363" s="83">
        <v>22000.0</v>
      </c>
      <c r="G363" s="79">
        <v>559.0</v>
      </c>
      <c r="H363" s="79" t="s">
        <v>6038</v>
      </c>
      <c r="I363" s="79" t="s">
        <v>6039</v>
      </c>
      <c r="J363" s="79" t="s">
        <v>6876</v>
      </c>
      <c r="K363" s="80" t="s">
        <v>6877</v>
      </c>
      <c r="M363" s="81"/>
      <c r="N363" s="81"/>
      <c r="O363" s="82"/>
      <c r="P363" s="81"/>
      <c r="Q363" s="81"/>
      <c r="R363" s="81"/>
    </row>
    <row r="364">
      <c r="A364" s="60" t="s">
        <v>6874</v>
      </c>
      <c r="B364" s="60" t="s">
        <v>737</v>
      </c>
      <c r="C364" s="60" t="s">
        <v>6875</v>
      </c>
      <c r="D364" s="79" t="s">
        <v>5952</v>
      </c>
      <c r="E364" s="79" t="s">
        <v>5952</v>
      </c>
      <c r="F364" s="83">
        <v>22000.0</v>
      </c>
      <c r="G364" s="79">
        <v>559.0</v>
      </c>
      <c r="H364" s="79" t="s">
        <v>1168</v>
      </c>
      <c r="I364" s="79" t="s">
        <v>6060</v>
      </c>
      <c r="J364" s="79" t="s">
        <v>6878</v>
      </c>
      <c r="K364" s="80" t="s">
        <v>6879</v>
      </c>
      <c r="M364" s="81"/>
      <c r="N364" s="81"/>
      <c r="O364" s="81"/>
      <c r="P364" s="81"/>
      <c r="Q364" s="81"/>
      <c r="R364" s="81"/>
    </row>
    <row r="365">
      <c r="A365" s="60" t="s">
        <v>6874</v>
      </c>
      <c r="B365" s="60" t="s">
        <v>737</v>
      </c>
      <c r="C365" s="60" t="s">
        <v>6875</v>
      </c>
      <c r="D365" s="79" t="s">
        <v>5952</v>
      </c>
      <c r="E365" s="79">
        <v>10.0</v>
      </c>
      <c r="F365" s="83">
        <v>22000.0</v>
      </c>
      <c r="G365" s="79">
        <v>559.0</v>
      </c>
      <c r="H365" s="79" t="s">
        <v>6081</v>
      </c>
      <c r="I365" s="79" t="s">
        <v>6082</v>
      </c>
      <c r="J365" s="79" t="s">
        <v>6880</v>
      </c>
      <c r="K365" s="80" t="s">
        <v>6881</v>
      </c>
      <c r="M365" s="81"/>
      <c r="N365" s="81"/>
      <c r="O365" s="82"/>
      <c r="P365" s="81"/>
      <c r="Q365" s="81"/>
      <c r="R365" s="81"/>
    </row>
    <row r="366">
      <c r="A366" s="60" t="s">
        <v>6874</v>
      </c>
      <c r="B366" s="60" t="s">
        <v>737</v>
      </c>
      <c r="C366" s="60" t="s">
        <v>6875</v>
      </c>
      <c r="D366" s="79" t="s">
        <v>5952</v>
      </c>
      <c r="E366" s="79" t="s">
        <v>5952</v>
      </c>
      <c r="F366" s="83">
        <v>22000.0</v>
      </c>
      <c r="G366" s="79">
        <v>559.0</v>
      </c>
      <c r="H366" s="79" t="s">
        <v>1559</v>
      </c>
      <c r="I366" s="79" t="s">
        <v>6128</v>
      </c>
      <c r="J366" s="79" t="s">
        <v>6882</v>
      </c>
      <c r="K366" s="80" t="s">
        <v>6883</v>
      </c>
      <c r="M366" s="81"/>
      <c r="N366" s="81"/>
      <c r="O366" s="81"/>
      <c r="P366" s="81"/>
      <c r="Q366" s="81"/>
      <c r="R366" s="81"/>
    </row>
    <row r="367">
      <c r="A367" s="60" t="s">
        <v>6874</v>
      </c>
      <c r="B367" s="60" t="s">
        <v>737</v>
      </c>
      <c r="C367" s="60" t="s">
        <v>6875</v>
      </c>
      <c r="D367" s="79" t="s">
        <v>5952</v>
      </c>
      <c r="E367" s="79" t="s">
        <v>5952</v>
      </c>
      <c r="F367" s="83">
        <v>22000.0</v>
      </c>
      <c r="G367" s="79">
        <v>559.0</v>
      </c>
      <c r="H367" s="79" t="s">
        <v>1213</v>
      </c>
      <c r="I367" s="79" t="s">
        <v>6303</v>
      </c>
      <c r="J367" s="79" t="s">
        <v>6884</v>
      </c>
      <c r="K367" s="80" t="s">
        <v>6885</v>
      </c>
      <c r="M367" s="81"/>
      <c r="N367" s="81"/>
      <c r="O367" s="81"/>
      <c r="P367" s="81"/>
      <c r="Q367" s="81"/>
      <c r="R367" s="81"/>
    </row>
    <row r="368">
      <c r="A368" s="60" t="s">
        <v>6874</v>
      </c>
      <c r="B368" s="60" t="s">
        <v>737</v>
      </c>
      <c r="C368" s="60" t="s">
        <v>6875</v>
      </c>
      <c r="D368" s="79" t="s">
        <v>5952</v>
      </c>
      <c r="E368" s="79" t="s">
        <v>5952</v>
      </c>
      <c r="F368" s="83">
        <v>22000.0</v>
      </c>
      <c r="G368" s="79">
        <v>559.0</v>
      </c>
      <c r="H368" s="79" t="s">
        <v>1111</v>
      </c>
      <c r="I368" s="79" t="s">
        <v>6165</v>
      </c>
      <c r="J368" s="79" t="s">
        <v>6886</v>
      </c>
      <c r="K368" s="80" t="s">
        <v>6887</v>
      </c>
      <c r="M368" s="81"/>
      <c r="N368" s="81"/>
      <c r="O368" s="81"/>
      <c r="P368" s="81"/>
      <c r="Q368" s="81"/>
      <c r="R368" s="81"/>
    </row>
    <row r="369">
      <c r="A369" s="60" t="s">
        <v>6874</v>
      </c>
      <c r="B369" s="60" t="s">
        <v>737</v>
      </c>
      <c r="C369" s="60" t="s">
        <v>6875</v>
      </c>
      <c r="D369" s="79" t="s">
        <v>5962</v>
      </c>
      <c r="E369" s="79">
        <v>20.0</v>
      </c>
      <c r="F369" s="83">
        <v>22000.0</v>
      </c>
      <c r="G369" s="79">
        <v>559.0</v>
      </c>
      <c r="H369" s="79" t="s">
        <v>6207</v>
      </c>
      <c r="I369" s="79" t="s">
        <v>6208</v>
      </c>
      <c r="J369" s="79" t="s">
        <v>6888</v>
      </c>
      <c r="K369" s="80" t="s">
        <v>6889</v>
      </c>
      <c r="M369" s="81"/>
      <c r="N369" s="81"/>
      <c r="O369" s="82"/>
      <c r="P369" s="81"/>
      <c r="Q369" s="81"/>
      <c r="R369" s="81"/>
    </row>
    <row r="370">
      <c r="A370" s="60" t="s">
        <v>6874</v>
      </c>
      <c r="B370" s="60" t="s">
        <v>737</v>
      </c>
      <c r="C370" s="60" t="s">
        <v>6875</v>
      </c>
      <c r="D370" s="79" t="s">
        <v>5952</v>
      </c>
      <c r="E370" s="79" t="s">
        <v>5952</v>
      </c>
      <c r="F370" s="83">
        <v>22000.0</v>
      </c>
      <c r="G370" s="79">
        <v>559.0</v>
      </c>
      <c r="H370" s="79" t="s">
        <v>6442</v>
      </c>
      <c r="I370" s="79" t="s">
        <v>6443</v>
      </c>
      <c r="J370" s="79" t="s">
        <v>6890</v>
      </c>
      <c r="K370" s="80" t="s">
        <v>6891</v>
      </c>
      <c r="M370" s="81"/>
      <c r="N370" s="81"/>
      <c r="O370" s="81"/>
      <c r="P370" s="81"/>
      <c r="Q370" s="81"/>
      <c r="R370" s="81"/>
    </row>
    <row r="371">
      <c r="A371" s="60" t="s">
        <v>6874</v>
      </c>
      <c r="B371" s="60" t="s">
        <v>737</v>
      </c>
      <c r="C371" s="60" t="s">
        <v>6875</v>
      </c>
      <c r="D371" s="79" t="s">
        <v>5952</v>
      </c>
      <c r="E371" s="79" t="s">
        <v>5952</v>
      </c>
      <c r="F371" s="83">
        <v>22000.0</v>
      </c>
      <c r="G371" s="79">
        <v>559.0</v>
      </c>
      <c r="H371" s="79" t="s">
        <v>6243</v>
      </c>
      <c r="I371" s="79" t="s">
        <v>6244</v>
      </c>
      <c r="J371" s="79" t="s">
        <v>6892</v>
      </c>
      <c r="K371" s="80" t="s">
        <v>6893</v>
      </c>
      <c r="M371" s="81"/>
      <c r="N371" s="81"/>
      <c r="O371" s="81"/>
      <c r="P371" s="81"/>
      <c r="Q371" s="81"/>
      <c r="R371" s="81"/>
    </row>
    <row r="372">
      <c r="A372" s="60" t="s">
        <v>6874</v>
      </c>
      <c r="B372" s="60" t="s">
        <v>737</v>
      </c>
      <c r="C372" s="60" t="s">
        <v>6875</v>
      </c>
      <c r="D372" s="79" t="s">
        <v>5952</v>
      </c>
      <c r="E372" s="79" t="s">
        <v>5952</v>
      </c>
      <c r="F372" s="83">
        <v>22000.0</v>
      </c>
      <c r="G372" s="79">
        <v>559.0</v>
      </c>
      <c r="H372" s="79" t="s">
        <v>1196</v>
      </c>
      <c r="I372" s="79" t="s">
        <v>6628</v>
      </c>
      <c r="J372" s="79" t="s">
        <v>6894</v>
      </c>
      <c r="K372" s="80" t="s">
        <v>6895</v>
      </c>
      <c r="M372" s="81"/>
      <c r="N372" s="81"/>
      <c r="O372" s="81"/>
      <c r="P372" s="81"/>
      <c r="Q372" s="81"/>
      <c r="R372" s="81"/>
    </row>
    <row r="373">
      <c r="A373" s="60" t="s">
        <v>6874</v>
      </c>
      <c r="B373" s="60" t="s">
        <v>737</v>
      </c>
      <c r="C373" s="60" t="s">
        <v>6875</v>
      </c>
      <c r="D373" s="79" t="s">
        <v>5967</v>
      </c>
      <c r="E373" s="79">
        <v>30.0</v>
      </c>
      <c r="F373" s="83">
        <v>22000.0</v>
      </c>
      <c r="G373" s="79">
        <v>559.0</v>
      </c>
      <c r="H373" s="79" t="s">
        <v>6345</v>
      </c>
      <c r="I373" s="79" t="s">
        <v>6346</v>
      </c>
      <c r="J373" s="79" t="s">
        <v>6896</v>
      </c>
      <c r="K373" s="80" t="s">
        <v>6897</v>
      </c>
      <c r="M373" s="81"/>
      <c r="N373" s="81"/>
      <c r="O373" s="82"/>
      <c r="P373" s="81"/>
      <c r="Q373" s="81"/>
      <c r="R373" s="81"/>
    </row>
    <row r="374">
      <c r="A374" s="60" t="s">
        <v>6874</v>
      </c>
      <c r="B374" s="60" t="s">
        <v>737</v>
      </c>
      <c r="C374" s="60" t="s">
        <v>6875</v>
      </c>
      <c r="D374" s="79" t="s">
        <v>5952</v>
      </c>
      <c r="E374" s="79" t="s">
        <v>5952</v>
      </c>
      <c r="F374" s="83">
        <v>22000.0</v>
      </c>
      <c r="G374" s="79">
        <v>559.0</v>
      </c>
      <c r="H374" s="79" t="s">
        <v>6391</v>
      </c>
      <c r="I374" s="79" t="s">
        <v>6392</v>
      </c>
      <c r="J374" s="79" t="s">
        <v>6898</v>
      </c>
      <c r="K374" s="80" t="s">
        <v>6899</v>
      </c>
      <c r="M374" s="81"/>
      <c r="N374" s="81"/>
      <c r="O374" s="81"/>
      <c r="P374" s="81"/>
      <c r="Q374" s="81"/>
      <c r="R374" s="81"/>
    </row>
    <row r="375">
      <c r="A375" s="60" t="s">
        <v>6874</v>
      </c>
      <c r="B375" s="60" t="s">
        <v>737</v>
      </c>
      <c r="C375" s="60" t="s">
        <v>6875</v>
      </c>
      <c r="D375" s="79" t="s">
        <v>5952</v>
      </c>
      <c r="E375" s="79" t="s">
        <v>5952</v>
      </c>
      <c r="F375" s="83">
        <v>22000.0</v>
      </c>
      <c r="G375" s="79">
        <v>559.0</v>
      </c>
      <c r="H375" s="79" t="s">
        <v>6349</v>
      </c>
      <c r="I375" s="79" t="s">
        <v>6350</v>
      </c>
      <c r="J375" s="79" t="s">
        <v>6900</v>
      </c>
      <c r="K375" s="80" t="s">
        <v>6901</v>
      </c>
      <c r="M375" s="81"/>
      <c r="N375" s="81"/>
      <c r="O375" s="81"/>
      <c r="P375" s="81"/>
      <c r="Q375" s="81"/>
      <c r="R375" s="81"/>
    </row>
    <row r="376">
      <c r="A376" s="60" t="s">
        <v>6874</v>
      </c>
      <c r="B376" s="60" t="s">
        <v>737</v>
      </c>
      <c r="C376" s="60" t="s">
        <v>6875</v>
      </c>
      <c r="D376" s="79" t="s">
        <v>5952</v>
      </c>
      <c r="E376" s="79" t="s">
        <v>5952</v>
      </c>
      <c r="F376" s="83">
        <v>22000.0</v>
      </c>
      <c r="G376" s="79">
        <v>559.0</v>
      </c>
      <c r="H376" s="79" t="s">
        <v>6576</v>
      </c>
      <c r="I376" s="79" t="s">
        <v>6577</v>
      </c>
      <c r="J376" s="79" t="s">
        <v>6902</v>
      </c>
      <c r="K376" s="80" t="s">
        <v>6903</v>
      </c>
      <c r="M376" s="81"/>
      <c r="N376" s="81"/>
      <c r="O376" s="81"/>
      <c r="P376" s="81"/>
      <c r="Q376" s="81"/>
      <c r="R376" s="81"/>
    </row>
    <row r="377">
      <c r="A377" s="60" t="s">
        <v>6874</v>
      </c>
      <c r="B377" s="60" t="s">
        <v>737</v>
      </c>
      <c r="C377" s="60" t="s">
        <v>6875</v>
      </c>
      <c r="D377" s="79" t="s">
        <v>5952</v>
      </c>
      <c r="E377" s="79" t="s">
        <v>5952</v>
      </c>
      <c r="F377" s="83">
        <v>22000.0</v>
      </c>
      <c r="G377" s="79">
        <v>559.0</v>
      </c>
      <c r="H377" s="79" t="s">
        <v>6353</v>
      </c>
      <c r="I377" s="79" t="s">
        <v>6354</v>
      </c>
      <c r="J377" s="79" t="s">
        <v>6658</v>
      </c>
      <c r="K377" s="80" t="s">
        <v>6904</v>
      </c>
      <c r="M377" s="81"/>
      <c r="N377" s="81"/>
      <c r="O377" s="81"/>
      <c r="P377" s="81"/>
      <c r="Q377" s="81"/>
      <c r="R377" s="81"/>
    </row>
    <row r="378">
      <c r="A378" s="60" t="s">
        <v>6874</v>
      </c>
      <c r="B378" s="60" t="s">
        <v>737</v>
      </c>
      <c r="C378" s="60" t="s">
        <v>6875</v>
      </c>
      <c r="D378" s="79" t="s">
        <v>5952</v>
      </c>
      <c r="E378" s="79" t="s">
        <v>5952</v>
      </c>
      <c r="F378" s="83">
        <v>22000.0</v>
      </c>
      <c r="G378" s="79">
        <v>559.0</v>
      </c>
      <c r="H378" s="79" t="s">
        <v>6462</v>
      </c>
      <c r="I378" s="79" t="s">
        <v>6463</v>
      </c>
      <c r="J378" s="79" t="s">
        <v>6905</v>
      </c>
      <c r="K378" s="80" t="s">
        <v>6906</v>
      </c>
      <c r="M378" s="81"/>
      <c r="N378" s="81"/>
      <c r="O378" s="81"/>
      <c r="P378" s="81"/>
      <c r="Q378" s="81"/>
      <c r="R378" s="81"/>
    </row>
    <row r="379">
      <c r="A379" s="60" t="s">
        <v>6874</v>
      </c>
      <c r="B379" s="60" t="s">
        <v>737</v>
      </c>
      <c r="C379" s="60" t="s">
        <v>6875</v>
      </c>
      <c r="D379" s="79" t="s">
        <v>5952</v>
      </c>
      <c r="E379" s="79">
        <v>60.0</v>
      </c>
      <c r="F379" s="83">
        <v>22000.0</v>
      </c>
      <c r="G379" s="79">
        <v>559.0</v>
      </c>
      <c r="H379" s="79" t="s">
        <v>6407</v>
      </c>
      <c r="I379" s="79" t="s">
        <v>6408</v>
      </c>
      <c r="J379" s="79" t="s">
        <v>6907</v>
      </c>
      <c r="K379" s="80" t="s">
        <v>6908</v>
      </c>
      <c r="M379" s="81"/>
      <c r="N379" s="81"/>
      <c r="O379" s="82"/>
      <c r="P379" s="81"/>
      <c r="Q379" s="81"/>
      <c r="R379" s="81"/>
    </row>
    <row r="380">
      <c r="A380" s="60" t="s">
        <v>6874</v>
      </c>
      <c r="B380" s="60" t="s">
        <v>737</v>
      </c>
      <c r="C380" s="60" t="s">
        <v>6875</v>
      </c>
      <c r="D380" s="79" t="s">
        <v>5952</v>
      </c>
      <c r="E380" s="79" t="s">
        <v>5952</v>
      </c>
      <c r="F380" s="83">
        <v>22000.0</v>
      </c>
      <c r="G380" s="79">
        <v>559.0</v>
      </c>
      <c r="H380" s="79" t="s">
        <v>6525</v>
      </c>
      <c r="I380" s="79" t="s">
        <v>6526</v>
      </c>
      <c r="J380" s="79" t="s">
        <v>6909</v>
      </c>
      <c r="K380" s="80" t="s">
        <v>6910</v>
      </c>
      <c r="M380" s="81"/>
      <c r="N380" s="81"/>
      <c r="O380" s="81"/>
      <c r="P380" s="81"/>
      <c r="Q380" s="81"/>
      <c r="R380" s="81"/>
    </row>
    <row r="381">
      <c r="A381" s="60" t="s">
        <v>6874</v>
      </c>
      <c r="B381" s="60" t="s">
        <v>737</v>
      </c>
      <c r="C381" s="60" t="s">
        <v>6875</v>
      </c>
      <c r="D381" s="79" t="s">
        <v>5952</v>
      </c>
      <c r="E381" s="79" t="s">
        <v>5952</v>
      </c>
      <c r="F381" s="83">
        <v>22000.0</v>
      </c>
      <c r="G381" s="79">
        <v>559.0</v>
      </c>
      <c r="H381" s="83">
        <v>1000.0</v>
      </c>
      <c r="I381" s="79" t="s">
        <v>6472</v>
      </c>
      <c r="J381" s="79" t="s">
        <v>6911</v>
      </c>
      <c r="K381" s="80" t="s">
        <v>6912</v>
      </c>
      <c r="M381" s="81"/>
      <c r="N381" s="81"/>
      <c r="O381" s="81"/>
      <c r="P381" s="81"/>
      <c r="Q381" s="81"/>
      <c r="R381" s="81"/>
    </row>
    <row r="382">
      <c r="A382" s="60" t="s">
        <v>6874</v>
      </c>
      <c r="B382" s="60" t="s">
        <v>737</v>
      </c>
      <c r="C382" s="60" t="s">
        <v>6875</v>
      </c>
      <c r="D382" s="79" t="s">
        <v>5952</v>
      </c>
      <c r="E382" s="79" t="s">
        <v>5952</v>
      </c>
      <c r="F382" s="83">
        <v>22000.0</v>
      </c>
      <c r="G382" s="79">
        <v>559.0</v>
      </c>
      <c r="H382" s="83">
        <v>1062.0</v>
      </c>
      <c r="I382" s="79" t="s">
        <v>6592</v>
      </c>
      <c r="J382" s="79" t="s">
        <v>6913</v>
      </c>
      <c r="K382" s="80" t="s">
        <v>6914</v>
      </c>
      <c r="M382" s="81"/>
      <c r="N382" s="81"/>
      <c r="O382" s="81"/>
      <c r="P382" s="81"/>
      <c r="Q382" s="81"/>
      <c r="R382" s="81"/>
    </row>
    <row r="383">
      <c r="A383" s="60" t="s">
        <v>6874</v>
      </c>
      <c r="B383" s="60" t="s">
        <v>737</v>
      </c>
      <c r="C383" s="60" t="s">
        <v>6875</v>
      </c>
      <c r="D383" s="79" t="s">
        <v>5952</v>
      </c>
      <c r="E383" s="79">
        <v>80.0</v>
      </c>
      <c r="F383" s="83">
        <v>22000.0</v>
      </c>
      <c r="G383" s="79">
        <v>559.0</v>
      </c>
      <c r="H383" s="83">
        <v>1125.0</v>
      </c>
      <c r="I383" s="79" t="s">
        <v>6531</v>
      </c>
      <c r="J383" s="79" t="s">
        <v>6915</v>
      </c>
      <c r="K383" s="80" t="s">
        <v>6916</v>
      </c>
      <c r="M383" s="81"/>
      <c r="N383" s="81"/>
      <c r="O383" s="82"/>
      <c r="P383" s="81"/>
      <c r="Q383" s="81"/>
      <c r="R383" s="81"/>
    </row>
    <row r="384">
      <c r="A384" s="60" t="s">
        <v>6874</v>
      </c>
      <c r="B384" s="60" t="s">
        <v>737</v>
      </c>
      <c r="C384" s="60" t="s">
        <v>6875</v>
      </c>
      <c r="D384" s="79" t="s">
        <v>5952</v>
      </c>
      <c r="E384" s="79" t="s">
        <v>5952</v>
      </c>
      <c r="F384" s="83">
        <v>22000.0</v>
      </c>
      <c r="G384" s="79">
        <v>559.0</v>
      </c>
      <c r="H384" s="83">
        <v>1188.0</v>
      </c>
      <c r="I384" s="79" t="s">
        <v>6732</v>
      </c>
      <c r="J384" s="79" t="s">
        <v>6917</v>
      </c>
      <c r="K384" s="80" t="s">
        <v>6918</v>
      </c>
      <c r="M384" s="81"/>
      <c r="N384" s="81"/>
      <c r="O384" s="81"/>
      <c r="P384" s="81"/>
      <c r="Q384" s="81"/>
      <c r="R384" s="81"/>
    </row>
    <row r="385">
      <c r="A385" s="60" t="s">
        <v>6874</v>
      </c>
      <c r="B385" s="60" t="s">
        <v>737</v>
      </c>
      <c r="C385" s="60" t="s">
        <v>6875</v>
      </c>
      <c r="D385" s="79" t="s">
        <v>5952</v>
      </c>
      <c r="E385" s="79" t="s">
        <v>5952</v>
      </c>
      <c r="F385" s="83">
        <v>22000.0</v>
      </c>
      <c r="G385" s="79">
        <v>559.0</v>
      </c>
      <c r="H385" s="83">
        <v>1250.0</v>
      </c>
      <c r="I385" s="79" t="s">
        <v>6534</v>
      </c>
      <c r="J385" s="79" t="s">
        <v>6919</v>
      </c>
      <c r="K385" s="80" t="s">
        <v>6920</v>
      </c>
      <c r="M385" s="81"/>
      <c r="N385" s="81"/>
      <c r="O385" s="81"/>
      <c r="P385" s="81"/>
      <c r="Q385" s="81"/>
      <c r="R385" s="81"/>
    </row>
    <row r="386">
      <c r="A386" s="60" t="s">
        <v>6874</v>
      </c>
      <c r="B386" s="60" t="s">
        <v>737</v>
      </c>
      <c r="C386" s="60" t="s">
        <v>6875</v>
      </c>
      <c r="D386" s="79" t="s">
        <v>5952</v>
      </c>
      <c r="E386" s="79" t="s">
        <v>5952</v>
      </c>
      <c r="F386" s="83">
        <v>22000.0</v>
      </c>
      <c r="G386" s="79">
        <v>559.0</v>
      </c>
      <c r="H386" s="83">
        <v>1312.0</v>
      </c>
      <c r="I386" s="79" t="s">
        <v>6429</v>
      </c>
      <c r="J386" s="79" t="s">
        <v>6921</v>
      </c>
      <c r="K386" s="80" t="s">
        <v>6922</v>
      </c>
      <c r="M386" s="81"/>
      <c r="N386" s="81"/>
      <c r="O386" s="81"/>
      <c r="P386" s="81"/>
      <c r="Q386" s="81"/>
      <c r="R386" s="81"/>
    </row>
    <row r="387">
      <c r="A387" s="60" t="s">
        <v>6874</v>
      </c>
      <c r="B387" s="60" t="s">
        <v>737</v>
      </c>
      <c r="C387" s="60" t="s">
        <v>6875</v>
      </c>
      <c r="D387" s="79" t="s">
        <v>5952</v>
      </c>
      <c r="E387" s="79">
        <v>100.0</v>
      </c>
      <c r="F387" s="83">
        <v>22000.0</v>
      </c>
      <c r="G387" s="79">
        <v>559.0</v>
      </c>
      <c r="H387" s="83">
        <v>1375.0</v>
      </c>
      <c r="I387" s="79" t="s">
        <v>6799</v>
      </c>
      <c r="J387" s="79" t="s">
        <v>6923</v>
      </c>
      <c r="K387" s="80" t="s">
        <v>6924</v>
      </c>
      <c r="M387" s="81"/>
      <c r="N387" s="81"/>
      <c r="O387" s="82"/>
      <c r="P387" s="81"/>
      <c r="Q387" s="81"/>
      <c r="R387" s="81"/>
    </row>
    <row r="388">
      <c r="A388" s="60" t="s">
        <v>6874</v>
      </c>
      <c r="B388" s="60" t="s">
        <v>737</v>
      </c>
      <c r="C388" s="60" t="s">
        <v>6875</v>
      </c>
      <c r="D388" s="79" t="s">
        <v>5952</v>
      </c>
      <c r="E388" s="79" t="s">
        <v>5952</v>
      </c>
      <c r="F388" s="83">
        <v>22000.0</v>
      </c>
      <c r="G388" s="79">
        <v>559.0</v>
      </c>
      <c r="H388" s="83">
        <v>1438.0</v>
      </c>
      <c r="I388" s="79" t="s">
        <v>6740</v>
      </c>
      <c r="J388" s="79" t="s">
        <v>6925</v>
      </c>
      <c r="K388" s="80" t="s">
        <v>6926</v>
      </c>
      <c r="M388" s="81"/>
      <c r="N388" s="81"/>
      <c r="O388" s="81"/>
      <c r="P388" s="81"/>
      <c r="Q388" s="81"/>
      <c r="R388" s="81"/>
    </row>
    <row r="389">
      <c r="A389" s="60" t="s">
        <v>6874</v>
      </c>
      <c r="B389" s="60" t="s">
        <v>737</v>
      </c>
      <c r="C389" s="60" t="s">
        <v>6875</v>
      </c>
      <c r="D389" s="79" t="s">
        <v>5952</v>
      </c>
      <c r="E389" s="79" t="s">
        <v>5952</v>
      </c>
      <c r="F389" s="83">
        <v>22000.0</v>
      </c>
      <c r="G389" s="79">
        <v>559.0</v>
      </c>
      <c r="H389" s="83">
        <v>1500.0</v>
      </c>
      <c r="I389" s="79" t="s">
        <v>6865</v>
      </c>
      <c r="J389" s="79" t="s">
        <v>6927</v>
      </c>
      <c r="K389" s="80" t="s">
        <v>6928</v>
      </c>
      <c r="M389" s="81"/>
      <c r="N389" s="81"/>
      <c r="O389" s="81"/>
      <c r="P389" s="81"/>
      <c r="Q389" s="81"/>
      <c r="R389" s="81"/>
    </row>
    <row r="390">
      <c r="A390" s="60" t="s">
        <v>6874</v>
      </c>
      <c r="B390" s="60" t="s">
        <v>737</v>
      </c>
      <c r="C390" s="60" t="s">
        <v>6875</v>
      </c>
      <c r="D390" s="79" t="s">
        <v>5952</v>
      </c>
      <c r="E390" s="79">
        <v>120.0</v>
      </c>
      <c r="F390" s="83">
        <v>22000.0</v>
      </c>
      <c r="G390" s="79">
        <v>559.0</v>
      </c>
      <c r="H390" s="83">
        <v>1625.0</v>
      </c>
      <c r="I390" s="79" t="s">
        <v>6929</v>
      </c>
      <c r="J390" s="79" t="s">
        <v>6930</v>
      </c>
      <c r="K390" s="80" t="s">
        <v>6931</v>
      </c>
      <c r="M390" s="81"/>
      <c r="N390" s="81"/>
      <c r="O390" s="82"/>
      <c r="P390" s="81"/>
      <c r="Q390" s="81"/>
      <c r="R390" s="81"/>
    </row>
    <row r="391">
      <c r="A391" s="60" t="s">
        <v>6874</v>
      </c>
      <c r="B391" s="60" t="s">
        <v>737</v>
      </c>
      <c r="C391" s="60" t="s">
        <v>6875</v>
      </c>
      <c r="D391" s="79" t="s">
        <v>5952</v>
      </c>
      <c r="E391" s="79">
        <v>140.0</v>
      </c>
      <c r="F391" s="83">
        <v>22000.0</v>
      </c>
      <c r="G391" s="79">
        <v>559.0</v>
      </c>
      <c r="H391" s="83">
        <v>1875.0</v>
      </c>
      <c r="I391" s="79" t="s">
        <v>6932</v>
      </c>
      <c r="J391" s="79" t="s">
        <v>6933</v>
      </c>
      <c r="K391" s="80" t="s">
        <v>6934</v>
      </c>
      <c r="M391" s="81"/>
      <c r="N391" s="81"/>
      <c r="O391" s="82"/>
      <c r="P391" s="81"/>
      <c r="Q391" s="81"/>
      <c r="R391" s="81"/>
    </row>
    <row r="392">
      <c r="A392" s="60" t="s">
        <v>6874</v>
      </c>
      <c r="B392" s="60" t="s">
        <v>737</v>
      </c>
      <c r="C392" s="60" t="s">
        <v>6875</v>
      </c>
      <c r="D392" s="79" t="s">
        <v>5952</v>
      </c>
      <c r="E392" s="79">
        <v>160.0</v>
      </c>
      <c r="F392" s="83">
        <v>22000.0</v>
      </c>
      <c r="G392" s="79">
        <v>559.0</v>
      </c>
      <c r="H392" s="83">
        <v>2125.0</v>
      </c>
      <c r="I392" s="79" t="s">
        <v>6666</v>
      </c>
      <c r="J392" s="79" t="s">
        <v>6935</v>
      </c>
      <c r="K392" s="80" t="s">
        <v>6936</v>
      </c>
      <c r="M392" s="81"/>
      <c r="N392" s="81"/>
      <c r="O392" s="82"/>
      <c r="P392" s="81"/>
      <c r="Q392" s="81"/>
      <c r="R392" s="81"/>
    </row>
    <row r="393">
      <c r="A393" s="60" t="s">
        <v>6937</v>
      </c>
      <c r="B393" s="60" t="s">
        <v>963</v>
      </c>
      <c r="C393" s="60" t="s">
        <v>267</v>
      </c>
      <c r="D393" s="79" t="s">
        <v>5952</v>
      </c>
      <c r="E393" s="79">
        <v>5.0</v>
      </c>
      <c r="F393" s="83">
        <v>24000.0</v>
      </c>
      <c r="G393" s="79">
        <v>610.0</v>
      </c>
      <c r="H393" s="79" t="s">
        <v>6157</v>
      </c>
      <c r="I393" s="79" t="s">
        <v>6158</v>
      </c>
      <c r="J393" s="79" t="s">
        <v>6938</v>
      </c>
      <c r="K393" s="80" t="s">
        <v>6939</v>
      </c>
      <c r="M393" s="81"/>
      <c r="N393" s="81"/>
      <c r="O393" s="82"/>
      <c r="P393" s="81"/>
      <c r="Q393" s="81"/>
      <c r="R393" s="81"/>
    </row>
    <row r="394">
      <c r="A394" s="60" t="s">
        <v>6937</v>
      </c>
      <c r="B394" s="60" t="s">
        <v>963</v>
      </c>
      <c r="C394" s="60" t="s">
        <v>267</v>
      </c>
      <c r="D394" s="79" t="s">
        <v>5952</v>
      </c>
      <c r="E394" s="79">
        <v>10.0</v>
      </c>
      <c r="F394" s="83">
        <v>24000.0</v>
      </c>
      <c r="G394" s="79">
        <v>610.0</v>
      </c>
      <c r="H394" s="79" t="s">
        <v>6081</v>
      </c>
      <c r="I394" s="79" t="s">
        <v>6082</v>
      </c>
      <c r="J394" s="79" t="s">
        <v>6940</v>
      </c>
      <c r="K394" s="80" t="s">
        <v>6941</v>
      </c>
      <c r="M394" s="81"/>
      <c r="N394" s="81"/>
      <c r="O394" s="82"/>
      <c r="P394" s="81"/>
      <c r="Q394" s="81"/>
      <c r="R394" s="81"/>
    </row>
    <row r="395">
      <c r="A395" s="60" t="s">
        <v>6937</v>
      </c>
      <c r="B395" s="60" t="s">
        <v>963</v>
      </c>
      <c r="C395" s="60" t="s">
        <v>267</v>
      </c>
      <c r="D395" s="79" t="s">
        <v>5952</v>
      </c>
      <c r="E395" s="79" t="s">
        <v>5952</v>
      </c>
      <c r="F395" s="83">
        <v>24000.0</v>
      </c>
      <c r="G395" s="79">
        <v>610.0</v>
      </c>
      <c r="H395" s="79" t="s">
        <v>1559</v>
      </c>
      <c r="I395" s="79" t="s">
        <v>6128</v>
      </c>
      <c r="J395" s="79" t="s">
        <v>6942</v>
      </c>
      <c r="K395" s="80" t="s">
        <v>6943</v>
      </c>
      <c r="M395" s="81"/>
      <c r="N395" s="81"/>
      <c r="O395" s="81"/>
      <c r="P395" s="81"/>
      <c r="Q395" s="81"/>
      <c r="R395" s="81"/>
    </row>
    <row r="396">
      <c r="A396" s="60" t="s">
        <v>6937</v>
      </c>
      <c r="B396" s="60" t="s">
        <v>963</v>
      </c>
      <c r="C396" s="60" t="s">
        <v>267</v>
      </c>
      <c r="D396" s="79" t="s">
        <v>5952</v>
      </c>
      <c r="E396" s="79" t="s">
        <v>5952</v>
      </c>
      <c r="F396" s="83">
        <v>24000.0</v>
      </c>
      <c r="G396" s="79">
        <v>610.0</v>
      </c>
      <c r="H396" s="79" t="s">
        <v>1213</v>
      </c>
      <c r="I396" s="79" t="s">
        <v>6303</v>
      </c>
      <c r="J396" s="79" t="s">
        <v>6944</v>
      </c>
      <c r="K396" s="80" t="s">
        <v>6945</v>
      </c>
      <c r="M396" s="81"/>
      <c r="N396" s="81"/>
      <c r="O396" s="81"/>
      <c r="P396" s="81"/>
      <c r="Q396" s="81"/>
      <c r="R396" s="81"/>
    </row>
    <row r="397">
      <c r="A397" s="60" t="s">
        <v>6937</v>
      </c>
      <c r="B397" s="60" t="s">
        <v>963</v>
      </c>
      <c r="C397" s="60" t="s">
        <v>267</v>
      </c>
      <c r="D397" s="79" t="s">
        <v>5952</v>
      </c>
      <c r="E397" s="79" t="s">
        <v>5952</v>
      </c>
      <c r="F397" s="83">
        <v>24000.0</v>
      </c>
      <c r="G397" s="79">
        <v>610.0</v>
      </c>
      <c r="H397" s="79" t="s">
        <v>1111</v>
      </c>
      <c r="I397" s="79" t="s">
        <v>6165</v>
      </c>
      <c r="J397" s="79" t="s">
        <v>6946</v>
      </c>
      <c r="K397" s="80" t="s">
        <v>6947</v>
      </c>
      <c r="M397" s="81"/>
      <c r="N397" s="81"/>
      <c r="O397" s="81"/>
      <c r="P397" s="81"/>
      <c r="Q397" s="81"/>
      <c r="R397" s="81"/>
    </row>
    <row r="398">
      <c r="A398" s="60" t="s">
        <v>6937</v>
      </c>
      <c r="B398" s="60" t="s">
        <v>963</v>
      </c>
      <c r="C398" s="60" t="s">
        <v>267</v>
      </c>
      <c r="D398" s="79" t="s">
        <v>5962</v>
      </c>
      <c r="E398" s="79">
        <v>20.0</v>
      </c>
      <c r="F398" s="83">
        <v>24000.0</v>
      </c>
      <c r="G398" s="79">
        <v>610.0</v>
      </c>
      <c r="H398" s="79" t="s">
        <v>6207</v>
      </c>
      <c r="I398" s="79" t="s">
        <v>6208</v>
      </c>
      <c r="J398" s="79" t="s">
        <v>6948</v>
      </c>
      <c r="K398" s="80" t="s">
        <v>6949</v>
      </c>
      <c r="M398" s="81"/>
      <c r="N398" s="81"/>
      <c r="O398" s="82"/>
      <c r="P398" s="81"/>
      <c r="Q398" s="81"/>
      <c r="R398" s="81"/>
    </row>
    <row r="399">
      <c r="A399" s="60" t="s">
        <v>6937</v>
      </c>
      <c r="B399" s="60" t="s">
        <v>963</v>
      </c>
      <c r="C399" s="60" t="s">
        <v>267</v>
      </c>
      <c r="D399" s="79" t="s">
        <v>5952</v>
      </c>
      <c r="E399" s="79" t="s">
        <v>5952</v>
      </c>
      <c r="F399" s="83">
        <v>24000.0</v>
      </c>
      <c r="G399" s="79">
        <v>610.0</v>
      </c>
      <c r="H399" s="79" t="s">
        <v>6442</v>
      </c>
      <c r="I399" s="79" t="s">
        <v>6443</v>
      </c>
      <c r="J399" s="79" t="s">
        <v>6950</v>
      </c>
      <c r="K399" s="80" t="s">
        <v>6951</v>
      </c>
      <c r="M399" s="81"/>
      <c r="N399" s="81"/>
      <c r="O399" s="81"/>
      <c r="P399" s="81"/>
      <c r="Q399" s="81"/>
      <c r="R399" s="81"/>
    </row>
    <row r="400">
      <c r="A400" s="60" t="s">
        <v>6937</v>
      </c>
      <c r="B400" s="60" t="s">
        <v>963</v>
      </c>
      <c r="C400" s="60" t="s">
        <v>267</v>
      </c>
      <c r="D400" s="79" t="s">
        <v>5952</v>
      </c>
      <c r="E400" s="79" t="s">
        <v>5952</v>
      </c>
      <c r="F400" s="83">
        <v>24000.0</v>
      </c>
      <c r="G400" s="79">
        <v>610.0</v>
      </c>
      <c r="H400" s="79" t="s">
        <v>6243</v>
      </c>
      <c r="I400" s="79" t="s">
        <v>6244</v>
      </c>
      <c r="J400" s="79" t="s">
        <v>6952</v>
      </c>
      <c r="K400" s="80" t="s">
        <v>6953</v>
      </c>
      <c r="M400" s="81"/>
      <c r="N400" s="81"/>
      <c r="O400" s="81"/>
      <c r="P400" s="81"/>
      <c r="Q400" s="81"/>
      <c r="R400" s="81"/>
    </row>
    <row r="401">
      <c r="A401" s="60" t="s">
        <v>6937</v>
      </c>
      <c r="B401" s="60" t="s">
        <v>963</v>
      </c>
      <c r="C401" s="60" t="s">
        <v>267</v>
      </c>
      <c r="D401" s="79" t="s">
        <v>5952</v>
      </c>
      <c r="E401" s="79" t="s">
        <v>5952</v>
      </c>
      <c r="F401" s="83">
        <v>24000.0</v>
      </c>
      <c r="G401" s="79">
        <v>610.0</v>
      </c>
      <c r="H401" s="79" t="s">
        <v>1196</v>
      </c>
      <c r="I401" s="79" t="s">
        <v>6628</v>
      </c>
      <c r="J401" s="79" t="s">
        <v>6954</v>
      </c>
      <c r="K401" s="80" t="s">
        <v>6955</v>
      </c>
      <c r="M401" s="81"/>
      <c r="N401" s="81"/>
      <c r="O401" s="81"/>
      <c r="P401" s="81"/>
      <c r="Q401" s="81"/>
      <c r="R401" s="81"/>
    </row>
    <row r="402">
      <c r="A402" s="60" t="s">
        <v>6937</v>
      </c>
      <c r="B402" s="60" t="s">
        <v>963</v>
      </c>
      <c r="C402" s="60" t="s">
        <v>267</v>
      </c>
      <c r="D402" s="79" t="s">
        <v>5967</v>
      </c>
      <c r="E402" s="79" t="s">
        <v>5952</v>
      </c>
      <c r="F402" s="83">
        <v>24000.0</v>
      </c>
      <c r="G402" s="79">
        <v>610.0</v>
      </c>
      <c r="H402" s="79" t="s">
        <v>6345</v>
      </c>
      <c r="I402" s="79" t="s">
        <v>6346</v>
      </c>
      <c r="J402" s="79" t="s">
        <v>6590</v>
      </c>
      <c r="K402" s="80" t="s">
        <v>6956</v>
      </c>
      <c r="M402" s="81"/>
      <c r="N402" s="81"/>
      <c r="O402" s="81"/>
      <c r="P402" s="81"/>
      <c r="Q402" s="81"/>
      <c r="R402" s="81"/>
    </row>
    <row r="403">
      <c r="A403" s="60" t="s">
        <v>6937</v>
      </c>
      <c r="B403" s="60" t="s">
        <v>963</v>
      </c>
      <c r="C403" s="60" t="s">
        <v>267</v>
      </c>
      <c r="D403" s="79" t="s">
        <v>5952</v>
      </c>
      <c r="E403" s="79">
        <v>30.0</v>
      </c>
      <c r="F403" s="83">
        <v>24000.0</v>
      </c>
      <c r="G403" s="79">
        <v>610.0</v>
      </c>
      <c r="H403" s="79" t="s">
        <v>6391</v>
      </c>
      <c r="I403" s="79" t="s">
        <v>6392</v>
      </c>
      <c r="J403" s="79" t="s">
        <v>6957</v>
      </c>
      <c r="K403" s="80" t="s">
        <v>6958</v>
      </c>
      <c r="M403" s="81"/>
      <c r="N403" s="81"/>
      <c r="O403" s="82"/>
      <c r="P403" s="81"/>
      <c r="Q403" s="81"/>
      <c r="R403" s="81"/>
    </row>
    <row r="404">
      <c r="A404" s="60" t="s">
        <v>6937</v>
      </c>
      <c r="B404" s="60" t="s">
        <v>963</v>
      </c>
      <c r="C404" s="60" t="s">
        <v>267</v>
      </c>
      <c r="D404" s="79" t="s">
        <v>5952</v>
      </c>
      <c r="E404" s="79" t="s">
        <v>5952</v>
      </c>
      <c r="F404" s="83">
        <v>24000.0</v>
      </c>
      <c r="G404" s="79">
        <v>610.0</v>
      </c>
      <c r="H404" s="79" t="s">
        <v>6349</v>
      </c>
      <c r="I404" s="79" t="s">
        <v>6350</v>
      </c>
      <c r="J404" s="79" t="s">
        <v>6959</v>
      </c>
      <c r="K404" s="80" t="s">
        <v>6960</v>
      </c>
      <c r="M404" s="81"/>
      <c r="N404" s="81"/>
      <c r="O404" s="81"/>
      <c r="P404" s="81"/>
      <c r="Q404" s="81"/>
      <c r="R404" s="81"/>
    </row>
    <row r="405">
      <c r="A405" s="60" t="s">
        <v>6937</v>
      </c>
      <c r="B405" s="60" t="s">
        <v>963</v>
      </c>
      <c r="C405" s="60" t="s">
        <v>267</v>
      </c>
      <c r="D405" s="79" t="s">
        <v>5952</v>
      </c>
      <c r="E405" s="79">
        <v>40.0</v>
      </c>
      <c r="F405" s="83">
        <v>24000.0</v>
      </c>
      <c r="G405" s="79">
        <v>610.0</v>
      </c>
      <c r="H405" s="79" t="s">
        <v>6576</v>
      </c>
      <c r="I405" s="79" t="s">
        <v>6577</v>
      </c>
      <c r="J405" s="79" t="s">
        <v>6961</v>
      </c>
      <c r="K405" s="80" t="s">
        <v>6962</v>
      </c>
      <c r="M405" s="81"/>
      <c r="N405" s="81"/>
      <c r="O405" s="82"/>
      <c r="P405" s="81"/>
      <c r="Q405" s="81"/>
      <c r="R405" s="81"/>
    </row>
    <row r="406">
      <c r="A406" s="60" t="s">
        <v>6937</v>
      </c>
      <c r="B406" s="60" t="s">
        <v>963</v>
      </c>
      <c r="C406" s="60" t="s">
        <v>267</v>
      </c>
      <c r="D406" s="79" t="s">
        <v>5952</v>
      </c>
      <c r="E406" s="79" t="s">
        <v>5952</v>
      </c>
      <c r="F406" s="83">
        <v>24000.0</v>
      </c>
      <c r="G406" s="79">
        <v>610.0</v>
      </c>
      <c r="H406" s="79" t="s">
        <v>6353</v>
      </c>
      <c r="I406" s="79" t="s">
        <v>6354</v>
      </c>
      <c r="J406" s="79" t="s">
        <v>6963</v>
      </c>
      <c r="K406" s="80" t="s">
        <v>6964</v>
      </c>
      <c r="M406" s="81"/>
      <c r="N406" s="81"/>
      <c r="O406" s="81"/>
      <c r="P406" s="81"/>
      <c r="Q406" s="81"/>
      <c r="R406" s="81"/>
    </row>
    <row r="407">
      <c r="A407" s="60" t="s">
        <v>6937</v>
      </c>
      <c r="B407" s="60" t="s">
        <v>963</v>
      </c>
      <c r="C407" s="60" t="s">
        <v>267</v>
      </c>
      <c r="D407" s="79" t="s">
        <v>5952</v>
      </c>
      <c r="E407" s="79" t="s">
        <v>5952</v>
      </c>
      <c r="F407" s="83">
        <v>24000.0</v>
      </c>
      <c r="G407" s="79">
        <v>610.0</v>
      </c>
      <c r="H407" s="79" t="s">
        <v>6462</v>
      </c>
      <c r="I407" s="79" t="s">
        <v>6463</v>
      </c>
      <c r="J407" s="79" t="s">
        <v>6965</v>
      </c>
      <c r="K407" s="80" t="s">
        <v>6966</v>
      </c>
      <c r="M407" s="81"/>
      <c r="N407" s="81"/>
      <c r="O407" s="81"/>
      <c r="P407" s="81"/>
      <c r="Q407" s="81"/>
      <c r="R407" s="81"/>
    </row>
    <row r="408">
      <c r="A408" s="60" t="s">
        <v>6937</v>
      </c>
      <c r="B408" s="60" t="s">
        <v>963</v>
      </c>
      <c r="C408" s="60" t="s">
        <v>267</v>
      </c>
      <c r="D408" s="79" t="s">
        <v>5952</v>
      </c>
      <c r="E408" s="79" t="s">
        <v>5952</v>
      </c>
      <c r="F408" s="83">
        <v>24000.0</v>
      </c>
      <c r="G408" s="79">
        <v>610.0</v>
      </c>
      <c r="H408" s="79" t="s">
        <v>6407</v>
      </c>
      <c r="I408" s="79" t="s">
        <v>6408</v>
      </c>
      <c r="J408" s="79" t="s">
        <v>6967</v>
      </c>
      <c r="K408" s="80" t="s">
        <v>6968</v>
      </c>
      <c r="M408" s="81"/>
      <c r="N408" s="81"/>
      <c r="O408" s="81"/>
      <c r="P408" s="81"/>
      <c r="Q408" s="81"/>
      <c r="R408" s="81"/>
    </row>
    <row r="409">
      <c r="A409" s="60" t="s">
        <v>6937</v>
      </c>
      <c r="B409" s="60" t="s">
        <v>963</v>
      </c>
      <c r="C409" s="60" t="s">
        <v>267</v>
      </c>
      <c r="D409" s="79" t="s">
        <v>5952</v>
      </c>
      <c r="E409" s="79" t="s">
        <v>5952</v>
      </c>
      <c r="F409" s="83">
        <v>24000.0</v>
      </c>
      <c r="G409" s="79">
        <v>610.0</v>
      </c>
      <c r="H409" s="79" t="s">
        <v>6525</v>
      </c>
      <c r="I409" s="79" t="s">
        <v>6526</v>
      </c>
      <c r="J409" s="79" t="s">
        <v>6969</v>
      </c>
      <c r="K409" s="80" t="s">
        <v>6970</v>
      </c>
      <c r="M409" s="81"/>
      <c r="N409" s="81"/>
      <c r="O409" s="81"/>
      <c r="P409" s="81"/>
      <c r="Q409" s="81"/>
      <c r="R409" s="81"/>
    </row>
    <row r="410">
      <c r="A410" s="60" t="s">
        <v>6937</v>
      </c>
      <c r="B410" s="60" t="s">
        <v>963</v>
      </c>
      <c r="C410" s="60" t="s">
        <v>267</v>
      </c>
      <c r="D410" s="79" t="s">
        <v>5952</v>
      </c>
      <c r="E410" s="79">
        <v>60.0</v>
      </c>
      <c r="F410" s="83">
        <v>24000.0</v>
      </c>
      <c r="G410" s="79">
        <v>610.0</v>
      </c>
      <c r="H410" s="79" t="s">
        <v>6971</v>
      </c>
      <c r="I410" s="79" t="s">
        <v>6972</v>
      </c>
      <c r="J410" s="79" t="s">
        <v>6973</v>
      </c>
      <c r="K410" s="80" t="s">
        <v>6974</v>
      </c>
      <c r="M410" s="81"/>
      <c r="N410" s="81"/>
      <c r="O410" s="82"/>
      <c r="P410" s="81"/>
      <c r="Q410" s="81"/>
      <c r="R410" s="81"/>
    </row>
    <row r="411">
      <c r="A411" s="60" t="s">
        <v>6937</v>
      </c>
      <c r="B411" s="60" t="s">
        <v>963</v>
      </c>
      <c r="C411" s="60" t="s">
        <v>267</v>
      </c>
      <c r="D411" s="79" t="s">
        <v>5952</v>
      </c>
      <c r="E411" s="79" t="s">
        <v>5952</v>
      </c>
      <c r="F411" s="83">
        <v>24000.0</v>
      </c>
      <c r="G411" s="79">
        <v>610.0</v>
      </c>
      <c r="H411" s="83">
        <v>1000.0</v>
      </c>
      <c r="I411" s="79" t="s">
        <v>6472</v>
      </c>
      <c r="J411" s="79" t="s">
        <v>6975</v>
      </c>
      <c r="K411" s="80" t="s">
        <v>6976</v>
      </c>
      <c r="M411" s="81"/>
      <c r="N411" s="81"/>
      <c r="O411" s="81"/>
      <c r="P411" s="81"/>
      <c r="Q411" s="81"/>
      <c r="R411" s="81"/>
    </row>
    <row r="412">
      <c r="A412" s="60" t="s">
        <v>6937</v>
      </c>
      <c r="B412" s="60" t="s">
        <v>963</v>
      </c>
      <c r="C412" s="60" t="s">
        <v>267</v>
      </c>
      <c r="D412" s="79" t="s">
        <v>5952</v>
      </c>
      <c r="E412" s="79" t="s">
        <v>5952</v>
      </c>
      <c r="F412" s="83">
        <v>24000.0</v>
      </c>
      <c r="G412" s="79">
        <v>610.0</v>
      </c>
      <c r="H412" s="83">
        <v>1062.0</v>
      </c>
      <c r="I412" s="79" t="s">
        <v>6592</v>
      </c>
      <c r="J412" s="79" t="s">
        <v>6977</v>
      </c>
      <c r="K412" s="80" t="s">
        <v>6978</v>
      </c>
      <c r="M412" s="81"/>
      <c r="N412" s="81"/>
      <c r="O412" s="81"/>
      <c r="P412" s="81"/>
      <c r="Q412" s="81"/>
      <c r="R412" s="81"/>
    </row>
    <row r="413">
      <c r="A413" s="60" t="s">
        <v>6937</v>
      </c>
      <c r="B413" s="60" t="s">
        <v>963</v>
      </c>
      <c r="C413" s="60" t="s">
        <v>267</v>
      </c>
      <c r="D413" s="79" t="s">
        <v>5952</v>
      </c>
      <c r="E413" s="79" t="s">
        <v>5952</v>
      </c>
      <c r="F413" s="83">
        <v>24000.0</v>
      </c>
      <c r="G413" s="79">
        <v>610.0</v>
      </c>
      <c r="H413" s="83">
        <v>1125.0</v>
      </c>
      <c r="I413" s="79" t="s">
        <v>6531</v>
      </c>
      <c r="J413" s="79" t="s">
        <v>6979</v>
      </c>
      <c r="K413" s="80" t="s">
        <v>6980</v>
      </c>
      <c r="M413" s="81"/>
      <c r="N413" s="81"/>
      <c r="O413" s="81"/>
      <c r="P413" s="81"/>
      <c r="Q413" s="81"/>
      <c r="R413" s="81"/>
    </row>
    <row r="414">
      <c r="A414" s="60" t="s">
        <v>6937</v>
      </c>
      <c r="B414" s="60" t="s">
        <v>963</v>
      </c>
      <c r="C414" s="60" t="s">
        <v>267</v>
      </c>
      <c r="D414" s="79" t="s">
        <v>5952</v>
      </c>
      <c r="E414" s="79" t="s">
        <v>5952</v>
      </c>
      <c r="F414" s="83">
        <v>24000.0</v>
      </c>
      <c r="G414" s="79">
        <v>610.0</v>
      </c>
      <c r="H414" s="83">
        <v>1188.0</v>
      </c>
      <c r="I414" s="79" t="s">
        <v>6732</v>
      </c>
      <c r="J414" s="79" t="s">
        <v>6981</v>
      </c>
      <c r="K414" s="80" t="s">
        <v>6982</v>
      </c>
      <c r="M414" s="81"/>
      <c r="N414" s="81"/>
      <c r="O414" s="81"/>
      <c r="P414" s="81"/>
      <c r="Q414" s="81"/>
      <c r="R414" s="81"/>
    </row>
    <row r="415">
      <c r="A415" s="60" t="s">
        <v>6937</v>
      </c>
      <c r="B415" s="60" t="s">
        <v>963</v>
      </c>
      <c r="C415" s="60" t="s">
        <v>267</v>
      </c>
      <c r="D415" s="79" t="s">
        <v>5952</v>
      </c>
      <c r="E415" s="79">
        <v>80.0</v>
      </c>
      <c r="F415" s="83">
        <v>24000.0</v>
      </c>
      <c r="G415" s="79">
        <v>610.0</v>
      </c>
      <c r="H415" s="83">
        <v>1219.0</v>
      </c>
      <c r="I415" s="79" t="s">
        <v>6735</v>
      </c>
      <c r="J415" s="79" t="s">
        <v>6983</v>
      </c>
      <c r="K415" s="80" t="s">
        <v>6984</v>
      </c>
      <c r="M415" s="81"/>
      <c r="N415" s="81"/>
      <c r="O415" s="82"/>
      <c r="P415" s="81"/>
      <c r="Q415" s="81"/>
      <c r="R415" s="81"/>
    </row>
    <row r="416">
      <c r="A416" s="60" t="s">
        <v>6937</v>
      </c>
      <c r="B416" s="60" t="s">
        <v>963</v>
      </c>
      <c r="C416" s="60" t="s">
        <v>267</v>
      </c>
      <c r="D416" s="79" t="s">
        <v>5952</v>
      </c>
      <c r="E416" s="79" t="s">
        <v>5952</v>
      </c>
      <c r="F416" s="83">
        <v>24000.0</v>
      </c>
      <c r="G416" s="79">
        <v>610.0</v>
      </c>
      <c r="H416" s="83">
        <v>1250.0</v>
      </c>
      <c r="I416" s="79" t="s">
        <v>6534</v>
      </c>
      <c r="J416" s="79" t="s">
        <v>6985</v>
      </c>
      <c r="K416" s="80" t="s">
        <v>6986</v>
      </c>
      <c r="M416" s="81"/>
      <c r="N416" s="81"/>
      <c r="O416" s="81"/>
      <c r="P416" s="81"/>
      <c r="Q416" s="81"/>
      <c r="R416" s="81"/>
    </row>
    <row r="417">
      <c r="A417" s="60" t="s">
        <v>6937</v>
      </c>
      <c r="B417" s="60" t="s">
        <v>963</v>
      </c>
      <c r="C417" s="60" t="s">
        <v>267</v>
      </c>
      <c r="D417" s="79" t="s">
        <v>5952</v>
      </c>
      <c r="E417" s="79" t="s">
        <v>5952</v>
      </c>
      <c r="F417" s="83">
        <v>24000.0</v>
      </c>
      <c r="G417" s="79">
        <v>610.0</v>
      </c>
      <c r="H417" s="83">
        <v>1312.0</v>
      </c>
      <c r="I417" s="79" t="s">
        <v>6429</v>
      </c>
      <c r="J417" s="79" t="s">
        <v>6987</v>
      </c>
      <c r="K417" s="80" t="s">
        <v>6988</v>
      </c>
      <c r="M417" s="81"/>
      <c r="N417" s="81"/>
      <c r="O417" s="81"/>
      <c r="P417" s="81"/>
      <c r="Q417" s="81"/>
      <c r="R417" s="81"/>
    </row>
    <row r="418">
      <c r="A418" s="60" t="s">
        <v>6937</v>
      </c>
      <c r="B418" s="60" t="s">
        <v>963</v>
      </c>
      <c r="C418" s="60" t="s">
        <v>267</v>
      </c>
      <c r="D418" s="79" t="s">
        <v>5952</v>
      </c>
      <c r="E418" s="79" t="s">
        <v>5952</v>
      </c>
      <c r="F418" s="83">
        <v>24000.0</v>
      </c>
      <c r="G418" s="79">
        <v>610.0</v>
      </c>
      <c r="H418" s="83">
        <v>1375.0</v>
      </c>
      <c r="I418" s="79" t="s">
        <v>6799</v>
      </c>
      <c r="J418" s="79" t="s">
        <v>6989</v>
      </c>
      <c r="K418" s="80" t="s">
        <v>6990</v>
      </c>
      <c r="M418" s="81"/>
      <c r="N418" s="81"/>
      <c r="O418" s="81"/>
      <c r="P418" s="81"/>
      <c r="Q418" s="81"/>
      <c r="R418" s="81"/>
    </row>
    <row r="419">
      <c r="A419" s="60" t="s">
        <v>6937</v>
      </c>
      <c r="B419" s="60" t="s">
        <v>963</v>
      </c>
      <c r="C419" s="60" t="s">
        <v>267</v>
      </c>
      <c r="D419" s="79" t="s">
        <v>5952</v>
      </c>
      <c r="E419" s="79" t="s">
        <v>5952</v>
      </c>
      <c r="F419" s="83">
        <v>24000.0</v>
      </c>
      <c r="G419" s="79">
        <v>610.0</v>
      </c>
      <c r="H419" s="83">
        <v>1438.0</v>
      </c>
      <c r="I419" s="79" t="s">
        <v>6740</v>
      </c>
      <c r="J419" s="79" t="s">
        <v>6991</v>
      </c>
      <c r="K419" s="80" t="s">
        <v>6992</v>
      </c>
      <c r="M419" s="81"/>
      <c r="N419" s="81"/>
      <c r="O419" s="81"/>
      <c r="P419" s="81"/>
      <c r="Q419" s="81"/>
      <c r="R419" s="81"/>
    </row>
    <row r="420">
      <c r="A420" s="60" t="s">
        <v>6937</v>
      </c>
      <c r="B420" s="60" t="s">
        <v>963</v>
      </c>
      <c r="C420" s="60" t="s">
        <v>267</v>
      </c>
      <c r="D420" s="79" t="s">
        <v>5952</v>
      </c>
      <c r="E420" s="79" t="s">
        <v>5952</v>
      </c>
      <c r="F420" s="83">
        <v>24000.0</v>
      </c>
      <c r="G420" s="79">
        <v>610.0</v>
      </c>
      <c r="H420" s="83">
        <v>1500.0</v>
      </c>
      <c r="I420" s="79" t="s">
        <v>6865</v>
      </c>
      <c r="J420" s="79" t="s">
        <v>6993</v>
      </c>
      <c r="K420" s="80" t="s">
        <v>6994</v>
      </c>
      <c r="M420" s="81"/>
      <c r="N420" s="81"/>
      <c r="O420" s="81"/>
      <c r="P420" s="81"/>
      <c r="Q420" s="81"/>
      <c r="R420" s="81"/>
    </row>
    <row r="421">
      <c r="A421" s="60" t="s">
        <v>6937</v>
      </c>
      <c r="B421" s="60" t="s">
        <v>963</v>
      </c>
      <c r="C421" s="60" t="s">
        <v>267</v>
      </c>
      <c r="D421" s="79" t="s">
        <v>5952</v>
      </c>
      <c r="E421" s="79">
        <v>100.0</v>
      </c>
      <c r="F421" s="83">
        <v>24000.0</v>
      </c>
      <c r="G421" s="79">
        <v>610.0</v>
      </c>
      <c r="H421" s="83">
        <v>1531.0</v>
      </c>
      <c r="I421" s="79" t="s">
        <v>6995</v>
      </c>
      <c r="J421" s="79" t="s">
        <v>6996</v>
      </c>
      <c r="K421" s="80" t="s">
        <v>6997</v>
      </c>
      <c r="M421" s="81"/>
      <c r="N421" s="81"/>
      <c r="O421" s="82"/>
      <c r="P421" s="81"/>
      <c r="Q421" s="81"/>
      <c r="R421" s="81"/>
    </row>
    <row r="422">
      <c r="A422" s="60" t="s">
        <v>6937</v>
      </c>
      <c r="B422" s="60" t="s">
        <v>963</v>
      </c>
      <c r="C422" s="60" t="s">
        <v>267</v>
      </c>
      <c r="D422" s="79" t="s">
        <v>5952</v>
      </c>
      <c r="E422" s="79" t="s">
        <v>5952</v>
      </c>
      <c r="F422" s="83">
        <v>24000.0</v>
      </c>
      <c r="G422" s="79">
        <v>610.0</v>
      </c>
      <c r="H422" s="83">
        <v>1562.0</v>
      </c>
      <c r="I422" s="79" t="s">
        <v>6802</v>
      </c>
      <c r="J422" s="79" t="s">
        <v>6998</v>
      </c>
      <c r="K422" s="80" t="s">
        <v>6999</v>
      </c>
      <c r="M422" s="81"/>
      <c r="N422" s="81"/>
      <c r="O422" s="81"/>
      <c r="P422" s="81"/>
      <c r="Q422" s="81"/>
      <c r="R422" s="81"/>
    </row>
    <row r="423">
      <c r="A423" s="60" t="s">
        <v>6937</v>
      </c>
      <c r="B423" s="60" t="s">
        <v>963</v>
      </c>
      <c r="C423" s="60" t="s">
        <v>267</v>
      </c>
      <c r="D423" s="79" t="s">
        <v>5952</v>
      </c>
      <c r="E423" s="79">
        <v>120.0</v>
      </c>
      <c r="F423" s="83">
        <v>24000.0</v>
      </c>
      <c r="G423" s="79">
        <v>610.0</v>
      </c>
      <c r="H423" s="83">
        <v>1812.0</v>
      </c>
      <c r="I423" s="79" t="s">
        <v>7000</v>
      </c>
      <c r="J423" s="79" t="s">
        <v>7001</v>
      </c>
      <c r="K423" s="80" t="s">
        <v>7002</v>
      </c>
      <c r="M423" s="81"/>
      <c r="N423" s="81"/>
      <c r="O423" s="82"/>
      <c r="P423" s="81"/>
      <c r="Q423" s="81"/>
      <c r="R423" s="81"/>
    </row>
    <row r="424">
      <c r="A424" s="60" t="s">
        <v>6937</v>
      </c>
      <c r="B424" s="60" t="s">
        <v>963</v>
      </c>
      <c r="C424" s="60" t="s">
        <v>267</v>
      </c>
      <c r="D424" s="79" t="s">
        <v>5952</v>
      </c>
      <c r="E424" s="79">
        <v>140.0</v>
      </c>
      <c r="F424" s="83">
        <v>24000.0</v>
      </c>
      <c r="G424" s="79">
        <v>610.0</v>
      </c>
      <c r="H424" s="83">
        <v>2062.0</v>
      </c>
      <c r="I424" s="79" t="s">
        <v>7003</v>
      </c>
      <c r="J424" s="79" t="s">
        <v>7004</v>
      </c>
      <c r="K424" s="80" t="s">
        <v>7005</v>
      </c>
      <c r="M424" s="81"/>
      <c r="N424" s="81"/>
      <c r="O424" s="82"/>
      <c r="P424" s="81"/>
      <c r="Q424" s="81"/>
      <c r="R424" s="81"/>
    </row>
    <row r="425">
      <c r="A425" s="60" t="s">
        <v>6937</v>
      </c>
      <c r="B425" s="60" t="s">
        <v>963</v>
      </c>
      <c r="C425" s="60" t="s">
        <v>267</v>
      </c>
      <c r="D425" s="79" t="s">
        <v>5952</v>
      </c>
      <c r="E425" s="79">
        <v>160.0</v>
      </c>
      <c r="F425" s="83">
        <v>24000.0</v>
      </c>
      <c r="G425" s="79">
        <v>610.0</v>
      </c>
      <c r="H425" s="83">
        <v>2344.0</v>
      </c>
      <c r="I425" s="79" t="s">
        <v>7006</v>
      </c>
      <c r="J425" s="79" t="s">
        <v>7007</v>
      </c>
      <c r="K425" s="80" t="s">
        <v>7008</v>
      </c>
      <c r="M425" s="81"/>
      <c r="N425" s="81"/>
      <c r="O425" s="82"/>
      <c r="P425" s="81"/>
      <c r="Q425" s="81"/>
      <c r="R425" s="81"/>
    </row>
    <row r="426">
      <c r="A426" s="60" t="s">
        <v>7009</v>
      </c>
      <c r="B426" s="60" t="s">
        <v>809</v>
      </c>
      <c r="C426" s="60" t="s">
        <v>7010</v>
      </c>
      <c r="D426" s="79" t="s">
        <v>5952</v>
      </c>
      <c r="E426" s="79" t="s">
        <v>5952</v>
      </c>
      <c r="F426" s="83">
        <v>26000.0</v>
      </c>
      <c r="G426" s="79">
        <v>660.0</v>
      </c>
      <c r="H426" s="79" t="s">
        <v>6081</v>
      </c>
      <c r="I426" s="79" t="s">
        <v>6082</v>
      </c>
      <c r="J426" s="79" t="s">
        <v>7011</v>
      </c>
      <c r="K426" s="80" t="s">
        <v>7012</v>
      </c>
      <c r="M426" s="81"/>
      <c r="N426" s="81"/>
      <c r="O426" s="81"/>
      <c r="P426" s="81"/>
      <c r="Q426" s="81"/>
      <c r="R426" s="81"/>
    </row>
    <row r="427">
      <c r="A427" s="60" t="s">
        <v>7009</v>
      </c>
      <c r="B427" s="60" t="s">
        <v>809</v>
      </c>
      <c r="C427" s="60" t="s">
        <v>7010</v>
      </c>
      <c r="D427" s="79" t="s">
        <v>5952</v>
      </c>
      <c r="E427" s="79" t="s">
        <v>5952</v>
      </c>
      <c r="F427" s="83">
        <v>26000.0</v>
      </c>
      <c r="G427" s="79">
        <v>660.0</v>
      </c>
      <c r="H427" s="79" t="s">
        <v>1559</v>
      </c>
      <c r="I427" s="79" t="s">
        <v>6128</v>
      </c>
      <c r="J427" s="79" t="s">
        <v>7013</v>
      </c>
      <c r="K427" s="80" t="s">
        <v>7014</v>
      </c>
      <c r="M427" s="81"/>
      <c r="N427" s="81"/>
      <c r="O427" s="81"/>
      <c r="P427" s="81"/>
      <c r="Q427" s="81"/>
      <c r="R427" s="81"/>
    </row>
    <row r="428">
      <c r="A428" s="60" t="s">
        <v>7009</v>
      </c>
      <c r="B428" s="60" t="s">
        <v>809</v>
      </c>
      <c r="C428" s="60" t="s">
        <v>7010</v>
      </c>
      <c r="D428" s="79" t="s">
        <v>5952</v>
      </c>
      <c r="E428" s="79">
        <v>10.0</v>
      </c>
      <c r="F428" s="83">
        <v>26000.0</v>
      </c>
      <c r="G428" s="79">
        <v>660.0</v>
      </c>
      <c r="H428" s="79" t="s">
        <v>1213</v>
      </c>
      <c r="I428" s="79" t="s">
        <v>6303</v>
      </c>
      <c r="J428" s="79" t="s">
        <v>7015</v>
      </c>
      <c r="K428" s="80" t="s">
        <v>7016</v>
      </c>
      <c r="M428" s="81"/>
      <c r="N428" s="81"/>
      <c r="O428" s="82"/>
      <c r="P428" s="81"/>
      <c r="Q428" s="81"/>
      <c r="R428" s="81"/>
    </row>
    <row r="429">
      <c r="A429" s="60" t="s">
        <v>7009</v>
      </c>
      <c r="B429" s="60" t="s">
        <v>809</v>
      </c>
      <c r="C429" s="60" t="s">
        <v>7010</v>
      </c>
      <c r="D429" s="79" t="s">
        <v>5952</v>
      </c>
      <c r="E429" s="79" t="s">
        <v>5952</v>
      </c>
      <c r="F429" s="83">
        <v>26000.0</v>
      </c>
      <c r="G429" s="79">
        <v>660.0</v>
      </c>
      <c r="H429" s="79" t="s">
        <v>1111</v>
      </c>
      <c r="I429" s="79" t="s">
        <v>6165</v>
      </c>
      <c r="J429" s="79" t="s">
        <v>7017</v>
      </c>
      <c r="K429" s="80" t="s">
        <v>7018</v>
      </c>
      <c r="M429" s="81"/>
      <c r="N429" s="81"/>
      <c r="O429" s="81"/>
      <c r="P429" s="81"/>
      <c r="Q429" s="81"/>
      <c r="R429" s="81"/>
    </row>
    <row r="430">
      <c r="A430" s="60" t="s">
        <v>7009</v>
      </c>
      <c r="B430" s="60" t="s">
        <v>809</v>
      </c>
      <c r="C430" s="60" t="s">
        <v>7010</v>
      </c>
      <c r="D430" s="79" t="s">
        <v>5962</v>
      </c>
      <c r="E430" s="79" t="s">
        <v>5952</v>
      </c>
      <c r="F430" s="83">
        <v>26000.0</v>
      </c>
      <c r="G430" s="79">
        <v>660.0</v>
      </c>
      <c r="H430" s="79" t="s">
        <v>6207</v>
      </c>
      <c r="I430" s="79" t="s">
        <v>6208</v>
      </c>
      <c r="J430" s="79" t="s">
        <v>6705</v>
      </c>
      <c r="K430" s="80" t="s">
        <v>7019</v>
      </c>
      <c r="M430" s="81"/>
      <c r="N430" s="81"/>
      <c r="O430" s="81"/>
      <c r="P430" s="81"/>
      <c r="Q430" s="81"/>
      <c r="R430" s="81"/>
    </row>
    <row r="431">
      <c r="A431" s="60" t="s">
        <v>7009</v>
      </c>
      <c r="B431" s="60" t="s">
        <v>809</v>
      </c>
      <c r="C431" s="60" t="s">
        <v>7010</v>
      </c>
      <c r="D431" s="79" t="s">
        <v>5952</v>
      </c>
      <c r="E431" s="79" t="s">
        <v>5952</v>
      </c>
      <c r="F431" s="83">
        <v>26000.0</v>
      </c>
      <c r="G431" s="79">
        <v>660.0</v>
      </c>
      <c r="H431" s="79" t="s">
        <v>6442</v>
      </c>
      <c r="I431" s="79" t="s">
        <v>6443</v>
      </c>
      <c r="J431" s="79" t="s">
        <v>6586</v>
      </c>
      <c r="K431" s="80" t="s">
        <v>7020</v>
      </c>
      <c r="M431" s="81"/>
      <c r="N431" s="81"/>
      <c r="O431" s="81"/>
      <c r="P431" s="81"/>
      <c r="Q431" s="81"/>
      <c r="R431" s="81"/>
    </row>
    <row r="432">
      <c r="A432" s="60" t="s">
        <v>7009</v>
      </c>
      <c r="B432" s="60" t="s">
        <v>809</v>
      </c>
      <c r="C432" s="60" t="s">
        <v>7010</v>
      </c>
      <c r="D432" s="79" t="s">
        <v>5952</v>
      </c>
      <c r="E432" s="79" t="s">
        <v>5952</v>
      </c>
      <c r="F432" s="83">
        <v>26000.0</v>
      </c>
      <c r="G432" s="79">
        <v>660.0</v>
      </c>
      <c r="H432" s="79" t="s">
        <v>6243</v>
      </c>
      <c r="I432" s="79" t="s">
        <v>6244</v>
      </c>
      <c r="J432" s="79" t="s">
        <v>7021</v>
      </c>
      <c r="K432" s="80" t="s">
        <v>7022</v>
      </c>
      <c r="M432" s="81"/>
      <c r="N432" s="81"/>
      <c r="O432" s="81"/>
      <c r="P432" s="81"/>
      <c r="Q432" s="81"/>
      <c r="R432" s="81"/>
    </row>
    <row r="433">
      <c r="A433" s="60" t="s">
        <v>7009</v>
      </c>
      <c r="B433" s="60" t="s">
        <v>809</v>
      </c>
      <c r="C433" s="60" t="s">
        <v>7010</v>
      </c>
      <c r="D433" s="79" t="s">
        <v>5952</v>
      </c>
      <c r="E433" s="79" t="s">
        <v>5952</v>
      </c>
      <c r="F433" s="83">
        <v>26000.0</v>
      </c>
      <c r="G433" s="79">
        <v>660.0</v>
      </c>
      <c r="H433" s="79" t="s">
        <v>1196</v>
      </c>
      <c r="I433" s="79" t="s">
        <v>6628</v>
      </c>
      <c r="J433" s="79" t="s">
        <v>7023</v>
      </c>
      <c r="K433" s="80" t="s">
        <v>7024</v>
      </c>
      <c r="M433" s="81"/>
      <c r="N433" s="81"/>
      <c r="O433" s="81"/>
      <c r="P433" s="81"/>
      <c r="Q433" s="81"/>
      <c r="R433" s="81"/>
    </row>
    <row r="434">
      <c r="A434" s="60" t="s">
        <v>7009</v>
      </c>
      <c r="B434" s="60" t="s">
        <v>809</v>
      </c>
      <c r="C434" s="60" t="s">
        <v>7010</v>
      </c>
      <c r="D434" s="79" t="s">
        <v>5967</v>
      </c>
      <c r="E434" s="79">
        <v>20.0</v>
      </c>
      <c r="F434" s="83">
        <v>26000.0</v>
      </c>
      <c r="G434" s="79">
        <v>660.0</v>
      </c>
      <c r="H434" s="79" t="s">
        <v>6345</v>
      </c>
      <c r="I434" s="79" t="s">
        <v>6346</v>
      </c>
      <c r="J434" s="79" t="s">
        <v>7025</v>
      </c>
      <c r="K434" s="80" t="s">
        <v>7026</v>
      </c>
      <c r="M434" s="81"/>
      <c r="N434" s="81"/>
      <c r="O434" s="82"/>
      <c r="P434" s="81"/>
      <c r="Q434" s="81"/>
      <c r="R434" s="81"/>
    </row>
    <row r="435">
      <c r="A435" s="60" t="s">
        <v>7009</v>
      </c>
      <c r="B435" s="60" t="s">
        <v>809</v>
      </c>
      <c r="C435" s="60" t="s">
        <v>7010</v>
      </c>
      <c r="D435" s="79" t="s">
        <v>5952</v>
      </c>
      <c r="E435" s="79" t="s">
        <v>5952</v>
      </c>
      <c r="F435" s="83">
        <v>26000.0</v>
      </c>
      <c r="G435" s="79">
        <v>660.0</v>
      </c>
      <c r="H435" s="79" t="s">
        <v>6391</v>
      </c>
      <c r="I435" s="79" t="s">
        <v>6392</v>
      </c>
      <c r="J435" s="79" t="s">
        <v>7027</v>
      </c>
      <c r="K435" s="80" t="s">
        <v>7028</v>
      </c>
      <c r="M435" s="81"/>
      <c r="N435" s="81"/>
      <c r="O435" s="81"/>
      <c r="P435" s="81"/>
      <c r="Q435" s="81"/>
      <c r="R435" s="81"/>
    </row>
    <row r="436">
      <c r="A436" s="60" t="s">
        <v>7009</v>
      </c>
      <c r="B436" s="60" t="s">
        <v>809</v>
      </c>
      <c r="C436" s="60" t="s">
        <v>7010</v>
      </c>
      <c r="D436" s="79" t="s">
        <v>5952</v>
      </c>
      <c r="E436" s="79" t="s">
        <v>5952</v>
      </c>
      <c r="F436" s="83">
        <v>26000.0</v>
      </c>
      <c r="G436" s="79">
        <v>660.0</v>
      </c>
      <c r="H436" s="79" t="s">
        <v>6349</v>
      </c>
      <c r="I436" s="79" t="s">
        <v>6350</v>
      </c>
      <c r="J436" s="79" t="s">
        <v>7029</v>
      </c>
      <c r="K436" s="80" t="s">
        <v>7030</v>
      </c>
      <c r="M436" s="81"/>
      <c r="N436" s="81"/>
      <c r="O436" s="81"/>
      <c r="P436" s="81"/>
      <c r="Q436" s="81"/>
      <c r="R436" s="81"/>
    </row>
    <row r="437">
      <c r="A437" s="60" t="s">
        <v>7009</v>
      </c>
      <c r="B437" s="60" t="s">
        <v>809</v>
      </c>
      <c r="C437" s="60" t="s">
        <v>7010</v>
      </c>
      <c r="D437" s="79" t="s">
        <v>5952</v>
      </c>
      <c r="E437" s="79" t="s">
        <v>5952</v>
      </c>
      <c r="F437" s="83">
        <v>26000.0</v>
      </c>
      <c r="G437" s="79">
        <v>660.0</v>
      </c>
      <c r="H437" s="79" t="s">
        <v>6576</v>
      </c>
      <c r="I437" s="79" t="s">
        <v>6577</v>
      </c>
      <c r="J437" s="79" t="s">
        <v>7031</v>
      </c>
      <c r="K437" s="80" t="s">
        <v>7032</v>
      </c>
      <c r="M437" s="81"/>
      <c r="N437" s="81"/>
      <c r="O437" s="81"/>
      <c r="P437" s="81"/>
      <c r="Q437" s="81"/>
      <c r="R437" s="81"/>
    </row>
    <row r="438">
      <c r="A438" s="60" t="s">
        <v>7009</v>
      </c>
      <c r="B438" s="60" t="s">
        <v>809</v>
      </c>
      <c r="C438" s="60" t="s">
        <v>7010</v>
      </c>
      <c r="D438" s="79" t="s">
        <v>5952</v>
      </c>
      <c r="E438" s="79" t="s">
        <v>5952</v>
      </c>
      <c r="F438" s="83">
        <v>26000.0</v>
      </c>
      <c r="G438" s="79">
        <v>660.0</v>
      </c>
      <c r="H438" s="79" t="s">
        <v>6353</v>
      </c>
      <c r="I438" s="79" t="s">
        <v>6354</v>
      </c>
      <c r="J438" s="79" t="s">
        <v>7033</v>
      </c>
      <c r="K438" s="80" t="s">
        <v>7034</v>
      </c>
      <c r="M438" s="81"/>
      <c r="N438" s="81"/>
      <c r="O438" s="81"/>
      <c r="P438" s="81"/>
      <c r="Q438" s="81"/>
      <c r="R438" s="81"/>
    </row>
    <row r="439">
      <c r="A439" s="60" t="s">
        <v>7009</v>
      </c>
      <c r="B439" s="60" t="s">
        <v>809</v>
      </c>
      <c r="C439" s="60" t="s">
        <v>7010</v>
      </c>
      <c r="D439" s="79" t="s">
        <v>5952</v>
      </c>
      <c r="E439" s="79" t="s">
        <v>5952</v>
      </c>
      <c r="F439" s="83">
        <v>26000.0</v>
      </c>
      <c r="G439" s="79">
        <v>660.0</v>
      </c>
      <c r="H439" s="79" t="s">
        <v>6462</v>
      </c>
      <c r="I439" s="79" t="s">
        <v>6463</v>
      </c>
      <c r="J439" s="79" t="s">
        <v>7035</v>
      </c>
      <c r="K439" s="80" t="s">
        <v>7036</v>
      </c>
      <c r="M439" s="81"/>
      <c r="N439" s="81"/>
      <c r="O439" s="81"/>
      <c r="P439" s="81"/>
      <c r="Q439" s="81"/>
      <c r="R439" s="81"/>
    </row>
    <row r="440">
      <c r="A440" s="60" t="s">
        <v>7009</v>
      </c>
      <c r="B440" s="60" t="s">
        <v>809</v>
      </c>
      <c r="C440" s="60" t="s">
        <v>7010</v>
      </c>
      <c r="D440" s="79" t="s">
        <v>5952</v>
      </c>
      <c r="E440" s="79" t="s">
        <v>5952</v>
      </c>
      <c r="F440" s="83">
        <v>26000.0</v>
      </c>
      <c r="G440" s="79">
        <v>660.0</v>
      </c>
      <c r="H440" s="79" t="s">
        <v>6407</v>
      </c>
      <c r="I440" s="79" t="s">
        <v>6408</v>
      </c>
      <c r="J440" s="79" t="s">
        <v>7037</v>
      </c>
      <c r="K440" s="80" t="s">
        <v>7038</v>
      </c>
      <c r="M440" s="81"/>
      <c r="N440" s="81"/>
      <c r="O440" s="81"/>
      <c r="P440" s="81"/>
      <c r="Q440" s="81"/>
      <c r="R440" s="81"/>
    </row>
    <row r="441">
      <c r="A441" s="60" t="s">
        <v>7009</v>
      </c>
      <c r="B441" s="60" t="s">
        <v>809</v>
      </c>
      <c r="C441" s="60" t="s">
        <v>7010</v>
      </c>
      <c r="D441" s="79" t="s">
        <v>5952</v>
      </c>
      <c r="E441" s="79" t="s">
        <v>5952</v>
      </c>
      <c r="F441" s="83">
        <v>26000.0</v>
      </c>
      <c r="G441" s="79">
        <v>660.0</v>
      </c>
      <c r="H441" s="79" t="s">
        <v>6525</v>
      </c>
      <c r="I441" s="79" t="s">
        <v>6526</v>
      </c>
      <c r="J441" s="79" t="s">
        <v>7039</v>
      </c>
      <c r="K441" s="80" t="s">
        <v>7040</v>
      </c>
      <c r="M441" s="81"/>
      <c r="N441" s="81"/>
      <c r="O441" s="81"/>
      <c r="P441" s="81"/>
      <c r="Q441" s="81"/>
      <c r="R441" s="81"/>
    </row>
    <row r="442">
      <c r="A442" s="60" t="s">
        <v>7009</v>
      </c>
      <c r="B442" s="60" t="s">
        <v>809</v>
      </c>
      <c r="C442" s="60" t="s">
        <v>7010</v>
      </c>
      <c r="D442" s="79" t="s">
        <v>5952</v>
      </c>
      <c r="E442" s="79" t="s">
        <v>5952</v>
      </c>
      <c r="F442" s="83">
        <v>26000.0</v>
      </c>
      <c r="G442" s="79">
        <v>660.0</v>
      </c>
      <c r="H442" s="83">
        <v>1000.0</v>
      </c>
      <c r="I442" s="79" t="s">
        <v>6472</v>
      </c>
      <c r="J442" s="79" t="s">
        <v>7041</v>
      </c>
      <c r="K442" s="80" t="s">
        <v>7042</v>
      </c>
      <c r="M442" s="81"/>
      <c r="N442" s="81"/>
      <c r="O442" s="81"/>
      <c r="P442" s="81"/>
      <c r="Q442" s="81"/>
      <c r="R442" s="81"/>
    </row>
    <row r="443">
      <c r="A443" s="60" t="s">
        <v>7043</v>
      </c>
      <c r="B443" s="60" t="s">
        <v>236</v>
      </c>
      <c r="C443" s="60" t="s">
        <v>7044</v>
      </c>
      <c r="D443" s="79" t="s">
        <v>5952</v>
      </c>
      <c r="E443" s="79" t="s">
        <v>5952</v>
      </c>
      <c r="F443" s="83">
        <v>28000.0</v>
      </c>
      <c r="G443" s="79">
        <v>711.0</v>
      </c>
      <c r="H443" s="79" t="s">
        <v>6081</v>
      </c>
      <c r="I443" s="79" t="s">
        <v>6082</v>
      </c>
      <c r="J443" s="79" t="s">
        <v>7045</v>
      </c>
      <c r="K443" s="80" t="s">
        <v>7046</v>
      </c>
      <c r="M443" s="81"/>
      <c r="N443" s="81"/>
      <c r="O443" s="81"/>
      <c r="P443" s="81"/>
      <c r="Q443" s="81"/>
      <c r="R443" s="81"/>
    </row>
    <row r="444">
      <c r="A444" s="60" t="s">
        <v>7043</v>
      </c>
      <c r="B444" s="60" t="s">
        <v>236</v>
      </c>
      <c r="C444" s="60" t="s">
        <v>7044</v>
      </c>
      <c r="D444" s="79" t="s">
        <v>5952</v>
      </c>
      <c r="E444" s="79" t="s">
        <v>5952</v>
      </c>
      <c r="F444" s="83">
        <v>28000.0</v>
      </c>
      <c r="G444" s="79">
        <v>711.0</v>
      </c>
      <c r="H444" s="79" t="s">
        <v>1559</v>
      </c>
      <c r="I444" s="79" t="s">
        <v>6128</v>
      </c>
      <c r="J444" s="79" t="s">
        <v>7047</v>
      </c>
      <c r="K444" s="80" t="s">
        <v>7048</v>
      </c>
      <c r="M444" s="81"/>
      <c r="N444" s="81"/>
      <c r="O444" s="81"/>
      <c r="P444" s="81"/>
      <c r="Q444" s="81"/>
      <c r="R444" s="81"/>
    </row>
    <row r="445">
      <c r="A445" s="60" t="s">
        <v>7043</v>
      </c>
      <c r="B445" s="60" t="s">
        <v>236</v>
      </c>
      <c r="C445" s="60" t="s">
        <v>7044</v>
      </c>
      <c r="D445" s="79" t="s">
        <v>5952</v>
      </c>
      <c r="E445" s="79">
        <v>10.0</v>
      </c>
      <c r="F445" s="83">
        <v>28000.0</v>
      </c>
      <c r="G445" s="79">
        <v>711.0</v>
      </c>
      <c r="H445" s="79" t="s">
        <v>1213</v>
      </c>
      <c r="I445" s="79" t="s">
        <v>6303</v>
      </c>
      <c r="J445" s="79" t="s">
        <v>7049</v>
      </c>
      <c r="K445" s="80" t="s">
        <v>7050</v>
      </c>
      <c r="M445" s="81"/>
      <c r="N445" s="81"/>
      <c r="O445" s="82"/>
      <c r="P445" s="81"/>
      <c r="Q445" s="81"/>
      <c r="R445" s="81"/>
    </row>
    <row r="446">
      <c r="A446" s="60" t="s">
        <v>7043</v>
      </c>
      <c r="B446" s="60" t="s">
        <v>236</v>
      </c>
      <c r="C446" s="60" t="s">
        <v>7044</v>
      </c>
      <c r="D446" s="79" t="s">
        <v>5952</v>
      </c>
      <c r="E446" s="79" t="s">
        <v>5952</v>
      </c>
      <c r="F446" s="83">
        <v>28000.0</v>
      </c>
      <c r="G446" s="79">
        <v>711.0</v>
      </c>
      <c r="H446" s="79" t="s">
        <v>1111</v>
      </c>
      <c r="I446" s="79" t="s">
        <v>6165</v>
      </c>
      <c r="J446" s="79" t="s">
        <v>7051</v>
      </c>
      <c r="K446" s="80" t="s">
        <v>7052</v>
      </c>
      <c r="M446" s="81"/>
      <c r="N446" s="81"/>
      <c r="O446" s="81"/>
      <c r="P446" s="81"/>
      <c r="Q446" s="81"/>
      <c r="R446" s="81"/>
    </row>
    <row r="447">
      <c r="A447" s="60" t="s">
        <v>7043</v>
      </c>
      <c r="B447" s="60" t="s">
        <v>236</v>
      </c>
      <c r="C447" s="60" t="s">
        <v>7044</v>
      </c>
      <c r="D447" s="79" t="s">
        <v>5962</v>
      </c>
      <c r="E447" s="79" t="s">
        <v>5952</v>
      </c>
      <c r="F447" s="83">
        <v>28000.0</v>
      </c>
      <c r="G447" s="79">
        <v>711.0</v>
      </c>
      <c r="H447" s="79" t="s">
        <v>6207</v>
      </c>
      <c r="I447" s="79" t="s">
        <v>6208</v>
      </c>
      <c r="J447" s="79" t="s">
        <v>7053</v>
      </c>
      <c r="K447" s="80" t="s">
        <v>7054</v>
      </c>
      <c r="M447" s="81"/>
      <c r="N447" s="81"/>
      <c r="O447" s="81"/>
      <c r="P447" s="81"/>
      <c r="Q447" s="81"/>
      <c r="R447" s="81"/>
    </row>
    <row r="448">
      <c r="A448" s="60" t="s">
        <v>7043</v>
      </c>
      <c r="B448" s="60" t="s">
        <v>236</v>
      </c>
      <c r="C448" s="60" t="s">
        <v>7044</v>
      </c>
      <c r="D448" s="79" t="s">
        <v>5952</v>
      </c>
      <c r="E448" s="79" t="s">
        <v>5952</v>
      </c>
      <c r="F448" s="83">
        <v>28000.0</v>
      </c>
      <c r="G448" s="79">
        <v>711.0</v>
      </c>
      <c r="H448" s="79" t="s">
        <v>6442</v>
      </c>
      <c r="I448" s="79" t="s">
        <v>6443</v>
      </c>
      <c r="J448" s="79" t="s">
        <v>7055</v>
      </c>
      <c r="K448" s="80" t="s">
        <v>7056</v>
      </c>
      <c r="M448" s="81"/>
      <c r="N448" s="81"/>
      <c r="O448" s="81"/>
      <c r="P448" s="81"/>
      <c r="Q448" s="81"/>
      <c r="R448" s="81"/>
    </row>
    <row r="449">
      <c r="A449" s="60" t="s">
        <v>7043</v>
      </c>
      <c r="B449" s="60" t="s">
        <v>236</v>
      </c>
      <c r="C449" s="60" t="s">
        <v>7044</v>
      </c>
      <c r="D449" s="79" t="s">
        <v>5952</v>
      </c>
      <c r="E449" s="79" t="s">
        <v>5952</v>
      </c>
      <c r="F449" s="83">
        <v>28000.0</v>
      </c>
      <c r="G449" s="79">
        <v>711.0</v>
      </c>
      <c r="H449" s="79" t="s">
        <v>6243</v>
      </c>
      <c r="I449" s="79" t="s">
        <v>6244</v>
      </c>
      <c r="J449" s="79" t="s">
        <v>7057</v>
      </c>
      <c r="K449" s="80" t="s">
        <v>7058</v>
      </c>
      <c r="M449" s="81"/>
      <c r="N449" s="81"/>
      <c r="O449" s="81"/>
      <c r="P449" s="81"/>
      <c r="Q449" s="81"/>
      <c r="R449" s="81"/>
    </row>
    <row r="450">
      <c r="A450" s="60" t="s">
        <v>7043</v>
      </c>
      <c r="B450" s="60" t="s">
        <v>236</v>
      </c>
      <c r="C450" s="60" t="s">
        <v>7044</v>
      </c>
      <c r="D450" s="79" t="s">
        <v>5952</v>
      </c>
      <c r="E450" s="79" t="s">
        <v>5952</v>
      </c>
      <c r="F450" s="83">
        <v>28000.0</v>
      </c>
      <c r="G450" s="79">
        <v>711.0</v>
      </c>
      <c r="H450" s="79" t="s">
        <v>1196</v>
      </c>
      <c r="I450" s="79" t="s">
        <v>6628</v>
      </c>
      <c r="J450" s="79" t="s">
        <v>7059</v>
      </c>
      <c r="K450" s="80" t="s">
        <v>7060</v>
      </c>
      <c r="M450" s="81"/>
      <c r="N450" s="81"/>
      <c r="O450" s="81"/>
      <c r="P450" s="81"/>
      <c r="Q450" s="81"/>
      <c r="R450" s="81"/>
    </row>
    <row r="451">
      <c r="A451" s="60" t="s">
        <v>7043</v>
      </c>
      <c r="B451" s="60" t="s">
        <v>236</v>
      </c>
      <c r="C451" s="60" t="s">
        <v>7044</v>
      </c>
      <c r="D451" s="79" t="s">
        <v>5967</v>
      </c>
      <c r="E451" s="79">
        <v>20.0</v>
      </c>
      <c r="F451" s="83">
        <v>28000.0</v>
      </c>
      <c r="G451" s="79">
        <v>711.0</v>
      </c>
      <c r="H451" s="79" t="s">
        <v>6345</v>
      </c>
      <c r="I451" s="79" t="s">
        <v>6346</v>
      </c>
      <c r="J451" s="79" t="s">
        <v>7061</v>
      </c>
      <c r="K451" s="80" t="s">
        <v>7062</v>
      </c>
      <c r="M451" s="81"/>
      <c r="N451" s="81"/>
      <c r="O451" s="82"/>
      <c r="P451" s="81"/>
      <c r="Q451" s="81"/>
      <c r="R451" s="81"/>
    </row>
    <row r="452">
      <c r="A452" s="60" t="s">
        <v>7043</v>
      </c>
      <c r="B452" s="60" t="s">
        <v>236</v>
      </c>
      <c r="C452" s="60" t="s">
        <v>7044</v>
      </c>
      <c r="D452" s="79" t="s">
        <v>5952</v>
      </c>
      <c r="E452" s="79" t="s">
        <v>5952</v>
      </c>
      <c r="F452" s="83">
        <v>28000.0</v>
      </c>
      <c r="G452" s="79">
        <v>711.0</v>
      </c>
      <c r="H452" s="79" t="s">
        <v>6391</v>
      </c>
      <c r="I452" s="79" t="s">
        <v>6392</v>
      </c>
      <c r="J452" s="79" t="s">
        <v>7063</v>
      </c>
      <c r="K452" s="80" t="s">
        <v>7064</v>
      </c>
      <c r="M452" s="81"/>
      <c r="N452" s="81"/>
      <c r="O452" s="81"/>
      <c r="P452" s="81"/>
      <c r="Q452" s="81"/>
      <c r="R452" s="81"/>
    </row>
    <row r="453">
      <c r="A453" s="60" t="s">
        <v>7043</v>
      </c>
      <c r="B453" s="60" t="s">
        <v>236</v>
      </c>
      <c r="C453" s="60" t="s">
        <v>7044</v>
      </c>
      <c r="D453" s="79" t="s">
        <v>5952</v>
      </c>
      <c r="E453" s="79">
        <v>30.0</v>
      </c>
      <c r="F453" s="83">
        <v>28000.0</v>
      </c>
      <c r="G453" s="79">
        <v>711.0</v>
      </c>
      <c r="H453" s="79" t="s">
        <v>6349</v>
      </c>
      <c r="I453" s="79" t="s">
        <v>6350</v>
      </c>
      <c r="J453" s="79" t="s">
        <v>7065</v>
      </c>
      <c r="K453" s="80" t="s">
        <v>7066</v>
      </c>
      <c r="M453" s="81"/>
      <c r="N453" s="81"/>
      <c r="O453" s="82"/>
      <c r="P453" s="81"/>
      <c r="Q453" s="81"/>
      <c r="R453" s="81"/>
    </row>
    <row r="454">
      <c r="A454" s="60" t="s">
        <v>7043</v>
      </c>
      <c r="B454" s="60" t="s">
        <v>236</v>
      </c>
      <c r="C454" s="60" t="s">
        <v>7044</v>
      </c>
      <c r="D454" s="79" t="s">
        <v>5952</v>
      </c>
      <c r="E454" s="79" t="s">
        <v>5952</v>
      </c>
      <c r="F454" s="83">
        <v>28000.0</v>
      </c>
      <c r="G454" s="79">
        <v>711.0</v>
      </c>
      <c r="H454" s="79" t="s">
        <v>6576</v>
      </c>
      <c r="I454" s="79" t="s">
        <v>6577</v>
      </c>
      <c r="J454" s="79" t="s">
        <v>7067</v>
      </c>
      <c r="K454" s="80" t="s">
        <v>7068</v>
      </c>
      <c r="M454" s="81"/>
      <c r="N454" s="81"/>
      <c r="O454" s="81"/>
      <c r="P454" s="81"/>
      <c r="Q454" s="81"/>
      <c r="R454" s="81"/>
    </row>
    <row r="455">
      <c r="A455" s="60" t="s">
        <v>7043</v>
      </c>
      <c r="B455" s="60" t="s">
        <v>236</v>
      </c>
      <c r="C455" s="60" t="s">
        <v>7044</v>
      </c>
      <c r="D455" s="79" t="s">
        <v>5952</v>
      </c>
      <c r="E455" s="79" t="s">
        <v>5952</v>
      </c>
      <c r="F455" s="83">
        <v>28000.0</v>
      </c>
      <c r="G455" s="79">
        <v>711.0</v>
      </c>
      <c r="H455" s="79" t="s">
        <v>6353</v>
      </c>
      <c r="I455" s="79" t="s">
        <v>6354</v>
      </c>
      <c r="J455" s="79" t="s">
        <v>7069</v>
      </c>
      <c r="K455" s="80" t="s">
        <v>7070</v>
      </c>
      <c r="M455" s="81"/>
      <c r="N455" s="81"/>
      <c r="O455" s="81"/>
      <c r="P455" s="81"/>
      <c r="Q455" s="81"/>
      <c r="R455" s="81"/>
    </row>
    <row r="456">
      <c r="A456" s="60" t="s">
        <v>7043</v>
      </c>
      <c r="B456" s="60" t="s">
        <v>236</v>
      </c>
      <c r="C456" s="60" t="s">
        <v>7044</v>
      </c>
      <c r="D456" s="79" t="s">
        <v>5952</v>
      </c>
      <c r="E456" s="79" t="s">
        <v>5952</v>
      </c>
      <c r="F456" s="83">
        <v>28000.0</v>
      </c>
      <c r="G456" s="79">
        <v>711.0</v>
      </c>
      <c r="H456" s="79" t="s">
        <v>6462</v>
      </c>
      <c r="I456" s="79" t="s">
        <v>6463</v>
      </c>
      <c r="J456" s="79" t="s">
        <v>7071</v>
      </c>
      <c r="K456" s="80" t="s">
        <v>7072</v>
      </c>
      <c r="M456" s="81"/>
      <c r="N456" s="81"/>
      <c r="O456" s="81"/>
      <c r="P456" s="81"/>
      <c r="Q456" s="81"/>
      <c r="R456" s="81"/>
    </row>
    <row r="457">
      <c r="A457" s="60" t="s">
        <v>7043</v>
      </c>
      <c r="B457" s="60" t="s">
        <v>236</v>
      </c>
      <c r="C457" s="60" t="s">
        <v>7044</v>
      </c>
      <c r="D457" s="79" t="s">
        <v>5952</v>
      </c>
      <c r="E457" s="79" t="s">
        <v>5952</v>
      </c>
      <c r="F457" s="83">
        <v>28000.0</v>
      </c>
      <c r="G457" s="79">
        <v>711.0</v>
      </c>
      <c r="H457" s="79" t="s">
        <v>6407</v>
      </c>
      <c r="I457" s="79" t="s">
        <v>6408</v>
      </c>
      <c r="J457" s="79" t="s">
        <v>7073</v>
      </c>
      <c r="K457" s="80" t="s">
        <v>7074</v>
      </c>
      <c r="M457" s="81"/>
      <c r="N457" s="81"/>
      <c r="O457" s="81"/>
      <c r="P457" s="81"/>
      <c r="Q457" s="81"/>
      <c r="R457" s="81"/>
    </row>
    <row r="458">
      <c r="A458" s="60" t="s">
        <v>7043</v>
      </c>
      <c r="B458" s="60" t="s">
        <v>236</v>
      </c>
      <c r="C458" s="60" t="s">
        <v>7044</v>
      </c>
      <c r="D458" s="79" t="s">
        <v>5952</v>
      </c>
      <c r="E458" s="79" t="s">
        <v>5952</v>
      </c>
      <c r="F458" s="83">
        <v>28000.0</v>
      </c>
      <c r="G458" s="79">
        <v>711.0</v>
      </c>
      <c r="H458" s="79" t="s">
        <v>6525</v>
      </c>
      <c r="I458" s="79" t="s">
        <v>6526</v>
      </c>
      <c r="J458" s="79" t="s">
        <v>7075</v>
      </c>
      <c r="K458" s="80" t="s">
        <v>7076</v>
      </c>
      <c r="M458" s="81"/>
      <c r="N458" s="81"/>
      <c r="O458" s="81"/>
      <c r="P458" s="81"/>
      <c r="Q458" s="81"/>
      <c r="R458" s="81"/>
    </row>
    <row r="459">
      <c r="A459" s="60" t="s">
        <v>7043</v>
      </c>
      <c r="B459" s="60" t="s">
        <v>236</v>
      </c>
      <c r="C459" s="60" t="s">
        <v>7044</v>
      </c>
      <c r="D459" s="79" t="s">
        <v>5952</v>
      </c>
      <c r="E459" s="79" t="s">
        <v>5952</v>
      </c>
      <c r="F459" s="83">
        <v>28000.0</v>
      </c>
      <c r="G459" s="79">
        <v>711.0</v>
      </c>
      <c r="H459" s="83">
        <v>1000.0</v>
      </c>
      <c r="I459" s="79" t="s">
        <v>6472</v>
      </c>
      <c r="J459" s="79" t="s">
        <v>7077</v>
      </c>
      <c r="K459" s="80" t="s">
        <v>7078</v>
      </c>
      <c r="M459" s="81"/>
      <c r="N459" s="81"/>
      <c r="O459" s="81"/>
      <c r="P459" s="81"/>
      <c r="Q459" s="81"/>
      <c r="R459" s="81"/>
    </row>
    <row r="460">
      <c r="A460" s="60" t="s">
        <v>7079</v>
      </c>
      <c r="B460" s="60" t="s">
        <v>995</v>
      </c>
      <c r="C460" s="60" t="s">
        <v>7080</v>
      </c>
      <c r="D460" s="79" t="s">
        <v>5952</v>
      </c>
      <c r="E460" s="79">
        <v>5.0</v>
      </c>
      <c r="F460" s="83">
        <v>30000.0</v>
      </c>
      <c r="G460" s="79">
        <v>762.0</v>
      </c>
      <c r="H460" s="79" t="s">
        <v>6081</v>
      </c>
      <c r="I460" s="79" t="s">
        <v>6082</v>
      </c>
      <c r="J460" s="79" t="s">
        <v>7081</v>
      </c>
      <c r="K460" s="80" t="s">
        <v>7082</v>
      </c>
      <c r="M460" s="81"/>
      <c r="N460" s="81"/>
      <c r="O460" s="82"/>
      <c r="P460" s="81"/>
      <c r="Q460" s="81"/>
      <c r="R460" s="81"/>
    </row>
    <row r="461">
      <c r="A461" s="60" t="s">
        <v>7079</v>
      </c>
      <c r="B461" s="60" t="s">
        <v>995</v>
      </c>
      <c r="C461" s="60" t="s">
        <v>7080</v>
      </c>
      <c r="D461" s="79" t="s">
        <v>5952</v>
      </c>
      <c r="E461" s="79" t="s">
        <v>5952</v>
      </c>
      <c r="F461" s="83">
        <v>30000.0</v>
      </c>
      <c r="G461" s="79">
        <v>762.0</v>
      </c>
      <c r="H461" s="79" t="s">
        <v>1559</v>
      </c>
      <c r="I461" s="79" t="s">
        <v>6128</v>
      </c>
      <c r="J461" s="79" t="s">
        <v>7083</v>
      </c>
      <c r="K461" s="80" t="s">
        <v>7084</v>
      </c>
      <c r="M461" s="81"/>
      <c r="N461" s="81"/>
      <c r="O461" s="81"/>
      <c r="P461" s="81"/>
      <c r="Q461" s="81"/>
      <c r="R461" s="81"/>
    </row>
    <row r="462">
      <c r="A462" s="60" t="s">
        <v>7079</v>
      </c>
      <c r="B462" s="60" t="s">
        <v>995</v>
      </c>
      <c r="C462" s="60" t="s">
        <v>7080</v>
      </c>
      <c r="D462" s="79" t="s">
        <v>5952</v>
      </c>
      <c r="E462" s="79">
        <v>10.0</v>
      </c>
      <c r="F462" s="83">
        <v>30000.0</v>
      </c>
      <c r="G462" s="79">
        <v>762.0</v>
      </c>
      <c r="H462" s="79" t="s">
        <v>1213</v>
      </c>
      <c r="I462" s="79" t="s">
        <v>6303</v>
      </c>
      <c r="J462" s="79" t="s">
        <v>7085</v>
      </c>
      <c r="K462" s="80" t="s">
        <v>7086</v>
      </c>
      <c r="M462" s="81"/>
      <c r="N462" s="81"/>
      <c r="O462" s="82"/>
      <c r="P462" s="81"/>
      <c r="Q462" s="81"/>
      <c r="R462" s="81"/>
    </row>
    <row r="463">
      <c r="A463" s="60" t="s">
        <v>7079</v>
      </c>
      <c r="B463" s="60" t="s">
        <v>995</v>
      </c>
      <c r="C463" s="60" t="s">
        <v>7080</v>
      </c>
      <c r="D463" s="79" t="s">
        <v>5952</v>
      </c>
      <c r="E463" s="79" t="s">
        <v>5952</v>
      </c>
      <c r="F463" s="83">
        <v>30000.0</v>
      </c>
      <c r="G463" s="79">
        <v>762.0</v>
      </c>
      <c r="H463" s="79" t="s">
        <v>1111</v>
      </c>
      <c r="I463" s="79" t="s">
        <v>6165</v>
      </c>
      <c r="J463" s="79" t="s">
        <v>7087</v>
      </c>
      <c r="K463" s="80" t="s">
        <v>7088</v>
      </c>
      <c r="M463" s="81"/>
      <c r="N463" s="81"/>
      <c r="O463" s="81"/>
      <c r="P463" s="81"/>
      <c r="Q463" s="81"/>
      <c r="R463" s="81"/>
    </row>
    <row r="464">
      <c r="A464" s="60" t="s">
        <v>7079</v>
      </c>
      <c r="B464" s="60" t="s">
        <v>995</v>
      </c>
      <c r="C464" s="60" t="s">
        <v>7080</v>
      </c>
      <c r="D464" s="79" t="s">
        <v>5962</v>
      </c>
      <c r="E464" s="79" t="s">
        <v>5952</v>
      </c>
      <c r="F464" s="83">
        <v>30000.0</v>
      </c>
      <c r="G464" s="79">
        <v>762.0</v>
      </c>
      <c r="H464" s="79" t="s">
        <v>6207</v>
      </c>
      <c r="I464" s="79" t="s">
        <v>6208</v>
      </c>
      <c r="J464" s="79" t="s">
        <v>7089</v>
      </c>
      <c r="K464" s="80" t="s">
        <v>7090</v>
      </c>
      <c r="M464" s="81"/>
      <c r="N464" s="81"/>
      <c r="O464" s="81"/>
      <c r="P464" s="81"/>
      <c r="Q464" s="81"/>
      <c r="R464" s="81"/>
    </row>
    <row r="465">
      <c r="A465" s="60" t="s">
        <v>7079</v>
      </c>
      <c r="B465" s="60" t="s">
        <v>995</v>
      </c>
      <c r="C465" s="60" t="s">
        <v>7080</v>
      </c>
      <c r="D465" s="79" t="s">
        <v>5952</v>
      </c>
      <c r="E465" s="79" t="s">
        <v>5952</v>
      </c>
      <c r="F465" s="83">
        <v>30000.0</v>
      </c>
      <c r="G465" s="79">
        <v>762.0</v>
      </c>
      <c r="H465" s="79" t="s">
        <v>6442</v>
      </c>
      <c r="I465" s="79" t="s">
        <v>6443</v>
      </c>
      <c r="J465" s="79" t="s">
        <v>7091</v>
      </c>
      <c r="K465" s="80" t="s">
        <v>7092</v>
      </c>
      <c r="M465" s="81"/>
      <c r="N465" s="81"/>
      <c r="O465" s="81"/>
      <c r="P465" s="81"/>
      <c r="Q465" s="81"/>
      <c r="R465" s="81"/>
    </row>
    <row r="466">
      <c r="A466" s="60" t="s">
        <v>7079</v>
      </c>
      <c r="B466" s="60" t="s">
        <v>995</v>
      </c>
      <c r="C466" s="60" t="s">
        <v>7080</v>
      </c>
      <c r="D466" s="79" t="s">
        <v>5952</v>
      </c>
      <c r="E466" s="79" t="s">
        <v>5952</v>
      </c>
      <c r="F466" s="83">
        <v>30000.0</v>
      </c>
      <c r="G466" s="79">
        <v>762.0</v>
      </c>
      <c r="H466" s="79" t="s">
        <v>6243</v>
      </c>
      <c r="I466" s="79" t="s">
        <v>6244</v>
      </c>
      <c r="J466" s="79" t="s">
        <v>7093</v>
      </c>
      <c r="K466" s="80" t="s">
        <v>7094</v>
      </c>
      <c r="M466" s="81"/>
      <c r="N466" s="81"/>
      <c r="O466" s="81"/>
      <c r="P466" s="81"/>
      <c r="Q466" s="81"/>
      <c r="R466" s="81"/>
    </row>
    <row r="467">
      <c r="A467" s="60" t="s">
        <v>7079</v>
      </c>
      <c r="B467" s="60" t="s">
        <v>995</v>
      </c>
      <c r="C467" s="60" t="s">
        <v>7080</v>
      </c>
      <c r="D467" s="79" t="s">
        <v>5952</v>
      </c>
      <c r="E467" s="79" t="s">
        <v>5952</v>
      </c>
      <c r="F467" s="83">
        <v>30000.0</v>
      </c>
      <c r="G467" s="79">
        <v>762.0</v>
      </c>
      <c r="H467" s="79" t="s">
        <v>1196</v>
      </c>
      <c r="I467" s="79" t="s">
        <v>6628</v>
      </c>
      <c r="J467" s="79" t="s">
        <v>7095</v>
      </c>
      <c r="K467" s="80" t="s">
        <v>7096</v>
      </c>
      <c r="M467" s="81"/>
      <c r="N467" s="81"/>
      <c r="O467" s="81"/>
      <c r="P467" s="81"/>
      <c r="Q467" s="81"/>
      <c r="R467" s="81"/>
    </row>
    <row r="468">
      <c r="A468" s="60" t="s">
        <v>7079</v>
      </c>
      <c r="B468" s="60" t="s">
        <v>995</v>
      </c>
      <c r="C468" s="60" t="s">
        <v>7080</v>
      </c>
      <c r="D468" s="79" t="s">
        <v>5967</v>
      </c>
      <c r="E468" s="79">
        <v>20.0</v>
      </c>
      <c r="F468" s="83">
        <v>30000.0</v>
      </c>
      <c r="G468" s="79">
        <v>762.0</v>
      </c>
      <c r="H468" s="79" t="s">
        <v>6345</v>
      </c>
      <c r="I468" s="79" t="s">
        <v>6346</v>
      </c>
      <c r="J468" s="79" t="s">
        <v>7097</v>
      </c>
      <c r="K468" s="80" t="s">
        <v>7098</v>
      </c>
      <c r="M468" s="81"/>
      <c r="N468" s="81"/>
      <c r="O468" s="82"/>
      <c r="P468" s="81"/>
      <c r="Q468" s="81"/>
      <c r="R468" s="81"/>
    </row>
    <row r="469">
      <c r="A469" s="60" t="s">
        <v>7079</v>
      </c>
      <c r="B469" s="60" t="s">
        <v>995</v>
      </c>
      <c r="C469" s="60" t="s">
        <v>7080</v>
      </c>
      <c r="D469" s="79" t="s">
        <v>5952</v>
      </c>
      <c r="E469" s="79" t="s">
        <v>5952</v>
      </c>
      <c r="F469" s="83">
        <v>30000.0</v>
      </c>
      <c r="G469" s="79">
        <v>762.0</v>
      </c>
      <c r="H469" s="79" t="s">
        <v>6391</v>
      </c>
      <c r="I469" s="79" t="s">
        <v>6392</v>
      </c>
      <c r="J469" s="79" t="s">
        <v>7099</v>
      </c>
      <c r="K469" s="80" t="s">
        <v>7100</v>
      </c>
      <c r="M469" s="81"/>
      <c r="N469" s="81"/>
      <c r="O469" s="81"/>
      <c r="P469" s="81"/>
      <c r="Q469" s="81"/>
      <c r="R469" s="81"/>
    </row>
    <row r="470">
      <c r="A470" s="60" t="s">
        <v>7079</v>
      </c>
      <c r="B470" s="60" t="s">
        <v>995</v>
      </c>
      <c r="C470" s="60" t="s">
        <v>7080</v>
      </c>
      <c r="D470" s="79" t="s">
        <v>5952</v>
      </c>
      <c r="E470" s="79">
        <v>30.0</v>
      </c>
      <c r="F470" s="83">
        <v>30000.0</v>
      </c>
      <c r="G470" s="79">
        <v>762.0</v>
      </c>
      <c r="H470" s="79" t="s">
        <v>6349</v>
      </c>
      <c r="I470" s="79" t="s">
        <v>6350</v>
      </c>
      <c r="J470" s="79" t="s">
        <v>7101</v>
      </c>
      <c r="K470" s="80" t="s">
        <v>7102</v>
      </c>
      <c r="M470" s="81"/>
      <c r="N470" s="81"/>
      <c r="O470" s="82"/>
      <c r="P470" s="81"/>
      <c r="Q470" s="81"/>
      <c r="R470" s="81"/>
    </row>
    <row r="471">
      <c r="A471" s="60" t="s">
        <v>7079</v>
      </c>
      <c r="B471" s="60" t="s">
        <v>995</v>
      </c>
      <c r="C471" s="60" t="s">
        <v>7080</v>
      </c>
      <c r="D471" s="79" t="s">
        <v>5952</v>
      </c>
      <c r="E471" s="79" t="s">
        <v>5952</v>
      </c>
      <c r="F471" s="83">
        <v>30000.0</v>
      </c>
      <c r="G471" s="79">
        <v>762.0</v>
      </c>
      <c r="H471" s="79" t="s">
        <v>6576</v>
      </c>
      <c r="I471" s="79" t="s">
        <v>6577</v>
      </c>
      <c r="J471" s="79" t="s">
        <v>7103</v>
      </c>
      <c r="K471" s="80" t="s">
        <v>7104</v>
      </c>
      <c r="M471" s="81"/>
      <c r="N471" s="81"/>
      <c r="O471" s="81"/>
      <c r="P471" s="81"/>
      <c r="Q471" s="81"/>
      <c r="R471" s="81"/>
    </row>
    <row r="472">
      <c r="A472" s="60" t="s">
        <v>7079</v>
      </c>
      <c r="B472" s="60" t="s">
        <v>995</v>
      </c>
      <c r="C472" s="60" t="s">
        <v>7080</v>
      </c>
      <c r="D472" s="79" t="s">
        <v>5952</v>
      </c>
      <c r="E472" s="79" t="s">
        <v>5952</v>
      </c>
      <c r="F472" s="83">
        <v>30000.0</v>
      </c>
      <c r="G472" s="79">
        <v>762.0</v>
      </c>
      <c r="H472" s="79" t="s">
        <v>6353</v>
      </c>
      <c r="I472" s="79" t="s">
        <v>6354</v>
      </c>
      <c r="J472" s="79" t="s">
        <v>7105</v>
      </c>
      <c r="K472" s="80" t="s">
        <v>7106</v>
      </c>
      <c r="M472" s="81"/>
      <c r="N472" s="81"/>
      <c r="O472" s="81"/>
      <c r="P472" s="81"/>
      <c r="Q472" s="81"/>
      <c r="R472" s="81"/>
    </row>
    <row r="473">
      <c r="A473" s="60" t="s">
        <v>7079</v>
      </c>
      <c r="B473" s="60" t="s">
        <v>995</v>
      </c>
      <c r="C473" s="60" t="s">
        <v>7080</v>
      </c>
      <c r="D473" s="79" t="s">
        <v>5952</v>
      </c>
      <c r="E473" s="79" t="s">
        <v>5952</v>
      </c>
      <c r="F473" s="83">
        <v>30000.0</v>
      </c>
      <c r="G473" s="79">
        <v>762.0</v>
      </c>
      <c r="H473" s="79" t="s">
        <v>6462</v>
      </c>
      <c r="I473" s="79" t="s">
        <v>6463</v>
      </c>
      <c r="J473" s="79" t="s">
        <v>7107</v>
      </c>
      <c r="K473" s="80" t="s">
        <v>7108</v>
      </c>
      <c r="M473" s="81"/>
      <c r="N473" s="81"/>
      <c r="O473" s="81"/>
      <c r="P473" s="81"/>
      <c r="Q473" s="81"/>
      <c r="R473" s="81"/>
    </row>
    <row r="474">
      <c r="A474" s="60" t="s">
        <v>7079</v>
      </c>
      <c r="B474" s="60" t="s">
        <v>995</v>
      </c>
      <c r="C474" s="60" t="s">
        <v>7080</v>
      </c>
      <c r="D474" s="79" t="s">
        <v>5952</v>
      </c>
      <c r="E474" s="79" t="s">
        <v>5952</v>
      </c>
      <c r="F474" s="83">
        <v>30000.0</v>
      </c>
      <c r="G474" s="79">
        <v>762.0</v>
      </c>
      <c r="H474" s="79" t="s">
        <v>6407</v>
      </c>
      <c r="I474" s="79" t="s">
        <v>6408</v>
      </c>
      <c r="J474" s="79" t="s">
        <v>7109</v>
      </c>
      <c r="K474" s="80" t="s">
        <v>7110</v>
      </c>
      <c r="M474" s="81"/>
      <c r="N474" s="81"/>
      <c r="O474" s="81"/>
      <c r="P474" s="81"/>
      <c r="Q474" s="81"/>
      <c r="R474" s="81"/>
    </row>
    <row r="475">
      <c r="A475" s="60" t="s">
        <v>7079</v>
      </c>
      <c r="B475" s="60" t="s">
        <v>995</v>
      </c>
      <c r="C475" s="60" t="s">
        <v>7080</v>
      </c>
      <c r="D475" s="79" t="s">
        <v>5952</v>
      </c>
      <c r="E475" s="79" t="s">
        <v>5952</v>
      </c>
      <c r="F475" s="83">
        <v>30000.0</v>
      </c>
      <c r="G475" s="79">
        <v>762.0</v>
      </c>
      <c r="H475" s="79" t="s">
        <v>6525</v>
      </c>
      <c r="I475" s="79" t="s">
        <v>6526</v>
      </c>
      <c r="J475" s="79" t="s">
        <v>7111</v>
      </c>
      <c r="K475" s="80" t="s">
        <v>7112</v>
      </c>
      <c r="M475" s="81"/>
      <c r="N475" s="81"/>
      <c r="O475" s="81"/>
      <c r="P475" s="81"/>
      <c r="Q475" s="81"/>
      <c r="R475" s="81"/>
    </row>
    <row r="476">
      <c r="A476" s="60" t="s">
        <v>7079</v>
      </c>
      <c r="B476" s="60" t="s">
        <v>995</v>
      </c>
      <c r="C476" s="60" t="s">
        <v>7080</v>
      </c>
      <c r="D476" s="79" t="s">
        <v>5952</v>
      </c>
      <c r="E476" s="79" t="s">
        <v>5952</v>
      </c>
      <c r="F476" s="83">
        <v>30000.0</v>
      </c>
      <c r="G476" s="79">
        <v>762.0</v>
      </c>
      <c r="H476" s="83">
        <v>1000.0</v>
      </c>
      <c r="I476" s="79" t="s">
        <v>6472</v>
      </c>
      <c r="J476" s="79" t="s">
        <v>7113</v>
      </c>
      <c r="K476" s="80" t="s">
        <v>7114</v>
      </c>
      <c r="M476" s="81"/>
      <c r="N476" s="81"/>
      <c r="O476" s="81"/>
      <c r="P476" s="81"/>
      <c r="Q476" s="81"/>
      <c r="R476" s="81"/>
    </row>
    <row r="477">
      <c r="A477" s="60" t="s">
        <v>7079</v>
      </c>
      <c r="B477" s="60" t="s">
        <v>995</v>
      </c>
      <c r="C477" s="60" t="s">
        <v>7080</v>
      </c>
      <c r="D477" s="79" t="s">
        <v>5952</v>
      </c>
      <c r="E477" s="79" t="s">
        <v>5952</v>
      </c>
      <c r="F477" s="83">
        <v>30000.0</v>
      </c>
      <c r="G477" s="79">
        <v>762.0</v>
      </c>
      <c r="H477" s="83">
        <v>1062.0</v>
      </c>
      <c r="I477" s="79" t="s">
        <v>6592</v>
      </c>
      <c r="J477" s="79" t="s">
        <v>7115</v>
      </c>
      <c r="K477" s="80" t="s">
        <v>7116</v>
      </c>
      <c r="M477" s="81"/>
      <c r="N477" s="81"/>
      <c r="O477" s="81"/>
      <c r="P477" s="81"/>
      <c r="Q477" s="81"/>
      <c r="R477" s="81"/>
    </row>
    <row r="478">
      <c r="A478" s="60" t="s">
        <v>7079</v>
      </c>
      <c r="B478" s="60" t="s">
        <v>995</v>
      </c>
      <c r="C478" s="60" t="s">
        <v>7080</v>
      </c>
      <c r="D478" s="79" t="s">
        <v>5952</v>
      </c>
      <c r="E478" s="79" t="s">
        <v>5952</v>
      </c>
      <c r="F478" s="83">
        <v>30000.0</v>
      </c>
      <c r="G478" s="79">
        <v>762.0</v>
      </c>
      <c r="H478" s="83">
        <v>1125.0</v>
      </c>
      <c r="I478" s="79" t="s">
        <v>6531</v>
      </c>
      <c r="J478" s="79" t="s">
        <v>7117</v>
      </c>
      <c r="K478" s="80" t="s">
        <v>7118</v>
      </c>
      <c r="M478" s="81"/>
      <c r="N478" s="81"/>
      <c r="O478" s="81"/>
      <c r="P478" s="81"/>
      <c r="Q478" s="81"/>
      <c r="R478" s="81"/>
    </row>
    <row r="479">
      <c r="A479" s="60" t="s">
        <v>7079</v>
      </c>
      <c r="B479" s="60" t="s">
        <v>995</v>
      </c>
      <c r="C479" s="60" t="s">
        <v>7080</v>
      </c>
      <c r="D479" s="79" t="s">
        <v>5952</v>
      </c>
      <c r="E479" s="79" t="s">
        <v>5952</v>
      </c>
      <c r="F479" s="83">
        <v>30000.0</v>
      </c>
      <c r="G479" s="79">
        <v>762.0</v>
      </c>
      <c r="H479" s="83">
        <v>1188.0</v>
      </c>
      <c r="I479" s="79" t="s">
        <v>6732</v>
      </c>
      <c r="J479" s="79" t="s">
        <v>7119</v>
      </c>
      <c r="K479" s="80" t="s">
        <v>7120</v>
      </c>
      <c r="M479" s="81"/>
      <c r="N479" s="81"/>
      <c r="O479" s="81"/>
      <c r="P479" s="81"/>
      <c r="Q479" s="81"/>
      <c r="R479" s="81"/>
    </row>
    <row r="480">
      <c r="A480" s="60" t="s">
        <v>7079</v>
      </c>
      <c r="B480" s="60" t="s">
        <v>995</v>
      </c>
      <c r="C480" s="60" t="s">
        <v>7080</v>
      </c>
      <c r="D480" s="79" t="s">
        <v>5952</v>
      </c>
      <c r="E480" s="79" t="s">
        <v>5952</v>
      </c>
      <c r="F480" s="83">
        <v>30000.0</v>
      </c>
      <c r="G480" s="79">
        <v>762.0</v>
      </c>
      <c r="H480" s="83">
        <v>1250.0</v>
      </c>
      <c r="I480" s="79" t="s">
        <v>6534</v>
      </c>
      <c r="J480" s="79" t="s">
        <v>7121</v>
      </c>
      <c r="K480" s="80" t="s">
        <v>7122</v>
      </c>
      <c r="M480" s="81"/>
      <c r="N480" s="81"/>
      <c r="O480" s="81"/>
      <c r="P480" s="81"/>
      <c r="Q480" s="81"/>
      <c r="R480" s="81"/>
    </row>
    <row r="481">
      <c r="A481" s="60" t="s">
        <v>7123</v>
      </c>
      <c r="B481" s="60" t="s">
        <v>6089</v>
      </c>
      <c r="C481" s="60" t="s">
        <v>7124</v>
      </c>
      <c r="D481" s="79" t="s">
        <v>5952</v>
      </c>
      <c r="E481" s="79" t="s">
        <v>5952</v>
      </c>
      <c r="F481" s="83">
        <v>32000.0</v>
      </c>
      <c r="G481" s="79">
        <v>813.0</v>
      </c>
      <c r="H481" s="79" t="s">
        <v>6081</v>
      </c>
      <c r="I481" s="79" t="s">
        <v>6082</v>
      </c>
      <c r="J481" s="79" t="s">
        <v>7125</v>
      </c>
      <c r="K481" s="80" t="s">
        <v>7126</v>
      </c>
      <c r="M481" s="81"/>
      <c r="N481" s="81"/>
      <c r="O481" s="81"/>
      <c r="P481" s="81"/>
      <c r="Q481" s="81"/>
      <c r="R481" s="81"/>
    </row>
    <row r="482">
      <c r="A482" s="60" t="s">
        <v>7123</v>
      </c>
      <c r="B482" s="60" t="s">
        <v>6089</v>
      </c>
      <c r="C482" s="60" t="s">
        <v>7124</v>
      </c>
      <c r="D482" s="79" t="s">
        <v>5952</v>
      </c>
      <c r="E482" s="79" t="s">
        <v>5952</v>
      </c>
      <c r="F482" s="83">
        <v>32000.0</v>
      </c>
      <c r="G482" s="79">
        <v>813.0</v>
      </c>
      <c r="H482" s="79" t="s">
        <v>1559</v>
      </c>
      <c r="I482" s="79" t="s">
        <v>6128</v>
      </c>
      <c r="J482" s="79" t="s">
        <v>7127</v>
      </c>
      <c r="K482" s="80" t="s">
        <v>7128</v>
      </c>
      <c r="M482" s="81"/>
      <c r="N482" s="81"/>
      <c r="O482" s="81"/>
      <c r="P482" s="81"/>
      <c r="Q482" s="81"/>
      <c r="R482" s="81"/>
    </row>
    <row r="483">
      <c r="A483" s="60" t="s">
        <v>7123</v>
      </c>
      <c r="B483" s="60" t="s">
        <v>6089</v>
      </c>
      <c r="C483" s="60" t="s">
        <v>7124</v>
      </c>
      <c r="D483" s="79" t="s">
        <v>5952</v>
      </c>
      <c r="E483" s="79">
        <v>10.0</v>
      </c>
      <c r="F483" s="83">
        <v>32000.0</v>
      </c>
      <c r="G483" s="79">
        <v>813.0</v>
      </c>
      <c r="H483" s="79" t="s">
        <v>1213</v>
      </c>
      <c r="I483" s="79" t="s">
        <v>6303</v>
      </c>
      <c r="J483" s="79" t="s">
        <v>7129</v>
      </c>
      <c r="K483" s="80" t="s">
        <v>7130</v>
      </c>
      <c r="M483" s="81"/>
      <c r="N483" s="81"/>
      <c r="O483" s="82"/>
      <c r="P483" s="81"/>
      <c r="Q483" s="81"/>
      <c r="R483" s="81"/>
    </row>
    <row r="484">
      <c r="A484" s="60" t="s">
        <v>7123</v>
      </c>
      <c r="B484" s="60" t="s">
        <v>6089</v>
      </c>
      <c r="C484" s="60" t="s">
        <v>7124</v>
      </c>
      <c r="D484" s="79" t="s">
        <v>5952</v>
      </c>
      <c r="E484" s="79" t="s">
        <v>5952</v>
      </c>
      <c r="F484" s="83">
        <v>32000.0</v>
      </c>
      <c r="G484" s="79">
        <v>813.0</v>
      </c>
      <c r="H484" s="79" t="s">
        <v>1111</v>
      </c>
      <c r="I484" s="79" t="s">
        <v>6165</v>
      </c>
      <c r="J484" s="79" t="s">
        <v>7131</v>
      </c>
      <c r="K484" s="80" t="s">
        <v>7132</v>
      </c>
      <c r="M484" s="81"/>
      <c r="N484" s="81"/>
      <c r="O484" s="81"/>
      <c r="P484" s="81"/>
      <c r="Q484" s="81"/>
      <c r="R484" s="81"/>
    </row>
    <row r="485">
      <c r="A485" s="60" t="s">
        <v>7123</v>
      </c>
      <c r="B485" s="60" t="s">
        <v>6089</v>
      </c>
      <c r="C485" s="60" t="s">
        <v>7124</v>
      </c>
      <c r="D485" s="79" t="s">
        <v>5962</v>
      </c>
      <c r="E485" s="79" t="s">
        <v>5952</v>
      </c>
      <c r="F485" s="83">
        <v>32000.0</v>
      </c>
      <c r="G485" s="79">
        <v>813.0</v>
      </c>
      <c r="H485" s="79" t="s">
        <v>6207</v>
      </c>
      <c r="I485" s="79" t="s">
        <v>6208</v>
      </c>
      <c r="J485" s="79" t="s">
        <v>7133</v>
      </c>
      <c r="K485" s="80" t="s">
        <v>7134</v>
      </c>
      <c r="M485" s="81"/>
      <c r="N485" s="81"/>
      <c r="O485" s="81"/>
      <c r="P485" s="81"/>
      <c r="Q485" s="81"/>
      <c r="R485" s="81"/>
    </row>
    <row r="486">
      <c r="A486" s="60" t="s">
        <v>7123</v>
      </c>
      <c r="B486" s="60" t="s">
        <v>6089</v>
      </c>
      <c r="C486" s="60" t="s">
        <v>7124</v>
      </c>
      <c r="D486" s="79" t="s">
        <v>5952</v>
      </c>
      <c r="E486" s="79" t="s">
        <v>5952</v>
      </c>
      <c r="F486" s="83">
        <v>32000.0</v>
      </c>
      <c r="G486" s="79">
        <v>813.0</v>
      </c>
      <c r="H486" s="79" t="s">
        <v>6442</v>
      </c>
      <c r="I486" s="79" t="s">
        <v>6443</v>
      </c>
      <c r="J486" s="79" t="s">
        <v>7135</v>
      </c>
      <c r="K486" s="80" t="s">
        <v>7136</v>
      </c>
      <c r="M486" s="81"/>
      <c r="N486" s="81"/>
      <c r="O486" s="81"/>
      <c r="P486" s="81"/>
      <c r="Q486" s="81"/>
      <c r="R486" s="81"/>
    </row>
    <row r="487">
      <c r="A487" s="60" t="s">
        <v>7123</v>
      </c>
      <c r="B487" s="60" t="s">
        <v>6089</v>
      </c>
      <c r="C487" s="60" t="s">
        <v>7124</v>
      </c>
      <c r="D487" s="79" t="s">
        <v>5952</v>
      </c>
      <c r="E487" s="79" t="s">
        <v>5952</v>
      </c>
      <c r="F487" s="83">
        <v>32000.0</v>
      </c>
      <c r="G487" s="79">
        <v>813.0</v>
      </c>
      <c r="H487" s="79" t="s">
        <v>6243</v>
      </c>
      <c r="I487" s="79" t="s">
        <v>6244</v>
      </c>
      <c r="J487" s="79" t="s">
        <v>7137</v>
      </c>
      <c r="K487" s="80" t="s">
        <v>7138</v>
      </c>
      <c r="M487" s="81"/>
      <c r="N487" s="81"/>
      <c r="O487" s="81"/>
      <c r="P487" s="81"/>
      <c r="Q487" s="81"/>
      <c r="R487" s="81"/>
    </row>
    <row r="488">
      <c r="A488" s="60" t="s">
        <v>7123</v>
      </c>
      <c r="B488" s="60" t="s">
        <v>6089</v>
      </c>
      <c r="C488" s="60" t="s">
        <v>7124</v>
      </c>
      <c r="D488" s="79" t="s">
        <v>5952</v>
      </c>
      <c r="E488" s="79" t="s">
        <v>5952</v>
      </c>
      <c r="F488" s="83">
        <v>32000.0</v>
      </c>
      <c r="G488" s="79">
        <v>813.0</v>
      </c>
      <c r="H488" s="79" t="s">
        <v>1196</v>
      </c>
      <c r="I488" s="79" t="s">
        <v>6628</v>
      </c>
      <c r="J488" s="79" t="s">
        <v>7139</v>
      </c>
      <c r="K488" s="80" t="s">
        <v>7140</v>
      </c>
      <c r="M488" s="81"/>
      <c r="N488" s="81"/>
      <c r="O488" s="81"/>
      <c r="P488" s="81"/>
      <c r="Q488" s="81"/>
      <c r="R488" s="81"/>
    </row>
    <row r="489">
      <c r="A489" s="60" t="s">
        <v>7123</v>
      </c>
      <c r="B489" s="60" t="s">
        <v>6089</v>
      </c>
      <c r="C489" s="60" t="s">
        <v>7124</v>
      </c>
      <c r="D489" s="79" t="s">
        <v>5967</v>
      </c>
      <c r="E489" s="79">
        <v>20.0</v>
      </c>
      <c r="F489" s="83">
        <v>32000.0</v>
      </c>
      <c r="G489" s="79">
        <v>813.0</v>
      </c>
      <c r="H489" s="79" t="s">
        <v>6345</v>
      </c>
      <c r="I489" s="79" t="s">
        <v>6346</v>
      </c>
      <c r="J489" s="79" t="s">
        <v>7141</v>
      </c>
      <c r="K489" s="80" t="s">
        <v>7142</v>
      </c>
      <c r="M489" s="81"/>
      <c r="N489" s="81"/>
      <c r="O489" s="82"/>
      <c r="P489" s="81"/>
      <c r="Q489" s="81"/>
      <c r="R489" s="81"/>
    </row>
    <row r="490">
      <c r="A490" s="60" t="s">
        <v>7123</v>
      </c>
      <c r="B490" s="60" t="s">
        <v>6089</v>
      </c>
      <c r="C490" s="60" t="s">
        <v>7124</v>
      </c>
      <c r="D490" s="79" t="s">
        <v>5952</v>
      </c>
      <c r="E490" s="79" t="s">
        <v>5952</v>
      </c>
      <c r="F490" s="83">
        <v>32000.0</v>
      </c>
      <c r="G490" s="79">
        <v>813.0</v>
      </c>
      <c r="H490" s="79" t="s">
        <v>6391</v>
      </c>
      <c r="I490" s="79" t="s">
        <v>6392</v>
      </c>
      <c r="J490" s="79" t="s">
        <v>7143</v>
      </c>
      <c r="K490" s="80" t="s">
        <v>7144</v>
      </c>
      <c r="M490" s="81"/>
      <c r="N490" s="81"/>
      <c r="O490" s="81"/>
      <c r="P490" s="81"/>
      <c r="Q490" s="81"/>
      <c r="R490" s="81"/>
    </row>
    <row r="491">
      <c r="A491" s="60" t="s">
        <v>7123</v>
      </c>
      <c r="B491" s="60" t="s">
        <v>6089</v>
      </c>
      <c r="C491" s="60" t="s">
        <v>7124</v>
      </c>
      <c r="D491" s="79" t="s">
        <v>5952</v>
      </c>
      <c r="E491" s="79">
        <v>30.0</v>
      </c>
      <c r="F491" s="83">
        <v>32000.0</v>
      </c>
      <c r="G491" s="79">
        <v>813.0</v>
      </c>
      <c r="H491" s="79" t="s">
        <v>6349</v>
      </c>
      <c r="I491" s="79" t="s">
        <v>6350</v>
      </c>
      <c r="J491" s="79" t="s">
        <v>7145</v>
      </c>
      <c r="K491" s="80" t="s">
        <v>7146</v>
      </c>
      <c r="M491" s="81"/>
      <c r="N491" s="81"/>
      <c r="O491" s="82"/>
      <c r="P491" s="81"/>
      <c r="Q491" s="81"/>
      <c r="R491" s="81"/>
    </row>
    <row r="492">
      <c r="A492" s="60" t="s">
        <v>7123</v>
      </c>
      <c r="B492" s="60" t="s">
        <v>6089</v>
      </c>
      <c r="C492" s="60" t="s">
        <v>7124</v>
      </c>
      <c r="D492" s="79" t="s">
        <v>5952</v>
      </c>
      <c r="E492" s="79">
        <v>40.0</v>
      </c>
      <c r="F492" s="83">
        <v>32000.0</v>
      </c>
      <c r="G492" s="79">
        <v>813.0</v>
      </c>
      <c r="H492" s="79" t="s">
        <v>6576</v>
      </c>
      <c r="I492" s="79" t="s">
        <v>6577</v>
      </c>
      <c r="J492" s="79" t="s">
        <v>7147</v>
      </c>
      <c r="K492" s="80" t="s">
        <v>7148</v>
      </c>
      <c r="M492" s="81"/>
      <c r="N492" s="81"/>
      <c r="O492" s="82"/>
      <c r="P492" s="81"/>
      <c r="Q492" s="81"/>
      <c r="R492" s="81"/>
    </row>
    <row r="493">
      <c r="A493" s="60" t="s">
        <v>7123</v>
      </c>
      <c r="B493" s="60" t="s">
        <v>6089</v>
      </c>
      <c r="C493" s="60" t="s">
        <v>7124</v>
      </c>
      <c r="D493" s="79" t="s">
        <v>5952</v>
      </c>
      <c r="E493" s="79" t="s">
        <v>5952</v>
      </c>
      <c r="F493" s="83">
        <v>32000.0</v>
      </c>
      <c r="G493" s="79">
        <v>813.0</v>
      </c>
      <c r="H493" s="79" t="s">
        <v>6353</v>
      </c>
      <c r="I493" s="79" t="s">
        <v>6354</v>
      </c>
      <c r="J493" s="79" t="s">
        <v>6856</v>
      </c>
      <c r="K493" s="80" t="s">
        <v>7149</v>
      </c>
      <c r="M493" s="81"/>
      <c r="N493" s="81"/>
      <c r="O493" s="81"/>
      <c r="P493" s="81"/>
      <c r="Q493" s="81"/>
      <c r="R493" s="81"/>
    </row>
    <row r="494">
      <c r="A494" s="60" t="s">
        <v>7123</v>
      </c>
      <c r="B494" s="60" t="s">
        <v>6089</v>
      </c>
      <c r="C494" s="60" t="s">
        <v>7124</v>
      </c>
      <c r="D494" s="79" t="s">
        <v>5952</v>
      </c>
      <c r="E494" s="79" t="s">
        <v>5952</v>
      </c>
      <c r="F494" s="83">
        <v>32000.0</v>
      </c>
      <c r="G494" s="79">
        <v>813.0</v>
      </c>
      <c r="H494" s="79" t="s">
        <v>6462</v>
      </c>
      <c r="I494" s="79" t="s">
        <v>6463</v>
      </c>
      <c r="J494" s="79" t="s">
        <v>7150</v>
      </c>
      <c r="K494" s="80" t="s">
        <v>7151</v>
      </c>
      <c r="M494" s="81"/>
      <c r="N494" s="81"/>
      <c r="O494" s="81"/>
      <c r="P494" s="81"/>
      <c r="Q494" s="81"/>
      <c r="R494" s="81"/>
    </row>
    <row r="495">
      <c r="A495" s="60" t="s">
        <v>7123</v>
      </c>
      <c r="B495" s="60" t="s">
        <v>6089</v>
      </c>
      <c r="C495" s="60" t="s">
        <v>7124</v>
      </c>
      <c r="D495" s="79" t="s">
        <v>5952</v>
      </c>
      <c r="E495" s="79" t="s">
        <v>5952</v>
      </c>
      <c r="F495" s="83">
        <v>32000.0</v>
      </c>
      <c r="G495" s="79">
        <v>813.0</v>
      </c>
      <c r="H495" s="79" t="s">
        <v>6407</v>
      </c>
      <c r="I495" s="79" t="s">
        <v>6408</v>
      </c>
      <c r="J495" s="79" t="s">
        <v>7152</v>
      </c>
      <c r="K495" s="80" t="s">
        <v>7153</v>
      </c>
      <c r="M495" s="81"/>
      <c r="N495" s="81"/>
      <c r="O495" s="81"/>
      <c r="P495" s="81"/>
      <c r="Q495" s="81"/>
      <c r="R495" s="81"/>
    </row>
    <row r="496">
      <c r="A496" s="60" t="s">
        <v>7123</v>
      </c>
      <c r="B496" s="60" t="s">
        <v>6089</v>
      </c>
      <c r="C496" s="60" t="s">
        <v>7124</v>
      </c>
      <c r="D496" s="79" t="s">
        <v>5952</v>
      </c>
      <c r="E496" s="79" t="s">
        <v>5952</v>
      </c>
      <c r="F496" s="83">
        <v>32000.0</v>
      </c>
      <c r="G496" s="79">
        <v>813.0</v>
      </c>
      <c r="H496" s="79" t="s">
        <v>6525</v>
      </c>
      <c r="I496" s="79" t="s">
        <v>6526</v>
      </c>
      <c r="J496" s="79" t="s">
        <v>7154</v>
      </c>
      <c r="K496" s="80" t="s">
        <v>7155</v>
      </c>
      <c r="M496" s="81"/>
      <c r="N496" s="81"/>
      <c r="O496" s="81"/>
      <c r="P496" s="81"/>
      <c r="Q496" s="81"/>
      <c r="R496" s="81"/>
    </row>
    <row r="497">
      <c r="A497" s="60" t="s">
        <v>7123</v>
      </c>
      <c r="B497" s="60" t="s">
        <v>6089</v>
      </c>
      <c r="C497" s="60" t="s">
        <v>7124</v>
      </c>
      <c r="D497" s="79" t="s">
        <v>5952</v>
      </c>
      <c r="E497" s="79" t="s">
        <v>5952</v>
      </c>
      <c r="F497" s="83">
        <v>32000.0</v>
      </c>
      <c r="G497" s="79">
        <v>813.0</v>
      </c>
      <c r="H497" s="83">
        <v>1000.0</v>
      </c>
      <c r="I497" s="79" t="s">
        <v>6472</v>
      </c>
      <c r="J497" s="79" t="s">
        <v>7156</v>
      </c>
      <c r="K497" s="80" t="s">
        <v>7157</v>
      </c>
      <c r="M497" s="81"/>
      <c r="N497" s="81"/>
      <c r="O497" s="81"/>
      <c r="P497" s="81"/>
      <c r="Q497" s="81"/>
      <c r="R497" s="81"/>
    </row>
    <row r="498">
      <c r="A498" s="60" t="s">
        <v>7123</v>
      </c>
      <c r="B498" s="60" t="s">
        <v>6089</v>
      </c>
      <c r="C498" s="60" t="s">
        <v>7124</v>
      </c>
      <c r="D498" s="79" t="s">
        <v>5952</v>
      </c>
      <c r="E498" s="79" t="s">
        <v>5952</v>
      </c>
      <c r="F498" s="83">
        <v>32000.0</v>
      </c>
      <c r="G498" s="79">
        <v>813.0</v>
      </c>
      <c r="H498" s="83">
        <v>1062.0</v>
      </c>
      <c r="I498" s="79" t="s">
        <v>6592</v>
      </c>
      <c r="J498" s="79" t="s">
        <v>7158</v>
      </c>
      <c r="K498" s="80" t="s">
        <v>7159</v>
      </c>
      <c r="M498" s="81"/>
      <c r="N498" s="81"/>
      <c r="O498" s="81"/>
      <c r="P498" s="81"/>
      <c r="Q498" s="81"/>
      <c r="R498" s="81"/>
    </row>
    <row r="499">
      <c r="A499" s="60" t="s">
        <v>7123</v>
      </c>
      <c r="B499" s="60" t="s">
        <v>6089</v>
      </c>
      <c r="C499" s="60" t="s">
        <v>7124</v>
      </c>
      <c r="D499" s="79" t="s">
        <v>5952</v>
      </c>
      <c r="E499" s="79" t="s">
        <v>5952</v>
      </c>
      <c r="F499" s="83">
        <v>32000.0</v>
      </c>
      <c r="G499" s="79">
        <v>813.0</v>
      </c>
      <c r="H499" s="83">
        <v>1125.0</v>
      </c>
      <c r="I499" s="79" t="s">
        <v>6531</v>
      </c>
      <c r="J499" s="79" t="s">
        <v>7160</v>
      </c>
      <c r="K499" s="80" t="s">
        <v>7161</v>
      </c>
      <c r="M499" s="81"/>
      <c r="N499" s="81"/>
      <c r="O499" s="81"/>
      <c r="P499" s="81"/>
      <c r="Q499" s="81"/>
      <c r="R499" s="81"/>
    </row>
    <row r="500">
      <c r="A500" s="60" t="s">
        <v>7123</v>
      </c>
      <c r="B500" s="60" t="s">
        <v>6089</v>
      </c>
      <c r="C500" s="60" t="s">
        <v>7124</v>
      </c>
      <c r="D500" s="79" t="s">
        <v>5952</v>
      </c>
      <c r="E500" s="79" t="s">
        <v>5952</v>
      </c>
      <c r="F500" s="83">
        <v>32000.0</v>
      </c>
      <c r="G500" s="79">
        <v>813.0</v>
      </c>
      <c r="H500" s="83">
        <v>1188.0</v>
      </c>
      <c r="I500" s="79" t="s">
        <v>6732</v>
      </c>
      <c r="J500" s="79" t="s">
        <v>7162</v>
      </c>
      <c r="K500" s="80" t="s">
        <v>7163</v>
      </c>
      <c r="M500" s="81"/>
      <c r="N500" s="81"/>
      <c r="O500" s="81"/>
      <c r="P500" s="81"/>
      <c r="Q500" s="81"/>
      <c r="R500" s="81"/>
    </row>
    <row r="501">
      <c r="A501" s="60" t="s">
        <v>7123</v>
      </c>
      <c r="B501" s="60" t="s">
        <v>6089</v>
      </c>
      <c r="C501" s="60" t="s">
        <v>7124</v>
      </c>
      <c r="D501" s="79" t="s">
        <v>5952</v>
      </c>
      <c r="E501" s="79" t="s">
        <v>5952</v>
      </c>
      <c r="F501" s="83">
        <v>32000.0</v>
      </c>
      <c r="G501" s="79">
        <v>813.0</v>
      </c>
      <c r="H501" s="83">
        <v>1250.0</v>
      </c>
      <c r="I501" s="79" t="s">
        <v>6534</v>
      </c>
      <c r="J501" s="79" t="s">
        <v>7164</v>
      </c>
      <c r="K501" s="80" t="s">
        <v>7165</v>
      </c>
      <c r="M501" s="81"/>
      <c r="N501" s="81"/>
      <c r="O501" s="81"/>
      <c r="P501" s="81"/>
      <c r="Q501" s="81"/>
      <c r="R501" s="81"/>
    </row>
    <row r="502">
      <c r="A502" s="60" t="s">
        <v>7166</v>
      </c>
      <c r="B502" s="60" t="s">
        <v>4261</v>
      </c>
      <c r="C502" s="60" t="s">
        <v>7167</v>
      </c>
      <c r="D502" s="79" t="s">
        <v>5952</v>
      </c>
      <c r="E502" s="79" t="s">
        <v>5952</v>
      </c>
      <c r="F502" s="83">
        <v>34000.0</v>
      </c>
      <c r="G502" s="79">
        <v>864.0</v>
      </c>
      <c r="H502" s="79" t="s">
        <v>6081</v>
      </c>
      <c r="I502" s="79" t="s">
        <v>6082</v>
      </c>
      <c r="J502" s="79" t="s">
        <v>7168</v>
      </c>
      <c r="K502" s="80" t="s">
        <v>7169</v>
      </c>
      <c r="M502" s="81"/>
      <c r="N502" s="81"/>
      <c r="O502" s="81"/>
      <c r="P502" s="81"/>
      <c r="Q502" s="81"/>
      <c r="R502" s="81"/>
    </row>
    <row r="503">
      <c r="A503" s="60" t="s">
        <v>7166</v>
      </c>
      <c r="B503" s="60" t="s">
        <v>4261</v>
      </c>
      <c r="C503" s="60" t="s">
        <v>7167</v>
      </c>
      <c r="D503" s="79" t="s">
        <v>5952</v>
      </c>
      <c r="E503" s="79" t="s">
        <v>5952</v>
      </c>
      <c r="F503" s="83">
        <v>34000.0</v>
      </c>
      <c r="G503" s="79">
        <v>864.0</v>
      </c>
      <c r="H503" s="79" t="s">
        <v>1559</v>
      </c>
      <c r="I503" s="79" t="s">
        <v>6128</v>
      </c>
      <c r="J503" s="79" t="s">
        <v>7170</v>
      </c>
      <c r="K503" s="80" t="s">
        <v>7171</v>
      </c>
      <c r="M503" s="81"/>
      <c r="N503" s="81"/>
      <c r="O503" s="81"/>
      <c r="P503" s="81"/>
      <c r="Q503" s="81"/>
      <c r="R503" s="81"/>
    </row>
    <row r="504">
      <c r="A504" s="60" t="s">
        <v>7166</v>
      </c>
      <c r="B504" s="60" t="s">
        <v>4261</v>
      </c>
      <c r="C504" s="60" t="s">
        <v>7167</v>
      </c>
      <c r="D504" s="79" t="s">
        <v>5952</v>
      </c>
      <c r="E504" s="79">
        <v>10.0</v>
      </c>
      <c r="F504" s="83">
        <v>34000.0</v>
      </c>
      <c r="G504" s="79">
        <v>864.0</v>
      </c>
      <c r="H504" s="79" t="s">
        <v>1213</v>
      </c>
      <c r="I504" s="79" t="s">
        <v>6303</v>
      </c>
      <c r="J504" s="79" t="s">
        <v>7172</v>
      </c>
      <c r="K504" s="80" t="s">
        <v>7173</v>
      </c>
      <c r="M504" s="81"/>
      <c r="N504" s="81"/>
      <c r="O504" s="82"/>
      <c r="P504" s="81"/>
      <c r="Q504" s="81"/>
      <c r="R504" s="81"/>
    </row>
    <row r="505">
      <c r="A505" s="60" t="s">
        <v>7166</v>
      </c>
      <c r="B505" s="60" t="s">
        <v>4261</v>
      </c>
      <c r="C505" s="60" t="s">
        <v>7167</v>
      </c>
      <c r="D505" s="79" t="s">
        <v>5952</v>
      </c>
      <c r="E505" s="79" t="s">
        <v>5952</v>
      </c>
      <c r="F505" s="83">
        <v>34000.0</v>
      </c>
      <c r="G505" s="79">
        <v>864.0</v>
      </c>
      <c r="H505" s="79" t="s">
        <v>1111</v>
      </c>
      <c r="I505" s="79" t="s">
        <v>6165</v>
      </c>
      <c r="J505" s="79" t="s">
        <v>7174</v>
      </c>
      <c r="K505" s="80" t="s">
        <v>7175</v>
      </c>
      <c r="M505" s="81"/>
      <c r="N505" s="81"/>
      <c r="O505" s="81"/>
      <c r="P505" s="81"/>
      <c r="Q505" s="81"/>
      <c r="R505" s="81"/>
    </row>
    <row r="506">
      <c r="A506" s="60" t="s">
        <v>7166</v>
      </c>
      <c r="B506" s="60" t="s">
        <v>4261</v>
      </c>
      <c r="C506" s="60" t="s">
        <v>7167</v>
      </c>
      <c r="D506" s="79" t="s">
        <v>5962</v>
      </c>
      <c r="E506" s="79" t="s">
        <v>5952</v>
      </c>
      <c r="F506" s="83">
        <v>34000.0</v>
      </c>
      <c r="G506" s="79">
        <v>864.0</v>
      </c>
      <c r="H506" s="79" t="s">
        <v>6207</v>
      </c>
      <c r="I506" s="79" t="s">
        <v>6208</v>
      </c>
      <c r="J506" s="79" t="s">
        <v>7176</v>
      </c>
      <c r="K506" s="80" t="s">
        <v>7177</v>
      </c>
      <c r="M506" s="81"/>
      <c r="N506" s="81"/>
      <c r="O506" s="81"/>
      <c r="P506" s="81"/>
      <c r="Q506" s="81"/>
      <c r="R506" s="81"/>
    </row>
    <row r="507">
      <c r="A507" s="60" t="s">
        <v>7166</v>
      </c>
      <c r="B507" s="60" t="s">
        <v>4261</v>
      </c>
      <c r="C507" s="60" t="s">
        <v>7167</v>
      </c>
      <c r="D507" s="79" t="s">
        <v>5952</v>
      </c>
      <c r="E507" s="79" t="s">
        <v>5952</v>
      </c>
      <c r="F507" s="83">
        <v>34000.0</v>
      </c>
      <c r="G507" s="79">
        <v>864.0</v>
      </c>
      <c r="H507" s="79" t="s">
        <v>6442</v>
      </c>
      <c r="I507" s="79" t="s">
        <v>6443</v>
      </c>
      <c r="J507" s="79" t="s">
        <v>7178</v>
      </c>
      <c r="K507" s="80" t="s">
        <v>7179</v>
      </c>
      <c r="M507" s="81"/>
      <c r="N507" s="81"/>
      <c r="O507" s="81"/>
      <c r="P507" s="81"/>
      <c r="Q507" s="81"/>
      <c r="R507" s="81"/>
    </row>
    <row r="508">
      <c r="A508" s="60" t="s">
        <v>7166</v>
      </c>
      <c r="B508" s="60" t="s">
        <v>4261</v>
      </c>
      <c r="C508" s="60" t="s">
        <v>7167</v>
      </c>
      <c r="D508" s="79" t="s">
        <v>5952</v>
      </c>
      <c r="E508" s="79" t="s">
        <v>5952</v>
      </c>
      <c r="F508" s="83">
        <v>34000.0</v>
      </c>
      <c r="G508" s="79">
        <v>864.0</v>
      </c>
      <c r="H508" s="79" t="s">
        <v>6243</v>
      </c>
      <c r="I508" s="79" t="s">
        <v>6244</v>
      </c>
      <c r="J508" s="79" t="s">
        <v>7180</v>
      </c>
      <c r="K508" s="80" t="s">
        <v>7181</v>
      </c>
      <c r="M508" s="81"/>
      <c r="N508" s="81"/>
      <c r="O508" s="81"/>
      <c r="P508" s="81"/>
      <c r="Q508" s="81"/>
      <c r="R508" s="81"/>
    </row>
    <row r="509">
      <c r="A509" s="60" t="s">
        <v>7166</v>
      </c>
      <c r="B509" s="60" t="s">
        <v>4261</v>
      </c>
      <c r="C509" s="60" t="s">
        <v>7167</v>
      </c>
      <c r="D509" s="79" t="s">
        <v>5952</v>
      </c>
      <c r="E509" s="79" t="s">
        <v>5952</v>
      </c>
      <c r="F509" s="83">
        <v>34000.0</v>
      </c>
      <c r="G509" s="79">
        <v>864.0</v>
      </c>
      <c r="H509" s="79" t="s">
        <v>1196</v>
      </c>
      <c r="I509" s="79" t="s">
        <v>6628</v>
      </c>
      <c r="J509" s="79" t="s">
        <v>7182</v>
      </c>
      <c r="K509" s="80" t="s">
        <v>7183</v>
      </c>
      <c r="M509" s="81"/>
      <c r="N509" s="81"/>
      <c r="O509" s="81"/>
      <c r="P509" s="81"/>
      <c r="Q509" s="81"/>
      <c r="R509" s="81"/>
    </row>
    <row r="510">
      <c r="A510" s="60" t="s">
        <v>7166</v>
      </c>
      <c r="B510" s="60" t="s">
        <v>4261</v>
      </c>
      <c r="C510" s="60" t="s">
        <v>7167</v>
      </c>
      <c r="D510" s="79" t="s">
        <v>5967</v>
      </c>
      <c r="E510" s="79">
        <v>20.0</v>
      </c>
      <c r="F510" s="83">
        <v>34000.0</v>
      </c>
      <c r="G510" s="79">
        <v>864.0</v>
      </c>
      <c r="H510" s="79" t="s">
        <v>6345</v>
      </c>
      <c r="I510" s="79" t="s">
        <v>6346</v>
      </c>
      <c r="J510" s="79" t="s">
        <v>7184</v>
      </c>
      <c r="K510" s="80" t="s">
        <v>7185</v>
      </c>
      <c r="M510" s="81"/>
      <c r="N510" s="81"/>
      <c r="O510" s="82"/>
      <c r="P510" s="81"/>
      <c r="Q510" s="81"/>
      <c r="R510" s="81"/>
    </row>
    <row r="511">
      <c r="A511" s="60" t="s">
        <v>7166</v>
      </c>
      <c r="B511" s="60" t="s">
        <v>4261</v>
      </c>
      <c r="C511" s="60" t="s">
        <v>7167</v>
      </c>
      <c r="D511" s="79" t="s">
        <v>5952</v>
      </c>
      <c r="E511" s="79" t="s">
        <v>5952</v>
      </c>
      <c r="F511" s="83">
        <v>34000.0</v>
      </c>
      <c r="G511" s="79">
        <v>864.0</v>
      </c>
      <c r="H511" s="79" t="s">
        <v>6391</v>
      </c>
      <c r="I511" s="79" t="s">
        <v>6392</v>
      </c>
      <c r="J511" s="79" t="s">
        <v>7186</v>
      </c>
      <c r="K511" s="80" t="s">
        <v>7187</v>
      </c>
      <c r="M511" s="81"/>
      <c r="N511" s="81"/>
      <c r="O511" s="81"/>
      <c r="P511" s="81"/>
      <c r="Q511" s="81"/>
      <c r="R511" s="81"/>
    </row>
    <row r="512">
      <c r="A512" s="60" t="s">
        <v>7166</v>
      </c>
      <c r="B512" s="60" t="s">
        <v>4261</v>
      </c>
      <c r="C512" s="60" t="s">
        <v>7167</v>
      </c>
      <c r="D512" s="79" t="s">
        <v>5952</v>
      </c>
      <c r="E512" s="79">
        <v>30.0</v>
      </c>
      <c r="F512" s="83">
        <v>34000.0</v>
      </c>
      <c r="G512" s="79">
        <v>864.0</v>
      </c>
      <c r="H512" s="79" t="s">
        <v>6349</v>
      </c>
      <c r="I512" s="79" t="s">
        <v>6350</v>
      </c>
      <c r="J512" s="79" t="s">
        <v>7188</v>
      </c>
      <c r="K512" s="80" t="s">
        <v>7189</v>
      </c>
      <c r="M512" s="81"/>
      <c r="N512" s="81"/>
      <c r="O512" s="82"/>
      <c r="P512" s="81"/>
      <c r="Q512" s="81"/>
      <c r="R512" s="81"/>
    </row>
    <row r="513">
      <c r="A513" s="60" t="s">
        <v>7166</v>
      </c>
      <c r="B513" s="60" t="s">
        <v>4261</v>
      </c>
      <c r="C513" s="60" t="s">
        <v>7167</v>
      </c>
      <c r="D513" s="79" t="s">
        <v>5952</v>
      </c>
      <c r="E513" s="79">
        <v>40.0</v>
      </c>
      <c r="F513" s="83">
        <v>34000.0</v>
      </c>
      <c r="G513" s="79">
        <v>864.0</v>
      </c>
      <c r="H513" s="79" t="s">
        <v>6576</v>
      </c>
      <c r="I513" s="79" t="s">
        <v>6577</v>
      </c>
      <c r="J513" s="79" t="s">
        <v>7190</v>
      </c>
      <c r="K513" s="80" t="s">
        <v>7191</v>
      </c>
      <c r="M513" s="81"/>
      <c r="N513" s="81"/>
      <c r="O513" s="82"/>
      <c r="P513" s="81"/>
      <c r="Q513" s="81"/>
      <c r="R513" s="81"/>
    </row>
    <row r="514">
      <c r="A514" s="60" t="s">
        <v>7166</v>
      </c>
      <c r="B514" s="60" t="s">
        <v>4261</v>
      </c>
      <c r="C514" s="60" t="s">
        <v>7167</v>
      </c>
      <c r="D514" s="79" t="s">
        <v>5952</v>
      </c>
      <c r="E514" s="79" t="s">
        <v>5952</v>
      </c>
      <c r="F514" s="83">
        <v>34000.0</v>
      </c>
      <c r="G514" s="79">
        <v>864.0</v>
      </c>
      <c r="H514" s="79" t="s">
        <v>6353</v>
      </c>
      <c r="I514" s="79" t="s">
        <v>6354</v>
      </c>
      <c r="J514" s="79" t="s">
        <v>7192</v>
      </c>
      <c r="K514" s="84" t="s">
        <v>7193</v>
      </c>
      <c r="L514" s="85"/>
      <c r="M514" s="81"/>
      <c r="N514" s="81"/>
      <c r="O514" s="81"/>
      <c r="P514" s="81"/>
      <c r="Q514" s="81"/>
      <c r="R514" s="81"/>
      <c r="S514" s="85"/>
      <c r="T514" s="85"/>
      <c r="U514" s="85"/>
      <c r="V514" s="85"/>
      <c r="W514" s="85"/>
      <c r="X514" s="85"/>
      <c r="Y514" s="85"/>
      <c r="Z514" s="85"/>
      <c r="AA514" s="85"/>
      <c r="AB514" s="85"/>
      <c r="AC514" s="85"/>
      <c r="AD514" s="85"/>
    </row>
    <row r="515">
      <c r="A515" s="60" t="s">
        <v>7166</v>
      </c>
      <c r="B515" s="60" t="s">
        <v>4261</v>
      </c>
      <c r="C515" s="60" t="s">
        <v>7167</v>
      </c>
      <c r="D515" s="79" t="s">
        <v>5952</v>
      </c>
      <c r="E515" s="79" t="s">
        <v>5952</v>
      </c>
      <c r="F515" s="83">
        <v>34000.0</v>
      </c>
      <c r="G515" s="79">
        <v>864.0</v>
      </c>
      <c r="H515" s="79" t="s">
        <v>6462</v>
      </c>
      <c r="I515" s="79" t="s">
        <v>6463</v>
      </c>
      <c r="J515" s="79" t="s">
        <v>7194</v>
      </c>
      <c r="K515" s="80" t="s">
        <v>7195</v>
      </c>
      <c r="M515" s="81"/>
      <c r="N515" s="81"/>
      <c r="O515" s="81"/>
      <c r="P515" s="81"/>
      <c r="Q515" s="81"/>
      <c r="R515" s="81"/>
    </row>
    <row r="516">
      <c r="A516" s="60" t="s">
        <v>7166</v>
      </c>
      <c r="B516" s="60" t="s">
        <v>4261</v>
      </c>
      <c r="C516" s="60" t="s">
        <v>7167</v>
      </c>
      <c r="D516" s="79" t="s">
        <v>5952</v>
      </c>
      <c r="E516" s="79" t="s">
        <v>5952</v>
      </c>
      <c r="F516" s="83">
        <v>34000.0</v>
      </c>
      <c r="G516" s="79">
        <v>864.0</v>
      </c>
      <c r="H516" s="79" t="s">
        <v>6407</v>
      </c>
      <c r="I516" s="79" t="s">
        <v>6408</v>
      </c>
      <c r="J516" s="79" t="s">
        <v>7196</v>
      </c>
      <c r="K516" s="80" t="s">
        <v>7197</v>
      </c>
      <c r="M516" s="81"/>
      <c r="N516" s="81"/>
      <c r="O516" s="81"/>
      <c r="P516" s="81"/>
      <c r="Q516" s="81"/>
      <c r="R516" s="81"/>
    </row>
    <row r="517">
      <c r="A517" s="60" t="s">
        <v>7166</v>
      </c>
      <c r="B517" s="60" t="s">
        <v>4261</v>
      </c>
      <c r="C517" s="60" t="s">
        <v>7167</v>
      </c>
      <c r="D517" s="79" t="s">
        <v>5952</v>
      </c>
      <c r="E517" s="79" t="s">
        <v>5952</v>
      </c>
      <c r="F517" s="83">
        <v>34000.0</v>
      </c>
      <c r="G517" s="79">
        <v>864.0</v>
      </c>
      <c r="H517" s="79" t="s">
        <v>6525</v>
      </c>
      <c r="I517" s="79" t="s">
        <v>6526</v>
      </c>
      <c r="J517" s="79" t="s">
        <v>7198</v>
      </c>
      <c r="K517" s="80" t="s">
        <v>7199</v>
      </c>
      <c r="M517" s="81"/>
      <c r="N517" s="81"/>
      <c r="O517" s="81"/>
      <c r="P517" s="81"/>
      <c r="Q517" s="81"/>
      <c r="R517" s="81"/>
    </row>
    <row r="518">
      <c r="A518" s="60" t="s">
        <v>7166</v>
      </c>
      <c r="B518" s="60" t="s">
        <v>4261</v>
      </c>
      <c r="C518" s="60" t="s">
        <v>7167</v>
      </c>
      <c r="D518" s="79" t="s">
        <v>5952</v>
      </c>
      <c r="E518" s="79" t="s">
        <v>5952</v>
      </c>
      <c r="F518" s="83">
        <v>34000.0</v>
      </c>
      <c r="G518" s="79">
        <v>864.0</v>
      </c>
      <c r="H518" s="83">
        <v>1000.0</v>
      </c>
      <c r="I518" s="79" t="s">
        <v>6472</v>
      </c>
      <c r="J518" s="79" t="s">
        <v>7200</v>
      </c>
      <c r="K518" s="80" t="s">
        <v>7201</v>
      </c>
      <c r="M518" s="81"/>
      <c r="N518" s="81"/>
      <c r="O518" s="81"/>
      <c r="P518" s="81"/>
      <c r="Q518" s="81"/>
      <c r="R518" s="81"/>
    </row>
    <row r="519">
      <c r="A519" s="60" t="s">
        <v>7166</v>
      </c>
      <c r="B519" s="60" t="s">
        <v>4261</v>
      </c>
      <c r="C519" s="60" t="s">
        <v>7167</v>
      </c>
      <c r="D519" s="79" t="s">
        <v>5952</v>
      </c>
      <c r="E519" s="79" t="s">
        <v>5952</v>
      </c>
      <c r="F519" s="83">
        <v>34000.0</v>
      </c>
      <c r="G519" s="79">
        <v>864.0</v>
      </c>
      <c r="H519" s="83">
        <v>1062.0</v>
      </c>
      <c r="I519" s="79" t="s">
        <v>6592</v>
      </c>
      <c r="J519" s="79" t="s">
        <v>7202</v>
      </c>
      <c r="K519" s="80" t="s">
        <v>7203</v>
      </c>
      <c r="M519" s="81"/>
      <c r="N519" s="81"/>
      <c r="O519" s="81"/>
      <c r="P519" s="81"/>
      <c r="Q519" s="81"/>
      <c r="R519" s="81"/>
    </row>
    <row r="520">
      <c r="A520" s="60" t="s">
        <v>7166</v>
      </c>
      <c r="B520" s="60" t="s">
        <v>4261</v>
      </c>
      <c r="C520" s="60" t="s">
        <v>7167</v>
      </c>
      <c r="D520" s="79" t="s">
        <v>5952</v>
      </c>
      <c r="E520" s="79" t="s">
        <v>5952</v>
      </c>
      <c r="F520" s="83">
        <v>34000.0</v>
      </c>
      <c r="G520" s="79">
        <v>864.0</v>
      </c>
      <c r="H520" s="83">
        <v>1125.0</v>
      </c>
      <c r="I520" s="79" t="s">
        <v>6531</v>
      </c>
      <c r="J520" s="79" t="s">
        <v>7204</v>
      </c>
      <c r="K520" s="80" t="s">
        <v>7205</v>
      </c>
      <c r="M520" s="81"/>
      <c r="N520" s="81"/>
      <c r="O520" s="81"/>
      <c r="P520" s="81"/>
      <c r="Q520" s="81"/>
      <c r="R520" s="81"/>
    </row>
    <row r="521">
      <c r="A521" s="60" t="s">
        <v>7166</v>
      </c>
      <c r="B521" s="60" t="s">
        <v>4261</v>
      </c>
      <c r="C521" s="60" t="s">
        <v>7167</v>
      </c>
      <c r="D521" s="79" t="s">
        <v>5952</v>
      </c>
      <c r="E521" s="79" t="s">
        <v>5952</v>
      </c>
      <c r="F521" s="83">
        <v>34000.0</v>
      </c>
      <c r="G521" s="79">
        <v>864.0</v>
      </c>
      <c r="H521" s="83">
        <v>1188.0</v>
      </c>
      <c r="I521" s="79" t="s">
        <v>6732</v>
      </c>
      <c r="J521" s="79" t="s">
        <v>7206</v>
      </c>
      <c r="K521" s="80" t="s">
        <v>7207</v>
      </c>
      <c r="M521" s="81"/>
      <c r="N521" s="81"/>
      <c r="O521" s="81"/>
      <c r="P521" s="81"/>
      <c r="Q521" s="81"/>
      <c r="R521" s="81"/>
    </row>
    <row r="522">
      <c r="A522" s="60" t="s">
        <v>7166</v>
      </c>
      <c r="B522" s="60" t="s">
        <v>4261</v>
      </c>
      <c r="C522" s="60" t="s">
        <v>7167</v>
      </c>
      <c r="D522" s="79" t="s">
        <v>5952</v>
      </c>
      <c r="E522" s="79" t="s">
        <v>5952</v>
      </c>
      <c r="F522" s="83">
        <v>34000.0</v>
      </c>
      <c r="G522" s="79">
        <v>864.0</v>
      </c>
      <c r="H522" s="83">
        <v>1250.0</v>
      </c>
      <c r="I522" s="79" t="s">
        <v>6534</v>
      </c>
      <c r="J522" s="79" t="s">
        <v>7208</v>
      </c>
      <c r="K522" s="80" t="s">
        <v>7209</v>
      </c>
      <c r="M522" s="81"/>
      <c r="N522" s="81"/>
      <c r="O522" s="81"/>
      <c r="P522" s="81"/>
      <c r="Q522" s="81"/>
      <c r="R522" s="81"/>
    </row>
    <row r="523">
      <c r="A523" s="60" t="s">
        <v>7210</v>
      </c>
      <c r="B523" s="60" t="s">
        <v>4565</v>
      </c>
      <c r="C523" s="60" t="s">
        <v>316</v>
      </c>
      <c r="D523" s="79" t="s">
        <v>5952</v>
      </c>
      <c r="E523" s="79" t="s">
        <v>5952</v>
      </c>
      <c r="F523" s="83">
        <v>36000.0</v>
      </c>
      <c r="G523" s="79">
        <v>914.0</v>
      </c>
      <c r="H523" s="79" t="s">
        <v>6081</v>
      </c>
      <c r="I523" s="79" t="s">
        <v>6082</v>
      </c>
      <c r="J523" s="79" t="s">
        <v>7211</v>
      </c>
      <c r="K523" s="80" t="s">
        <v>7212</v>
      </c>
      <c r="M523" s="81"/>
      <c r="N523" s="81"/>
      <c r="O523" s="81"/>
      <c r="P523" s="81"/>
      <c r="Q523" s="81"/>
      <c r="R523" s="81"/>
    </row>
    <row r="524">
      <c r="A524" s="60" t="s">
        <v>7210</v>
      </c>
      <c r="B524" s="60" t="s">
        <v>4565</v>
      </c>
      <c r="C524" s="60" t="s">
        <v>316</v>
      </c>
      <c r="D524" s="79" t="s">
        <v>5952</v>
      </c>
      <c r="E524" s="79" t="s">
        <v>5952</v>
      </c>
      <c r="F524" s="83">
        <v>36000.0</v>
      </c>
      <c r="G524" s="79">
        <v>914.0</v>
      </c>
      <c r="H524" s="79" t="s">
        <v>1559</v>
      </c>
      <c r="I524" s="79" t="s">
        <v>6128</v>
      </c>
      <c r="J524" s="79" t="s">
        <v>7213</v>
      </c>
      <c r="K524" s="80" t="s">
        <v>7214</v>
      </c>
      <c r="M524" s="81"/>
      <c r="N524" s="81"/>
      <c r="O524" s="81"/>
      <c r="P524" s="81"/>
      <c r="Q524" s="81"/>
      <c r="R524" s="81"/>
    </row>
    <row r="525">
      <c r="A525" s="60" t="s">
        <v>7210</v>
      </c>
      <c r="B525" s="60" t="s">
        <v>4565</v>
      </c>
      <c r="C525" s="60" t="s">
        <v>316</v>
      </c>
      <c r="D525" s="79" t="s">
        <v>5952</v>
      </c>
      <c r="E525" s="79">
        <v>10.0</v>
      </c>
      <c r="F525" s="83">
        <v>36000.0</v>
      </c>
      <c r="G525" s="79">
        <v>914.0</v>
      </c>
      <c r="H525" s="79" t="s">
        <v>1213</v>
      </c>
      <c r="I525" s="79" t="s">
        <v>6303</v>
      </c>
      <c r="J525" s="79" t="s">
        <v>7215</v>
      </c>
      <c r="K525" s="80" t="s">
        <v>7216</v>
      </c>
      <c r="M525" s="81"/>
      <c r="N525" s="81"/>
      <c r="O525" s="82"/>
      <c r="P525" s="81"/>
      <c r="Q525" s="81"/>
      <c r="R525" s="81"/>
    </row>
    <row r="526">
      <c r="A526" s="60" t="s">
        <v>7210</v>
      </c>
      <c r="B526" s="60" t="s">
        <v>4565</v>
      </c>
      <c r="C526" s="60" t="s">
        <v>316</v>
      </c>
      <c r="D526" s="79" t="s">
        <v>5952</v>
      </c>
      <c r="E526" s="79" t="s">
        <v>5952</v>
      </c>
      <c r="F526" s="83">
        <v>36000.0</v>
      </c>
      <c r="G526" s="79">
        <v>914.0</v>
      </c>
      <c r="H526" s="79" t="s">
        <v>1111</v>
      </c>
      <c r="I526" s="79" t="s">
        <v>6165</v>
      </c>
      <c r="J526" s="79" t="s">
        <v>7217</v>
      </c>
      <c r="K526" s="80" t="s">
        <v>7218</v>
      </c>
      <c r="M526" s="81"/>
      <c r="N526" s="81"/>
      <c r="O526" s="81"/>
      <c r="P526" s="81"/>
      <c r="Q526" s="81"/>
      <c r="R526" s="81"/>
    </row>
    <row r="527">
      <c r="A527" s="60" t="s">
        <v>7210</v>
      </c>
      <c r="B527" s="60" t="s">
        <v>4565</v>
      </c>
      <c r="C527" s="60" t="s">
        <v>316</v>
      </c>
      <c r="D527" s="79" t="s">
        <v>5962</v>
      </c>
      <c r="E527" s="79" t="s">
        <v>5952</v>
      </c>
      <c r="F527" s="83">
        <v>36000.0</v>
      </c>
      <c r="G527" s="79">
        <v>914.0</v>
      </c>
      <c r="H527" s="79" t="s">
        <v>6207</v>
      </c>
      <c r="I527" s="79" t="s">
        <v>6208</v>
      </c>
      <c r="J527" s="79" t="s">
        <v>6900</v>
      </c>
      <c r="K527" s="80" t="s">
        <v>7219</v>
      </c>
      <c r="M527" s="81"/>
      <c r="N527" s="81"/>
      <c r="O527" s="81"/>
      <c r="P527" s="81"/>
      <c r="Q527" s="81"/>
      <c r="R527" s="81"/>
    </row>
    <row r="528">
      <c r="A528" s="60" t="s">
        <v>7210</v>
      </c>
      <c r="B528" s="60" t="s">
        <v>4565</v>
      </c>
      <c r="C528" s="60" t="s">
        <v>316</v>
      </c>
      <c r="D528" s="79" t="s">
        <v>5952</v>
      </c>
      <c r="E528" s="79" t="s">
        <v>5952</v>
      </c>
      <c r="F528" s="83">
        <v>36000.0</v>
      </c>
      <c r="G528" s="79">
        <v>914.0</v>
      </c>
      <c r="H528" s="79" t="s">
        <v>6442</v>
      </c>
      <c r="I528" s="79" t="s">
        <v>6443</v>
      </c>
      <c r="J528" s="79" t="s">
        <v>7220</v>
      </c>
      <c r="K528" s="80" t="s">
        <v>7221</v>
      </c>
      <c r="M528" s="81"/>
      <c r="N528" s="81"/>
      <c r="O528" s="81"/>
      <c r="P528" s="81"/>
      <c r="Q528" s="81"/>
      <c r="R528" s="81"/>
    </row>
    <row r="529">
      <c r="A529" s="60" t="s">
        <v>7210</v>
      </c>
      <c r="B529" s="60" t="s">
        <v>4565</v>
      </c>
      <c r="C529" s="60" t="s">
        <v>316</v>
      </c>
      <c r="D529" s="79" t="s">
        <v>5952</v>
      </c>
      <c r="E529" s="79" t="s">
        <v>5952</v>
      </c>
      <c r="F529" s="83">
        <v>36000.0</v>
      </c>
      <c r="G529" s="79">
        <v>914.0</v>
      </c>
      <c r="H529" s="79" t="s">
        <v>6243</v>
      </c>
      <c r="I529" s="79" t="s">
        <v>6244</v>
      </c>
      <c r="J529" s="79" t="s">
        <v>7222</v>
      </c>
      <c r="K529" s="80" t="s">
        <v>7223</v>
      </c>
      <c r="M529" s="81"/>
      <c r="N529" s="81"/>
      <c r="O529" s="81"/>
      <c r="P529" s="81"/>
      <c r="Q529" s="81"/>
      <c r="R529" s="81"/>
    </row>
    <row r="530">
      <c r="A530" s="60" t="s">
        <v>7210</v>
      </c>
      <c r="B530" s="60" t="s">
        <v>4565</v>
      </c>
      <c r="C530" s="60" t="s">
        <v>316</v>
      </c>
      <c r="D530" s="79" t="s">
        <v>5952</v>
      </c>
      <c r="E530" s="79" t="s">
        <v>5952</v>
      </c>
      <c r="F530" s="83">
        <v>36000.0</v>
      </c>
      <c r="G530" s="79">
        <v>914.0</v>
      </c>
      <c r="H530" s="79" t="s">
        <v>1196</v>
      </c>
      <c r="I530" s="79" t="s">
        <v>6628</v>
      </c>
      <c r="J530" s="79" t="s">
        <v>7224</v>
      </c>
      <c r="K530" s="80" t="s">
        <v>7225</v>
      </c>
      <c r="M530" s="81"/>
      <c r="N530" s="81"/>
      <c r="O530" s="81"/>
      <c r="P530" s="81"/>
      <c r="Q530" s="81"/>
      <c r="R530" s="81"/>
    </row>
    <row r="531">
      <c r="A531" s="60" t="s">
        <v>7210</v>
      </c>
      <c r="B531" s="60" t="s">
        <v>4565</v>
      </c>
      <c r="C531" s="60" t="s">
        <v>316</v>
      </c>
      <c r="D531" s="79" t="s">
        <v>5967</v>
      </c>
      <c r="E531" s="79">
        <v>20.0</v>
      </c>
      <c r="F531" s="83">
        <v>36000.0</v>
      </c>
      <c r="G531" s="79">
        <v>914.0</v>
      </c>
      <c r="H531" s="79" t="s">
        <v>6345</v>
      </c>
      <c r="I531" s="79" t="s">
        <v>6346</v>
      </c>
      <c r="J531" s="79" t="s">
        <v>7226</v>
      </c>
      <c r="K531" s="80" t="s">
        <v>7227</v>
      </c>
      <c r="M531" s="81"/>
      <c r="N531" s="81"/>
      <c r="O531" s="82"/>
      <c r="P531" s="81"/>
      <c r="Q531" s="81"/>
      <c r="R531" s="81"/>
    </row>
    <row r="532">
      <c r="A532" s="60" t="s">
        <v>7210</v>
      </c>
      <c r="B532" s="60" t="s">
        <v>4565</v>
      </c>
      <c r="C532" s="60" t="s">
        <v>316</v>
      </c>
      <c r="D532" s="79" t="s">
        <v>5952</v>
      </c>
      <c r="E532" s="79" t="s">
        <v>5952</v>
      </c>
      <c r="F532" s="83">
        <v>36000.0</v>
      </c>
      <c r="G532" s="79">
        <v>914.0</v>
      </c>
      <c r="H532" s="79" t="s">
        <v>6391</v>
      </c>
      <c r="I532" s="79" t="s">
        <v>6392</v>
      </c>
      <c r="J532" s="79" t="s">
        <v>7228</v>
      </c>
      <c r="K532" s="80" t="s">
        <v>7229</v>
      </c>
      <c r="M532" s="81"/>
      <c r="N532" s="81"/>
      <c r="O532" s="81"/>
      <c r="P532" s="81"/>
      <c r="Q532" s="81"/>
      <c r="R532" s="81"/>
    </row>
    <row r="533">
      <c r="A533" s="60" t="s">
        <v>7210</v>
      </c>
      <c r="B533" s="60" t="s">
        <v>4565</v>
      </c>
      <c r="C533" s="60" t="s">
        <v>316</v>
      </c>
      <c r="D533" s="79" t="s">
        <v>5952</v>
      </c>
      <c r="E533" s="79">
        <v>30.0</v>
      </c>
      <c r="F533" s="83">
        <v>36000.0</v>
      </c>
      <c r="G533" s="79">
        <v>914.0</v>
      </c>
      <c r="H533" s="79" t="s">
        <v>6349</v>
      </c>
      <c r="I533" s="79" t="s">
        <v>6350</v>
      </c>
      <c r="J533" s="79" t="s">
        <v>7230</v>
      </c>
      <c r="K533" s="80" t="s">
        <v>7231</v>
      </c>
      <c r="M533" s="81"/>
      <c r="N533" s="81"/>
      <c r="O533" s="82"/>
      <c r="P533" s="81"/>
      <c r="Q533" s="81"/>
      <c r="R533" s="81"/>
    </row>
    <row r="534">
      <c r="A534" s="60" t="s">
        <v>7210</v>
      </c>
      <c r="B534" s="60" t="s">
        <v>4565</v>
      </c>
      <c r="C534" s="60" t="s">
        <v>316</v>
      </c>
      <c r="D534" s="79" t="s">
        <v>5952</v>
      </c>
      <c r="E534" s="79" t="s">
        <v>5952</v>
      </c>
      <c r="F534" s="83">
        <v>36000.0</v>
      </c>
      <c r="G534" s="79">
        <v>914.0</v>
      </c>
      <c r="H534" s="79" t="s">
        <v>6576</v>
      </c>
      <c r="I534" s="79" t="s">
        <v>6577</v>
      </c>
      <c r="J534" s="79" t="s">
        <v>7232</v>
      </c>
      <c r="K534" s="80" t="s">
        <v>7233</v>
      </c>
      <c r="M534" s="81"/>
      <c r="N534" s="81"/>
      <c r="O534" s="81"/>
      <c r="P534" s="81"/>
      <c r="Q534" s="81"/>
      <c r="R534" s="81"/>
    </row>
    <row r="535">
      <c r="A535" s="60" t="s">
        <v>7210</v>
      </c>
      <c r="B535" s="60" t="s">
        <v>4565</v>
      </c>
      <c r="C535" s="60" t="s">
        <v>316</v>
      </c>
      <c r="D535" s="79" t="s">
        <v>5952</v>
      </c>
      <c r="E535" s="79">
        <v>40.0</v>
      </c>
      <c r="F535" s="83">
        <v>36000.0</v>
      </c>
      <c r="G535" s="79">
        <v>914.0</v>
      </c>
      <c r="H535" s="79" t="s">
        <v>6353</v>
      </c>
      <c r="I535" s="79" t="s">
        <v>6354</v>
      </c>
      <c r="J535" s="79" t="s">
        <v>7234</v>
      </c>
      <c r="K535" s="80" t="s">
        <v>7235</v>
      </c>
      <c r="M535" s="81"/>
      <c r="N535" s="81"/>
      <c r="O535" s="82"/>
      <c r="P535" s="81"/>
      <c r="Q535" s="81"/>
      <c r="R535" s="81"/>
    </row>
    <row r="536">
      <c r="A536" s="60" t="s">
        <v>7210</v>
      </c>
      <c r="B536" s="60" t="s">
        <v>4565</v>
      </c>
      <c r="C536" s="60" t="s">
        <v>316</v>
      </c>
      <c r="D536" s="79" t="s">
        <v>5952</v>
      </c>
      <c r="E536" s="79" t="s">
        <v>5952</v>
      </c>
      <c r="F536" s="83">
        <v>36000.0</v>
      </c>
      <c r="G536" s="79">
        <v>914.0</v>
      </c>
      <c r="H536" s="79" t="s">
        <v>6462</v>
      </c>
      <c r="I536" s="79" t="s">
        <v>6463</v>
      </c>
      <c r="J536" s="79" t="s">
        <v>7236</v>
      </c>
      <c r="K536" s="80" t="s">
        <v>7237</v>
      </c>
      <c r="M536" s="81"/>
      <c r="N536" s="81"/>
      <c r="O536" s="81"/>
      <c r="P536" s="81"/>
      <c r="Q536" s="81"/>
      <c r="R536" s="81"/>
    </row>
    <row r="537">
      <c r="A537" s="60" t="s">
        <v>7210</v>
      </c>
      <c r="B537" s="60" t="s">
        <v>4565</v>
      </c>
      <c r="C537" s="60" t="s">
        <v>316</v>
      </c>
      <c r="D537" s="79" t="s">
        <v>5952</v>
      </c>
      <c r="E537" s="79" t="s">
        <v>5952</v>
      </c>
      <c r="F537" s="83">
        <v>36000.0</v>
      </c>
      <c r="G537" s="79">
        <v>914.0</v>
      </c>
      <c r="H537" s="79" t="s">
        <v>6407</v>
      </c>
      <c r="I537" s="79" t="s">
        <v>6408</v>
      </c>
      <c r="J537" s="79" t="s">
        <v>7238</v>
      </c>
      <c r="K537" s="80" t="s">
        <v>7239</v>
      </c>
      <c r="M537" s="81"/>
      <c r="N537" s="81"/>
      <c r="O537" s="81"/>
      <c r="P537" s="81"/>
      <c r="Q537" s="81"/>
      <c r="R537" s="81"/>
    </row>
    <row r="538">
      <c r="A538" s="60" t="s">
        <v>7210</v>
      </c>
      <c r="B538" s="60" t="s">
        <v>4565</v>
      </c>
      <c r="C538" s="60" t="s">
        <v>316</v>
      </c>
      <c r="D538" s="79" t="s">
        <v>5952</v>
      </c>
      <c r="E538" s="79" t="s">
        <v>5952</v>
      </c>
      <c r="F538" s="83">
        <v>36000.0</v>
      </c>
      <c r="G538" s="79">
        <v>914.0</v>
      </c>
      <c r="H538" s="79" t="s">
        <v>6525</v>
      </c>
      <c r="I538" s="79" t="s">
        <v>6526</v>
      </c>
      <c r="J538" s="79" t="s">
        <v>7240</v>
      </c>
      <c r="K538" s="80" t="s">
        <v>7241</v>
      </c>
      <c r="M538" s="81"/>
      <c r="N538" s="81"/>
      <c r="O538" s="81"/>
      <c r="P538" s="81"/>
      <c r="Q538" s="81"/>
      <c r="R538" s="81"/>
    </row>
    <row r="539">
      <c r="A539" s="60" t="s">
        <v>7210</v>
      </c>
      <c r="B539" s="60" t="s">
        <v>4565</v>
      </c>
      <c r="C539" s="60" t="s">
        <v>316</v>
      </c>
      <c r="D539" s="79" t="s">
        <v>5952</v>
      </c>
      <c r="E539" s="79" t="s">
        <v>5952</v>
      </c>
      <c r="F539" s="83">
        <v>36000.0</v>
      </c>
      <c r="G539" s="79">
        <v>914.0</v>
      </c>
      <c r="H539" s="83">
        <v>1000.0</v>
      </c>
      <c r="I539" s="79" t="s">
        <v>6472</v>
      </c>
      <c r="J539" s="79" t="s">
        <v>7242</v>
      </c>
      <c r="K539" s="80" t="s">
        <v>7243</v>
      </c>
      <c r="M539" s="81"/>
      <c r="N539" s="81"/>
      <c r="O539" s="81"/>
      <c r="P539" s="81"/>
      <c r="Q539" s="81"/>
      <c r="R539" s="81"/>
    </row>
    <row r="540">
      <c r="A540" s="60" t="s">
        <v>7210</v>
      </c>
      <c r="B540" s="60" t="s">
        <v>4565</v>
      </c>
      <c r="C540" s="60" t="s">
        <v>316</v>
      </c>
      <c r="D540" s="79" t="s">
        <v>5952</v>
      </c>
      <c r="E540" s="79" t="s">
        <v>5952</v>
      </c>
      <c r="F540" s="83">
        <v>36000.0</v>
      </c>
      <c r="G540" s="79">
        <v>914.0</v>
      </c>
      <c r="H540" s="83">
        <v>1062.0</v>
      </c>
      <c r="I540" s="79" t="s">
        <v>6592</v>
      </c>
      <c r="J540" s="79" t="s">
        <v>7244</v>
      </c>
      <c r="K540" s="80" t="s">
        <v>7245</v>
      </c>
      <c r="M540" s="81"/>
      <c r="N540" s="81"/>
      <c r="O540" s="81"/>
      <c r="P540" s="81"/>
      <c r="Q540" s="81"/>
      <c r="R540" s="81"/>
    </row>
    <row r="541">
      <c r="A541" s="60" t="s">
        <v>7210</v>
      </c>
      <c r="B541" s="60" t="s">
        <v>4565</v>
      </c>
      <c r="C541" s="60" t="s">
        <v>316</v>
      </c>
      <c r="D541" s="79" t="s">
        <v>5952</v>
      </c>
      <c r="E541" s="79" t="s">
        <v>5952</v>
      </c>
      <c r="F541" s="83">
        <v>36000.0</v>
      </c>
      <c r="G541" s="79">
        <v>914.0</v>
      </c>
      <c r="H541" s="83">
        <v>1125.0</v>
      </c>
      <c r="I541" s="79" t="s">
        <v>6531</v>
      </c>
      <c r="J541" s="79" t="s">
        <v>7246</v>
      </c>
      <c r="K541" s="80" t="s">
        <v>7247</v>
      </c>
      <c r="M541" s="81"/>
      <c r="N541" s="81"/>
      <c r="O541" s="81"/>
      <c r="P541" s="81"/>
      <c r="Q541" s="81"/>
      <c r="R541" s="81"/>
    </row>
    <row r="542">
      <c r="A542" s="60" t="s">
        <v>7210</v>
      </c>
      <c r="B542" s="60" t="s">
        <v>4565</v>
      </c>
      <c r="C542" s="60" t="s">
        <v>316</v>
      </c>
      <c r="D542" s="79" t="s">
        <v>5952</v>
      </c>
      <c r="E542" s="79" t="s">
        <v>5952</v>
      </c>
      <c r="F542" s="83">
        <v>36000.0</v>
      </c>
      <c r="G542" s="79">
        <v>914.0</v>
      </c>
      <c r="H542" s="83">
        <v>1188.0</v>
      </c>
      <c r="I542" s="79" t="s">
        <v>6732</v>
      </c>
      <c r="J542" s="79" t="s">
        <v>7248</v>
      </c>
      <c r="K542" s="80" t="s">
        <v>7249</v>
      </c>
      <c r="M542" s="81"/>
      <c r="N542" s="81"/>
      <c r="O542" s="81"/>
      <c r="P542" s="81"/>
      <c r="Q542" s="81"/>
      <c r="R542" s="81"/>
    </row>
    <row r="543">
      <c r="A543" s="60" t="s">
        <v>7210</v>
      </c>
      <c r="B543" s="60" t="s">
        <v>4565</v>
      </c>
      <c r="C543" s="60" t="s">
        <v>316</v>
      </c>
      <c r="D543" s="79" t="s">
        <v>5952</v>
      </c>
      <c r="E543" s="79" t="s">
        <v>5952</v>
      </c>
      <c r="F543" s="83">
        <v>36000.0</v>
      </c>
      <c r="G543" s="79">
        <v>914.0</v>
      </c>
      <c r="H543" s="83">
        <v>1250.0</v>
      </c>
      <c r="I543" s="79" t="s">
        <v>6534</v>
      </c>
      <c r="J543" s="79" t="s">
        <v>7250</v>
      </c>
      <c r="K543" s="80" t="s">
        <v>7251</v>
      </c>
      <c r="M543" s="81"/>
      <c r="N543" s="81"/>
      <c r="O543" s="81"/>
      <c r="P543" s="81"/>
      <c r="Q543" s="81"/>
      <c r="R543" s="81"/>
    </row>
    <row r="544">
      <c r="A544" s="60" t="s">
        <v>7252</v>
      </c>
      <c r="B544" s="60" t="s">
        <v>7253</v>
      </c>
      <c r="C544" s="60" t="s">
        <v>7254</v>
      </c>
      <c r="D544" s="79" t="s">
        <v>5952</v>
      </c>
      <c r="E544" s="79" t="s">
        <v>5952</v>
      </c>
      <c r="F544" s="83">
        <v>38000.0</v>
      </c>
      <c r="G544" s="79">
        <v>965.0</v>
      </c>
      <c r="H544" s="79" t="s">
        <v>1213</v>
      </c>
      <c r="I544" s="79" t="s">
        <v>6303</v>
      </c>
      <c r="J544" s="79" t="s">
        <v>7255</v>
      </c>
      <c r="K544" s="80" t="s">
        <v>7256</v>
      </c>
      <c r="M544" s="81"/>
      <c r="N544" s="81"/>
      <c r="O544" s="81"/>
      <c r="P544" s="81"/>
      <c r="Q544" s="81"/>
      <c r="R544" s="81"/>
    </row>
    <row r="545">
      <c r="A545" s="60" t="s">
        <v>7252</v>
      </c>
      <c r="B545" s="60" t="s">
        <v>7253</v>
      </c>
      <c r="C545" s="60" t="s">
        <v>7254</v>
      </c>
      <c r="D545" s="79" t="s">
        <v>5952</v>
      </c>
      <c r="E545" s="79" t="s">
        <v>5952</v>
      </c>
      <c r="F545" s="83">
        <v>38000.0</v>
      </c>
      <c r="G545" s="79">
        <v>965.0</v>
      </c>
      <c r="H545" s="79" t="s">
        <v>1111</v>
      </c>
      <c r="I545" s="79" t="s">
        <v>6165</v>
      </c>
      <c r="J545" s="79" t="s">
        <v>7257</v>
      </c>
      <c r="K545" s="80" t="s">
        <v>7258</v>
      </c>
      <c r="M545" s="81"/>
      <c r="N545" s="81"/>
      <c r="O545" s="81"/>
      <c r="P545" s="81"/>
      <c r="Q545" s="81"/>
      <c r="R545" s="81"/>
    </row>
    <row r="546">
      <c r="A546" s="60" t="s">
        <v>7252</v>
      </c>
      <c r="B546" s="60" t="s">
        <v>7253</v>
      </c>
      <c r="C546" s="60" t="s">
        <v>7254</v>
      </c>
      <c r="D546" s="79" t="s">
        <v>5962</v>
      </c>
      <c r="E546" s="79" t="s">
        <v>5952</v>
      </c>
      <c r="F546" s="83">
        <v>38000.0</v>
      </c>
      <c r="G546" s="79">
        <v>965.0</v>
      </c>
      <c r="H546" s="79" t="s">
        <v>6207</v>
      </c>
      <c r="I546" s="79" t="s">
        <v>6208</v>
      </c>
      <c r="J546" s="79" t="s">
        <v>7259</v>
      </c>
      <c r="K546" s="80" t="s">
        <v>7260</v>
      </c>
      <c r="M546" s="81"/>
      <c r="N546" s="81"/>
      <c r="O546" s="81"/>
      <c r="P546" s="81"/>
      <c r="Q546" s="81"/>
      <c r="R546" s="81"/>
    </row>
    <row r="547">
      <c r="A547" s="60" t="s">
        <v>7252</v>
      </c>
      <c r="B547" s="60" t="s">
        <v>7253</v>
      </c>
      <c r="C547" s="60" t="s">
        <v>7254</v>
      </c>
      <c r="D547" s="79" t="s">
        <v>5952</v>
      </c>
      <c r="E547" s="79" t="s">
        <v>5952</v>
      </c>
      <c r="F547" s="83">
        <v>38000.0</v>
      </c>
      <c r="G547" s="79">
        <v>965.0</v>
      </c>
      <c r="H547" s="79" t="s">
        <v>6442</v>
      </c>
      <c r="I547" s="79" t="s">
        <v>6443</v>
      </c>
      <c r="J547" s="79" t="s">
        <v>7261</v>
      </c>
      <c r="K547" s="80" t="s">
        <v>7262</v>
      </c>
      <c r="M547" s="81"/>
      <c r="N547" s="81"/>
      <c r="O547" s="81"/>
      <c r="P547" s="81"/>
      <c r="Q547" s="81"/>
      <c r="R547" s="81"/>
    </row>
    <row r="548">
      <c r="A548" s="60" t="s">
        <v>7252</v>
      </c>
      <c r="B548" s="60" t="s">
        <v>7253</v>
      </c>
      <c r="C548" s="60" t="s">
        <v>7254</v>
      </c>
      <c r="D548" s="79" t="s">
        <v>5952</v>
      </c>
      <c r="E548" s="79" t="s">
        <v>5952</v>
      </c>
      <c r="F548" s="83">
        <v>38000.0</v>
      </c>
      <c r="G548" s="79">
        <v>965.0</v>
      </c>
      <c r="H548" s="79" t="s">
        <v>6243</v>
      </c>
      <c r="I548" s="79" t="s">
        <v>6244</v>
      </c>
      <c r="J548" s="79" t="s">
        <v>7263</v>
      </c>
      <c r="K548" s="80" t="s">
        <v>7264</v>
      </c>
      <c r="M548" s="81"/>
      <c r="N548" s="81"/>
      <c r="O548" s="81"/>
      <c r="P548" s="81"/>
      <c r="Q548" s="81"/>
      <c r="R548" s="81"/>
    </row>
    <row r="549">
      <c r="A549" s="60" t="s">
        <v>7252</v>
      </c>
      <c r="B549" s="60" t="s">
        <v>7253</v>
      </c>
      <c r="C549" s="60" t="s">
        <v>7254</v>
      </c>
      <c r="D549" s="79" t="s">
        <v>5952</v>
      </c>
      <c r="E549" s="79" t="s">
        <v>5952</v>
      </c>
      <c r="F549" s="83">
        <v>38000.0</v>
      </c>
      <c r="G549" s="79">
        <v>965.0</v>
      </c>
      <c r="H549" s="79" t="s">
        <v>1196</v>
      </c>
      <c r="I549" s="79" t="s">
        <v>6628</v>
      </c>
      <c r="J549" s="79" t="s">
        <v>7265</v>
      </c>
      <c r="K549" s="80" t="s">
        <v>7266</v>
      </c>
      <c r="M549" s="81"/>
      <c r="N549" s="81"/>
      <c r="O549" s="81"/>
      <c r="P549" s="81"/>
      <c r="Q549" s="81"/>
      <c r="R549" s="81"/>
    </row>
    <row r="550">
      <c r="A550" s="60" t="s">
        <v>7252</v>
      </c>
      <c r="B550" s="60" t="s">
        <v>7253</v>
      </c>
      <c r="C550" s="60" t="s">
        <v>7254</v>
      </c>
      <c r="D550" s="79" t="s">
        <v>5967</v>
      </c>
      <c r="E550" s="79" t="s">
        <v>5952</v>
      </c>
      <c r="F550" s="83">
        <v>38000.0</v>
      </c>
      <c r="G550" s="79">
        <v>965.0</v>
      </c>
      <c r="H550" s="79" t="s">
        <v>6345</v>
      </c>
      <c r="I550" s="79" t="s">
        <v>6346</v>
      </c>
      <c r="J550" s="79" t="s">
        <v>7267</v>
      </c>
      <c r="K550" s="80" t="s">
        <v>7268</v>
      </c>
      <c r="M550" s="81"/>
      <c r="N550" s="81"/>
      <c r="O550" s="81"/>
      <c r="P550" s="81"/>
      <c r="Q550" s="81"/>
      <c r="R550" s="81"/>
    </row>
    <row r="551">
      <c r="A551" s="60" t="s">
        <v>7252</v>
      </c>
      <c r="B551" s="60" t="s">
        <v>7253</v>
      </c>
      <c r="C551" s="60" t="s">
        <v>7254</v>
      </c>
      <c r="D551" s="79" t="s">
        <v>5952</v>
      </c>
      <c r="E551" s="79" t="s">
        <v>5952</v>
      </c>
      <c r="F551" s="83">
        <v>38000.0</v>
      </c>
      <c r="G551" s="79">
        <v>965.0</v>
      </c>
      <c r="H551" s="79" t="s">
        <v>6391</v>
      </c>
      <c r="I551" s="79" t="s">
        <v>6392</v>
      </c>
      <c r="J551" s="79" t="s">
        <v>7269</v>
      </c>
      <c r="K551" s="80" t="s">
        <v>7270</v>
      </c>
      <c r="M551" s="81"/>
      <c r="N551" s="81"/>
      <c r="O551" s="81"/>
      <c r="P551" s="81"/>
      <c r="Q551" s="81"/>
      <c r="R551" s="81"/>
    </row>
    <row r="552">
      <c r="A552" s="60" t="s">
        <v>7252</v>
      </c>
      <c r="B552" s="60" t="s">
        <v>7253</v>
      </c>
      <c r="C552" s="60" t="s">
        <v>7254</v>
      </c>
      <c r="D552" s="79" t="s">
        <v>5952</v>
      </c>
      <c r="E552" s="79" t="s">
        <v>5952</v>
      </c>
      <c r="F552" s="83">
        <v>38000.0</v>
      </c>
      <c r="G552" s="79">
        <v>965.0</v>
      </c>
      <c r="H552" s="79" t="s">
        <v>6349</v>
      </c>
      <c r="I552" s="79" t="s">
        <v>6350</v>
      </c>
      <c r="J552" s="79" t="s">
        <v>7271</v>
      </c>
      <c r="K552" s="80" t="s">
        <v>7272</v>
      </c>
      <c r="M552" s="81"/>
      <c r="N552" s="81"/>
      <c r="O552" s="81"/>
      <c r="P552" s="81"/>
      <c r="Q552" s="81"/>
      <c r="R552" s="81"/>
    </row>
    <row r="553">
      <c r="A553" s="60" t="s">
        <v>7252</v>
      </c>
      <c r="B553" s="60" t="s">
        <v>7253</v>
      </c>
      <c r="C553" s="60" t="s">
        <v>7254</v>
      </c>
      <c r="D553" s="79" t="s">
        <v>5952</v>
      </c>
      <c r="E553" s="79" t="s">
        <v>5952</v>
      </c>
      <c r="F553" s="83">
        <v>38000.0</v>
      </c>
      <c r="G553" s="79">
        <v>965.0</v>
      </c>
      <c r="H553" s="79" t="s">
        <v>6576</v>
      </c>
      <c r="I553" s="79" t="s">
        <v>6577</v>
      </c>
      <c r="J553" s="79" t="s">
        <v>7273</v>
      </c>
      <c r="K553" s="80" t="s">
        <v>7274</v>
      </c>
      <c r="M553" s="81"/>
      <c r="N553" s="81"/>
      <c r="O553" s="81"/>
      <c r="P553" s="81"/>
      <c r="Q553" s="81"/>
      <c r="R553" s="81"/>
    </row>
    <row r="554">
      <c r="A554" s="60" t="s">
        <v>7252</v>
      </c>
      <c r="B554" s="60" t="s">
        <v>7253</v>
      </c>
      <c r="C554" s="60" t="s">
        <v>7254</v>
      </c>
      <c r="D554" s="79" t="s">
        <v>5952</v>
      </c>
      <c r="E554" s="79" t="s">
        <v>5952</v>
      </c>
      <c r="F554" s="83">
        <v>38000.0</v>
      </c>
      <c r="G554" s="79">
        <v>965.0</v>
      </c>
      <c r="H554" s="79" t="s">
        <v>6353</v>
      </c>
      <c r="I554" s="79" t="s">
        <v>6354</v>
      </c>
      <c r="J554" s="79" t="s">
        <v>7275</v>
      </c>
      <c r="K554" s="80" t="s">
        <v>7276</v>
      </c>
      <c r="M554" s="81"/>
      <c r="N554" s="81"/>
      <c r="O554" s="81"/>
      <c r="P554" s="81"/>
      <c r="Q554" s="81"/>
      <c r="R554" s="81"/>
    </row>
    <row r="555">
      <c r="A555" s="60" t="s">
        <v>7252</v>
      </c>
      <c r="B555" s="60" t="s">
        <v>7253</v>
      </c>
      <c r="C555" s="60" t="s">
        <v>7254</v>
      </c>
      <c r="D555" s="79" t="s">
        <v>5952</v>
      </c>
      <c r="E555" s="79" t="s">
        <v>5952</v>
      </c>
      <c r="F555" s="83">
        <v>38000.0</v>
      </c>
      <c r="G555" s="79">
        <v>965.0</v>
      </c>
      <c r="H555" s="79" t="s">
        <v>6462</v>
      </c>
      <c r="I555" s="79" t="s">
        <v>6463</v>
      </c>
      <c r="J555" s="79" t="s">
        <v>7277</v>
      </c>
      <c r="K555" s="80" t="s">
        <v>7278</v>
      </c>
      <c r="M555" s="81"/>
      <c r="N555" s="81"/>
      <c r="O555" s="81"/>
      <c r="P555" s="81"/>
      <c r="Q555" s="81"/>
      <c r="R555" s="81"/>
    </row>
    <row r="556">
      <c r="A556" s="60" t="s">
        <v>7252</v>
      </c>
      <c r="B556" s="60" t="s">
        <v>7253</v>
      </c>
      <c r="C556" s="60" t="s">
        <v>7254</v>
      </c>
      <c r="D556" s="79" t="s">
        <v>5952</v>
      </c>
      <c r="E556" s="79" t="s">
        <v>5952</v>
      </c>
      <c r="F556" s="83">
        <v>38000.0</v>
      </c>
      <c r="G556" s="79">
        <v>965.0</v>
      </c>
      <c r="H556" s="79" t="s">
        <v>6407</v>
      </c>
      <c r="I556" s="79" t="s">
        <v>6408</v>
      </c>
      <c r="J556" s="79" t="s">
        <v>7117</v>
      </c>
      <c r="K556" s="80" t="s">
        <v>7279</v>
      </c>
      <c r="M556" s="81"/>
      <c r="N556" s="81"/>
      <c r="O556" s="81"/>
      <c r="P556" s="81"/>
      <c r="Q556" s="81"/>
      <c r="R556" s="81"/>
    </row>
    <row r="557">
      <c r="A557" s="60" t="s">
        <v>7252</v>
      </c>
      <c r="B557" s="60" t="s">
        <v>7253</v>
      </c>
      <c r="C557" s="60" t="s">
        <v>7254</v>
      </c>
      <c r="D557" s="79" t="s">
        <v>5952</v>
      </c>
      <c r="E557" s="79" t="s">
        <v>5952</v>
      </c>
      <c r="F557" s="83">
        <v>38000.0</v>
      </c>
      <c r="G557" s="79">
        <v>965.0</v>
      </c>
      <c r="H557" s="79" t="s">
        <v>6525</v>
      </c>
      <c r="I557" s="79" t="s">
        <v>6526</v>
      </c>
      <c r="J557" s="79" t="s">
        <v>7280</v>
      </c>
      <c r="K557" s="80" t="s">
        <v>7281</v>
      </c>
      <c r="M557" s="81"/>
      <c r="N557" s="81"/>
      <c r="O557" s="81"/>
      <c r="P557" s="81"/>
      <c r="Q557" s="81"/>
      <c r="R557" s="81"/>
    </row>
    <row r="558">
      <c r="A558" s="60" t="s">
        <v>7252</v>
      </c>
      <c r="B558" s="60" t="s">
        <v>7253</v>
      </c>
      <c r="C558" s="60" t="s">
        <v>7254</v>
      </c>
      <c r="D558" s="79" t="s">
        <v>5952</v>
      </c>
      <c r="E558" s="79" t="s">
        <v>5952</v>
      </c>
      <c r="F558" s="83">
        <v>38000.0</v>
      </c>
      <c r="G558" s="79">
        <v>965.0</v>
      </c>
      <c r="H558" s="83">
        <v>1000.0</v>
      </c>
      <c r="I558" s="79" t="s">
        <v>6472</v>
      </c>
      <c r="J558" s="79" t="s">
        <v>7282</v>
      </c>
      <c r="K558" s="80" t="s">
        <v>7283</v>
      </c>
      <c r="M558" s="81"/>
      <c r="N558" s="81"/>
      <c r="O558" s="81"/>
      <c r="P558" s="81"/>
      <c r="Q558" s="81"/>
      <c r="R558" s="81"/>
    </row>
    <row r="559">
      <c r="A559" s="60" t="s">
        <v>7252</v>
      </c>
      <c r="B559" s="60" t="s">
        <v>7253</v>
      </c>
      <c r="C559" s="60" t="s">
        <v>7254</v>
      </c>
      <c r="D559" s="79" t="s">
        <v>5952</v>
      </c>
      <c r="E559" s="79" t="s">
        <v>5952</v>
      </c>
      <c r="F559" s="83">
        <v>38000.0</v>
      </c>
      <c r="G559" s="79">
        <v>965.0</v>
      </c>
      <c r="H559" s="83">
        <v>1062.0</v>
      </c>
      <c r="I559" s="79" t="s">
        <v>6592</v>
      </c>
      <c r="J559" s="79" t="s">
        <v>7284</v>
      </c>
      <c r="K559" s="80" t="s">
        <v>7285</v>
      </c>
      <c r="M559" s="81"/>
      <c r="N559" s="81"/>
      <c r="O559" s="81"/>
      <c r="P559" s="81"/>
      <c r="Q559" s="81"/>
      <c r="R559" s="81"/>
    </row>
    <row r="560">
      <c r="A560" s="60" t="s">
        <v>7252</v>
      </c>
      <c r="B560" s="60" t="s">
        <v>7253</v>
      </c>
      <c r="C560" s="60" t="s">
        <v>7254</v>
      </c>
      <c r="D560" s="79" t="s">
        <v>5952</v>
      </c>
      <c r="E560" s="79" t="s">
        <v>5952</v>
      </c>
      <c r="F560" s="83">
        <v>38000.0</v>
      </c>
      <c r="G560" s="79">
        <v>965.0</v>
      </c>
      <c r="H560" s="83">
        <v>1125.0</v>
      </c>
      <c r="I560" s="79" t="s">
        <v>6531</v>
      </c>
      <c r="J560" s="79" t="s">
        <v>7286</v>
      </c>
      <c r="K560" s="80" t="s">
        <v>7287</v>
      </c>
      <c r="M560" s="81"/>
      <c r="N560" s="81"/>
      <c r="O560" s="81"/>
      <c r="P560" s="81"/>
      <c r="Q560" s="81"/>
      <c r="R560" s="81"/>
    </row>
    <row r="561">
      <c r="A561" s="60" t="s">
        <v>7252</v>
      </c>
      <c r="B561" s="60" t="s">
        <v>7253</v>
      </c>
      <c r="C561" s="60" t="s">
        <v>7254</v>
      </c>
      <c r="D561" s="79" t="s">
        <v>5952</v>
      </c>
      <c r="E561" s="79" t="s">
        <v>5952</v>
      </c>
      <c r="F561" s="83">
        <v>38000.0</v>
      </c>
      <c r="G561" s="79">
        <v>965.0</v>
      </c>
      <c r="H561" s="83">
        <v>1188.0</v>
      </c>
      <c r="I561" s="79" t="s">
        <v>6732</v>
      </c>
      <c r="J561" s="79" t="s">
        <v>7288</v>
      </c>
      <c r="K561" s="80" t="s">
        <v>7289</v>
      </c>
      <c r="M561" s="81"/>
      <c r="N561" s="81"/>
      <c r="O561" s="81"/>
      <c r="P561" s="81"/>
      <c r="Q561" s="81"/>
      <c r="R561" s="81"/>
    </row>
    <row r="562">
      <c r="A562" s="60" t="s">
        <v>7252</v>
      </c>
      <c r="B562" s="60" t="s">
        <v>7253</v>
      </c>
      <c r="C562" s="60" t="s">
        <v>7254</v>
      </c>
      <c r="D562" s="79" t="s">
        <v>5952</v>
      </c>
      <c r="E562" s="79" t="s">
        <v>5952</v>
      </c>
      <c r="F562" s="83">
        <v>38000.0</v>
      </c>
      <c r="G562" s="79">
        <v>965.0</v>
      </c>
      <c r="H562" s="83">
        <v>1250.0</v>
      </c>
      <c r="I562" s="79" t="s">
        <v>6534</v>
      </c>
      <c r="J562" s="79" t="s">
        <v>7290</v>
      </c>
      <c r="K562" s="80" t="s">
        <v>7291</v>
      </c>
      <c r="M562" s="81"/>
      <c r="N562" s="81"/>
      <c r="O562" s="81"/>
      <c r="P562" s="81"/>
      <c r="Q562" s="81"/>
      <c r="R562" s="81"/>
    </row>
    <row r="563">
      <c r="A563" s="60" t="s">
        <v>7292</v>
      </c>
      <c r="B563" s="60" t="s">
        <v>6112</v>
      </c>
      <c r="C563" s="60" t="s">
        <v>7293</v>
      </c>
      <c r="D563" s="79" t="s">
        <v>5952</v>
      </c>
      <c r="E563" s="79" t="s">
        <v>5952</v>
      </c>
      <c r="F563" s="83">
        <v>40000.0</v>
      </c>
      <c r="G563" s="79">
        <v>1016.0</v>
      </c>
      <c r="H563" s="79" t="s">
        <v>1213</v>
      </c>
      <c r="I563" s="79" t="s">
        <v>6303</v>
      </c>
      <c r="J563" s="79" t="s">
        <v>7294</v>
      </c>
      <c r="K563" s="80" t="s">
        <v>7295</v>
      </c>
      <c r="M563" s="81"/>
      <c r="N563" s="81"/>
      <c r="O563" s="81"/>
      <c r="P563" s="81"/>
      <c r="Q563" s="81"/>
      <c r="R563" s="81"/>
    </row>
    <row r="564">
      <c r="A564" s="60" t="s">
        <v>7292</v>
      </c>
      <c r="B564" s="60" t="s">
        <v>6112</v>
      </c>
      <c r="C564" s="60" t="s">
        <v>7293</v>
      </c>
      <c r="D564" s="79" t="s">
        <v>5952</v>
      </c>
      <c r="E564" s="79" t="s">
        <v>5952</v>
      </c>
      <c r="F564" s="83">
        <v>40000.0</v>
      </c>
      <c r="G564" s="79">
        <v>1016.0</v>
      </c>
      <c r="H564" s="79" t="s">
        <v>1111</v>
      </c>
      <c r="I564" s="79" t="s">
        <v>6165</v>
      </c>
      <c r="J564" s="79" t="s">
        <v>7296</v>
      </c>
      <c r="K564" s="80" t="s">
        <v>7297</v>
      </c>
      <c r="M564" s="81"/>
      <c r="N564" s="81"/>
      <c r="O564" s="81"/>
      <c r="P564" s="81"/>
      <c r="Q564" s="81"/>
      <c r="R564" s="81"/>
    </row>
    <row r="565">
      <c r="A565" s="60" t="s">
        <v>7292</v>
      </c>
      <c r="B565" s="60" t="s">
        <v>6112</v>
      </c>
      <c r="C565" s="60" t="s">
        <v>7293</v>
      </c>
      <c r="D565" s="79" t="s">
        <v>5962</v>
      </c>
      <c r="E565" s="79" t="s">
        <v>5952</v>
      </c>
      <c r="F565" s="83">
        <v>40000.0</v>
      </c>
      <c r="G565" s="79">
        <v>1016.0</v>
      </c>
      <c r="H565" s="79" t="s">
        <v>6207</v>
      </c>
      <c r="I565" s="79" t="s">
        <v>6208</v>
      </c>
      <c r="J565" s="79" t="s">
        <v>7298</v>
      </c>
      <c r="K565" s="80" t="s">
        <v>7299</v>
      </c>
      <c r="M565" s="81"/>
      <c r="N565" s="81"/>
      <c r="O565" s="81"/>
      <c r="P565" s="81"/>
      <c r="Q565" s="81"/>
      <c r="R565" s="81"/>
    </row>
    <row r="566">
      <c r="A566" s="60" t="s">
        <v>7292</v>
      </c>
      <c r="B566" s="60" t="s">
        <v>6112</v>
      </c>
      <c r="C566" s="60" t="s">
        <v>7293</v>
      </c>
      <c r="D566" s="79" t="s">
        <v>5952</v>
      </c>
      <c r="E566" s="79" t="s">
        <v>5952</v>
      </c>
      <c r="F566" s="83">
        <v>40000.0</v>
      </c>
      <c r="G566" s="79">
        <v>1016.0</v>
      </c>
      <c r="H566" s="79" t="s">
        <v>6442</v>
      </c>
      <c r="I566" s="79" t="s">
        <v>6443</v>
      </c>
      <c r="J566" s="79" t="s">
        <v>7300</v>
      </c>
      <c r="K566" s="80" t="s">
        <v>7301</v>
      </c>
      <c r="M566" s="81"/>
      <c r="N566" s="81"/>
      <c r="O566" s="81"/>
      <c r="P566" s="81"/>
      <c r="Q566" s="81"/>
      <c r="R566" s="81"/>
    </row>
    <row r="567">
      <c r="A567" s="60" t="s">
        <v>7292</v>
      </c>
      <c r="B567" s="60" t="s">
        <v>6112</v>
      </c>
      <c r="C567" s="60" t="s">
        <v>7293</v>
      </c>
      <c r="D567" s="79" t="s">
        <v>5952</v>
      </c>
      <c r="E567" s="79" t="s">
        <v>5952</v>
      </c>
      <c r="F567" s="83">
        <v>40000.0</v>
      </c>
      <c r="G567" s="79">
        <v>1016.0</v>
      </c>
      <c r="H567" s="79" t="s">
        <v>6243</v>
      </c>
      <c r="I567" s="79" t="s">
        <v>6244</v>
      </c>
      <c r="J567" s="79" t="s">
        <v>7302</v>
      </c>
      <c r="K567" s="80" t="s">
        <v>7303</v>
      </c>
      <c r="M567" s="81"/>
      <c r="N567" s="81"/>
      <c r="O567" s="81"/>
      <c r="P567" s="81"/>
      <c r="Q567" s="81"/>
      <c r="R567" s="81"/>
    </row>
    <row r="568">
      <c r="A568" s="60" t="s">
        <v>7292</v>
      </c>
      <c r="B568" s="60" t="s">
        <v>6112</v>
      </c>
      <c r="C568" s="60" t="s">
        <v>7293</v>
      </c>
      <c r="D568" s="79" t="s">
        <v>5952</v>
      </c>
      <c r="E568" s="79" t="s">
        <v>5952</v>
      </c>
      <c r="F568" s="83">
        <v>40000.0</v>
      </c>
      <c r="G568" s="79">
        <v>1016.0</v>
      </c>
      <c r="H568" s="79" t="s">
        <v>1196</v>
      </c>
      <c r="I568" s="79" t="s">
        <v>6628</v>
      </c>
      <c r="J568" s="79" t="s">
        <v>7304</v>
      </c>
      <c r="K568" s="80" t="s">
        <v>7305</v>
      </c>
      <c r="M568" s="81"/>
      <c r="N568" s="81"/>
      <c r="O568" s="81"/>
      <c r="P568" s="81"/>
      <c r="Q568" s="81"/>
      <c r="R568" s="81"/>
    </row>
    <row r="569">
      <c r="A569" s="60" t="s">
        <v>7292</v>
      </c>
      <c r="B569" s="60" t="s">
        <v>6112</v>
      </c>
      <c r="C569" s="60" t="s">
        <v>7293</v>
      </c>
      <c r="D569" s="79" t="s">
        <v>5967</v>
      </c>
      <c r="E569" s="79" t="s">
        <v>5952</v>
      </c>
      <c r="F569" s="83">
        <v>40000.0</v>
      </c>
      <c r="G569" s="79">
        <v>1016.0</v>
      </c>
      <c r="H569" s="79" t="s">
        <v>6345</v>
      </c>
      <c r="I569" s="79" t="s">
        <v>6346</v>
      </c>
      <c r="J569" s="79" t="s">
        <v>7306</v>
      </c>
      <c r="K569" s="80" t="s">
        <v>7307</v>
      </c>
      <c r="M569" s="81"/>
      <c r="N569" s="81"/>
      <c r="O569" s="81"/>
      <c r="P569" s="81"/>
      <c r="Q569" s="81"/>
      <c r="R569" s="81"/>
    </row>
    <row r="570">
      <c r="A570" s="60" t="s">
        <v>7292</v>
      </c>
      <c r="B570" s="60" t="s">
        <v>6112</v>
      </c>
      <c r="C570" s="60" t="s">
        <v>7293</v>
      </c>
      <c r="D570" s="79" t="s">
        <v>5952</v>
      </c>
      <c r="E570" s="79" t="s">
        <v>5952</v>
      </c>
      <c r="F570" s="83">
        <v>40000.0</v>
      </c>
      <c r="G570" s="79">
        <v>1016.0</v>
      </c>
      <c r="H570" s="79" t="s">
        <v>6391</v>
      </c>
      <c r="I570" s="79" t="s">
        <v>6392</v>
      </c>
      <c r="J570" s="79" t="s">
        <v>7308</v>
      </c>
      <c r="K570" s="80" t="s">
        <v>7309</v>
      </c>
      <c r="M570" s="81"/>
      <c r="N570" s="81"/>
      <c r="O570" s="81"/>
      <c r="P570" s="81"/>
      <c r="Q570" s="81"/>
      <c r="R570" s="81"/>
    </row>
    <row r="571">
      <c r="A571" s="60" t="s">
        <v>7292</v>
      </c>
      <c r="B571" s="60" t="s">
        <v>6112</v>
      </c>
      <c r="C571" s="60" t="s">
        <v>7293</v>
      </c>
      <c r="D571" s="79" t="s">
        <v>5952</v>
      </c>
      <c r="E571" s="79" t="s">
        <v>5952</v>
      </c>
      <c r="F571" s="83">
        <v>40000.0</v>
      </c>
      <c r="G571" s="79">
        <v>1016.0</v>
      </c>
      <c r="H571" s="79" t="s">
        <v>6349</v>
      </c>
      <c r="I571" s="79" t="s">
        <v>6350</v>
      </c>
      <c r="J571" s="79" t="s">
        <v>7310</v>
      </c>
      <c r="K571" s="80" t="s">
        <v>7311</v>
      </c>
      <c r="M571" s="81"/>
      <c r="N571" s="81"/>
      <c r="O571" s="81"/>
      <c r="P571" s="81"/>
      <c r="Q571" s="81"/>
      <c r="R571" s="81"/>
    </row>
    <row r="572">
      <c r="A572" s="60" t="s">
        <v>7292</v>
      </c>
      <c r="B572" s="60" t="s">
        <v>6112</v>
      </c>
      <c r="C572" s="60" t="s">
        <v>7293</v>
      </c>
      <c r="D572" s="79" t="s">
        <v>5952</v>
      </c>
      <c r="E572" s="79" t="s">
        <v>5952</v>
      </c>
      <c r="F572" s="83">
        <v>40000.0</v>
      </c>
      <c r="G572" s="79">
        <v>1016.0</v>
      </c>
      <c r="H572" s="79" t="s">
        <v>6576</v>
      </c>
      <c r="I572" s="79" t="s">
        <v>6577</v>
      </c>
      <c r="J572" s="79" t="s">
        <v>7312</v>
      </c>
      <c r="K572" s="80" t="s">
        <v>7313</v>
      </c>
      <c r="M572" s="81"/>
      <c r="N572" s="81"/>
      <c r="O572" s="81"/>
      <c r="P572" s="81"/>
      <c r="Q572" s="81"/>
      <c r="R572" s="81"/>
    </row>
    <row r="573">
      <c r="A573" s="60" t="s">
        <v>7292</v>
      </c>
      <c r="B573" s="60" t="s">
        <v>6112</v>
      </c>
      <c r="C573" s="60" t="s">
        <v>7293</v>
      </c>
      <c r="D573" s="79" t="s">
        <v>5952</v>
      </c>
      <c r="E573" s="79" t="s">
        <v>5952</v>
      </c>
      <c r="F573" s="83">
        <v>40000.0</v>
      </c>
      <c r="G573" s="79">
        <v>1016.0</v>
      </c>
      <c r="H573" s="79" t="s">
        <v>6353</v>
      </c>
      <c r="I573" s="79" t="s">
        <v>6354</v>
      </c>
      <c r="J573" s="79" t="s">
        <v>7314</v>
      </c>
      <c r="K573" s="80" t="s">
        <v>7315</v>
      </c>
      <c r="M573" s="81"/>
      <c r="N573" s="81"/>
      <c r="O573" s="81"/>
      <c r="P573" s="81"/>
      <c r="Q573" s="81"/>
      <c r="R573" s="81"/>
    </row>
    <row r="574">
      <c r="A574" s="60" t="s">
        <v>7292</v>
      </c>
      <c r="B574" s="60" t="s">
        <v>6112</v>
      </c>
      <c r="C574" s="60" t="s">
        <v>7293</v>
      </c>
      <c r="D574" s="79" t="s">
        <v>5952</v>
      </c>
      <c r="E574" s="79" t="s">
        <v>5952</v>
      </c>
      <c r="F574" s="83">
        <v>40000.0</v>
      </c>
      <c r="G574" s="79">
        <v>1016.0</v>
      </c>
      <c r="H574" s="79" t="s">
        <v>6462</v>
      </c>
      <c r="I574" s="79" t="s">
        <v>6463</v>
      </c>
      <c r="J574" s="79" t="s">
        <v>7316</v>
      </c>
      <c r="K574" s="80" t="s">
        <v>7317</v>
      </c>
      <c r="M574" s="81"/>
      <c r="N574" s="81"/>
      <c r="O574" s="81"/>
      <c r="P574" s="81"/>
      <c r="Q574" s="81"/>
      <c r="R574" s="81"/>
    </row>
    <row r="575">
      <c r="A575" s="60" t="s">
        <v>7292</v>
      </c>
      <c r="B575" s="60" t="s">
        <v>6112</v>
      </c>
      <c r="C575" s="60" t="s">
        <v>7293</v>
      </c>
      <c r="D575" s="79" t="s">
        <v>5952</v>
      </c>
      <c r="E575" s="79" t="s">
        <v>5952</v>
      </c>
      <c r="F575" s="83">
        <v>40000.0</v>
      </c>
      <c r="G575" s="79">
        <v>1016.0</v>
      </c>
      <c r="H575" s="79" t="s">
        <v>6407</v>
      </c>
      <c r="I575" s="79" t="s">
        <v>6408</v>
      </c>
      <c r="J575" s="79" t="s">
        <v>7318</v>
      </c>
      <c r="K575" s="80" t="s">
        <v>7319</v>
      </c>
      <c r="M575" s="81"/>
      <c r="N575" s="81"/>
      <c r="O575" s="81"/>
      <c r="P575" s="81"/>
      <c r="Q575" s="81"/>
      <c r="R575" s="81"/>
    </row>
    <row r="576">
      <c r="A576" s="60" t="s">
        <v>7292</v>
      </c>
      <c r="B576" s="60" t="s">
        <v>6112</v>
      </c>
      <c r="C576" s="60" t="s">
        <v>7293</v>
      </c>
      <c r="D576" s="79" t="s">
        <v>5952</v>
      </c>
      <c r="E576" s="79" t="s">
        <v>5952</v>
      </c>
      <c r="F576" s="83">
        <v>40000.0</v>
      </c>
      <c r="G576" s="79">
        <v>1016.0</v>
      </c>
      <c r="H576" s="79" t="s">
        <v>6525</v>
      </c>
      <c r="I576" s="79" t="s">
        <v>6526</v>
      </c>
      <c r="J576" s="79" t="s">
        <v>7320</v>
      </c>
      <c r="K576" s="80" t="s">
        <v>7321</v>
      </c>
      <c r="M576" s="81"/>
      <c r="N576" s="81"/>
      <c r="O576" s="81"/>
      <c r="P576" s="81"/>
      <c r="Q576" s="81"/>
      <c r="R576" s="81"/>
    </row>
    <row r="577">
      <c r="A577" s="60" t="s">
        <v>7292</v>
      </c>
      <c r="B577" s="60" t="s">
        <v>6112</v>
      </c>
      <c r="C577" s="60" t="s">
        <v>7293</v>
      </c>
      <c r="D577" s="79" t="s">
        <v>5952</v>
      </c>
      <c r="E577" s="79" t="s">
        <v>5952</v>
      </c>
      <c r="F577" s="83">
        <v>40000.0</v>
      </c>
      <c r="G577" s="79">
        <v>1016.0</v>
      </c>
      <c r="H577" s="83">
        <v>1000.0</v>
      </c>
      <c r="I577" s="79" t="s">
        <v>6472</v>
      </c>
      <c r="J577" s="79" t="s">
        <v>7322</v>
      </c>
      <c r="K577" s="80" t="s">
        <v>7323</v>
      </c>
      <c r="M577" s="81"/>
      <c r="N577" s="81"/>
      <c r="O577" s="81"/>
      <c r="P577" s="81"/>
      <c r="Q577" s="81"/>
      <c r="R577" s="81"/>
    </row>
    <row r="578">
      <c r="A578" s="60" t="s">
        <v>7292</v>
      </c>
      <c r="B578" s="60" t="s">
        <v>6112</v>
      </c>
      <c r="C578" s="60" t="s">
        <v>7293</v>
      </c>
      <c r="D578" s="79" t="s">
        <v>5952</v>
      </c>
      <c r="E578" s="79" t="s">
        <v>5952</v>
      </c>
      <c r="F578" s="83">
        <v>40000.0</v>
      </c>
      <c r="G578" s="79">
        <v>1016.0</v>
      </c>
      <c r="H578" s="83">
        <v>1062.0</v>
      </c>
      <c r="I578" s="79" t="s">
        <v>6592</v>
      </c>
      <c r="J578" s="79" t="s">
        <v>7324</v>
      </c>
      <c r="K578" s="80" t="s">
        <v>7325</v>
      </c>
      <c r="M578" s="81"/>
      <c r="N578" s="81"/>
      <c r="O578" s="81"/>
      <c r="P578" s="81"/>
      <c r="Q578" s="81"/>
      <c r="R578" s="81"/>
    </row>
    <row r="579">
      <c r="A579" s="60" t="s">
        <v>7292</v>
      </c>
      <c r="B579" s="60" t="s">
        <v>6112</v>
      </c>
      <c r="C579" s="60" t="s">
        <v>7293</v>
      </c>
      <c r="D579" s="79" t="s">
        <v>5952</v>
      </c>
      <c r="E579" s="79" t="s">
        <v>5952</v>
      </c>
      <c r="F579" s="83">
        <v>40000.0</v>
      </c>
      <c r="G579" s="79">
        <v>1016.0</v>
      </c>
      <c r="H579" s="83">
        <v>1125.0</v>
      </c>
      <c r="I579" s="79" t="s">
        <v>6531</v>
      </c>
      <c r="J579" s="79" t="s">
        <v>7326</v>
      </c>
      <c r="K579" s="80" t="s">
        <v>7327</v>
      </c>
      <c r="M579" s="82"/>
      <c r="N579" s="81"/>
      <c r="O579" s="81"/>
      <c r="P579" s="81"/>
      <c r="Q579" s="81"/>
      <c r="R579" s="81"/>
    </row>
    <row r="580">
      <c r="A580" s="60" t="s">
        <v>7292</v>
      </c>
      <c r="B580" s="60" t="s">
        <v>6112</v>
      </c>
      <c r="C580" s="60" t="s">
        <v>7293</v>
      </c>
      <c r="D580" s="79" t="s">
        <v>5952</v>
      </c>
      <c r="E580" s="79" t="s">
        <v>5952</v>
      </c>
      <c r="F580" s="83">
        <v>40000.0</v>
      </c>
      <c r="G580" s="79">
        <v>1016.0</v>
      </c>
      <c r="H580" s="83">
        <v>1188.0</v>
      </c>
      <c r="I580" s="79" t="s">
        <v>6732</v>
      </c>
      <c r="J580" s="79" t="s">
        <v>7328</v>
      </c>
      <c r="K580" s="80" t="s">
        <v>7329</v>
      </c>
    </row>
    <row r="581">
      <c r="A581" s="60" t="s">
        <v>7292</v>
      </c>
      <c r="B581" s="60" t="s">
        <v>6112</v>
      </c>
      <c r="C581" s="60" t="s">
        <v>7293</v>
      </c>
      <c r="D581" s="79" t="s">
        <v>5952</v>
      </c>
      <c r="E581" s="79" t="s">
        <v>5952</v>
      </c>
      <c r="F581" s="83">
        <v>40000.0</v>
      </c>
      <c r="G581" s="79">
        <v>1016.0</v>
      </c>
      <c r="H581" s="83">
        <v>1250.0</v>
      </c>
      <c r="I581" s="79" t="s">
        <v>6534</v>
      </c>
      <c r="J581" s="79" t="s">
        <v>7330</v>
      </c>
      <c r="K581" s="80" t="s">
        <v>7331</v>
      </c>
    </row>
    <row r="582">
      <c r="A582" s="60" t="s">
        <v>7332</v>
      </c>
      <c r="B582" s="60" t="s">
        <v>7333</v>
      </c>
      <c r="C582" s="60" t="s">
        <v>597</v>
      </c>
      <c r="D582" s="79" t="s">
        <v>5952</v>
      </c>
      <c r="E582" s="79" t="s">
        <v>5952</v>
      </c>
      <c r="F582" s="83">
        <v>42000.0</v>
      </c>
      <c r="G582" s="79">
        <v>1067.0</v>
      </c>
      <c r="H582" s="79" t="s">
        <v>1111</v>
      </c>
      <c r="I582" s="79" t="s">
        <v>6165</v>
      </c>
      <c r="J582" s="79" t="s">
        <v>7334</v>
      </c>
      <c r="K582" s="80" t="s">
        <v>7335</v>
      </c>
    </row>
    <row r="583">
      <c r="A583" s="60" t="s">
        <v>7332</v>
      </c>
      <c r="B583" s="60" t="s">
        <v>7333</v>
      </c>
      <c r="C583" s="60" t="s">
        <v>597</v>
      </c>
      <c r="D583" s="79" t="s">
        <v>5962</v>
      </c>
      <c r="E583" s="79" t="s">
        <v>5952</v>
      </c>
      <c r="F583" s="83">
        <v>42000.0</v>
      </c>
      <c r="G583" s="79">
        <v>1067.0</v>
      </c>
      <c r="H583" s="79" t="s">
        <v>6207</v>
      </c>
      <c r="I583" s="79" t="s">
        <v>6208</v>
      </c>
      <c r="J583" s="79" t="s">
        <v>7336</v>
      </c>
      <c r="K583" s="80" t="s">
        <v>7337</v>
      </c>
    </row>
    <row r="584">
      <c r="A584" s="60" t="s">
        <v>7332</v>
      </c>
      <c r="B584" s="60" t="s">
        <v>7333</v>
      </c>
      <c r="C584" s="60" t="s">
        <v>597</v>
      </c>
      <c r="D584" s="79" t="s">
        <v>5952</v>
      </c>
      <c r="E584" s="79" t="s">
        <v>5952</v>
      </c>
      <c r="F584" s="83">
        <v>42000.0</v>
      </c>
      <c r="G584" s="79">
        <v>1067.0</v>
      </c>
      <c r="H584" s="79" t="s">
        <v>6442</v>
      </c>
      <c r="I584" s="79" t="s">
        <v>6443</v>
      </c>
      <c r="J584" s="79" t="s">
        <v>7338</v>
      </c>
      <c r="K584" s="80" t="s">
        <v>7339</v>
      </c>
    </row>
    <row r="585">
      <c r="A585" s="60" t="s">
        <v>7332</v>
      </c>
      <c r="B585" s="60" t="s">
        <v>7333</v>
      </c>
      <c r="C585" s="60" t="s">
        <v>597</v>
      </c>
      <c r="D585" s="79" t="s">
        <v>5952</v>
      </c>
      <c r="E585" s="79" t="s">
        <v>5952</v>
      </c>
      <c r="F585" s="83">
        <v>42000.0</v>
      </c>
      <c r="G585" s="79">
        <v>1067.0</v>
      </c>
      <c r="H585" s="79" t="s">
        <v>6243</v>
      </c>
      <c r="I585" s="79" t="s">
        <v>6244</v>
      </c>
      <c r="J585" s="79" t="s">
        <v>7340</v>
      </c>
      <c r="K585" s="80" t="s">
        <v>7341</v>
      </c>
    </row>
    <row r="586">
      <c r="A586" s="60" t="s">
        <v>7332</v>
      </c>
      <c r="B586" s="60" t="s">
        <v>7333</v>
      </c>
      <c r="C586" s="60" t="s">
        <v>597</v>
      </c>
      <c r="D586" s="79" t="s">
        <v>5952</v>
      </c>
      <c r="E586" s="79" t="s">
        <v>5952</v>
      </c>
      <c r="F586" s="83">
        <v>42000.0</v>
      </c>
      <c r="G586" s="79">
        <v>1067.0</v>
      </c>
      <c r="H586" s="79" t="s">
        <v>1196</v>
      </c>
      <c r="I586" s="79" t="s">
        <v>6628</v>
      </c>
      <c r="J586" s="79" t="s">
        <v>7342</v>
      </c>
      <c r="K586" s="80" t="s">
        <v>7343</v>
      </c>
    </row>
    <row r="587">
      <c r="A587" s="60" t="s">
        <v>7332</v>
      </c>
      <c r="B587" s="60" t="s">
        <v>7333</v>
      </c>
      <c r="C587" s="60" t="s">
        <v>597</v>
      </c>
      <c r="D587" s="79" t="s">
        <v>5967</v>
      </c>
      <c r="E587" s="79" t="s">
        <v>5952</v>
      </c>
      <c r="F587" s="83">
        <v>42000.0</v>
      </c>
      <c r="G587" s="79">
        <v>1067.0</v>
      </c>
      <c r="H587" s="79" t="s">
        <v>6345</v>
      </c>
      <c r="I587" s="79" t="s">
        <v>6346</v>
      </c>
      <c r="J587" s="79" t="s">
        <v>7344</v>
      </c>
      <c r="K587" s="80" t="s">
        <v>7345</v>
      </c>
    </row>
    <row r="588">
      <c r="A588" s="60" t="s">
        <v>7332</v>
      </c>
      <c r="B588" s="60" t="s">
        <v>7333</v>
      </c>
      <c r="C588" s="60" t="s">
        <v>597</v>
      </c>
      <c r="D588" s="79" t="s">
        <v>5952</v>
      </c>
      <c r="E588" s="79" t="s">
        <v>5952</v>
      </c>
      <c r="F588" s="83">
        <v>42000.0</v>
      </c>
      <c r="G588" s="79">
        <v>1067.0</v>
      </c>
      <c r="H588" s="79" t="s">
        <v>6391</v>
      </c>
      <c r="I588" s="79" t="s">
        <v>6392</v>
      </c>
      <c r="J588" s="79" t="s">
        <v>7346</v>
      </c>
      <c r="K588" s="80" t="s">
        <v>7347</v>
      </c>
    </row>
    <row r="589">
      <c r="A589" s="60" t="s">
        <v>7332</v>
      </c>
      <c r="B589" s="60" t="s">
        <v>7333</v>
      </c>
      <c r="C589" s="60" t="s">
        <v>597</v>
      </c>
      <c r="D589" s="79" t="s">
        <v>5952</v>
      </c>
      <c r="E589" s="79" t="s">
        <v>5952</v>
      </c>
      <c r="F589" s="83">
        <v>42000.0</v>
      </c>
      <c r="G589" s="79">
        <v>1067.0</v>
      </c>
      <c r="H589" s="79" t="s">
        <v>6349</v>
      </c>
      <c r="I589" s="79" t="s">
        <v>6350</v>
      </c>
      <c r="J589" s="79" t="s">
        <v>7348</v>
      </c>
      <c r="K589" s="80" t="s">
        <v>7349</v>
      </c>
    </row>
    <row r="590">
      <c r="A590" s="60" t="s">
        <v>7332</v>
      </c>
      <c r="B590" s="60" t="s">
        <v>7333</v>
      </c>
      <c r="C590" s="60" t="s">
        <v>597</v>
      </c>
      <c r="D590" s="79" t="s">
        <v>5952</v>
      </c>
      <c r="E590" s="79" t="s">
        <v>5952</v>
      </c>
      <c r="F590" s="83">
        <v>42000.0</v>
      </c>
      <c r="G590" s="79">
        <v>1067.0</v>
      </c>
      <c r="H590" s="79" t="s">
        <v>6576</v>
      </c>
      <c r="I590" s="79" t="s">
        <v>6577</v>
      </c>
      <c r="J590" s="79" t="s">
        <v>7350</v>
      </c>
      <c r="K590" s="80" t="s">
        <v>7351</v>
      </c>
    </row>
    <row r="591">
      <c r="A591" s="60" t="s">
        <v>7332</v>
      </c>
      <c r="B591" s="60" t="s">
        <v>7333</v>
      </c>
      <c r="C591" s="60" t="s">
        <v>597</v>
      </c>
      <c r="D591" s="79" t="s">
        <v>5952</v>
      </c>
      <c r="E591" s="79" t="s">
        <v>5952</v>
      </c>
      <c r="F591" s="83">
        <v>42000.0</v>
      </c>
      <c r="G591" s="79">
        <v>1067.0</v>
      </c>
      <c r="H591" s="79" t="s">
        <v>6353</v>
      </c>
      <c r="I591" s="79" t="s">
        <v>6354</v>
      </c>
      <c r="J591" s="79" t="s">
        <v>7352</v>
      </c>
      <c r="K591" s="80" t="s">
        <v>7353</v>
      </c>
    </row>
    <row r="592">
      <c r="A592" s="60" t="s">
        <v>7332</v>
      </c>
      <c r="B592" s="60" t="s">
        <v>7333</v>
      </c>
      <c r="C592" s="60" t="s">
        <v>597</v>
      </c>
      <c r="D592" s="79" t="s">
        <v>5952</v>
      </c>
      <c r="E592" s="79" t="s">
        <v>5952</v>
      </c>
      <c r="F592" s="83">
        <v>42000.0</v>
      </c>
      <c r="G592" s="79">
        <v>1067.0</v>
      </c>
      <c r="H592" s="79" t="s">
        <v>6462</v>
      </c>
      <c r="I592" s="79" t="s">
        <v>6463</v>
      </c>
      <c r="J592" s="79" t="s">
        <v>7354</v>
      </c>
      <c r="K592" s="80" t="s">
        <v>7355</v>
      </c>
    </row>
    <row r="593">
      <c r="A593" s="60" t="s">
        <v>7332</v>
      </c>
      <c r="B593" s="60" t="s">
        <v>7333</v>
      </c>
      <c r="C593" s="60" t="s">
        <v>597</v>
      </c>
      <c r="D593" s="79" t="s">
        <v>5952</v>
      </c>
      <c r="E593" s="79" t="s">
        <v>5952</v>
      </c>
      <c r="F593" s="83">
        <v>42000.0</v>
      </c>
      <c r="G593" s="79">
        <v>1067.0</v>
      </c>
      <c r="H593" s="79" t="s">
        <v>6407</v>
      </c>
      <c r="I593" s="79" t="s">
        <v>6408</v>
      </c>
      <c r="J593" s="79" t="s">
        <v>7356</v>
      </c>
      <c r="K593" s="80" t="s">
        <v>7357</v>
      </c>
    </row>
    <row r="594">
      <c r="A594" s="60" t="s">
        <v>7332</v>
      </c>
      <c r="B594" s="60" t="s">
        <v>7333</v>
      </c>
      <c r="C594" s="60" t="s">
        <v>597</v>
      </c>
      <c r="D594" s="79" t="s">
        <v>5952</v>
      </c>
      <c r="E594" s="79" t="s">
        <v>5952</v>
      </c>
      <c r="F594" s="83">
        <v>42000.0</v>
      </c>
      <c r="G594" s="79">
        <v>1067.0</v>
      </c>
      <c r="H594" s="79" t="s">
        <v>6525</v>
      </c>
      <c r="I594" s="79" t="s">
        <v>6526</v>
      </c>
      <c r="J594" s="79" t="s">
        <v>7358</v>
      </c>
      <c r="K594" s="80" t="s">
        <v>7359</v>
      </c>
    </row>
    <row r="595">
      <c r="A595" s="60" t="s">
        <v>7332</v>
      </c>
      <c r="B595" s="60" t="s">
        <v>7333</v>
      </c>
      <c r="C595" s="60" t="s">
        <v>597</v>
      </c>
      <c r="D595" s="79" t="s">
        <v>5952</v>
      </c>
      <c r="E595" s="79" t="s">
        <v>5952</v>
      </c>
      <c r="F595" s="83">
        <v>42000.0</v>
      </c>
      <c r="G595" s="79">
        <v>1067.0</v>
      </c>
      <c r="H595" s="83">
        <v>1000.0</v>
      </c>
      <c r="I595" s="79" t="s">
        <v>6472</v>
      </c>
      <c r="J595" s="79" t="s">
        <v>7360</v>
      </c>
      <c r="K595" s="80" t="s">
        <v>7361</v>
      </c>
    </row>
    <row r="596">
      <c r="A596" s="60" t="s">
        <v>7332</v>
      </c>
      <c r="B596" s="60" t="s">
        <v>7333</v>
      </c>
      <c r="C596" s="60" t="s">
        <v>597</v>
      </c>
      <c r="D596" s="79" t="s">
        <v>5952</v>
      </c>
      <c r="E596" s="79" t="s">
        <v>5952</v>
      </c>
      <c r="F596" s="83">
        <v>42000.0</v>
      </c>
      <c r="G596" s="79">
        <v>1067.0</v>
      </c>
      <c r="H596" s="83">
        <v>1062.0</v>
      </c>
      <c r="I596" s="79" t="s">
        <v>6592</v>
      </c>
      <c r="J596" s="79" t="s">
        <v>7362</v>
      </c>
      <c r="K596" s="80" t="s">
        <v>7363</v>
      </c>
    </row>
    <row r="597">
      <c r="A597" s="60" t="s">
        <v>7332</v>
      </c>
      <c r="B597" s="60" t="s">
        <v>7333</v>
      </c>
      <c r="C597" s="60" t="s">
        <v>597</v>
      </c>
      <c r="D597" s="79" t="s">
        <v>5952</v>
      </c>
      <c r="E597" s="79" t="s">
        <v>5952</v>
      </c>
      <c r="F597" s="83">
        <v>42000.0</v>
      </c>
      <c r="G597" s="79">
        <v>1067.0</v>
      </c>
      <c r="H597" s="83">
        <v>1125.0</v>
      </c>
      <c r="I597" s="79" t="s">
        <v>6531</v>
      </c>
      <c r="J597" s="79" t="s">
        <v>7364</v>
      </c>
      <c r="K597" s="80" t="s">
        <v>7365</v>
      </c>
    </row>
    <row r="598">
      <c r="A598" s="60" t="s">
        <v>7332</v>
      </c>
      <c r="B598" s="60" t="s">
        <v>7333</v>
      </c>
      <c r="C598" s="60" t="s">
        <v>597</v>
      </c>
      <c r="D598" s="79" t="s">
        <v>5952</v>
      </c>
      <c r="E598" s="79" t="s">
        <v>5952</v>
      </c>
      <c r="F598" s="83">
        <v>42000.0</v>
      </c>
      <c r="G598" s="79">
        <v>1067.0</v>
      </c>
      <c r="H598" s="83">
        <v>1188.0</v>
      </c>
      <c r="I598" s="79" t="s">
        <v>6732</v>
      </c>
      <c r="J598" s="79" t="s">
        <v>7366</v>
      </c>
      <c r="K598" s="80" t="s">
        <v>7367</v>
      </c>
    </row>
    <row r="599">
      <c r="A599" s="60" t="s">
        <v>7332</v>
      </c>
      <c r="B599" s="60" t="s">
        <v>7333</v>
      </c>
      <c r="C599" s="60" t="s">
        <v>597</v>
      </c>
      <c r="D599" s="79" t="s">
        <v>5952</v>
      </c>
      <c r="E599" s="79" t="s">
        <v>5952</v>
      </c>
      <c r="F599" s="83">
        <v>42000.0</v>
      </c>
      <c r="G599" s="79">
        <v>1067.0</v>
      </c>
      <c r="H599" s="83">
        <v>1250.0</v>
      </c>
      <c r="I599" s="79" t="s">
        <v>6534</v>
      </c>
      <c r="J599" s="79" t="s">
        <v>7368</v>
      </c>
      <c r="K599" s="80" t="s">
        <v>7369</v>
      </c>
    </row>
    <row r="600">
      <c r="A600" s="60" t="s">
        <v>7370</v>
      </c>
      <c r="B600" s="60" t="s">
        <v>7371</v>
      </c>
      <c r="C600" s="60" t="s">
        <v>7372</v>
      </c>
      <c r="D600" s="79" t="s">
        <v>5952</v>
      </c>
      <c r="E600" s="79" t="s">
        <v>5952</v>
      </c>
      <c r="F600" s="83">
        <v>44000.0</v>
      </c>
      <c r="G600" s="79">
        <v>1118.0</v>
      </c>
      <c r="H600" s="79" t="s">
        <v>1111</v>
      </c>
      <c r="I600" s="79" t="s">
        <v>6165</v>
      </c>
      <c r="J600" s="79" t="s">
        <v>7373</v>
      </c>
      <c r="K600" s="80" t="s">
        <v>7374</v>
      </c>
    </row>
    <row r="601">
      <c r="A601" s="60" t="s">
        <v>7370</v>
      </c>
      <c r="B601" s="60" t="s">
        <v>7371</v>
      </c>
      <c r="C601" s="60" t="s">
        <v>7372</v>
      </c>
      <c r="D601" s="79" t="s">
        <v>5962</v>
      </c>
      <c r="E601" s="79" t="s">
        <v>5952</v>
      </c>
      <c r="F601" s="83">
        <v>44000.0</v>
      </c>
      <c r="G601" s="79">
        <v>1118.0</v>
      </c>
      <c r="H601" s="79" t="s">
        <v>6207</v>
      </c>
      <c r="I601" s="79" t="s">
        <v>6208</v>
      </c>
      <c r="J601" s="79" t="s">
        <v>7375</v>
      </c>
      <c r="K601" s="80" t="s">
        <v>7376</v>
      </c>
    </row>
    <row r="602">
      <c r="A602" s="60" t="s">
        <v>7370</v>
      </c>
      <c r="B602" s="60" t="s">
        <v>7371</v>
      </c>
      <c r="C602" s="60" t="s">
        <v>7372</v>
      </c>
      <c r="D602" s="79" t="s">
        <v>5952</v>
      </c>
      <c r="E602" s="79" t="s">
        <v>5952</v>
      </c>
      <c r="F602" s="83">
        <v>44000.0</v>
      </c>
      <c r="G602" s="79">
        <v>1118.0</v>
      </c>
      <c r="H602" s="79" t="s">
        <v>6442</v>
      </c>
      <c r="I602" s="79" t="s">
        <v>6443</v>
      </c>
      <c r="J602" s="79" t="s">
        <v>7377</v>
      </c>
      <c r="K602" s="80" t="s">
        <v>7378</v>
      </c>
    </row>
    <row r="603">
      <c r="A603" s="60" t="s">
        <v>7370</v>
      </c>
      <c r="B603" s="60" t="s">
        <v>7371</v>
      </c>
      <c r="C603" s="60" t="s">
        <v>7372</v>
      </c>
      <c r="D603" s="79" t="s">
        <v>5952</v>
      </c>
      <c r="E603" s="79" t="s">
        <v>5952</v>
      </c>
      <c r="F603" s="83">
        <v>44000.0</v>
      </c>
      <c r="G603" s="79">
        <v>1118.0</v>
      </c>
      <c r="H603" s="79" t="s">
        <v>6243</v>
      </c>
      <c r="I603" s="79" t="s">
        <v>6244</v>
      </c>
      <c r="J603" s="79" t="s">
        <v>7379</v>
      </c>
      <c r="K603" s="80" t="s">
        <v>7380</v>
      </c>
    </row>
    <row r="604">
      <c r="A604" s="60" t="s">
        <v>7370</v>
      </c>
      <c r="B604" s="60" t="s">
        <v>7371</v>
      </c>
      <c r="C604" s="60" t="s">
        <v>7372</v>
      </c>
      <c r="D604" s="79" t="s">
        <v>5952</v>
      </c>
      <c r="E604" s="79" t="s">
        <v>5952</v>
      </c>
      <c r="F604" s="83">
        <v>44000.0</v>
      </c>
      <c r="G604" s="79">
        <v>1118.0</v>
      </c>
      <c r="H604" s="79" t="s">
        <v>1196</v>
      </c>
      <c r="I604" s="79" t="s">
        <v>6628</v>
      </c>
      <c r="J604" s="79" t="s">
        <v>7381</v>
      </c>
      <c r="K604" s="80" t="s">
        <v>7382</v>
      </c>
    </row>
    <row r="605">
      <c r="A605" s="60" t="s">
        <v>7370</v>
      </c>
      <c r="B605" s="60" t="s">
        <v>7371</v>
      </c>
      <c r="C605" s="60" t="s">
        <v>7372</v>
      </c>
      <c r="D605" s="79" t="s">
        <v>5967</v>
      </c>
      <c r="E605" s="79" t="s">
        <v>5952</v>
      </c>
      <c r="F605" s="83">
        <v>44000.0</v>
      </c>
      <c r="G605" s="79">
        <v>1118.0</v>
      </c>
      <c r="H605" s="79" t="s">
        <v>6345</v>
      </c>
      <c r="I605" s="79" t="s">
        <v>6346</v>
      </c>
      <c r="J605" s="79" t="s">
        <v>7383</v>
      </c>
      <c r="K605" s="80" t="s">
        <v>7384</v>
      </c>
    </row>
    <row r="606">
      <c r="A606" s="60" t="s">
        <v>7370</v>
      </c>
      <c r="B606" s="60" t="s">
        <v>7371</v>
      </c>
      <c r="C606" s="60" t="s">
        <v>7372</v>
      </c>
      <c r="D606" s="79" t="s">
        <v>5952</v>
      </c>
      <c r="E606" s="79" t="s">
        <v>5952</v>
      </c>
      <c r="F606" s="83">
        <v>44000.0</v>
      </c>
      <c r="G606" s="79">
        <v>1118.0</v>
      </c>
      <c r="H606" s="79" t="s">
        <v>6391</v>
      </c>
      <c r="I606" s="79" t="s">
        <v>6392</v>
      </c>
      <c r="J606" s="79" t="s">
        <v>7385</v>
      </c>
      <c r="K606" s="80" t="s">
        <v>7386</v>
      </c>
    </row>
    <row r="607">
      <c r="A607" s="60" t="s">
        <v>7370</v>
      </c>
      <c r="B607" s="60" t="s">
        <v>7371</v>
      </c>
      <c r="C607" s="60" t="s">
        <v>7372</v>
      </c>
      <c r="D607" s="79" t="s">
        <v>5952</v>
      </c>
      <c r="E607" s="79" t="s">
        <v>5952</v>
      </c>
      <c r="F607" s="83">
        <v>44000.0</v>
      </c>
      <c r="G607" s="79">
        <v>1118.0</v>
      </c>
      <c r="H607" s="79" t="s">
        <v>6349</v>
      </c>
      <c r="I607" s="79" t="s">
        <v>6350</v>
      </c>
      <c r="J607" s="79" t="s">
        <v>7387</v>
      </c>
      <c r="K607" s="80" t="s">
        <v>7388</v>
      </c>
    </row>
    <row r="608">
      <c r="A608" s="60" t="s">
        <v>7370</v>
      </c>
      <c r="B608" s="60" t="s">
        <v>7371</v>
      </c>
      <c r="C608" s="60" t="s">
        <v>7372</v>
      </c>
      <c r="D608" s="79" t="s">
        <v>5952</v>
      </c>
      <c r="E608" s="79" t="s">
        <v>5952</v>
      </c>
      <c r="F608" s="83">
        <v>44000.0</v>
      </c>
      <c r="G608" s="79">
        <v>1118.0</v>
      </c>
      <c r="H608" s="79" t="s">
        <v>6576</v>
      </c>
      <c r="I608" s="79" t="s">
        <v>6577</v>
      </c>
      <c r="J608" s="79" t="s">
        <v>7389</v>
      </c>
      <c r="K608" s="80" t="s">
        <v>7390</v>
      </c>
    </row>
    <row r="609">
      <c r="A609" s="60" t="s">
        <v>7370</v>
      </c>
      <c r="B609" s="60" t="s">
        <v>7371</v>
      </c>
      <c r="C609" s="60" t="s">
        <v>7372</v>
      </c>
      <c r="D609" s="79" t="s">
        <v>5952</v>
      </c>
      <c r="E609" s="79" t="s">
        <v>5952</v>
      </c>
      <c r="F609" s="83">
        <v>44000.0</v>
      </c>
      <c r="G609" s="79">
        <v>1118.0</v>
      </c>
      <c r="H609" s="79" t="s">
        <v>6353</v>
      </c>
      <c r="I609" s="79" t="s">
        <v>6354</v>
      </c>
      <c r="J609" s="79" t="s">
        <v>7391</v>
      </c>
      <c r="K609" s="80" t="s">
        <v>7392</v>
      </c>
    </row>
    <row r="610">
      <c r="A610" s="60" t="s">
        <v>7370</v>
      </c>
      <c r="B610" s="60" t="s">
        <v>7371</v>
      </c>
      <c r="C610" s="60" t="s">
        <v>7372</v>
      </c>
      <c r="D610" s="79" t="s">
        <v>5952</v>
      </c>
      <c r="E610" s="79" t="s">
        <v>5952</v>
      </c>
      <c r="F610" s="83">
        <v>44000.0</v>
      </c>
      <c r="G610" s="79">
        <v>1118.0</v>
      </c>
      <c r="H610" s="79" t="s">
        <v>6462</v>
      </c>
      <c r="I610" s="79" t="s">
        <v>6463</v>
      </c>
      <c r="J610" s="79" t="s">
        <v>7393</v>
      </c>
      <c r="K610" s="80" t="s">
        <v>7394</v>
      </c>
    </row>
    <row r="611">
      <c r="A611" s="60" t="s">
        <v>7370</v>
      </c>
      <c r="B611" s="60" t="s">
        <v>7371</v>
      </c>
      <c r="C611" s="60" t="s">
        <v>7372</v>
      </c>
      <c r="D611" s="79" t="s">
        <v>5952</v>
      </c>
      <c r="E611" s="79" t="s">
        <v>5952</v>
      </c>
      <c r="F611" s="83">
        <v>44000.0</v>
      </c>
      <c r="G611" s="79">
        <v>1118.0</v>
      </c>
      <c r="H611" s="79" t="s">
        <v>6407</v>
      </c>
      <c r="I611" s="79" t="s">
        <v>6408</v>
      </c>
      <c r="J611" s="79" t="s">
        <v>6933</v>
      </c>
      <c r="K611" s="80" t="s">
        <v>7395</v>
      </c>
    </row>
    <row r="612">
      <c r="A612" s="60" t="s">
        <v>7370</v>
      </c>
      <c r="B612" s="60" t="s">
        <v>7371</v>
      </c>
      <c r="C612" s="60" t="s">
        <v>7372</v>
      </c>
      <c r="D612" s="79" t="s">
        <v>5952</v>
      </c>
      <c r="E612" s="79" t="s">
        <v>5952</v>
      </c>
      <c r="F612" s="83">
        <v>44000.0</v>
      </c>
      <c r="G612" s="79">
        <v>1118.0</v>
      </c>
      <c r="H612" s="79" t="s">
        <v>6525</v>
      </c>
      <c r="I612" s="79" t="s">
        <v>6526</v>
      </c>
      <c r="J612" s="79" t="s">
        <v>7396</v>
      </c>
      <c r="K612" s="80" t="s">
        <v>7397</v>
      </c>
    </row>
    <row r="613">
      <c r="A613" s="60" t="s">
        <v>7370</v>
      </c>
      <c r="B613" s="60" t="s">
        <v>7371</v>
      </c>
      <c r="C613" s="60" t="s">
        <v>7372</v>
      </c>
      <c r="D613" s="79" t="s">
        <v>5952</v>
      </c>
      <c r="E613" s="79" t="s">
        <v>5952</v>
      </c>
      <c r="F613" s="83">
        <v>44000.0</v>
      </c>
      <c r="G613" s="79">
        <v>1118.0</v>
      </c>
      <c r="H613" s="83">
        <v>1000.0</v>
      </c>
      <c r="I613" s="79" t="s">
        <v>6472</v>
      </c>
      <c r="J613" s="79" t="s">
        <v>7398</v>
      </c>
      <c r="K613" s="80" t="s">
        <v>7399</v>
      </c>
    </row>
    <row r="614">
      <c r="A614" s="60" t="s">
        <v>7370</v>
      </c>
      <c r="B614" s="60" t="s">
        <v>7371</v>
      </c>
      <c r="C614" s="60" t="s">
        <v>7372</v>
      </c>
      <c r="D614" s="79" t="s">
        <v>5952</v>
      </c>
      <c r="E614" s="79" t="s">
        <v>5952</v>
      </c>
      <c r="F614" s="83">
        <v>44000.0</v>
      </c>
      <c r="G614" s="79">
        <v>1118.0</v>
      </c>
      <c r="H614" s="83">
        <v>1062.0</v>
      </c>
      <c r="I614" s="79" t="s">
        <v>6592</v>
      </c>
      <c r="J614" s="79" t="s">
        <v>7400</v>
      </c>
      <c r="K614" s="80" t="s">
        <v>7401</v>
      </c>
    </row>
    <row r="615">
      <c r="A615" s="60" t="s">
        <v>7370</v>
      </c>
      <c r="B615" s="60" t="s">
        <v>7371</v>
      </c>
      <c r="C615" s="60" t="s">
        <v>7372</v>
      </c>
      <c r="D615" s="79" t="s">
        <v>5952</v>
      </c>
      <c r="E615" s="79" t="s">
        <v>5952</v>
      </c>
      <c r="F615" s="83">
        <v>44000.0</v>
      </c>
      <c r="G615" s="79">
        <v>1118.0</v>
      </c>
      <c r="H615" s="83">
        <v>1125.0</v>
      </c>
      <c r="I615" s="79" t="s">
        <v>6531</v>
      </c>
      <c r="J615" s="79" t="s">
        <v>7402</v>
      </c>
      <c r="K615" s="80" t="s">
        <v>7403</v>
      </c>
    </row>
    <row r="616">
      <c r="A616" s="60" t="s">
        <v>7370</v>
      </c>
      <c r="B616" s="60" t="s">
        <v>7371</v>
      </c>
      <c r="C616" s="60" t="s">
        <v>7372</v>
      </c>
      <c r="D616" s="79" t="s">
        <v>5952</v>
      </c>
      <c r="E616" s="79" t="s">
        <v>5952</v>
      </c>
      <c r="F616" s="83">
        <v>44000.0</v>
      </c>
      <c r="G616" s="79">
        <v>1118.0</v>
      </c>
      <c r="H616" s="83">
        <v>1188.0</v>
      </c>
      <c r="I616" s="79" t="s">
        <v>6732</v>
      </c>
      <c r="J616" s="79" t="s">
        <v>7404</v>
      </c>
      <c r="K616" s="80" t="s">
        <v>7405</v>
      </c>
    </row>
    <row r="617">
      <c r="A617" s="60" t="s">
        <v>7370</v>
      </c>
      <c r="B617" s="60" t="s">
        <v>7371</v>
      </c>
      <c r="C617" s="60" t="s">
        <v>7372</v>
      </c>
      <c r="D617" s="79" t="s">
        <v>5952</v>
      </c>
      <c r="E617" s="79" t="s">
        <v>5952</v>
      </c>
      <c r="F617" s="83">
        <v>44000.0</v>
      </c>
      <c r="G617" s="79">
        <v>1118.0</v>
      </c>
      <c r="H617" s="83">
        <v>1250.0</v>
      </c>
      <c r="I617" s="79" t="s">
        <v>6534</v>
      </c>
      <c r="J617" s="79" t="s">
        <v>7406</v>
      </c>
      <c r="K617" s="80" t="s">
        <v>7407</v>
      </c>
    </row>
    <row r="618">
      <c r="A618" s="60" t="s">
        <v>7408</v>
      </c>
      <c r="B618" s="60" t="s">
        <v>7409</v>
      </c>
      <c r="C618" s="60" t="s">
        <v>7410</v>
      </c>
      <c r="D618" s="79" t="s">
        <v>5952</v>
      </c>
      <c r="E618" s="79" t="s">
        <v>5952</v>
      </c>
      <c r="F618" s="83">
        <v>46000.0</v>
      </c>
      <c r="G618" s="79">
        <v>1168.0</v>
      </c>
      <c r="H618" s="79" t="s">
        <v>1111</v>
      </c>
      <c r="I618" s="79" t="s">
        <v>6165</v>
      </c>
      <c r="J618" s="79" t="s">
        <v>7411</v>
      </c>
      <c r="K618" s="80" t="s">
        <v>7412</v>
      </c>
    </row>
    <row r="619">
      <c r="A619" s="60" t="s">
        <v>7408</v>
      </c>
      <c r="B619" s="60" t="s">
        <v>7409</v>
      </c>
      <c r="C619" s="60" t="s">
        <v>7410</v>
      </c>
      <c r="D619" s="79" t="s">
        <v>5962</v>
      </c>
      <c r="E619" s="79" t="s">
        <v>5952</v>
      </c>
      <c r="F619" s="83">
        <v>46000.0</v>
      </c>
      <c r="G619" s="79">
        <v>1168.0</v>
      </c>
      <c r="H619" s="79" t="s">
        <v>6207</v>
      </c>
      <c r="I619" s="79" t="s">
        <v>6208</v>
      </c>
      <c r="J619" s="79" t="s">
        <v>7065</v>
      </c>
      <c r="K619" s="80" t="s">
        <v>7413</v>
      </c>
    </row>
    <row r="620">
      <c r="A620" s="60" t="s">
        <v>7408</v>
      </c>
      <c r="B620" s="60" t="s">
        <v>7409</v>
      </c>
      <c r="C620" s="60" t="s">
        <v>7410</v>
      </c>
      <c r="D620" s="79" t="s">
        <v>5952</v>
      </c>
      <c r="E620" s="79" t="s">
        <v>5952</v>
      </c>
      <c r="F620" s="83">
        <v>46000.0</v>
      </c>
      <c r="G620" s="79">
        <v>1168.0</v>
      </c>
      <c r="H620" s="79" t="s">
        <v>6442</v>
      </c>
      <c r="I620" s="79" t="s">
        <v>6443</v>
      </c>
      <c r="J620" s="79" t="s">
        <v>7414</v>
      </c>
      <c r="K620" s="80" t="s">
        <v>7415</v>
      </c>
    </row>
    <row r="621">
      <c r="A621" s="60" t="s">
        <v>7408</v>
      </c>
      <c r="B621" s="60" t="s">
        <v>7409</v>
      </c>
      <c r="C621" s="60" t="s">
        <v>7410</v>
      </c>
      <c r="D621" s="79" t="s">
        <v>5952</v>
      </c>
      <c r="E621" s="79" t="s">
        <v>5952</v>
      </c>
      <c r="F621" s="83">
        <v>46000.0</v>
      </c>
      <c r="G621" s="79">
        <v>1168.0</v>
      </c>
      <c r="H621" s="79" t="s">
        <v>6243</v>
      </c>
      <c r="I621" s="79" t="s">
        <v>6244</v>
      </c>
      <c r="J621" s="79" t="s">
        <v>7416</v>
      </c>
      <c r="K621" s="80" t="s">
        <v>7417</v>
      </c>
    </row>
    <row r="622">
      <c r="A622" s="60" t="s">
        <v>7408</v>
      </c>
      <c r="B622" s="60" t="s">
        <v>7409</v>
      </c>
      <c r="C622" s="60" t="s">
        <v>7410</v>
      </c>
      <c r="D622" s="79" t="s">
        <v>5952</v>
      </c>
      <c r="E622" s="79" t="s">
        <v>5952</v>
      </c>
      <c r="F622" s="83">
        <v>46000.0</v>
      </c>
      <c r="G622" s="79">
        <v>1168.0</v>
      </c>
      <c r="H622" s="79" t="s">
        <v>1196</v>
      </c>
      <c r="I622" s="79" t="s">
        <v>6628</v>
      </c>
      <c r="J622" s="79" t="s">
        <v>7418</v>
      </c>
      <c r="K622" s="80" t="s">
        <v>7419</v>
      </c>
    </row>
    <row r="623">
      <c r="A623" s="60" t="s">
        <v>7408</v>
      </c>
      <c r="B623" s="60" t="s">
        <v>7409</v>
      </c>
      <c r="C623" s="60" t="s">
        <v>7410</v>
      </c>
      <c r="D623" s="79" t="s">
        <v>5967</v>
      </c>
      <c r="E623" s="79" t="s">
        <v>5952</v>
      </c>
      <c r="F623" s="83">
        <v>46000.0</v>
      </c>
      <c r="G623" s="79">
        <v>1168.0</v>
      </c>
      <c r="H623" s="79" t="s">
        <v>6345</v>
      </c>
      <c r="I623" s="79" t="s">
        <v>6346</v>
      </c>
      <c r="J623" s="79" t="s">
        <v>7420</v>
      </c>
      <c r="K623" s="80" t="s">
        <v>7421</v>
      </c>
    </row>
    <row r="624">
      <c r="A624" s="60" t="s">
        <v>7408</v>
      </c>
      <c r="B624" s="60" t="s">
        <v>7409</v>
      </c>
      <c r="C624" s="60" t="s">
        <v>7410</v>
      </c>
      <c r="D624" s="79" t="s">
        <v>5952</v>
      </c>
      <c r="E624" s="79" t="s">
        <v>5952</v>
      </c>
      <c r="F624" s="83">
        <v>46000.0</v>
      </c>
      <c r="G624" s="79">
        <v>1168.0</v>
      </c>
      <c r="H624" s="79" t="s">
        <v>6391</v>
      </c>
      <c r="I624" s="79" t="s">
        <v>6392</v>
      </c>
      <c r="J624" s="79" t="s">
        <v>7422</v>
      </c>
      <c r="K624" s="80" t="s">
        <v>7423</v>
      </c>
    </row>
    <row r="625">
      <c r="A625" s="60" t="s">
        <v>7408</v>
      </c>
      <c r="B625" s="60" t="s">
        <v>7409</v>
      </c>
      <c r="C625" s="60" t="s">
        <v>7410</v>
      </c>
      <c r="D625" s="79" t="s">
        <v>5952</v>
      </c>
      <c r="E625" s="79" t="s">
        <v>5952</v>
      </c>
      <c r="F625" s="83">
        <v>46000.0</v>
      </c>
      <c r="G625" s="79">
        <v>1168.0</v>
      </c>
      <c r="H625" s="79" t="s">
        <v>6349</v>
      </c>
      <c r="I625" s="79" t="s">
        <v>6350</v>
      </c>
      <c r="J625" s="79" t="s">
        <v>6923</v>
      </c>
      <c r="K625" s="80" t="s">
        <v>7424</v>
      </c>
    </row>
    <row r="626">
      <c r="A626" s="60" t="s">
        <v>7408</v>
      </c>
      <c r="B626" s="60" t="s">
        <v>7409</v>
      </c>
      <c r="C626" s="60" t="s">
        <v>7410</v>
      </c>
      <c r="D626" s="79" t="s">
        <v>5952</v>
      </c>
      <c r="E626" s="79" t="s">
        <v>5952</v>
      </c>
      <c r="F626" s="83">
        <v>46000.0</v>
      </c>
      <c r="G626" s="79">
        <v>1168.0</v>
      </c>
      <c r="H626" s="79" t="s">
        <v>6576</v>
      </c>
      <c r="I626" s="79" t="s">
        <v>6577</v>
      </c>
      <c r="J626" s="79" t="s">
        <v>7425</v>
      </c>
      <c r="K626" s="80" t="s">
        <v>7426</v>
      </c>
    </row>
    <row r="627">
      <c r="A627" s="60" t="s">
        <v>7408</v>
      </c>
      <c r="B627" s="60" t="s">
        <v>7409</v>
      </c>
      <c r="C627" s="60" t="s">
        <v>7410</v>
      </c>
      <c r="D627" s="79" t="s">
        <v>5952</v>
      </c>
      <c r="E627" s="79" t="s">
        <v>5952</v>
      </c>
      <c r="F627" s="83">
        <v>46000.0</v>
      </c>
      <c r="G627" s="79">
        <v>1168.0</v>
      </c>
      <c r="H627" s="79" t="s">
        <v>6353</v>
      </c>
      <c r="I627" s="79" t="s">
        <v>6354</v>
      </c>
      <c r="J627" s="79" t="s">
        <v>7427</v>
      </c>
      <c r="K627" s="80" t="s">
        <v>7428</v>
      </c>
    </row>
    <row r="628">
      <c r="A628" s="60" t="s">
        <v>7408</v>
      </c>
      <c r="B628" s="60" t="s">
        <v>7409</v>
      </c>
      <c r="C628" s="60" t="s">
        <v>7410</v>
      </c>
      <c r="D628" s="79" t="s">
        <v>5952</v>
      </c>
      <c r="E628" s="79" t="s">
        <v>5952</v>
      </c>
      <c r="F628" s="83">
        <v>46000.0</v>
      </c>
      <c r="G628" s="79">
        <v>1168.0</v>
      </c>
      <c r="H628" s="79" t="s">
        <v>6462</v>
      </c>
      <c r="I628" s="79" t="s">
        <v>6463</v>
      </c>
      <c r="J628" s="79" t="s">
        <v>7429</v>
      </c>
      <c r="K628" s="80" t="s">
        <v>7430</v>
      </c>
    </row>
    <row r="629">
      <c r="A629" s="60" t="s">
        <v>7408</v>
      </c>
      <c r="B629" s="60" t="s">
        <v>7409</v>
      </c>
      <c r="C629" s="60" t="s">
        <v>7410</v>
      </c>
      <c r="D629" s="79" t="s">
        <v>5952</v>
      </c>
      <c r="E629" s="79" t="s">
        <v>5952</v>
      </c>
      <c r="F629" s="83">
        <v>46000.0</v>
      </c>
      <c r="G629" s="79">
        <v>1168.0</v>
      </c>
      <c r="H629" s="79" t="s">
        <v>6407</v>
      </c>
      <c r="I629" s="79" t="s">
        <v>6408</v>
      </c>
      <c r="J629" s="79" t="s">
        <v>7431</v>
      </c>
      <c r="K629" s="80" t="s">
        <v>7432</v>
      </c>
    </row>
    <row r="630">
      <c r="A630" s="60" t="s">
        <v>7408</v>
      </c>
      <c r="B630" s="60" t="s">
        <v>7409</v>
      </c>
      <c r="C630" s="60" t="s">
        <v>7410</v>
      </c>
      <c r="D630" s="79" t="s">
        <v>5952</v>
      </c>
      <c r="E630" s="79" t="s">
        <v>5952</v>
      </c>
      <c r="F630" s="83">
        <v>46000.0</v>
      </c>
      <c r="G630" s="79">
        <v>1168.0</v>
      </c>
      <c r="H630" s="79" t="s">
        <v>6525</v>
      </c>
      <c r="I630" s="79" t="s">
        <v>6526</v>
      </c>
      <c r="J630" s="79" t="s">
        <v>7433</v>
      </c>
      <c r="K630" s="80" t="s">
        <v>7434</v>
      </c>
    </row>
    <row r="631">
      <c r="A631" s="60" t="s">
        <v>7408</v>
      </c>
      <c r="B631" s="60" t="s">
        <v>7409</v>
      </c>
      <c r="C631" s="60" t="s">
        <v>7410</v>
      </c>
      <c r="D631" s="79" t="s">
        <v>5952</v>
      </c>
      <c r="E631" s="79" t="s">
        <v>5952</v>
      </c>
      <c r="F631" s="83">
        <v>46000.0</v>
      </c>
      <c r="G631" s="79">
        <v>1168.0</v>
      </c>
      <c r="H631" s="83">
        <v>1000.0</v>
      </c>
      <c r="I631" s="79" t="s">
        <v>6472</v>
      </c>
      <c r="J631" s="79" t="s">
        <v>7435</v>
      </c>
      <c r="K631" s="80" t="s">
        <v>7436</v>
      </c>
    </row>
    <row r="632">
      <c r="A632" s="60" t="s">
        <v>7408</v>
      </c>
      <c r="B632" s="60" t="s">
        <v>7409</v>
      </c>
      <c r="C632" s="60" t="s">
        <v>7410</v>
      </c>
      <c r="D632" s="79" t="s">
        <v>5952</v>
      </c>
      <c r="E632" s="79" t="s">
        <v>5952</v>
      </c>
      <c r="F632" s="83">
        <v>46000.0</v>
      </c>
      <c r="G632" s="79">
        <v>1168.0</v>
      </c>
      <c r="H632" s="83">
        <v>1062.0</v>
      </c>
      <c r="I632" s="79" t="s">
        <v>6592</v>
      </c>
      <c r="J632" s="79" t="s">
        <v>7437</v>
      </c>
      <c r="K632" s="80" t="s">
        <v>7438</v>
      </c>
    </row>
    <row r="633">
      <c r="A633" s="60" t="s">
        <v>7408</v>
      </c>
      <c r="B633" s="60" t="s">
        <v>7409</v>
      </c>
      <c r="C633" s="60" t="s">
        <v>7410</v>
      </c>
      <c r="D633" s="79" t="s">
        <v>5952</v>
      </c>
      <c r="E633" s="79" t="s">
        <v>5952</v>
      </c>
      <c r="F633" s="83">
        <v>46000.0</v>
      </c>
      <c r="G633" s="79">
        <v>1168.0</v>
      </c>
      <c r="H633" s="83">
        <v>1125.0</v>
      </c>
      <c r="I633" s="79" t="s">
        <v>6531</v>
      </c>
      <c r="J633" s="79" t="s">
        <v>7439</v>
      </c>
      <c r="K633" s="80" t="s">
        <v>7440</v>
      </c>
    </row>
    <row r="634">
      <c r="A634" s="60" t="s">
        <v>7408</v>
      </c>
      <c r="B634" s="60" t="s">
        <v>7409</v>
      </c>
      <c r="C634" s="60" t="s">
        <v>7410</v>
      </c>
      <c r="D634" s="79" t="s">
        <v>5952</v>
      </c>
      <c r="E634" s="79" t="s">
        <v>5952</v>
      </c>
      <c r="F634" s="83">
        <v>46000.0</v>
      </c>
      <c r="G634" s="79">
        <v>1168.0</v>
      </c>
      <c r="H634" s="83">
        <v>1188.0</v>
      </c>
      <c r="I634" s="79" t="s">
        <v>6732</v>
      </c>
      <c r="J634" s="79" t="s">
        <v>7441</v>
      </c>
      <c r="K634" s="80" t="s">
        <v>7442</v>
      </c>
    </row>
    <row r="635">
      <c r="A635" s="60" t="s">
        <v>7408</v>
      </c>
      <c r="B635" s="60" t="s">
        <v>7409</v>
      </c>
      <c r="C635" s="60" t="s">
        <v>7410</v>
      </c>
      <c r="D635" s="79" t="s">
        <v>5952</v>
      </c>
      <c r="E635" s="79" t="s">
        <v>5952</v>
      </c>
      <c r="F635" s="83">
        <v>46000.0</v>
      </c>
      <c r="G635" s="79">
        <v>1168.0</v>
      </c>
      <c r="H635" s="83">
        <v>1250.0</v>
      </c>
      <c r="I635" s="79" t="s">
        <v>6534</v>
      </c>
      <c r="J635" s="79" t="s">
        <v>7443</v>
      </c>
      <c r="K635" s="80" t="s">
        <v>7444</v>
      </c>
    </row>
    <row r="636">
      <c r="A636" s="60" t="s">
        <v>7445</v>
      </c>
      <c r="B636" s="60" t="s">
        <v>7446</v>
      </c>
      <c r="C636" s="60" t="s">
        <v>7447</v>
      </c>
      <c r="D636" s="79" t="s">
        <v>5952</v>
      </c>
      <c r="E636" s="79" t="s">
        <v>5952</v>
      </c>
      <c r="F636" s="83">
        <v>48000.0</v>
      </c>
      <c r="G636" s="79">
        <v>1219.0</v>
      </c>
      <c r="H636" s="79" t="s">
        <v>1111</v>
      </c>
      <c r="I636" s="79" t="s">
        <v>6165</v>
      </c>
      <c r="J636" s="79" t="s">
        <v>7448</v>
      </c>
      <c r="K636" s="80" t="s">
        <v>7449</v>
      </c>
    </row>
    <row r="637">
      <c r="A637" s="60" t="s">
        <v>7445</v>
      </c>
      <c r="B637" s="60" t="s">
        <v>7446</v>
      </c>
      <c r="C637" s="60" t="s">
        <v>7447</v>
      </c>
      <c r="D637" s="79" t="s">
        <v>5962</v>
      </c>
      <c r="E637" s="79" t="s">
        <v>5952</v>
      </c>
      <c r="F637" s="83">
        <v>48000.0</v>
      </c>
      <c r="G637" s="79">
        <v>1219.0</v>
      </c>
      <c r="H637" s="79" t="s">
        <v>6207</v>
      </c>
      <c r="I637" s="79" t="s">
        <v>6208</v>
      </c>
      <c r="J637" s="79" t="s">
        <v>7450</v>
      </c>
      <c r="K637" s="80" t="s">
        <v>7451</v>
      </c>
    </row>
    <row r="638">
      <c r="A638" s="60" t="s">
        <v>7445</v>
      </c>
      <c r="B638" s="60" t="s">
        <v>7446</v>
      </c>
      <c r="C638" s="60" t="s">
        <v>7447</v>
      </c>
      <c r="D638" s="79" t="s">
        <v>5952</v>
      </c>
      <c r="E638" s="79" t="s">
        <v>5952</v>
      </c>
      <c r="F638" s="83">
        <v>48000.0</v>
      </c>
      <c r="G638" s="79">
        <v>1219.0</v>
      </c>
      <c r="H638" s="79" t="s">
        <v>6442</v>
      </c>
      <c r="I638" s="79" t="s">
        <v>6443</v>
      </c>
      <c r="J638" s="79" t="s">
        <v>7452</v>
      </c>
      <c r="K638" s="80" t="s">
        <v>7453</v>
      </c>
    </row>
    <row r="639">
      <c r="A639" s="60" t="s">
        <v>7445</v>
      </c>
      <c r="B639" s="60" t="s">
        <v>7446</v>
      </c>
      <c r="C639" s="60" t="s">
        <v>7447</v>
      </c>
      <c r="D639" s="79" t="s">
        <v>5952</v>
      </c>
      <c r="E639" s="79" t="s">
        <v>5952</v>
      </c>
      <c r="F639" s="83">
        <v>48000.0</v>
      </c>
      <c r="G639" s="79">
        <v>1219.0</v>
      </c>
      <c r="H639" s="79" t="s">
        <v>6243</v>
      </c>
      <c r="I639" s="79" t="s">
        <v>6244</v>
      </c>
      <c r="J639" s="79" t="s">
        <v>7454</v>
      </c>
      <c r="K639" s="80" t="s">
        <v>7455</v>
      </c>
    </row>
    <row r="640">
      <c r="A640" s="60" t="s">
        <v>7445</v>
      </c>
      <c r="B640" s="60" t="s">
        <v>7446</v>
      </c>
      <c r="C640" s="60" t="s">
        <v>7447</v>
      </c>
      <c r="D640" s="79" t="s">
        <v>5952</v>
      </c>
      <c r="E640" s="79" t="s">
        <v>5952</v>
      </c>
      <c r="F640" s="83">
        <v>48000.0</v>
      </c>
      <c r="G640" s="79">
        <v>1219.0</v>
      </c>
      <c r="H640" s="79" t="s">
        <v>1196</v>
      </c>
      <c r="I640" s="79" t="s">
        <v>6628</v>
      </c>
      <c r="J640" s="79" t="s">
        <v>7456</v>
      </c>
      <c r="K640" s="80" t="s">
        <v>7457</v>
      </c>
    </row>
    <row r="641">
      <c r="A641" s="60" t="s">
        <v>7445</v>
      </c>
      <c r="B641" s="60" t="s">
        <v>7446</v>
      </c>
      <c r="C641" s="60" t="s">
        <v>7447</v>
      </c>
      <c r="D641" s="79" t="s">
        <v>5967</v>
      </c>
      <c r="E641" s="79" t="s">
        <v>5952</v>
      </c>
      <c r="F641" s="83">
        <v>48000.0</v>
      </c>
      <c r="G641" s="79">
        <v>1219.0</v>
      </c>
      <c r="H641" s="79" t="s">
        <v>6345</v>
      </c>
      <c r="I641" s="79" t="s">
        <v>6346</v>
      </c>
      <c r="J641" s="79" t="s">
        <v>7458</v>
      </c>
      <c r="K641" s="80" t="s">
        <v>7459</v>
      </c>
    </row>
    <row r="642">
      <c r="A642" s="60" t="s">
        <v>7445</v>
      </c>
      <c r="B642" s="60" t="s">
        <v>7446</v>
      </c>
      <c r="C642" s="60" t="s">
        <v>7447</v>
      </c>
      <c r="D642" s="79" t="s">
        <v>5952</v>
      </c>
      <c r="E642" s="79" t="s">
        <v>5952</v>
      </c>
      <c r="F642" s="83">
        <v>48000.0</v>
      </c>
      <c r="G642" s="79">
        <v>1219.0</v>
      </c>
      <c r="H642" s="79" t="s">
        <v>6391</v>
      </c>
      <c r="I642" s="79" t="s">
        <v>6392</v>
      </c>
      <c r="J642" s="79" t="s">
        <v>7460</v>
      </c>
      <c r="K642" s="80" t="s">
        <v>7461</v>
      </c>
    </row>
    <row r="643">
      <c r="A643" s="60" t="s">
        <v>7445</v>
      </c>
      <c r="B643" s="60" t="s">
        <v>7446</v>
      </c>
      <c r="C643" s="60" t="s">
        <v>7447</v>
      </c>
      <c r="D643" s="79" t="s">
        <v>5952</v>
      </c>
      <c r="E643" s="79" t="s">
        <v>5952</v>
      </c>
      <c r="F643" s="83">
        <v>48000.0</v>
      </c>
      <c r="G643" s="79">
        <v>1219.0</v>
      </c>
      <c r="H643" s="79" t="s">
        <v>6349</v>
      </c>
      <c r="I643" s="79" t="s">
        <v>6350</v>
      </c>
      <c r="J643" s="79" t="s">
        <v>7462</v>
      </c>
      <c r="K643" s="80" t="s">
        <v>7463</v>
      </c>
    </row>
    <row r="644">
      <c r="A644" s="60" t="s">
        <v>7445</v>
      </c>
      <c r="B644" s="60" t="s">
        <v>7446</v>
      </c>
      <c r="C644" s="60" t="s">
        <v>7447</v>
      </c>
      <c r="D644" s="79" t="s">
        <v>5952</v>
      </c>
      <c r="E644" s="79" t="s">
        <v>5952</v>
      </c>
      <c r="F644" s="83">
        <v>48000.0</v>
      </c>
      <c r="G644" s="79">
        <v>1219.0</v>
      </c>
      <c r="H644" s="79" t="s">
        <v>6576</v>
      </c>
      <c r="I644" s="79" t="s">
        <v>6577</v>
      </c>
      <c r="J644" s="79" t="s">
        <v>7464</v>
      </c>
      <c r="K644" s="80" t="s">
        <v>7465</v>
      </c>
    </row>
    <row r="645">
      <c r="A645" s="60" t="s">
        <v>7445</v>
      </c>
      <c r="B645" s="60" t="s">
        <v>7446</v>
      </c>
      <c r="C645" s="60" t="s">
        <v>7447</v>
      </c>
      <c r="D645" s="79" t="s">
        <v>5952</v>
      </c>
      <c r="E645" s="79" t="s">
        <v>5952</v>
      </c>
      <c r="F645" s="83">
        <v>48000.0</v>
      </c>
      <c r="G645" s="79">
        <v>1219.0</v>
      </c>
      <c r="H645" s="79" t="s">
        <v>6353</v>
      </c>
      <c r="I645" s="79" t="s">
        <v>6354</v>
      </c>
      <c r="J645" s="79" t="s">
        <v>7466</v>
      </c>
      <c r="K645" s="80" t="s">
        <v>7467</v>
      </c>
    </row>
    <row r="646">
      <c r="A646" s="60" t="s">
        <v>7445</v>
      </c>
      <c r="B646" s="60" t="s">
        <v>7446</v>
      </c>
      <c r="C646" s="60" t="s">
        <v>7447</v>
      </c>
      <c r="D646" s="79" t="s">
        <v>5952</v>
      </c>
      <c r="E646" s="79" t="s">
        <v>5952</v>
      </c>
      <c r="F646" s="83">
        <v>48000.0</v>
      </c>
      <c r="G646" s="79">
        <v>1219.0</v>
      </c>
      <c r="H646" s="79" t="s">
        <v>6462</v>
      </c>
      <c r="I646" s="79" t="s">
        <v>6463</v>
      </c>
      <c r="J646" s="79" t="s">
        <v>7468</v>
      </c>
      <c r="K646" s="80" t="s">
        <v>7469</v>
      </c>
    </row>
    <row r="647">
      <c r="A647" s="60" t="s">
        <v>7445</v>
      </c>
      <c r="B647" s="60" t="s">
        <v>7446</v>
      </c>
      <c r="C647" s="60" t="s">
        <v>7447</v>
      </c>
      <c r="D647" s="79" t="s">
        <v>5952</v>
      </c>
      <c r="E647" s="79" t="s">
        <v>5952</v>
      </c>
      <c r="F647" s="83">
        <v>48000.0</v>
      </c>
      <c r="G647" s="79">
        <v>1219.0</v>
      </c>
      <c r="H647" s="79" t="s">
        <v>6407</v>
      </c>
      <c r="I647" s="79" t="s">
        <v>6408</v>
      </c>
      <c r="J647" s="79" t="s">
        <v>7470</v>
      </c>
      <c r="K647" s="80" t="s">
        <v>7471</v>
      </c>
    </row>
    <row r="648">
      <c r="A648" s="60" t="s">
        <v>7445</v>
      </c>
      <c r="B648" s="60" t="s">
        <v>7446</v>
      </c>
      <c r="C648" s="60" t="s">
        <v>7447</v>
      </c>
      <c r="D648" s="79" t="s">
        <v>5952</v>
      </c>
      <c r="E648" s="79" t="s">
        <v>5952</v>
      </c>
      <c r="F648" s="83">
        <v>48000.0</v>
      </c>
      <c r="G648" s="79">
        <v>1219.0</v>
      </c>
      <c r="H648" s="79" t="s">
        <v>6525</v>
      </c>
      <c r="I648" s="79" t="s">
        <v>6526</v>
      </c>
      <c r="J648" s="79" t="s">
        <v>7472</v>
      </c>
      <c r="K648" s="80" t="s">
        <v>7473</v>
      </c>
    </row>
    <row r="649">
      <c r="A649" s="60" t="s">
        <v>7445</v>
      </c>
      <c r="B649" s="60" t="s">
        <v>7446</v>
      </c>
      <c r="C649" s="60" t="s">
        <v>7447</v>
      </c>
      <c r="D649" s="79" t="s">
        <v>5952</v>
      </c>
      <c r="E649" s="79" t="s">
        <v>5952</v>
      </c>
      <c r="F649" s="83">
        <v>48000.0</v>
      </c>
      <c r="G649" s="79">
        <v>1219.0</v>
      </c>
      <c r="H649" s="83">
        <v>1000.0</v>
      </c>
      <c r="I649" s="79" t="s">
        <v>6472</v>
      </c>
      <c r="J649" s="79" t="s">
        <v>7474</v>
      </c>
      <c r="K649" s="80" t="s">
        <v>7475</v>
      </c>
    </row>
    <row r="650">
      <c r="A650" s="60" t="s">
        <v>7445</v>
      </c>
      <c r="B650" s="60" t="s">
        <v>7446</v>
      </c>
      <c r="C650" s="60" t="s">
        <v>7447</v>
      </c>
      <c r="D650" s="79" t="s">
        <v>5952</v>
      </c>
      <c r="E650" s="79" t="s">
        <v>5952</v>
      </c>
      <c r="F650" s="83">
        <v>48000.0</v>
      </c>
      <c r="G650" s="79">
        <v>1219.0</v>
      </c>
      <c r="H650" s="83">
        <v>1062.0</v>
      </c>
      <c r="I650" s="79" t="s">
        <v>6592</v>
      </c>
      <c r="J650" s="79" t="s">
        <v>7476</v>
      </c>
      <c r="K650" s="80" t="s">
        <v>7477</v>
      </c>
    </row>
    <row r="651">
      <c r="A651" s="60" t="s">
        <v>7445</v>
      </c>
      <c r="B651" s="60" t="s">
        <v>7446</v>
      </c>
      <c r="C651" s="60" t="s">
        <v>7447</v>
      </c>
      <c r="D651" s="79" t="s">
        <v>5952</v>
      </c>
      <c r="E651" s="79" t="s">
        <v>5952</v>
      </c>
      <c r="F651" s="83">
        <v>48000.0</v>
      </c>
      <c r="G651" s="79">
        <v>1219.0</v>
      </c>
      <c r="H651" s="83">
        <v>1125.0</v>
      </c>
      <c r="I651" s="79" t="s">
        <v>6531</v>
      </c>
      <c r="J651" s="79" t="s">
        <v>7478</v>
      </c>
      <c r="K651" s="80" t="s">
        <v>7479</v>
      </c>
    </row>
    <row r="652">
      <c r="A652" s="60" t="s">
        <v>7445</v>
      </c>
      <c r="B652" s="60" t="s">
        <v>7446</v>
      </c>
      <c r="C652" s="60" t="s">
        <v>7447</v>
      </c>
      <c r="D652" s="79" t="s">
        <v>5952</v>
      </c>
      <c r="E652" s="79" t="s">
        <v>5952</v>
      </c>
      <c r="F652" s="83">
        <v>48000.0</v>
      </c>
      <c r="G652" s="79">
        <v>1219.0</v>
      </c>
      <c r="H652" s="83">
        <v>1188.0</v>
      </c>
      <c r="I652" s="79" t="s">
        <v>6732</v>
      </c>
      <c r="J652" s="79" t="s">
        <v>7480</v>
      </c>
      <c r="K652" s="80" t="s">
        <v>7481</v>
      </c>
    </row>
    <row r="653">
      <c r="A653" s="60" t="s">
        <v>7445</v>
      </c>
      <c r="B653" s="60" t="s">
        <v>7446</v>
      </c>
      <c r="C653" s="60" t="s">
        <v>7447</v>
      </c>
      <c r="D653" s="79" t="s">
        <v>5952</v>
      </c>
      <c r="E653" s="79" t="s">
        <v>5952</v>
      </c>
      <c r="F653" s="83">
        <v>48000.0</v>
      </c>
      <c r="G653" s="83">
        <v>1219.0</v>
      </c>
      <c r="H653" s="83">
        <v>1250.0</v>
      </c>
      <c r="I653" s="79" t="s">
        <v>6534</v>
      </c>
      <c r="J653" s="79" t="s">
        <v>7482</v>
      </c>
      <c r="K653" s="80" t="s">
        <v>7483</v>
      </c>
    </row>
    <row r="654">
      <c r="A654" s="60" t="s">
        <v>7484</v>
      </c>
      <c r="B654" s="60" t="s">
        <v>4639</v>
      </c>
      <c r="C654" s="60" t="s">
        <v>7485</v>
      </c>
      <c r="D654" s="79" t="s">
        <v>5952</v>
      </c>
      <c r="E654" s="79" t="s">
        <v>5952</v>
      </c>
      <c r="F654" s="83">
        <v>52000.0</v>
      </c>
      <c r="G654" s="79">
        <v>1321.0</v>
      </c>
      <c r="H654" s="79" t="s">
        <v>6207</v>
      </c>
      <c r="I654" s="79" t="s">
        <v>6208</v>
      </c>
      <c r="J654" s="79" t="s">
        <v>7486</v>
      </c>
      <c r="K654" s="80" t="s">
        <v>7487</v>
      </c>
    </row>
    <row r="655">
      <c r="A655" s="60" t="s">
        <v>7484</v>
      </c>
      <c r="B655" s="60" t="s">
        <v>4639</v>
      </c>
      <c r="C655" s="60" t="s">
        <v>7485</v>
      </c>
      <c r="D655" s="79" t="s">
        <v>5952</v>
      </c>
      <c r="E655" s="79" t="s">
        <v>5952</v>
      </c>
      <c r="F655" s="83">
        <v>52000.0</v>
      </c>
      <c r="G655" s="79">
        <v>1321.0</v>
      </c>
      <c r="H655" s="79" t="s">
        <v>6442</v>
      </c>
      <c r="I655" s="79" t="s">
        <v>6443</v>
      </c>
      <c r="J655" s="79" t="s">
        <v>7488</v>
      </c>
      <c r="K655" s="80" t="s">
        <v>7489</v>
      </c>
    </row>
    <row r="656">
      <c r="A656" s="60" t="s">
        <v>7484</v>
      </c>
      <c r="B656" s="60" t="s">
        <v>4639</v>
      </c>
      <c r="C656" s="60" t="s">
        <v>7485</v>
      </c>
      <c r="D656" s="79" t="s">
        <v>5952</v>
      </c>
      <c r="E656" s="79" t="s">
        <v>5952</v>
      </c>
      <c r="F656" s="83">
        <v>52000.0</v>
      </c>
      <c r="G656" s="79">
        <v>1321.0</v>
      </c>
      <c r="H656" s="79" t="s">
        <v>6243</v>
      </c>
      <c r="I656" s="79" t="s">
        <v>6244</v>
      </c>
      <c r="J656" s="79" t="s">
        <v>7490</v>
      </c>
      <c r="K656" s="80" t="s">
        <v>7491</v>
      </c>
    </row>
    <row r="657">
      <c r="A657" s="60" t="s">
        <v>7484</v>
      </c>
      <c r="B657" s="60" t="s">
        <v>4639</v>
      </c>
      <c r="C657" s="60" t="s">
        <v>7485</v>
      </c>
      <c r="D657" s="79" t="s">
        <v>5952</v>
      </c>
      <c r="E657" s="79" t="s">
        <v>5952</v>
      </c>
      <c r="F657" s="83">
        <v>52000.0</v>
      </c>
      <c r="G657" s="79">
        <v>1321.0</v>
      </c>
      <c r="H657" s="79" t="s">
        <v>1196</v>
      </c>
      <c r="I657" s="79" t="s">
        <v>6628</v>
      </c>
      <c r="J657" s="79" t="s">
        <v>7492</v>
      </c>
      <c r="K657" s="80" t="s">
        <v>7493</v>
      </c>
    </row>
    <row r="658">
      <c r="A658" s="60" t="s">
        <v>7484</v>
      </c>
      <c r="B658" s="60" t="s">
        <v>4639</v>
      </c>
      <c r="C658" s="60" t="s">
        <v>7485</v>
      </c>
      <c r="D658" s="79" t="s">
        <v>5952</v>
      </c>
      <c r="E658" s="79" t="s">
        <v>5952</v>
      </c>
      <c r="F658" s="83">
        <v>52000.0</v>
      </c>
      <c r="G658" s="79">
        <v>1321.0</v>
      </c>
      <c r="H658" s="79" t="s">
        <v>6345</v>
      </c>
      <c r="I658" s="79" t="s">
        <v>6346</v>
      </c>
      <c r="J658" s="79" t="s">
        <v>7494</v>
      </c>
      <c r="K658" s="80" t="s">
        <v>7495</v>
      </c>
    </row>
    <row r="659">
      <c r="A659" s="60" t="s">
        <v>7484</v>
      </c>
      <c r="B659" s="60" t="s">
        <v>4639</v>
      </c>
      <c r="C659" s="60" t="s">
        <v>7485</v>
      </c>
      <c r="D659" s="79" t="s">
        <v>5952</v>
      </c>
      <c r="E659" s="79" t="s">
        <v>5952</v>
      </c>
      <c r="F659" s="83">
        <v>52000.0</v>
      </c>
      <c r="G659" s="79">
        <v>1321.0</v>
      </c>
      <c r="H659" s="79" t="s">
        <v>6391</v>
      </c>
      <c r="I659" s="79" t="s">
        <v>6392</v>
      </c>
      <c r="J659" s="79" t="s">
        <v>7496</v>
      </c>
      <c r="K659" s="80" t="s">
        <v>7497</v>
      </c>
    </row>
    <row r="660">
      <c r="A660" s="60" t="s">
        <v>7484</v>
      </c>
      <c r="B660" s="60" t="s">
        <v>4639</v>
      </c>
      <c r="C660" s="60" t="s">
        <v>7485</v>
      </c>
      <c r="D660" s="79" t="s">
        <v>5952</v>
      </c>
      <c r="E660" s="79" t="s">
        <v>5952</v>
      </c>
      <c r="F660" s="83">
        <v>52000.0</v>
      </c>
      <c r="G660" s="79">
        <v>1321.0</v>
      </c>
      <c r="H660" s="79" t="s">
        <v>6349</v>
      </c>
      <c r="I660" s="79" t="s">
        <v>6350</v>
      </c>
      <c r="J660" s="79" t="s">
        <v>7498</v>
      </c>
      <c r="K660" s="80" t="s">
        <v>7499</v>
      </c>
    </row>
    <row r="661">
      <c r="A661" s="60" t="s">
        <v>7484</v>
      </c>
      <c r="B661" s="60" t="s">
        <v>4639</v>
      </c>
      <c r="C661" s="60" t="s">
        <v>7485</v>
      </c>
      <c r="D661" s="79" t="s">
        <v>5952</v>
      </c>
      <c r="E661" s="79" t="s">
        <v>5952</v>
      </c>
      <c r="F661" s="83">
        <v>52000.0</v>
      </c>
      <c r="G661" s="79">
        <v>1321.0</v>
      </c>
      <c r="H661" s="79" t="s">
        <v>6576</v>
      </c>
      <c r="I661" s="79" t="s">
        <v>6577</v>
      </c>
      <c r="J661" s="79" t="s">
        <v>7500</v>
      </c>
      <c r="K661" s="80" t="s">
        <v>7501</v>
      </c>
    </row>
    <row r="662">
      <c r="A662" s="60" t="s">
        <v>7484</v>
      </c>
      <c r="B662" s="60" t="s">
        <v>4639</v>
      </c>
      <c r="C662" s="60" t="s">
        <v>7485</v>
      </c>
      <c r="D662" s="79" t="s">
        <v>5952</v>
      </c>
      <c r="E662" s="79" t="s">
        <v>5952</v>
      </c>
      <c r="F662" s="83">
        <v>52000.0</v>
      </c>
      <c r="G662" s="79">
        <v>1321.0</v>
      </c>
      <c r="H662" s="79" t="s">
        <v>6353</v>
      </c>
      <c r="I662" s="79" t="s">
        <v>6354</v>
      </c>
      <c r="J662" s="79" t="s">
        <v>7164</v>
      </c>
      <c r="K662" s="80" t="s">
        <v>7502</v>
      </c>
    </row>
    <row r="663">
      <c r="A663" s="60" t="s">
        <v>7484</v>
      </c>
      <c r="B663" s="60" t="s">
        <v>4639</v>
      </c>
      <c r="C663" s="60" t="s">
        <v>7485</v>
      </c>
      <c r="D663" s="79" t="s">
        <v>5952</v>
      </c>
      <c r="E663" s="79" t="s">
        <v>5952</v>
      </c>
      <c r="F663" s="83">
        <v>52000.0</v>
      </c>
      <c r="G663" s="79">
        <v>1321.0</v>
      </c>
      <c r="H663" s="79" t="s">
        <v>6462</v>
      </c>
      <c r="I663" s="79" t="s">
        <v>6463</v>
      </c>
      <c r="J663" s="79" t="s">
        <v>7503</v>
      </c>
      <c r="K663" s="80" t="s">
        <v>7504</v>
      </c>
    </row>
    <row r="664">
      <c r="A664" s="60" t="s">
        <v>7484</v>
      </c>
      <c r="B664" s="60" t="s">
        <v>4639</v>
      </c>
      <c r="C664" s="60" t="s">
        <v>7485</v>
      </c>
      <c r="D664" s="79" t="s">
        <v>5952</v>
      </c>
      <c r="E664" s="79" t="s">
        <v>5952</v>
      </c>
      <c r="F664" s="83">
        <v>52000.0</v>
      </c>
      <c r="G664" s="79">
        <v>1321.0</v>
      </c>
      <c r="H664" s="79" t="s">
        <v>6407</v>
      </c>
      <c r="I664" s="79" t="s">
        <v>6408</v>
      </c>
      <c r="J664" s="79" t="s">
        <v>7505</v>
      </c>
      <c r="K664" s="80" t="s">
        <v>7506</v>
      </c>
    </row>
    <row r="665">
      <c r="A665" s="60" t="s">
        <v>7484</v>
      </c>
      <c r="B665" s="60" t="s">
        <v>4639</v>
      </c>
      <c r="C665" s="60" t="s">
        <v>7485</v>
      </c>
      <c r="D665" s="79" t="s">
        <v>5952</v>
      </c>
      <c r="E665" s="79" t="s">
        <v>5952</v>
      </c>
      <c r="F665" s="83">
        <v>52000.0</v>
      </c>
      <c r="G665" s="79">
        <v>1321.0</v>
      </c>
      <c r="H665" s="79" t="s">
        <v>6525</v>
      </c>
      <c r="I665" s="79" t="s">
        <v>6526</v>
      </c>
      <c r="J665" s="79" t="s">
        <v>7507</v>
      </c>
      <c r="K665" s="80" t="s">
        <v>7508</v>
      </c>
    </row>
    <row r="666">
      <c r="A666" s="60" t="s">
        <v>7484</v>
      </c>
      <c r="B666" s="60" t="s">
        <v>4639</v>
      </c>
      <c r="C666" s="60" t="s">
        <v>7485</v>
      </c>
      <c r="D666" s="79" t="s">
        <v>5952</v>
      </c>
      <c r="E666" s="79" t="s">
        <v>5952</v>
      </c>
      <c r="F666" s="83">
        <v>52000.0</v>
      </c>
      <c r="G666" s="79">
        <v>1321.0</v>
      </c>
      <c r="H666" s="83">
        <v>1000.0</v>
      </c>
      <c r="I666" s="79" t="s">
        <v>6472</v>
      </c>
      <c r="J666" s="79" t="s">
        <v>7509</v>
      </c>
      <c r="K666" s="80" t="s">
        <v>7510</v>
      </c>
    </row>
    <row r="667">
      <c r="A667" s="60" t="s">
        <v>7484</v>
      </c>
      <c r="B667" s="60" t="s">
        <v>4639</v>
      </c>
      <c r="C667" s="60" t="s">
        <v>7485</v>
      </c>
      <c r="D667" s="79" t="s">
        <v>5952</v>
      </c>
      <c r="E667" s="79" t="s">
        <v>5952</v>
      </c>
      <c r="F667" s="83">
        <v>52000.0</v>
      </c>
      <c r="G667" s="79">
        <v>1321.0</v>
      </c>
      <c r="H667" s="83">
        <v>1062.0</v>
      </c>
      <c r="I667" s="79" t="s">
        <v>6592</v>
      </c>
      <c r="J667" s="79" t="s">
        <v>7511</v>
      </c>
      <c r="K667" s="80" t="s">
        <v>7512</v>
      </c>
    </row>
    <row r="668">
      <c r="A668" s="60" t="s">
        <v>7484</v>
      </c>
      <c r="B668" s="60" t="s">
        <v>4639</v>
      </c>
      <c r="C668" s="60" t="s">
        <v>7485</v>
      </c>
      <c r="D668" s="79" t="s">
        <v>5952</v>
      </c>
      <c r="E668" s="79" t="s">
        <v>5952</v>
      </c>
      <c r="F668" s="83">
        <v>52000.0</v>
      </c>
      <c r="G668" s="79">
        <v>1321.0</v>
      </c>
      <c r="H668" s="83">
        <v>1125.0</v>
      </c>
      <c r="I668" s="79" t="s">
        <v>6531</v>
      </c>
      <c r="J668" s="79" t="s">
        <v>7513</v>
      </c>
      <c r="K668" s="80" t="s">
        <v>7514</v>
      </c>
    </row>
    <row r="669">
      <c r="A669" s="60" t="s">
        <v>7484</v>
      </c>
      <c r="B669" s="60" t="s">
        <v>4639</v>
      </c>
      <c r="C669" s="60" t="s">
        <v>7485</v>
      </c>
      <c r="D669" s="79" t="s">
        <v>5952</v>
      </c>
      <c r="E669" s="79" t="s">
        <v>5952</v>
      </c>
      <c r="F669" s="83">
        <v>52000.0</v>
      </c>
      <c r="G669" s="79">
        <v>1321.0</v>
      </c>
      <c r="H669" s="83">
        <v>1188.0</v>
      </c>
      <c r="I669" s="79" t="s">
        <v>6732</v>
      </c>
      <c r="J669" s="79" t="s">
        <v>7515</v>
      </c>
      <c r="K669" s="80" t="s">
        <v>7516</v>
      </c>
    </row>
    <row r="670">
      <c r="A670" s="60" t="s">
        <v>7484</v>
      </c>
      <c r="B670" s="60" t="s">
        <v>4639</v>
      </c>
      <c r="C670" s="60" t="s">
        <v>7485</v>
      </c>
      <c r="D670" s="79" t="s">
        <v>5952</v>
      </c>
      <c r="E670" s="79" t="s">
        <v>5952</v>
      </c>
      <c r="F670" s="83">
        <v>52000.0</v>
      </c>
      <c r="G670" s="79">
        <v>1321.0</v>
      </c>
      <c r="H670" s="83">
        <v>1250.0</v>
      </c>
      <c r="I670" s="79" t="s">
        <v>6534</v>
      </c>
      <c r="J670" s="79" t="s">
        <v>7517</v>
      </c>
      <c r="K670" s="80" t="s">
        <v>7518</v>
      </c>
    </row>
    <row r="671">
      <c r="A671" s="60" t="s">
        <v>7519</v>
      </c>
      <c r="B671" s="60" t="s">
        <v>7520</v>
      </c>
      <c r="C671" s="60" t="s">
        <v>7521</v>
      </c>
      <c r="D671" s="79" t="s">
        <v>5952</v>
      </c>
      <c r="E671" s="79" t="s">
        <v>5952</v>
      </c>
      <c r="F671" s="83">
        <v>56000.0</v>
      </c>
      <c r="G671" s="79">
        <v>1422.0</v>
      </c>
      <c r="H671" s="79" t="s">
        <v>6207</v>
      </c>
      <c r="I671" s="79" t="s">
        <v>6208</v>
      </c>
      <c r="J671" s="79" t="s">
        <v>7188</v>
      </c>
      <c r="K671" s="80" t="s">
        <v>7522</v>
      </c>
    </row>
    <row r="672">
      <c r="A672" s="60" t="s">
        <v>7519</v>
      </c>
      <c r="B672" s="60" t="s">
        <v>7520</v>
      </c>
      <c r="C672" s="60" t="s">
        <v>7521</v>
      </c>
      <c r="D672" s="79" t="s">
        <v>5952</v>
      </c>
      <c r="E672" s="79" t="s">
        <v>5952</v>
      </c>
      <c r="F672" s="83">
        <v>56000.0</v>
      </c>
      <c r="G672" s="79">
        <v>1422.0</v>
      </c>
      <c r="H672" s="79" t="s">
        <v>6442</v>
      </c>
      <c r="I672" s="79" t="s">
        <v>6443</v>
      </c>
      <c r="J672" s="79" t="s">
        <v>7523</v>
      </c>
      <c r="K672" s="80" t="s">
        <v>7524</v>
      </c>
    </row>
    <row r="673">
      <c r="A673" s="60" t="s">
        <v>7519</v>
      </c>
      <c r="B673" s="60" t="s">
        <v>7520</v>
      </c>
      <c r="C673" s="60" t="s">
        <v>7521</v>
      </c>
      <c r="D673" s="79" t="s">
        <v>5952</v>
      </c>
      <c r="E673" s="79" t="s">
        <v>5952</v>
      </c>
      <c r="F673" s="83">
        <v>56000.0</v>
      </c>
      <c r="G673" s="79">
        <v>1422.0</v>
      </c>
      <c r="H673" s="79" t="s">
        <v>6243</v>
      </c>
      <c r="I673" s="79" t="s">
        <v>6244</v>
      </c>
      <c r="J673" s="79" t="s">
        <v>7525</v>
      </c>
      <c r="K673" s="80" t="s">
        <v>7526</v>
      </c>
    </row>
    <row r="674">
      <c r="A674" s="60" t="s">
        <v>7519</v>
      </c>
      <c r="B674" s="60" t="s">
        <v>7520</v>
      </c>
      <c r="C674" s="60" t="s">
        <v>7521</v>
      </c>
      <c r="D674" s="79" t="s">
        <v>5952</v>
      </c>
      <c r="E674" s="79" t="s">
        <v>5952</v>
      </c>
      <c r="F674" s="83">
        <v>56000.0</v>
      </c>
      <c r="G674" s="79">
        <v>1422.0</v>
      </c>
      <c r="H674" s="79" t="s">
        <v>1196</v>
      </c>
      <c r="I674" s="79" t="s">
        <v>6628</v>
      </c>
      <c r="J674" s="79" t="s">
        <v>7527</v>
      </c>
      <c r="K674" s="80" t="s">
        <v>7528</v>
      </c>
    </row>
    <row r="675">
      <c r="A675" s="60" t="s">
        <v>7519</v>
      </c>
      <c r="B675" s="60" t="s">
        <v>7520</v>
      </c>
      <c r="C675" s="60" t="s">
        <v>7521</v>
      </c>
      <c r="D675" s="79" t="s">
        <v>5952</v>
      </c>
      <c r="E675" s="79" t="s">
        <v>5952</v>
      </c>
      <c r="F675" s="83">
        <v>56000.0</v>
      </c>
      <c r="G675" s="79">
        <v>1422.0</v>
      </c>
      <c r="H675" s="79" t="s">
        <v>6345</v>
      </c>
      <c r="I675" s="79" t="s">
        <v>6346</v>
      </c>
      <c r="J675" s="79" t="s">
        <v>6866</v>
      </c>
      <c r="K675" s="80" t="s">
        <v>7529</v>
      </c>
    </row>
    <row r="676">
      <c r="A676" s="60" t="s">
        <v>7519</v>
      </c>
      <c r="B676" s="60" t="s">
        <v>7520</v>
      </c>
      <c r="C676" s="60" t="s">
        <v>7521</v>
      </c>
      <c r="D676" s="79" t="s">
        <v>5952</v>
      </c>
      <c r="E676" s="79" t="s">
        <v>5952</v>
      </c>
      <c r="F676" s="83">
        <v>56000.0</v>
      </c>
      <c r="G676" s="79">
        <v>1422.0</v>
      </c>
      <c r="H676" s="79" t="s">
        <v>6391</v>
      </c>
      <c r="I676" s="79" t="s">
        <v>6392</v>
      </c>
      <c r="J676" s="79" t="s">
        <v>7530</v>
      </c>
      <c r="K676" s="80" t="s">
        <v>7531</v>
      </c>
    </row>
    <row r="677">
      <c r="A677" s="60" t="s">
        <v>7519</v>
      </c>
      <c r="B677" s="60" t="s">
        <v>7520</v>
      </c>
      <c r="C677" s="60" t="s">
        <v>7521</v>
      </c>
      <c r="D677" s="79" t="s">
        <v>5952</v>
      </c>
      <c r="E677" s="79" t="s">
        <v>5952</v>
      </c>
      <c r="F677" s="83">
        <v>56000.0</v>
      </c>
      <c r="G677" s="79">
        <v>1422.0</v>
      </c>
      <c r="H677" s="79" t="s">
        <v>6349</v>
      </c>
      <c r="I677" s="79" t="s">
        <v>6350</v>
      </c>
      <c r="J677" s="79" t="s">
        <v>7532</v>
      </c>
      <c r="K677" s="80" t="s">
        <v>7533</v>
      </c>
    </row>
    <row r="678">
      <c r="A678" s="60" t="s">
        <v>7519</v>
      </c>
      <c r="B678" s="60" t="s">
        <v>7520</v>
      </c>
      <c r="C678" s="60" t="s">
        <v>7521</v>
      </c>
      <c r="D678" s="79" t="s">
        <v>5952</v>
      </c>
      <c r="E678" s="79" t="s">
        <v>5952</v>
      </c>
      <c r="F678" s="83">
        <v>56000.0</v>
      </c>
      <c r="G678" s="79">
        <v>1422.0</v>
      </c>
      <c r="H678" s="79" t="s">
        <v>6576</v>
      </c>
      <c r="I678" s="79" t="s">
        <v>6577</v>
      </c>
      <c r="J678" s="79" t="s">
        <v>7534</v>
      </c>
      <c r="K678" s="80" t="s">
        <v>7535</v>
      </c>
    </row>
    <row r="679">
      <c r="A679" s="60" t="s">
        <v>7519</v>
      </c>
      <c r="B679" s="60" t="s">
        <v>7520</v>
      </c>
      <c r="C679" s="60" t="s">
        <v>7521</v>
      </c>
      <c r="D679" s="79" t="s">
        <v>5952</v>
      </c>
      <c r="E679" s="79" t="s">
        <v>5952</v>
      </c>
      <c r="F679" s="83">
        <v>56000.0</v>
      </c>
      <c r="G679" s="79">
        <v>1422.0</v>
      </c>
      <c r="H679" s="79" t="s">
        <v>6353</v>
      </c>
      <c r="I679" s="79" t="s">
        <v>6354</v>
      </c>
      <c r="J679" s="79" t="s">
        <v>7536</v>
      </c>
      <c r="K679" s="80" t="s">
        <v>7537</v>
      </c>
    </row>
    <row r="680">
      <c r="A680" s="60" t="s">
        <v>7519</v>
      </c>
      <c r="B680" s="60" t="s">
        <v>7520</v>
      </c>
      <c r="C680" s="60" t="s">
        <v>7521</v>
      </c>
      <c r="D680" s="79" t="s">
        <v>5952</v>
      </c>
      <c r="E680" s="79" t="s">
        <v>5952</v>
      </c>
      <c r="F680" s="83">
        <v>56000.0</v>
      </c>
      <c r="G680" s="79">
        <v>1422.0</v>
      </c>
      <c r="H680" s="79" t="s">
        <v>6462</v>
      </c>
      <c r="I680" s="79" t="s">
        <v>6463</v>
      </c>
      <c r="J680" s="79" t="s">
        <v>7538</v>
      </c>
      <c r="K680" s="80" t="s">
        <v>7539</v>
      </c>
    </row>
    <row r="681">
      <c r="A681" s="60" t="s">
        <v>7519</v>
      </c>
      <c r="B681" s="60" t="s">
        <v>7520</v>
      </c>
      <c r="C681" s="60" t="s">
        <v>7521</v>
      </c>
      <c r="D681" s="79" t="s">
        <v>5952</v>
      </c>
      <c r="E681" s="79" t="s">
        <v>5952</v>
      </c>
      <c r="F681" s="83">
        <v>56000.0</v>
      </c>
      <c r="G681" s="79">
        <v>1422.0</v>
      </c>
      <c r="H681" s="79" t="s">
        <v>6407</v>
      </c>
      <c r="I681" s="79" t="s">
        <v>6408</v>
      </c>
      <c r="J681" s="79" t="s">
        <v>7402</v>
      </c>
      <c r="K681" s="80" t="s">
        <v>7540</v>
      </c>
    </row>
    <row r="682">
      <c r="A682" s="60" t="s">
        <v>7519</v>
      </c>
      <c r="B682" s="60" t="s">
        <v>7520</v>
      </c>
      <c r="C682" s="60" t="s">
        <v>7521</v>
      </c>
      <c r="D682" s="79" t="s">
        <v>5952</v>
      </c>
      <c r="E682" s="79" t="s">
        <v>5952</v>
      </c>
      <c r="F682" s="83">
        <v>56000.0</v>
      </c>
      <c r="G682" s="79">
        <v>1422.0</v>
      </c>
      <c r="H682" s="79" t="s">
        <v>6525</v>
      </c>
      <c r="I682" s="79" t="s">
        <v>6526</v>
      </c>
      <c r="J682" s="79" t="s">
        <v>7541</v>
      </c>
      <c r="K682" s="80" t="s">
        <v>7542</v>
      </c>
    </row>
    <row r="683">
      <c r="A683" s="60" t="s">
        <v>7519</v>
      </c>
      <c r="B683" s="60" t="s">
        <v>7520</v>
      </c>
      <c r="C683" s="60" t="s">
        <v>7521</v>
      </c>
      <c r="D683" s="79" t="s">
        <v>5952</v>
      </c>
      <c r="E683" s="79" t="s">
        <v>5952</v>
      </c>
      <c r="F683" s="83">
        <v>56000.0</v>
      </c>
      <c r="G683" s="79">
        <v>1422.0</v>
      </c>
      <c r="H683" s="83">
        <v>1000.0</v>
      </c>
      <c r="I683" s="79" t="s">
        <v>6472</v>
      </c>
      <c r="J683" s="79" t="s">
        <v>7543</v>
      </c>
      <c r="K683" s="80" t="s">
        <v>7544</v>
      </c>
    </row>
    <row r="684">
      <c r="A684" s="60" t="s">
        <v>7519</v>
      </c>
      <c r="B684" s="60" t="s">
        <v>7520</v>
      </c>
      <c r="C684" s="60" t="s">
        <v>7521</v>
      </c>
      <c r="D684" s="79" t="s">
        <v>5952</v>
      </c>
      <c r="E684" s="79" t="s">
        <v>5952</v>
      </c>
      <c r="F684" s="83">
        <v>56000.0</v>
      </c>
      <c r="G684" s="79">
        <v>1422.0</v>
      </c>
      <c r="H684" s="83">
        <v>1062.0</v>
      </c>
      <c r="I684" s="79" t="s">
        <v>6592</v>
      </c>
      <c r="J684" s="79" t="s">
        <v>7545</v>
      </c>
      <c r="K684" s="80" t="s">
        <v>7546</v>
      </c>
    </row>
    <row r="685">
      <c r="A685" s="60" t="s">
        <v>7519</v>
      </c>
      <c r="B685" s="60" t="s">
        <v>7520</v>
      </c>
      <c r="C685" s="60" t="s">
        <v>7521</v>
      </c>
      <c r="D685" s="79" t="s">
        <v>5952</v>
      </c>
      <c r="E685" s="79" t="s">
        <v>5952</v>
      </c>
      <c r="F685" s="83">
        <v>56000.0</v>
      </c>
      <c r="G685" s="79">
        <v>1422.0</v>
      </c>
      <c r="H685" s="83">
        <v>1125.0</v>
      </c>
      <c r="I685" s="79" t="s">
        <v>6531</v>
      </c>
      <c r="J685" s="79" t="s">
        <v>7547</v>
      </c>
      <c r="K685" s="80" t="s">
        <v>7548</v>
      </c>
    </row>
    <row r="686">
      <c r="A686" s="60" t="s">
        <v>7519</v>
      </c>
      <c r="B686" s="60" t="s">
        <v>7520</v>
      </c>
      <c r="C686" s="60" t="s">
        <v>7521</v>
      </c>
      <c r="D686" s="79" t="s">
        <v>5952</v>
      </c>
      <c r="E686" s="79" t="s">
        <v>5952</v>
      </c>
      <c r="F686" s="83">
        <v>56000.0</v>
      </c>
      <c r="G686" s="79">
        <v>1422.0</v>
      </c>
      <c r="H686" s="83">
        <v>1188.0</v>
      </c>
      <c r="I686" s="79" t="s">
        <v>6732</v>
      </c>
      <c r="J686" s="79" t="s">
        <v>7549</v>
      </c>
      <c r="K686" s="80" t="s">
        <v>7550</v>
      </c>
    </row>
    <row r="687">
      <c r="A687" s="60" t="s">
        <v>7519</v>
      </c>
      <c r="B687" s="60" t="s">
        <v>7520</v>
      </c>
      <c r="C687" s="60" t="s">
        <v>7521</v>
      </c>
      <c r="D687" s="79" t="s">
        <v>5952</v>
      </c>
      <c r="E687" s="79" t="s">
        <v>5952</v>
      </c>
      <c r="F687" s="83">
        <v>56000.0</v>
      </c>
      <c r="G687" s="79">
        <v>1422.0</v>
      </c>
      <c r="H687" s="83">
        <v>1250.0</v>
      </c>
      <c r="I687" s="79" t="s">
        <v>6534</v>
      </c>
      <c r="J687" s="79" t="s">
        <v>7551</v>
      </c>
      <c r="K687" s="80" t="s">
        <v>7552</v>
      </c>
    </row>
    <row r="688">
      <c r="A688" s="60" t="s">
        <v>7553</v>
      </c>
      <c r="B688" s="60" t="s">
        <v>7554</v>
      </c>
      <c r="C688" s="60" t="s">
        <v>7555</v>
      </c>
      <c r="D688" s="79" t="s">
        <v>5952</v>
      </c>
      <c r="E688" s="79" t="s">
        <v>5952</v>
      </c>
      <c r="F688" s="83">
        <v>60000.0</v>
      </c>
      <c r="G688" s="79">
        <v>1524.0</v>
      </c>
      <c r="H688" s="79" t="s">
        <v>6207</v>
      </c>
      <c r="I688" s="79" t="s">
        <v>6208</v>
      </c>
      <c r="J688" s="79" t="s">
        <v>7556</v>
      </c>
      <c r="K688" s="80" t="s">
        <v>7557</v>
      </c>
    </row>
    <row r="689">
      <c r="A689" s="60" t="s">
        <v>7553</v>
      </c>
      <c r="B689" s="60" t="s">
        <v>7554</v>
      </c>
      <c r="C689" s="60" t="s">
        <v>7555</v>
      </c>
      <c r="D689" s="79" t="s">
        <v>5952</v>
      </c>
      <c r="E689" s="79" t="s">
        <v>5952</v>
      </c>
      <c r="F689" s="83">
        <v>60000.0</v>
      </c>
      <c r="G689" s="79">
        <v>1524.0</v>
      </c>
      <c r="H689" s="79" t="s">
        <v>6442</v>
      </c>
      <c r="I689" s="79" t="s">
        <v>6443</v>
      </c>
      <c r="J689" s="79" t="s">
        <v>7558</v>
      </c>
      <c r="K689" s="80" t="s">
        <v>7559</v>
      </c>
    </row>
    <row r="690">
      <c r="A690" s="60" t="s">
        <v>7553</v>
      </c>
      <c r="B690" s="60" t="s">
        <v>7554</v>
      </c>
      <c r="C690" s="60" t="s">
        <v>7555</v>
      </c>
      <c r="D690" s="79" t="s">
        <v>5952</v>
      </c>
      <c r="E690" s="79" t="s">
        <v>5952</v>
      </c>
      <c r="F690" s="83">
        <v>60000.0</v>
      </c>
      <c r="G690" s="79">
        <v>1524.0</v>
      </c>
      <c r="H690" s="79" t="s">
        <v>6243</v>
      </c>
      <c r="I690" s="79" t="s">
        <v>6244</v>
      </c>
      <c r="J690" s="79" t="s">
        <v>7560</v>
      </c>
      <c r="K690" s="80" t="s">
        <v>7561</v>
      </c>
    </row>
    <row r="691">
      <c r="A691" s="60" t="s">
        <v>7553</v>
      </c>
      <c r="B691" s="60" t="s">
        <v>7554</v>
      </c>
      <c r="C691" s="60" t="s">
        <v>7555</v>
      </c>
      <c r="D691" s="79" t="s">
        <v>5952</v>
      </c>
      <c r="E691" s="79" t="s">
        <v>5952</v>
      </c>
      <c r="F691" s="83">
        <v>60000.0</v>
      </c>
      <c r="G691" s="79">
        <v>1524.0</v>
      </c>
      <c r="H691" s="79" t="s">
        <v>1196</v>
      </c>
      <c r="I691" s="79" t="s">
        <v>6628</v>
      </c>
      <c r="J691" s="79" t="s">
        <v>7562</v>
      </c>
      <c r="K691" s="80" t="s">
        <v>7563</v>
      </c>
    </row>
    <row r="692">
      <c r="A692" s="60" t="s">
        <v>7553</v>
      </c>
      <c r="B692" s="60" t="s">
        <v>7554</v>
      </c>
      <c r="C692" s="60" t="s">
        <v>7555</v>
      </c>
      <c r="D692" s="79" t="s">
        <v>5952</v>
      </c>
      <c r="E692" s="79" t="s">
        <v>5952</v>
      </c>
      <c r="F692" s="83">
        <v>60000.0</v>
      </c>
      <c r="G692" s="79">
        <v>1524.0</v>
      </c>
      <c r="H692" s="79" t="s">
        <v>6345</v>
      </c>
      <c r="I692" s="79" t="s">
        <v>6346</v>
      </c>
      <c r="J692" s="79" t="s">
        <v>7564</v>
      </c>
      <c r="K692" s="80" t="s">
        <v>7565</v>
      </c>
    </row>
    <row r="693">
      <c r="A693" s="60" t="s">
        <v>7553</v>
      </c>
      <c r="B693" s="60" t="s">
        <v>7554</v>
      </c>
      <c r="C693" s="60" t="s">
        <v>7555</v>
      </c>
      <c r="D693" s="79" t="s">
        <v>5952</v>
      </c>
      <c r="E693" s="79" t="s">
        <v>5952</v>
      </c>
      <c r="F693" s="83">
        <v>60000.0</v>
      </c>
      <c r="G693" s="79">
        <v>1524.0</v>
      </c>
      <c r="H693" s="79" t="s">
        <v>6391</v>
      </c>
      <c r="I693" s="79" t="s">
        <v>6392</v>
      </c>
      <c r="J693" s="79" t="s">
        <v>7566</v>
      </c>
      <c r="K693" s="80" t="s">
        <v>7567</v>
      </c>
    </row>
    <row r="694">
      <c r="A694" s="60" t="s">
        <v>7553</v>
      </c>
      <c r="B694" s="60" t="s">
        <v>7554</v>
      </c>
      <c r="C694" s="60" t="s">
        <v>7555</v>
      </c>
      <c r="D694" s="79" t="s">
        <v>5952</v>
      </c>
      <c r="E694" s="79" t="s">
        <v>5952</v>
      </c>
      <c r="F694" s="83">
        <v>60000.0</v>
      </c>
      <c r="G694" s="79">
        <v>1524.0</v>
      </c>
      <c r="H694" s="79" t="s">
        <v>6349</v>
      </c>
      <c r="I694" s="79" t="s">
        <v>6350</v>
      </c>
      <c r="J694" s="79" t="s">
        <v>7568</v>
      </c>
      <c r="K694" s="80" t="s">
        <v>7569</v>
      </c>
    </row>
    <row r="695">
      <c r="A695" s="60" t="s">
        <v>7553</v>
      </c>
      <c r="B695" s="60" t="s">
        <v>7554</v>
      </c>
      <c r="C695" s="60" t="s">
        <v>7555</v>
      </c>
      <c r="D695" s="79" t="s">
        <v>5952</v>
      </c>
      <c r="E695" s="79" t="s">
        <v>5952</v>
      </c>
      <c r="F695" s="83">
        <v>60000.0</v>
      </c>
      <c r="G695" s="79">
        <v>1524.0</v>
      </c>
      <c r="H695" s="79" t="s">
        <v>6576</v>
      </c>
      <c r="I695" s="79" t="s">
        <v>6577</v>
      </c>
      <c r="J695" s="79" t="s">
        <v>7570</v>
      </c>
      <c r="K695" s="80" t="s">
        <v>7571</v>
      </c>
    </row>
    <row r="696">
      <c r="A696" s="60" t="s">
        <v>7553</v>
      </c>
      <c r="B696" s="60" t="s">
        <v>7554</v>
      </c>
      <c r="C696" s="60" t="s">
        <v>7555</v>
      </c>
      <c r="D696" s="79" t="s">
        <v>5952</v>
      </c>
      <c r="E696" s="79" t="s">
        <v>5952</v>
      </c>
      <c r="F696" s="83">
        <v>60000.0</v>
      </c>
      <c r="G696" s="79">
        <v>1524.0</v>
      </c>
      <c r="H696" s="79" t="s">
        <v>6353</v>
      </c>
      <c r="I696" s="79" t="s">
        <v>6354</v>
      </c>
      <c r="J696" s="79" t="s">
        <v>7572</v>
      </c>
      <c r="K696" s="80" t="s">
        <v>7573</v>
      </c>
    </row>
    <row r="697">
      <c r="A697" s="60" t="s">
        <v>7553</v>
      </c>
      <c r="B697" s="60" t="s">
        <v>7554</v>
      </c>
      <c r="C697" s="60" t="s">
        <v>7555</v>
      </c>
      <c r="D697" s="79" t="s">
        <v>5952</v>
      </c>
      <c r="E697" s="79" t="s">
        <v>5952</v>
      </c>
      <c r="F697" s="83">
        <v>60000.0</v>
      </c>
      <c r="G697" s="79">
        <v>1524.0</v>
      </c>
      <c r="H697" s="79" t="s">
        <v>6462</v>
      </c>
      <c r="I697" s="79" t="s">
        <v>6463</v>
      </c>
      <c r="J697" s="79" t="s">
        <v>7574</v>
      </c>
      <c r="K697" s="80" t="s">
        <v>7575</v>
      </c>
    </row>
    <row r="698">
      <c r="A698" s="60" t="s">
        <v>7553</v>
      </c>
      <c r="B698" s="60" t="s">
        <v>7554</v>
      </c>
      <c r="C698" s="60" t="s">
        <v>7555</v>
      </c>
      <c r="D698" s="79" t="s">
        <v>5952</v>
      </c>
      <c r="E698" s="79" t="s">
        <v>5952</v>
      </c>
      <c r="F698" s="83">
        <v>60000.0</v>
      </c>
      <c r="G698" s="79">
        <v>1524.0</v>
      </c>
      <c r="H698" s="79" t="s">
        <v>6407</v>
      </c>
      <c r="I698" s="79" t="s">
        <v>6408</v>
      </c>
      <c r="J698" s="79" t="s">
        <v>7576</v>
      </c>
      <c r="K698" s="80" t="s">
        <v>7577</v>
      </c>
    </row>
    <row r="699">
      <c r="A699" s="60" t="s">
        <v>7553</v>
      </c>
      <c r="B699" s="60" t="s">
        <v>7554</v>
      </c>
      <c r="C699" s="60" t="s">
        <v>7555</v>
      </c>
      <c r="D699" s="79" t="s">
        <v>5952</v>
      </c>
      <c r="E699" s="79" t="s">
        <v>5952</v>
      </c>
      <c r="F699" s="83">
        <v>60000.0</v>
      </c>
      <c r="G699" s="79">
        <v>1524.0</v>
      </c>
      <c r="H699" s="79" t="s">
        <v>6525</v>
      </c>
      <c r="I699" s="79" t="s">
        <v>6526</v>
      </c>
      <c r="J699" s="79" t="s">
        <v>7578</v>
      </c>
      <c r="K699" s="80" t="s">
        <v>7579</v>
      </c>
    </row>
    <row r="700">
      <c r="A700" s="60" t="s">
        <v>7553</v>
      </c>
      <c r="B700" s="60" t="s">
        <v>7554</v>
      </c>
      <c r="C700" s="60" t="s">
        <v>7555</v>
      </c>
      <c r="D700" s="79" t="s">
        <v>5952</v>
      </c>
      <c r="E700" s="79" t="s">
        <v>5952</v>
      </c>
      <c r="F700" s="83">
        <v>60000.0</v>
      </c>
      <c r="G700" s="79">
        <v>1524.0</v>
      </c>
      <c r="H700" s="83">
        <v>1000.0</v>
      </c>
      <c r="I700" s="79" t="s">
        <v>6472</v>
      </c>
      <c r="J700" s="79" t="s">
        <v>7580</v>
      </c>
      <c r="K700" s="80" t="s">
        <v>7581</v>
      </c>
    </row>
    <row r="701">
      <c r="A701" s="60" t="s">
        <v>7553</v>
      </c>
      <c r="B701" s="60" t="s">
        <v>7554</v>
      </c>
      <c r="C701" s="60" t="s">
        <v>7555</v>
      </c>
      <c r="D701" s="79" t="s">
        <v>5952</v>
      </c>
      <c r="E701" s="79" t="s">
        <v>5952</v>
      </c>
      <c r="F701" s="83">
        <v>60000.0</v>
      </c>
      <c r="G701" s="79">
        <v>1524.0</v>
      </c>
      <c r="H701" s="83">
        <v>1062.0</v>
      </c>
      <c r="I701" s="79" t="s">
        <v>6592</v>
      </c>
      <c r="J701" s="79" t="s">
        <v>7582</v>
      </c>
      <c r="K701" s="80" t="s">
        <v>7583</v>
      </c>
    </row>
    <row r="702">
      <c r="A702" s="60" t="s">
        <v>7553</v>
      </c>
      <c r="B702" s="60" t="s">
        <v>7554</v>
      </c>
      <c r="C702" s="60" t="s">
        <v>7555</v>
      </c>
      <c r="D702" s="79" t="s">
        <v>5952</v>
      </c>
      <c r="E702" s="79" t="s">
        <v>5952</v>
      </c>
      <c r="F702" s="83">
        <v>60000.0</v>
      </c>
      <c r="G702" s="79">
        <v>1524.0</v>
      </c>
      <c r="H702" s="83">
        <v>1125.0</v>
      </c>
      <c r="I702" s="79" t="s">
        <v>6531</v>
      </c>
      <c r="J702" s="79" t="s">
        <v>7584</v>
      </c>
      <c r="K702" s="80" t="s">
        <v>7585</v>
      </c>
    </row>
    <row r="703">
      <c r="A703" s="60" t="s">
        <v>7553</v>
      </c>
      <c r="B703" s="60" t="s">
        <v>7554</v>
      </c>
      <c r="C703" s="60" t="s">
        <v>7555</v>
      </c>
      <c r="D703" s="79" t="s">
        <v>5952</v>
      </c>
      <c r="E703" s="79" t="s">
        <v>5952</v>
      </c>
      <c r="F703" s="83">
        <v>60000.0</v>
      </c>
      <c r="G703" s="79">
        <v>1524.0</v>
      </c>
      <c r="H703" s="83">
        <v>1188.0</v>
      </c>
      <c r="I703" s="79" t="s">
        <v>6732</v>
      </c>
      <c r="J703" s="79" t="s">
        <v>7586</v>
      </c>
      <c r="K703" s="80" t="s">
        <v>7587</v>
      </c>
    </row>
    <row r="704">
      <c r="A704" s="60" t="s">
        <v>7553</v>
      </c>
      <c r="B704" s="60" t="s">
        <v>7554</v>
      </c>
      <c r="C704" s="60" t="s">
        <v>7555</v>
      </c>
      <c r="D704" s="79" t="s">
        <v>5952</v>
      </c>
      <c r="E704" s="79" t="s">
        <v>5952</v>
      </c>
      <c r="F704" s="83">
        <v>60000.0</v>
      </c>
      <c r="G704" s="79">
        <v>1524.0</v>
      </c>
      <c r="H704" s="83">
        <v>1250.0</v>
      </c>
      <c r="I704" s="79" t="s">
        <v>6534</v>
      </c>
      <c r="J704" s="79" t="s">
        <v>7588</v>
      </c>
      <c r="K704" s="80" t="s">
        <v>7589</v>
      </c>
    </row>
    <row r="705">
      <c r="A705" s="60" t="s">
        <v>7590</v>
      </c>
      <c r="B705" s="60" t="s">
        <v>7591</v>
      </c>
      <c r="C705" s="60" t="s">
        <v>7592</v>
      </c>
      <c r="D705" s="79" t="s">
        <v>5952</v>
      </c>
      <c r="E705" s="79" t="s">
        <v>5952</v>
      </c>
      <c r="F705" s="83">
        <v>64000.0</v>
      </c>
      <c r="G705" s="79">
        <v>1626.0</v>
      </c>
      <c r="H705" s="79" t="s">
        <v>6207</v>
      </c>
      <c r="I705" s="79" t="s">
        <v>6208</v>
      </c>
      <c r="J705" s="79" t="s">
        <v>7593</v>
      </c>
      <c r="K705" s="80" t="s">
        <v>7594</v>
      </c>
    </row>
    <row r="706">
      <c r="A706" s="60" t="s">
        <v>7590</v>
      </c>
      <c r="B706" s="60" t="s">
        <v>7591</v>
      </c>
      <c r="C706" s="60" t="s">
        <v>7592</v>
      </c>
      <c r="D706" s="79" t="s">
        <v>5952</v>
      </c>
      <c r="E706" s="79" t="s">
        <v>5952</v>
      </c>
      <c r="F706" s="83">
        <v>64000.0</v>
      </c>
      <c r="G706" s="83">
        <v>1626.0</v>
      </c>
      <c r="H706" s="79" t="s">
        <v>6442</v>
      </c>
      <c r="I706" s="79" t="s">
        <v>6443</v>
      </c>
      <c r="J706" s="79" t="s">
        <v>7595</v>
      </c>
      <c r="K706" s="80" t="s">
        <v>7596</v>
      </c>
    </row>
    <row r="707">
      <c r="A707" s="60" t="s">
        <v>7590</v>
      </c>
      <c r="B707" s="60" t="s">
        <v>7591</v>
      </c>
      <c r="C707" s="60" t="s">
        <v>7592</v>
      </c>
      <c r="D707" s="79" t="s">
        <v>5952</v>
      </c>
      <c r="E707" s="79" t="s">
        <v>5952</v>
      </c>
      <c r="F707" s="83">
        <v>64000.0</v>
      </c>
      <c r="G707" s="79">
        <v>1626.0</v>
      </c>
      <c r="H707" s="79" t="s">
        <v>6243</v>
      </c>
      <c r="I707" s="79" t="s">
        <v>6244</v>
      </c>
      <c r="J707" s="79" t="s">
        <v>7597</v>
      </c>
      <c r="K707" s="80" t="s">
        <v>7598</v>
      </c>
    </row>
    <row r="708">
      <c r="A708" s="60" t="s">
        <v>7590</v>
      </c>
      <c r="B708" s="60" t="s">
        <v>7591</v>
      </c>
      <c r="C708" s="60" t="s">
        <v>7592</v>
      </c>
      <c r="D708" s="79" t="s">
        <v>5952</v>
      </c>
      <c r="E708" s="79" t="s">
        <v>5952</v>
      </c>
      <c r="F708" s="83">
        <v>64000.0</v>
      </c>
      <c r="G708" s="79">
        <v>1626.0</v>
      </c>
      <c r="H708" s="79" t="s">
        <v>1196</v>
      </c>
      <c r="I708" s="79" t="s">
        <v>6628</v>
      </c>
      <c r="J708" s="79" t="s">
        <v>7599</v>
      </c>
      <c r="K708" s="80" t="s">
        <v>7600</v>
      </c>
    </row>
    <row r="709">
      <c r="A709" s="60" t="s">
        <v>7590</v>
      </c>
      <c r="B709" s="60" t="s">
        <v>7591</v>
      </c>
      <c r="C709" s="60" t="s">
        <v>7592</v>
      </c>
      <c r="D709" s="79" t="s">
        <v>5952</v>
      </c>
      <c r="E709" s="79" t="s">
        <v>5952</v>
      </c>
      <c r="F709" s="83">
        <v>64000.0</v>
      </c>
      <c r="G709" s="79">
        <v>1626.0</v>
      </c>
      <c r="H709" s="79" t="s">
        <v>6345</v>
      </c>
      <c r="I709" s="79" t="s">
        <v>6346</v>
      </c>
      <c r="J709" s="79" t="s">
        <v>7601</v>
      </c>
      <c r="K709" s="80" t="s">
        <v>7602</v>
      </c>
    </row>
    <row r="710">
      <c r="A710" s="60" t="s">
        <v>7590</v>
      </c>
      <c r="B710" s="60" t="s">
        <v>7591</v>
      </c>
      <c r="C710" s="60" t="s">
        <v>7592</v>
      </c>
      <c r="D710" s="79" t="s">
        <v>5952</v>
      </c>
      <c r="E710" s="79" t="s">
        <v>5952</v>
      </c>
      <c r="F710" s="83">
        <v>64000.0</v>
      </c>
      <c r="G710" s="79">
        <v>1626.0</v>
      </c>
      <c r="H710" s="79" t="s">
        <v>6391</v>
      </c>
      <c r="I710" s="79" t="s">
        <v>6392</v>
      </c>
      <c r="J710" s="79" t="s">
        <v>7603</v>
      </c>
      <c r="K710" s="80" t="s">
        <v>7604</v>
      </c>
    </row>
    <row r="711">
      <c r="A711" s="60" t="s">
        <v>7590</v>
      </c>
      <c r="B711" s="60" t="s">
        <v>7591</v>
      </c>
      <c r="C711" s="60" t="s">
        <v>7592</v>
      </c>
      <c r="D711" s="79" t="s">
        <v>5952</v>
      </c>
      <c r="E711" s="79" t="s">
        <v>5952</v>
      </c>
      <c r="F711" s="83">
        <v>64000.0</v>
      </c>
      <c r="G711" s="79">
        <v>1626.0</v>
      </c>
      <c r="H711" s="79" t="s">
        <v>6349</v>
      </c>
      <c r="I711" s="79" t="s">
        <v>6350</v>
      </c>
      <c r="J711" s="79" t="s">
        <v>7605</v>
      </c>
      <c r="K711" s="80" t="s">
        <v>7606</v>
      </c>
    </row>
    <row r="712">
      <c r="A712" s="60" t="s">
        <v>7590</v>
      </c>
      <c r="B712" s="60" t="s">
        <v>7591</v>
      </c>
      <c r="C712" s="60" t="s">
        <v>7592</v>
      </c>
      <c r="D712" s="79" t="s">
        <v>5952</v>
      </c>
      <c r="E712" s="79" t="s">
        <v>5952</v>
      </c>
      <c r="F712" s="83">
        <v>64000.0</v>
      </c>
      <c r="G712" s="79">
        <v>1626.0</v>
      </c>
      <c r="H712" s="79" t="s">
        <v>6576</v>
      </c>
      <c r="I712" s="79" t="s">
        <v>6577</v>
      </c>
      <c r="J712" s="79" t="s">
        <v>7607</v>
      </c>
      <c r="K712" s="80" t="s">
        <v>7608</v>
      </c>
    </row>
    <row r="713">
      <c r="A713" s="60" t="s">
        <v>7590</v>
      </c>
      <c r="B713" s="60" t="s">
        <v>7591</v>
      </c>
      <c r="C713" s="60" t="s">
        <v>7592</v>
      </c>
      <c r="D713" s="79" t="s">
        <v>5952</v>
      </c>
      <c r="E713" s="79" t="s">
        <v>5952</v>
      </c>
      <c r="F713" s="83">
        <v>64000.0</v>
      </c>
      <c r="G713" s="79">
        <v>1626.0</v>
      </c>
      <c r="H713" s="79" t="s">
        <v>6353</v>
      </c>
      <c r="I713" s="79" t="s">
        <v>6354</v>
      </c>
      <c r="J713" s="79" t="s">
        <v>7609</v>
      </c>
      <c r="K713" s="80" t="s">
        <v>7610</v>
      </c>
    </row>
    <row r="714">
      <c r="A714" s="60" t="s">
        <v>7590</v>
      </c>
      <c r="B714" s="60" t="s">
        <v>7591</v>
      </c>
      <c r="C714" s="60" t="s">
        <v>7592</v>
      </c>
      <c r="D714" s="79" t="s">
        <v>5952</v>
      </c>
      <c r="E714" s="79" t="s">
        <v>5952</v>
      </c>
      <c r="F714" s="83">
        <v>64000.0</v>
      </c>
      <c r="G714" s="79">
        <v>1626.0</v>
      </c>
      <c r="H714" s="79" t="s">
        <v>6462</v>
      </c>
      <c r="I714" s="79" t="s">
        <v>6463</v>
      </c>
      <c r="J714" s="79" t="s">
        <v>7611</v>
      </c>
      <c r="K714" s="80" t="s">
        <v>7612</v>
      </c>
    </row>
    <row r="715">
      <c r="A715" s="60" t="s">
        <v>7590</v>
      </c>
      <c r="B715" s="60" t="s">
        <v>7591</v>
      </c>
      <c r="C715" s="60" t="s">
        <v>7592</v>
      </c>
      <c r="D715" s="79" t="s">
        <v>5952</v>
      </c>
      <c r="E715" s="79" t="s">
        <v>5952</v>
      </c>
      <c r="F715" s="83">
        <v>64000.0</v>
      </c>
      <c r="G715" s="79">
        <v>1626.0</v>
      </c>
      <c r="H715" s="79" t="s">
        <v>6407</v>
      </c>
      <c r="I715" s="79" t="s">
        <v>6408</v>
      </c>
      <c r="J715" s="79" t="s">
        <v>7613</v>
      </c>
      <c r="K715" s="80" t="s">
        <v>7614</v>
      </c>
    </row>
    <row r="716">
      <c r="A716" s="60" t="s">
        <v>7590</v>
      </c>
      <c r="B716" s="60" t="s">
        <v>7591</v>
      </c>
      <c r="C716" s="60" t="s">
        <v>7592</v>
      </c>
      <c r="D716" s="79" t="s">
        <v>5952</v>
      </c>
      <c r="E716" s="79" t="s">
        <v>5952</v>
      </c>
      <c r="F716" s="83">
        <v>64000.0</v>
      </c>
      <c r="G716" s="79">
        <v>1626.0</v>
      </c>
      <c r="H716" s="79" t="s">
        <v>6525</v>
      </c>
      <c r="I716" s="79" t="s">
        <v>6526</v>
      </c>
      <c r="J716" s="79" t="s">
        <v>7615</v>
      </c>
      <c r="K716" s="80" t="s">
        <v>7616</v>
      </c>
    </row>
    <row r="717">
      <c r="A717" s="60" t="s">
        <v>7590</v>
      </c>
      <c r="B717" s="60" t="s">
        <v>7591</v>
      </c>
      <c r="C717" s="60" t="s">
        <v>7592</v>
      </c>
      <c r="D717" s="79" t="s">
        <v>5952</v>
      </c>
      <c r="E717" s="79" t="s">
        <v>5952</v>
      </c>
      <c r="F717" s="83">
        <v>64000.0</v>
      </c>
      <c r="G717" s="79">
        <v>1626.0</v>
      </c>
      <c r="H717" s="83">
        <v>1000.0</v>
      </c>
      <c r="I717" s="79" t="s">
        <v>6472</v>
      </c>
      <c r="J717" s="79" t="s">
        <v>7617</v>
      </c>
      <c r="K717" s="80" t="s">
        <v>7618</v>
      </c>
    </row>
    <row r="718">
      <c r="A718" s="60" t="s">
        <v>7590</v>
      </c>
      <c r="B718" s="60" t="s">
        <v>7591</v>
      </c>
      <c r="C718" s="60" t="s">
        <v>7592</v>
      </c>
      <c r="D718" s="79" t="s">
        <v>5952</v>
      </c>
      <c r="E718" s="79" t="s">
        <v>5952</v>
      </c>
      <c r="F718" s="83">
        <v>64000.0</v>
      </c>
      <c r="G718" s="79">
        <v>1626.0</v>
      </c>
      <c r="H718" s="83">
        <v>1062.0</v>
      </c>
      <c r="I718" s="79" t="s">
        <v>6592</v>
      </c>
      <c r="J718" s="79" t="s">
        <v>7619</v>
      </c>
      <c r="K718" s="80" t="s">
        <v>7620</v>
      </c>
    </row>
    <row r="719">
      <c r="A719" s="60" t="s">
        <v>7590</v>
      </c>
      <c r="B719" s="60" t="s">
        <v>7591</v>
      </c>
      <c r="C719" s="60" t="s">
        <v>7592</v>
      </c>
      <c r="D719" s="79" t="s">
        <v>5952</v>
      </c>
      <c r="E719" s="79" t="s">
        <v>5952</v>
      </c>
      <c r="F719" s="83">
        <v>64000.0</v>
      </c>
      <c r="G719" s="79">
        <v>1626.0</v>
      </c>
      <c r="H719" s="83">
        <v>1125.0</v>
      </c>
      <c r="I719" s="79" t="s">
        <v>6531</v>
      </c>
      <c r="J719" s="79" t="s">
        <v>7621</v>
      </c>
      <c r="K719" s="80" t="s">
        <v>7622</v>
      </c>
    </row>
    <row r="720">
      <c r="A720" s="60" t="s">
        <v>7590</v>
      </c>
      <c r="B720" s="60" t="s">
        <v>7591</v>
      </c>
      <c r="C720" s="60" t="s">
        <v>7592</v>
      </c>
      <c r="D720" s="79" t="s">
        <v>5952</v>
      </c>
      <c r="E720" s="79" t="s">
        <v>5952</v>
      </c>
      <c r="F720" s="83">
        <v>64000.0</v>
      </c>
      <c r="G720" s="79">
        <v>1626.0</v>
      </c>
      <c r="H720" s="83">
        <v>1188.0</v>
      </c>
      <c r="I720" s="79" t="s">
        <v>6732</v>
      </c>
      <c r="J720" s="79" t="s">
        <v>7623</v>
      </c>
      <c r="K720" s="80" t="s">
        <v>7624</v>
      </c>
    </row>
    <row r="721">
      <c r="A721" s="60" t="s">
        <v>7590</v>
      </c>
      <c r="B721" s="60" t="s">
        <v>7591</v>
      </c>
      <c r="C721" s="60" t="s">
        <v>7592</v>
      </c>
      <c r="D721" s="79" t="s">
        <v>5952</v>
      </c>
      <c r="E721" s="79" t="s">
        <v>5952</v>
      </c>
      <c r="F721" s="83">
        <v>64000.0</v>
      </c>
      <c r="G721" s="79">
        <v>1626.0</v>
      </c>
      <c r="H721" s="83">
        <v>1250.0</v>
      </c>
      <c r="I721" s="79" t="s">
        <v>6534</v>
      </c>
      <c r="J721" s="79" t="s">
        <v>7625</v>
      </c>
      <c r="K721" s="80" t="s">
        <v>7626</v>
      </c>
    </row>
    <row r="722">
      <c r="A722" s="60" t="s">
        <v>7627</v>
      </c>
      <c r="B722" s="60" t="s">
        <v>3767</v>
      </c>
      <c r="C722" s="60" t="s">
        <v>7628</v>
      </c>
      <c r="D722" s="79" t="s">
        <v>5952</v>
      </c>
      <c r="E722" s="79" t="s">
        <v>5952</v>
      </c>
      <c r="F722" s="83">
        <v>68000.0</v>
      </c>
      <c r="G722" s="79">
        <v>1727.0</v>
      </c>
      <c r="H722" s="79" t="s">
        <v>1196</v>
      </c>
      <c r="I722" s="79" t="s">
        <v>6628</v>
      </c>
      <c r="J722" s="79" t="s">
        <v>7629</v>
      </c>
      <c r="K722" s="80" t="s">
        <v>7630</v>
      </c>
    </row>
    <row r="723">
      <c r="A723" s="60" t="s">
        <v>7627</v>
      </c>
      <c r="B723" s="60" t="s">
        <v>3767</v>
      </c>
      <c r="C723" s="60" t="s">
        <v>7628</v>
      </c>
      <c r="D723" s="79" t="s">
        <v>5952</v>
      </c>
      <c r="E723" s="79" t="s">
        <v>5952</v>
      </c>
      <c r="F723" s="83">
        <v>68000.0</v>
      </c>
      <c r="G723" s="79">
        <v>1727.0</v>
      </c>
      <c r="H723" s="79" t="s">
        <v>6345</v>
      </c>
      <c r="I723" s="79" t="s">
        <v>6346</v>
      </c>
      <c r="J723" s="79" t="s">
        <v>6993</v>
      </c>
      <c r="K723" s="80" t="s">
        <v>7631</v>
      </c>
    </row>
    <row r="724">
      <c r="A724" s="60" t="s">
        <v>7627</v>
      </c>
      <c r="B724" s="60" t="s">
        <v>3767</v>
      </c>
      <c r="C724" s="60" t="s">
        <v>7628</v>
      </c>
      <c r="D724" s="79" t="s">
        <v>5952</v>
      </c>
      <c r="E724" s="79" t="s">
        <v>5952</v>
      </c>
      <c r="F724" s="83">
        <v>68000.0</v>
      </c>
      <c r="G724" s="79">
        <v>1727.0</v>
      </c>
      <c r="H724" s="79" t="s">
        <v>6391</v>
      </c>
      <c r="I724" s="79" t="s">
        <v>6392</v>
      </c>
      <c r="J724" s="79" t="s">
        <v>7632</v>
      </c>
      <c r="K724" s="80" t="s">
        <v>7633</v>
      </c>
    </row>
    <row r="725">
      <c r="A725" s="60" t="s">
        <v>7627</v>
      </c>
      <c r="B725" s="60" t="s">
        <v>3767</v>
      </c>
      <c r="C725" s="60" t="s">
        <v>7628</v>
      </c>
      <c r="D725" s="79" t="s">
        <v>5952</v>
      </c>
      <c r="E725" s="79" t="s">
        <v>5952</v>
      </c>
      <c r="F725" s="83">
        <v>68000.0</v>
      </c>
      <c r="G725" s="79">
        <v>1727.0</v>
      </c>
      <c r="H725" s="79" t="s">
        <v>6349</v>
      </c>
      <c r="I725" s="79" t="s">
        <v>6350</v>
      </c>
      <c r="J725" s="79" t="s">
        <v>7634</v>
      </c>
      <c r="K725" s="80" t="s">
        <v>7635</v>
      </c>
    </row>
    <row r="726">
      <c r="A726" s="60" t="s">
        <v>7627</v>
      </c>
      <c r="B726" s="60" t="s">
        <v>3767</v>
      </c>
      <c r="C726" s="60" t="s">
        <v>7628</v>
      </c>
      <c r="D726" s="79" t="s">
        <v>5952</v>
      </c>
      <c r="E726" s="79" t="s">
        <v>5952</v>
      </c>
      <c r="F726" s="83">
        <v>68000.0</v>
      </c>
      <c r="G726" s="79">
        <v>1727.0</v>
      </c>
      <c r="H726" s="79" t="s">
        <v>6576</v>
      </c>
      <c r="I726" s="79" t="s">
        <v>6577</v>
      </c>
      <c r="J726" s="79" t="s">
        <v>7636</v>
      </c>
      <c r="K726" s="80" t="s">
        <v>7637</v>
      </c>
    </row>
    <row r="727">
      <c r="A727" s="60" t="s">
        <v>7627</v>
      </c>
      <c r="B727" s="60" t="s">
        <v>3767</v>
      </c>
      <c r="C727" s="60" t="s">
        <v>7628</v>
      </c>
      <c r="D727" s="79" t="s">
        <v>5952</v>
      </c>
      <c r="E727" s="79" t="s">
        <v>5952</v>
      </c>
      <c r="F727" s="83">
        <v>68000.0</v>
      </c>
      <c r="G727" s="79">
        <v>1727.0</v>
      </c>
      <c r="H727" s="79" t="s">
        <v>6353</v>
      </c>
      <c r="I727" s="79" t="s">
        <v>6354</v>
      </c>
      <c r="J727" s="79" t="s">
        <v>7638</v>
      </c>
      <c r="K727" s="80" t="s">
        <v>7639</v>
      </c>
    </row>
    <row r="728">
      <c r="A728" s="60" t="s">
        <v>7627</v>
      </c>
      <c r="B728" s="60" t="s">
        <v>3767</v>
      </c>
      <c r="C728" s="60" t="s">
        <v>7628</v>
      </c>
      <c r="D728" s="79" t="s">
        <v>5952</v>
      </c>
      <c r="E728" s="79" t="s">
        <v>5952</v>
      </c>
      <c r="F728" s="83">
        <v>68000.0</v>
      </c>
      <c r="G728" s="79">
        <v>1727.0</v>
      </c>
      <c r="H728" s="79" t="s">
        <v>6462</v>
      </c>
      <c r="I728" s="79" t="s">
        <v>6463</v>
      </c>
      <c r="J728" s="79" t="s">
        <v>7640</v>
      </c>
      <c r="K728" s="80" t="s">
        <v>7641</v>
      </c>
    </row>
    <row r="729">
      <c r="A729" s="60" t="s">
        <v>7627</v>
      </c>
      <c r="B729" s="60" t="s">
        <v>3767</v>
      </c>
      <c r="C729" s="60" t="s">
        <v>7628</v>
      </c>
      <c r="D729" s="79" t="s">
        <v>5952</v>
      </c>
      <c r="E729" s="79" t="s">
        <v>5952</v>
      </c>
      <c r="F729" s="83">
        <v>68000.0</v>
      </c>
      <c r="G729" s="79">
        <v>1727.0</v>
      </c>
      <c r="H729" s="79" t="s">
        <v>6407</v>
      </c>
      <c r="I729" s="79" t="s">
        <v>6408</v>
      </c>
      <c r="J729" s="79" t="s">
        <v>7642</v>
      </c>
      <c r="K729" s="80" t="s">
        <v>7643</v>
      </c>
    </row>
    <row r="730">
      <c r="A730" s="60" t="s">
        <v>7627</v>
      </c>
      <c r="B730" s="60" t="s">
        <v>3767</v>
      </c>
      <c r="C730" s="60" t="s">
        <v>7628</v>
      </c>
      <c r="D730" s="79" t="s">
        <v>5952</v>
      </c>
      <c r="E730" s="79" t="s">
        <v>5952</v>
      </c>
      <c r="F730" s="83">
        <v>68000.0</v>
      </c>
      <c r="G730" s="79">
        <v>1727.0</v>
      </c>
      <c r="H730" s="79" t="s">
        <v>6525</v>
      </c>
      <c r="I730" s="79" t="s">
        <v>6526</v>
      </c>
      <c r="J730" s="79" t="s">
        <v>7644</v>
      </c>
      <c r="K730" s="80" t="s">
        <v>7645</v>
      </c>
    </row>
    <row r="731">
      <c r="A731" s="60" t="s">
        <v>7627</v>
      </c>
      <c r="B731" s="60" t="s">
        <v>3767</v>
      </c>
      <c r="C731" s="60" t="s">
        <v>7628</v>
      </c>
      <c r="D731" s="79" t="s">
        <v>5952</v>
      </c>
      <c r="E731" s="79" t="s">
        <v>5952</v>
      </c>
      <c r="F731" s="83">
        <v>68000.0</v>
      </c>
      <c r="G731" s="79">
        <v>1727.0</v>
      </c>
      <c r="H731" s="83">
        <v>1000.0</v>
      </c>
      <c r="I731" s="79" t="s">
        <v>6472</v>
      </c>
      <c r="J731" s="79" t="s">
        <v>7646</v>
      </c>
      <c r="K731" s="80" t="s">
        <v>7647</v>
      </c>
    </row>
    <row r="732">
      <c r="A732" s="60" t="s">
        <v>7627</v>
      </c>
      <c r="B732" s="60" t="s">
        <v>3767</v>
      </c>
      <c r="C732" s="60" t="s">
        <v>7628</v>
      </c>
      <c r="D732" s="79" t="s">
        <v>5952</v>
      </c>
      <c r="E732" s="79" t="s">
        <v>5952</v>
      </c>
      <c r="F732" s="83">
        <v>68000.0</v>
      </c>
      <c r="G732" s="79">
        <v>1727.0</v>
      </c>
      <c r="H732" s="83">
        <v>1062.0</v>
      </c>
      <c r="I732" s="79" t="s">
        <v>6592</v>
      </c>
      <c r="J732" s="79" t="s">
        <v>7648</v>
      </c>
      <c r="K732" s="80" t="s">
        <v>7649</v>
      </c>
    </row>
    <row r="733">
      <c r="A733" s="60" t="s">
        <v>7627</v>
      </c>
      <c r="B733" s="60" t="s">
        <v>3767</v>
      </c>
      <c r="C733" s="60" t="s">
        <v>7628</v>
      </c>
      <c r="D733" s="79" t="s">
        <v>5952</v>
      </c>
      <c r="E733" s="79" t="s">
        <v>5952</v>
      </c>
      <c r="F733" s="83">
        <v>68000.0</v>
      </c>
      <c r="G733" s="79">
        <v>1727.0</v>
      </c>
      <c r="H733" s="83">
        <v>1125.0</v>
      </c>
      <c r="I733" s="79" t="s">
        <v>6531</v>
      </c>
      <c r="J733" s="79" t="s">
        <v>7650</v>
      </c>
      <c r="K733" s="80" t="s">
        <v>7651</v>
      </c>
    </row>
    <row r="734">
      <c r="A734" s="60" t="s">
        <v>7627</v>
      </c>
      <c r="B734" s="60" t="s">
        <v>3767</v>
      </c>
      <c r="C734" s="60" t="s">
        <v>7628</v>
      </c>
      <c r="D734" s="79" t="s">
        <v>5952</v>
      </c>
      <c r="E734" s="79" t="s">
        <v>5952</v>
      </c>
      <c r="F734" s="83">
        <v>68000.0</v>
      </c>
      <c r="G734" s="79">
        <v>1727.0</v>
      </c>
      <c r="H734" s="83">
        <v>1188.0</v>
      </c>
      <c r="I734" s="79" t="s">
        <v>6732</v>
      </c>
      <c r="J734" s="79" t="s">
        <v>7652</v>
      </c>
      <c r="K734" s="80" t="s">
        <v>7653</v>
      </c>
    </row>
    <row r="735">
      <c r="A735" s="60" t="s">
        <v>7627</v>
      </c>
      <c r="B735" s="60" t="s">
        <v>3767</v>
      </c>
      <c r="C735" s="60" t="s">
        <v>7628</v>
      </c>
      <c r="D735" s="79" t="s">
        <v>5952</v>
      </c>
      <c r="E735" s="79" t="s">
        <v>5952</v>
      </c>
      <c r="F735" s="83">
        <v>68000.0</v>
      </c>
      <c r="G735" s="79">
        <v>1727.0</v>
      </c>
      <c r="H735" s="83">
        <v>1250.0</v>
      </c>
      <c r="I735" s="79" t="s">
        <v>6534</v>
      </c>
      <c r="J735" s="79" t="s">
        <v>7654</v>
      </c>
      <c r="K735" s="80" t="s">
        <v>7655</v>
      </c>
    </row>
    <row r="736">
      <c r="A736" s="60" t="s">
        <v>7656</v>
      </c>
      <c r="B736" s="60" t="s">
        <v>7657</v>
      </c>
      <c r="C736" s="60" t="s">
        <v>7658</v>
      </c>
      <c r="D736" s="79" t="s">
        <v>5952</v>
      </c>
      <c r="E736" s="79" t="s">
        <v>5952</v>
      </c>
      <c r="F736" s="83">
        <v>72000.0</v>
      </c>
      <c r="G736" s="79">
        <v>1829.0</v>
      </c>
      <c r="H736" s="79" t="s">
        <v>6345</v>
      </c>
      <c r="I736" s="79" t="s">
        <v>6346</v>
      </c>
      <c r="J736" s="79" t="s">
        <v>7659</v>
      </c>
      <c r="K736" s="80" t="s">
        <v>7660</v>
      </c>
    </row>
    <row r="737">
      <c r="A737" s="60" t="s">
        <v>7656</v>
      </c>
      <c r="B737" s="60" t="s">
        <v>7657</v>
      </c>
      <c r="C737" s="60" t="s">
        <v>7658</v>
      </c>
      <c r="D737" s="79" t="s">
        <v>5952</v>
      </c>
      <c r="E737" s="79" t="s">
        <v>5952</v>
      </c>
      <c r="F737" s="83">
        <v>72000.0</v>
      </c>
      <c r="G737" s="79">
        <v>1829.0</v>
      </c>
      <c r="H737" s="79" t="s">
        <v>6391</v>
      </c>
      <c r="I737" s="79" t="s">
        <v>6392</v>
      </c>
      <c r="J737" s="79" t="s">
        <v>7661</v>
      </c>
      <c r="K737" s="80" t="s">
        <v>7662</v>
      </c>
    </row>
    <row r="738">
      <c r="A738" s="60" t="s">
        <v>7656</v>
      </c>
      <c r="B738" s="60" t="s">
        <v>7657</v>
      </c>
      <c r="C738" s="60" t="s">
        <v>7658</v>
      </c>
      <c r="D738" s="79" t="s">
        <v>5952</v>
      </c>
      <c r="E738" s="79" t="s">
        <v>5952</v>
      </c>
      <c r="F738" s="83">
        <v>72000.0</v>
      </c>
      <c r="G738" s="79">
        <v>1829.0</v>
      </c>
      <c r="H738" s="79" t="s">
        <v>6349</v>
      </c>
      <c r="I738" s="79" t="s">
        <v>6350</v>
      </c>
      <c r="J738" s="79" t="s">
        <v>7663</v>
      </c>
      <c r="K738" s="80" t="s">
        <v>7664</v>
      </c>
    </row>
    <row r="739">
      <c r="A739" s="60" t="s">
        <v>7656</v>
      </c>
      <c r="B739" s="60" t="s">
        <v>7657</v>
      </c>
      <c r="C739" s="60" t="s">
        <v>7658</v>
      </c>
      <c r="D739" s="79" t="s">
        <v>5952</v>
      </c>
      <c r="E739" s="79" t="s">
        <v>5952</v>
      </c>
      <c r="F739" s="83">
        <v>72000.0</v>
      </c>
      <c r="G739" s="79">
        <v>1829.0</v>
      </c>
      <c r="H739" s="79" t="s">
        <v>6576</v>
      </c>
      <c r="I739" s="79" t="s">
        <v>6577</v>
      </c>
      <c r="J739" s="79" t="s">
        <v>7665</v>
      </c>
      <c r="K739" s="80" t="s">
        <v>7666</v>
      </c>
    </row>
    <row r="740">
      <c r="A740" s="60" t="s">
        <v>7656</v>
      </c>
      <c r="B740" s="60" t="s">
        <v>7657</v>
      </c>
      <c r="C740" s="60" t="s">
        <v>7658</v>
      </c>
      <c r="D740" s="79" t="s">
        <v>5952</v>
      </c>
      <c r="E740" s="79" t="s">
        <v>5952</v>
      </c>
      <c r="F740" s="83">
        <v>72000.0</v>
      </c>
      <c r="G740" s="79">
        <v>1829.0</v>
      </c>
      <c r="H740" s="79" t="s">
        <v>6353</v>
      </c>
      <c r="I740" s="79" t="s">
        <v>6354</v>
      </c>
      <c r="J740" s="79" t="s">
        <v>7406</v>
      </c>
      <c r="K740" s="80" t="s">
        <v>7667</v>
      </c>
    </row>
    <row r="741">
      <c r="A741" s="60" t="s">
        <v>7656</v>
      </c>
      <c r="B741" s="60" t="s">
        <v>7657</v>
      </c>
      <c r="C741" s="60" t="s">
        <v>7658</v>
      </c>
      <c r="D741" s="79" t="s">
        <v>5952</v>
      </c>
      <c r="E741" s="79" t="s">
        <v>5952</v>
      </c>
      <c r="F741" s="83">
        <v>72000.0</v>
      </c>
      <c r="G741" s="79">
        <v>1829.0</v>
      </c>
      <c r="H741" s="79" t="s">
        <v>6462</v>
      </c>
      <c r="I741" s="79" t="s">
        <v>6463</v>
      </c>
      <c r="J741" s="79" t="s">
        <v>7668</v>
      </c>
      <c r="K741" s="80" t="s">
        <v>7669</v>
      </c>
    </row>
    <row r="742">
      <c r="A742" s="60" t="s">
        <v>7656</v>
      </c>
      <c r="B742" s="60" t="s">
        <v>7657</v>
      </c>
      <c r="C742" s="60" t="s">
        <v>7658</v>
      </c>
      <c r="D742" s="79" t="s">
        <v>5952</v>
      </c>
      <c r="E742" s="79" t="s">
        <v>5952</v>
      </c>
      <c r="F742" s="83">
        <v>72000.0</v>
      </c>
      <c r="G742" s="79">
        <v>1829.0</v>
      </c>
      <c r="H742" s="79" t="s">
        <v>6407</v>
      </c>
      <c r="I742" s="79" t="s">
        <v>6408</v>
      </c>
      <c r="J742" s="79" t="s">
        <v>7670</v>
      </c>
      <c r="K742" s="80" t="s">
        <v>7671</v>
      </c>
    </row>
    <row r="743">
      <c r="A743" s="60" t="s">
        <v>7656</v>
      </c>
      <c r="B743" s="60" t="s">
        <v>7657</v>
      </c>
      <c r="C743" s="60" t="s">
        <v>7658</v>
      </c>
      <c r="D743" s="79" t="s">
        <v>5952</v>
      </c>
      <c r="E743" s="79" t="s">
        <v>5952</v>
      </c>
      <c r="F743" s="83">
        <v>72000.0</v>
      </c>
      <c r="G743" s="79">
        <v>1829.0</v>
      </c>
      <c r="H743" s="79" t="s">
        <v>6525</v>
      </c>
      <c r="I743" s="79" t="s">
        <v>6526</v>
      </c>
      <c r="J743" s="79" t="s">
        <v>7672</v>
      </c>
      <c r="K743" s="80" t="s">
        <v>7673</v>
      </c>
    </row>
    <row r="744">
      <c r="A744" s="60" t="s">
        <v>7656</v>
      </c>
      <c r="B744" s="60" t="s">
        <v>7657</v>
      </c>
      <c r="C744" s="60" t="s">
        <v>7658</v>
      </c>
      <c r="D744" s="79" t="s">
        <v>5952</v>
      </c>
      <c r="E744" s="79" t="s">
        <v>5952</v>
      </c>
      <c r="F744" s="83">
        <v>72000.0</v>
      </c>
      <c r="G744" s="79">
        <v>1829.0</v>
      </c>
      <c r="H744" s="83">
        <v>1000.0</v>
      </c>
      <c r="I744" s="79" t="s">
        <v>6472</v>
      </c>
      <c r="J744" s="79" t="s">
        <v>7674</v>
      </c>
      <c r="K744" s="80" t="s">
        <v>7675</v>
      </c>
    </row>
    <row r="745">
      <c r="A745" s="60" t="s">
        <v>7656</v>
      </c>
      <c r="B745" s="60" t="s">
        <v>7657</v>
      </c>
      <c r="C745" s="60" t="s">
        <v>7658</v>
      </c>
      <c r="D745" s="79" t="s">
        <v>5952</v>
      </c>
      <c r="E745" s="79" t="s">
        <v>5952</v>
      </c>
      <c r="F745" s="83">
        <v>72000.0</v>
      </c>
      <c r="G745" s="79">
        <v>1829.0</v>
      </c>
      <c r="H745" s="83">
        <v>1062.0</v>
      </c>
      <c r="I745" s="79" t="s">
        <v>6592</v>
      </c>
      <c r="J745" s="79" t="s">
        <v>7676</v>
      </c>
      <c r="K745" s="80" t="s">
        <v>7677</v>
      </c>
    </row>
    <row r="746">
      <c r="A746" s="60" t="s">
        <v>7656</v>
      </c>
      <c r="B746" s="60" t="s">
        <v>7657</v>
      </c>
      <c r="C746" s="60" t="s">
        <v>7658</v>
      </c>
      <c r="D746" s="79" t="s">
        <v>5952</v>
      </c>
      <c r="E746" s="79" t="s">
        <v>5952</v>
      </c>
      <c r="F746" s="83">
        <v>72000.0</v>
      </c>
      <c r="G746" s="79">
        <v>1829.0</v>
      </c>
      <c r="H746" s="83">
        <v>1125.0</v>
      </c>
      <c r="I746" s="79" t="s">
        <v>6531</v>
      </c>
      <c r="J746" s="79" t="s">
        <v>7678</v>
      </c>
      <c r="K746" s="80" t="s">
        <v>7679</v>
      </c>
    </row>
    <row r="747">
      <c r="A747" s="60" t="s">
        <v>7656</v>
      </c>
      <c r="B747" s="60" t="s">
        <v>7657</v>
      </c>
      <c r="C747" s="60" t="s">
        <v>7658</v>
      </c>
      <c r="D747" s="79" t="s">
        <v>5952</v>
      </c>
      <c r="E747" s="79" t="s">
        <v>5952</v>
      </c>
      <c r="F747" s="83">
        <v>72000.0</v>
      </c>
      <c r="G747" s="79">
        <v>1829.0</v>
      </c>
      <c r="H747" s="83">
        <v>1188.0</v>
      </c>
      <c r="I747" s="79" t="s">
        <v>6732</v>
      </c>
      <c r="J747" s="79" t="s">
        <v>7680</v>
      </c>
      <c r="K747" s="80" t="s">
        <v>7681</v>
      </c>
    </row>
    <row r="748">
      <c r="A748" s="60" t="s">
        <v>7656</v>
      </c>
      <c r="B748" s="60" t="s">
        <v>7657</v>
      </c>
      <c r="C748" s="60" t="s">
        <v>7658</v>
      </c>
      <c r="D748" s="79" t="s">
        <v>5952</v>
      </c>
      <c r="E748" s="79" t="s">
        <v>5952</v>
      </c>
      <c r="F748" s="83">
        <v>72000.0</v>
      </c>
      <c r="G748" s="79">
        <v>1829.0</v>
      </c>
      <c r="H748" s="83">
        <v>1250.0</v>
      </c>
      <c r="I748" s="79" t="s">
        <v>6534</v>
      </c>
      <c r="J748" s="79" t="s">
        <v>7682</v>
      </c>
      <c r="K748" s="80" t="s">
        <v>7683</v>
      </c>
    </row>
    <row r="749">
      <c r="A749" s="60" t="s">
        <v>7684</v>
      </c>
      <c r="B749" s="60" t="s">
        <v>7685</v>
      </c>
      <c r="C749" s="60" t="s">
        <v>7686</v>
      </c>
      <c r="D749" s="79" t="s">
        <v>5952</v>
      </c>
      <c r="E749" s="79" t="s">
        <v>5952</v>
      </c>
      <c r="F749" s="83">
        <v>76000.0</v>
      </c>
      <c r="G749" s="79">
        <v>1930.0</v>
      </c>
      <c r="H749" s="79" t="s">
        <v>6345</v>
      </c>
      <c r="I749" s="79" t="s">
        <v>6346</v>
      </c>
      <c r="J749" s="79" t="s">
        <v>7687</v>
      </c>
      <c r="K749" s="80" t="s">
        <v>7688</v>
      </c>
    </row>
    <row r="750">
      <c r="A750" s="60" t="s">
        <v>7684</v>
      </c>
      <c r="B750" s="60" t="s">
        <v>7685</v>
      </c>
      <c r="C750" s="60" t="s">
        <v>7686</v>
      </c>
      <c r="D750" s="79" t="s">
        <v>5952</v>
      </c>
      <c r="E750" s="79" t="s">
        <v>5952</v>
      </c>
      <c r="F750" s="83">
        <v>76000.0</v>
      </c>
      <c r="G750" s="79">
        <v>1930.0</v>
      </c>
      <c r="H750" s="79" t="s">
        <v>6391</v>
      </c>
      <c r="I750" s="79" t="s">
        <v>6392</v>
      </c>
      <c r="J750" s="79" t="s">
        <v>7689</v>
      </c>
      <c r="K750" s="80" t="s">
        <v>7690</v>
      </c>
    </row>
    <row r="751">
      <c r="A751" s="60" t="s">
        <v>7684</v>
      </c>
      <c r="B751" s="60" t="s">
        <v>7685</v>
      </c>
      <c r="C751" s="60" t="s">
        <v>7686</v>
      </c>
      <c r="D751" s="79" t="s">
        <v>5952</v>
      </c>
      <c r="E751" s="79" t="s">
        <v>5952</v>
      </c>
      <c r="F751" s="83">
        <v>76000.0</v>
      </c>
      <c r="G751" s="79">
        <v>1930.0</v>
      </c>
      <c r="H751" s="79" t="s">
        <v>6349</v>
      </c>
      <c r="I751" s="79" t="s">
        <v>6350</v>
      </c>
      <c r="J751" s="79" t="s">
        <v>7691</v>
      </c>
      <c r="K751" s="80" t="s">
        <v>7692</v>
      </c>
    </row>
    <row r="752">
      <c r="A752" s="60" t="s">
        <v>7684</v>
      </c>
      <c r="B752" s="60" t="s">
        <v>7685</v>
      </c>
      <c r="C752" s="60" t="s">
        <v>7686</v>
      </c>
      <c r="D752" s="79" t="s">
        <v>5952</v>
      </c>
      <c r="E752" s="79" t="s">
        <v>5952</v>
      </c>
      <c r="F752" s="83">
        <v>76000.0</v>
      </c>
      <c r="G752" s="79">
        <v>1930.0</v>
      </c>
      <c r="H752" s="79" t="s">
        <v>6576</v>
      </c>
      <c r="I752" s="79" t="s">
        <v>6577</v>
      </c>
      <c r="J752" s="79" t="s">
        <v>7693</v>
      </c>
      <c r="K752" s="80" t="s">
        <v>7694</v>
      </c>
    </row>
    <row r="753">
      <c r="A753" s="60" t="s">
        <v>7684</v>
      </c>
      <c r="B753" s="60" t="s">
        <v>7685</v>
      </c>
      <c r="C753" s="60" t="s">
        <v>7686</v>
      </c>
      <c r="D753" s="79" t="s">
        <v>5952</v>
      </c>
      <c r="E753" s="79" t="s">
        <v>5952</v>
      </c>
      <c r="F753" s="83">
        <v>76000.0</v>
      </c>
      <c r="G753" s="79">
        <v>1930.0</v>
      </c>
      <c r="H753" s="79" t="s">
        <v>6353</v>
      </c>
      <c r="I753" s="79" t="s">
        <v>6354</v>
      </c>
      <c r="J753" s="79" t="s">
        <v>7695</v>
      </c>
      <c r="K753" s="80" t="s">
        <v>7696</v>
      </c>
    </row>
    <row r="754">
      <c r="A754" s="60" t="s">
        <v>7684</v>
      </c>
      <c r="B754" s="60" t="s">
        <v>7685</v>
      </c>
      <c r="C754" s="60" t="s">
        <v>7686</v>
      </c>
      <c r="D754" s="79" t="s">
        <v>5952</v>
      </c>
      <c r="E754" s="79" t="s">
        <v>5952</v>
      </c>
      <c r="F754" s="83">
        <v>76000.0</v>
      </c>
      <c r="G754" s="79">
        <v>1930.0</v>
      </c>
      <c r="H754" s="79" t="s">
        <v>6462</v>
      </c>
      <c r="I754" s="79" t="s">
        <v>6463</v>
      </c>
      <c r="J754" s="79" t="s">
        <v>7697</v>
      </c>
      <c r="K754" s="80" t="s">
        <v>7698</v>
      </c>
    </row>
    <row r="755">
      <c r="A755" s="60" t="s">
        <v>7684</v>
      </c>
      <c r="B755" s="60" t="s">
        <v>7685</v>
      </c>
      <c r="C755" s="60" t="s">
        <v>7686</v>
      </c>
      <c r="D755" s="79" t="s">
        <v>5952</v>
      </c>
      <c r="E755" s="79" t="s">
        <v>5952</v>
      </c>
      <c r="F755" s="83">
        <v>76000.0</v>
      </c>
      <c r="G755" s="79">
        <v>1930.0</v>
      </c>
      <c r="H755" s="79" t="s">
        <v>6407</v>
      </c>
      <c r="I755" s="79" t="s">
        <v>6408</v>
      </c>
      <c r="J755" s="79" t="s">
        <v>7699</v>
      </c>
      <c r="K755" s="80" t="s">
        <v>7700</v>
      </c>
    </row>
    <row r="756">
      <c r="A756" s="60" t="s">
        <v>7684</v>
      </c>
      <c r="B756" s="60" t="s">
        <v>7685</v>
      </c>
      <c r="C756" s="60" t="s">
        <v>7686</v>
      </c>
      <c r="D756" s="79" t="s">
        <v>5952</v>
      </c>
      <c r="E756" s="79" t="s">
        <v>5952</v>
      </c>
      <c r="F756" s="83">
        <v>76000.0</v>
      </c>
      <c r="G756" s="79">
        <v>1930.0</v>
      </c>
      <c r="H756" s="79" t="s">
        <v>6525</v>
      </c>
      <c r="I756" s="79" t="s">
        <v>6526</v>
      </c>
      <c r="J756" s="79" t="s">
        <v>7701</v>
      </c>
      <c r="K756" s="80" t="s">
        <v>7702</v>
      </c>
    </row>
    <row r="757">
      <c r="A757" s="60" t="s">
        <v>7684</v>
      </c>
      <c r="B757" s="60" t="s">
        <v>7685</v>
      </c>
      <c r="C757" s="60" t="s">
        <v>7686</v>
      </c>
      <c r="D757" s="79" t="s">
        <v>5952</v>
      </c>
      <c r="E757" s="79" t="s">
        <v>5952</v>
      </c>
      <c r="F757" s="83">
        <v>76000.0</v>
      </c>
      <c r="G757" s="79">
        <v>1930.0</v>
      </c>
      <c r="H757" s="83">
        <v>1000.0</v>
      </c>
      <c r="I757" s="79" t="s">
        <v>6472</v>
      </c>
      <c r="J757" s="79" t="s">
        <v>7703</v>
      </c>
      <c r="K757" s="80" t="s">
        <v>7704</v>
      </c>
    </row>
    <row r="758">
      <c r="A758" s="60" t="s">
        <v>7684</v>
      </c>
      <c r="B758" s="60" t="s">
        <v>7685</v>
      </c>
      <c r="C758" s="60" t="s">
        <v>7686</v>
      </c>
      <c r="D758" s="79" t="s">
        <v>5952</v>
      </c>
      <c r="E758" s="79" t="s">
        <v>5952</v>
      </c>
      <c r="F758" s="83">
        <v>76000.0</v>
      </c>
      <c r="G758" s="79">
        <v>1930.0</v>
      </c>
      <c r="H758" s="83">
        <v>1062.0</v>
      </c>
      <c r="I758" s="79" t="s">
        <v>6592</v>
      </c>
      <c r="J758" s="79" t="s">
        <v>7705</v>
      </c>
      <c r="K758" s="80" t="s">
        <v>7706</v>
      </c>
    </row>
    <row r="759">
      <c r="A759" s="60" t="s">
        <v>7684</v>
      </c>
      <c r="B759" s="60" t="s">
        <v>7685</v>
      </c>
      <c r="C759" s="60" t="s">
        <v>7686</v>
      </c>
      <c r="D759" s="79" t="s">
        <v>5952</v>
      </c>
      <c r="E759" s="79" t="s">
        <v>5952</v>
      </c>
      <c r="F759" s="83">
        <v>76000.0</v>
      </c>
      <c r="G759" s="79">
        <v>1930.0</v>
      </c>
      <c r="H759" s="83">
        <v>1125.0</v>
      </c>
      <c r="I759" s="79" t="s">
        <v>6531</v>
      </c>
      <c r="J759" s="79" t="s">
        <v>7707</v>
      </c>
      <c r="K759" s="80" t="s">
        <v>7708</v>
      </c>
    </row>
    <row r="760">
      <c r="A760" s="60" t="s">
        <v>7684</v>
      </c>
      <c r="B760" s="60" t="s">
        <v>7685</v>
      </c>
      <c r="C760" s="60" t="s">
        <v>7686</v>
      </c>
      <c r="D760" s="79" t="s">
        <v>5952</v>
      </c>
      <c r="E760" s="79" t="s">
        <v>5952</v>
      </c>
      <c r="F760" s="83">
        <v>76000.0</v>
      </c>
      <c r="G760" s="79">
        <v>1930.0</v>
      </c>
      <c r="H760" s="83">
        <v>1188.0</v>
      </c>
      <c r="I760" s="79" t="s">
        <v>6732</v>
      </c>
      <c r="J760" s="79" t="s">
        <v>7709</v>
      </c>
      <c r="K760" s="80" t="s">
        <v>7710</v>
      </c>
    </row>
    <row r="761">
      <c r="A761" s="60" t="s">
        <v>7684</v>
      </c>
      <c r="B761" s="60" t="s">
        <v>7685</v>
      </c>
      <c r="C761" s="60" t="s">
        <v>7686</v>
      </c>
      <c r="D761" s="79" t="s">
        <v>5952</v>
      </c>
      <c r="E761" s="79" t="s">
        <v>5952</v>
      </c>
      <c r="F761" s="83">
        <v>76000.0</v>
      </c>
      <c r="G761" s="79">
        <v>1930.0</v>
      </c>
      <c r="H761" s="83">
        <v>1250.0</v>
      </c>
      <c r="I761" s="79" t="s">
        <v>6534</v>
      </c>
      <c r="J761" s="79" t="s">
        <v>7711</v>
      </c>
      <c r="K761" s="80" t="s">
        <v>7712</v>
      </c>
    </row>
    <row r="762">
      <c r="A762" s="60" t="s">
        <v>7713</v>
      </c>
      <c r="B762" s="60" t="s">
        <v>352</v>
      </c>
      <c r="C762" s="60" t="s">
        <v>7714</v>
      </c>
      <c r="D762" s="79" t="s">
        <v>5952</v>
      </c>
      <c r="E762" s="79" t="s">
        <v>5952</v>
      </c>
      <c r="F762" s="83">
        <v>80000.0</v>
      </c>
      <c r="G762" s="79">
        <v>2032.0</v>
      </c>
      <c r="H762" s="79" t="s">
        <v>6391</v>
      </c>
      <c r="I762" s="79" t="s">
        <v>6392</v>
      </c>
      <c r="J762" s="79" t="s">
        <v>7715</v>
      </c>
      <c r="K762" s="80" t="s">
        <v>7716</v>
      </c>
    </row>
    <row r="763">
      <c r="A763" s="60" t="s">
        <v>7713</v>
      </c>
      <c r="B763" s="60" t="s">
        <v>352</v>
      </c>
      <c r="C763" s="60" t="s">
        <v>7714</v>
      </c>
      <c r="D763" s="79" t="s">
        <v>5952</v>
      </c>
      <c r="E763" s="79" t="s">
        <v>5952</v>
      </c>
      <c r="F763" s="83">
        <v>80000.0</v>
      </c>
      <c r="G763" s="79">
        <v>2032.0</v>
      </c>
      <c r="H763" s="79" t="s">
        <v>6349</v>
      </c>
      <c r="I763" s="79" t="s">
        <v>6350</v>
      </c>
      <c r="J763" s="79" t="s">
        <v>7717</v>
      </c>
      <c r="K763" s="80" t="s">
        <v>7718</v>
      </c>
    </row>
    <row r="764">
      <c r="A764" s="60" t="s">
        <v>7713</v>
      </c>
      <c r="B764" s="60" t="s">
        <v>352</v>
      </c>
      <c r="C764" s="60" t="s">
        <v>7714</v>
      </c>
      <c r="D764" s="79" t="s">
        <v>5952</v>
      </c>
      <c r="E764" s="79" t="s">
        <v>5952</v>
      </c>
      <c r="F764" s="83">
        <v>80000.0</v>
      </c>
      <c r="G764" s="79">
        <v>2032.0</v>
      </c>
      <c r="H764" s="79" t="s">
        <v>6576</v>
      </c>
      <c r="I764" s="79" t="s">
        <v>6577</v>
      </c>
      <c r="J764" s="79" t="s">
        <v>7719</v>
      </c>
      <c r="K764" s="80" t="s">
        <v>7720</v>
      </c>
    </row>
    <row r="765">
      <c r="A765" s="60" t="s">
        <v>7713</v>
      </c>
      <c r="B765" s="60" t="s">
        <v>352</v>
      </c>
      <c r="C765" s="60" t="s">
        <v>7714</v>
      </c>
      <c r="D765" s="79" t="s">
        <v>5952</v>
      </c>
      <c r="E765" s="79" t="s">
        <v>5952</v>
      </c>
      <c r="F765" s="83">
        <v>80000.0</v>
      </c>
      <c r="G765" s="79">
        <v>2032.0</v>
      </c>
      <c r="H765" s="79" t="s">
        <v>6353</v>
      </c>
      <c r="I765" s="79" t="s">
        <v>6354</v>
      </c>
      <c r="J765" s="79" t="s">
        <v>7721</v>
      </c>
      <c r="K765" s="80" t="s">
        <v>7722</v>
      </c>
    </row>
    <row r="766">
      <c r="A766" s="60" t="s">
        <v>7713</v>
      </c>
      <c r="B766" s="60" t="s">
        <v>352</v>
      </c>
      <c r="C766" s="60" t="s">
        <v>7714</v>
      </c>
      <c r="D766" s="79" t="s">
        <v>5952</v>
      </c>
      <c r="E766" s="79" t="s">
        <v>5952</v>
      </c>
      <c r="F766" s="83">
        <v>80000.0</v>
      </c>
      <c r="G766" s="79">
        <v>2032.0</v>
      </c>
      <c r="H766" s="79" t="s">
        <v>6462</v>
      </c>
      <c r="I766" s="79" t="s">
        <v>6463</v>
      </c>
      <c r="J766" s="79" t="s">
        <v>7723</v>
      </c>
      <c r="K766" s="80" t="s">
        <v>7724</v>
      </c>
    </row>
    <row r="767">
      <c r="A767" s="60" t="s">
        <v>7713</v>
      </c>
      <c r="B767" s="60" t="s">
        <v>352</v>
      </c>
      <c r="C767" s="60" t="s">
        <v>7714</v>
      </c>
      <c r="D767" s="79" t="s">
        <v>5952</v>
      </c>
      <c r="E767" s="79" t="s">
        <v>5952</v>
      </c>
      <c r="F767" s="83">
        <v>80000.0</v>
      </c>
      <c r="G767" s="79">
        <v>2032.0</v>
      </c>
      <c r="H767" s="79" t="s">
        <v>6407</v>
      </c>
      <c r="I767" s="79" t="s">
        <v>6408</v>
      </c>
      <c r="J767" s="79" t="s">
        <v>7725</v>
      </c>
      <c r="K767" s="80" t="s">
        <v>7726</v>
      </c>
    </row>
    <row r="768">
      <c r="A768" s="60" t="s">
        <v>7713</v>
      </c>
      <c r="B768" s="60" t="s">
        <v>352</v>
      </c>
      <c r="C768" s="60" t="s">
        <v>7714</v>
      </c>
      <c r="D768" s="79" t="s">
        <v>5952</v>
      </c>
      <c r="E768" s="79" t="s">
        <v>5952</v>
      </c>
      <c r="F768" s="83">
        <v>80000.0</v>
      </c>
      <c r="G768" s="79">
        <v>2032.0</v>
      </c>
      <c r="H768" s="79" t="s">
        <v>6525</v>
      </c>
      <c r="I768" s="79" t="s">
        <v>6526</v>
      </c>
      <c r="J768" s="79" t="s">
        <v>7727</v>
      </c>
      <c r="K768" s="80" t="s">
        <v>7728</v>
      </c>
    </row>
    <row r="769">
      <c r="A769" s="60" t="s">
        <v>7713</v>
      </c>
      <c r="B769" s="60" t="s">
        <v>352</v>
      </c>
      <c r="C769" s="60" t="s">
        <v>7714</v>
      </c>
      <c r="D769" s="79" t="s">
        <v>5952</v>
      </c>
      <c r="E769" s="79" t="s">
        <v>5952</v>
      </c>
      <c r="F769" s="83">
        <v>80000.0</v>
      </c>
      <c r="G769" s="83">
        <v>2032.0</v>
      </c>
      <c r="H769" s="83">
        <v>1000.0</v>
      </c>
      <c r="I769" s="79" t="s">
        <v>6472</v>
      </c>
      <c r="J769" s="79" t="s">
        <v>7729</v>
      </c>
      <c r="K769" s="80" t="s">
        <v>7730</v>
      </c>
    </row>
    <row r="770">
      <c r="A770" s="60" t="s">
        <v>7713</v>
      </c>
      <c r="B770" s="60" t="s">
        <v>352</v>
      </c>
      <c r="C770" s="60" t="s">
        <v>7714</v>
      </c>
      <c r="D770" s="79" t="s">
        <v>5952</v>
      </c>
      <c r="E770" s="79" t="s">
        <v>5952</v>
      </c>
      <c r="F770" s="83">
        <v>80000.0</v>
      </c>
      <c r="G770" s="79">
        <v>2032.0</v>
      </c>
      <c r="H770" s="83">
        <v>1062.0</v>
      </c>
      <c r="I770" s="79" t="s">
        <v>6592</v>
      </c>
      <c r="J770" s="79" t="s">
        <v>7731</v>
      </c>
      <c r="K770" s="80" t="s">
        <v>7732</v>
      </c>
    </row>
    <row r="771">
      <c r="A771" s="60" t="s">
        <v>7713</v>
      </c>
      <c r="B771" s="60" t="s">
        <v>352</v>
      </c>
      <c r="C771" s="60" t="s">
        <v>7714</v>
      </c>
      <c r="D771" s="79" t="s">
        <v>5952</v>
      </c>
      <c r="E771" s="79" t="s">
        <v>5952</v>
      </c>
      <c r="F771" s="83">
        <v>80000.0</v>
      </c>
      <c r="G771" s="79">
        <v>2032.0</v>
      </c>
      <c r="H771" s="83">
        <v>1125.0</v>
      </c>
      <c r="I771" s="79" t="s">
        <v>6531</v>
      </c>
      <c r="J771" s="79" t="s">
        <v>7733</v>
      </c>
      <c r="K771" s="80" t="s">
        <v>7734</v>
      </c>
    </row>
    <row r="772">
      <c r="A772" s="60" t="s">
        <v>7713</v>
      </c>
      <c r="B772" s="60" t="s">
        <v>352</v>
      </c>
      <c r="C772" s="60" t="s">
        <v>7714</v>
      </c>
      <c r="D772" s="79" t="s">
        <v>5952</v>
      </c>
      <c r="E772" s="79" t="s">
        <v>5952</v>
      </c>
      <c r="F772" s="83">
        <v>80000.0</v>
      </c>
      <c r="G772" s="79">
        <v>2032.0</v>
      </c>
      <c r="H772" s="83">
        <v>1188.0</v>
      </c>
      <c r="I772" s="79" t="s">
        <v>6732</v>
      </c>
      <c r="J772" s="79" t="s">
        <v>7735</v>
      </c>
      <c r="K772" s="80" t="s">
        <v>7736</v>
      </c>
    </row>
    <row r="773">
      <c r="A773" s="60" t="s">
        <v>7713</v>
      </c>
      <c r="B773" s="60" t="s">
        <v>352</v>
      </c>
      <c r="C773" s="60" t="s">
        <v>7714</v>
      </c>
      <c r="D773" s="79" t="s">
        <v>5952</v>
      </c>
      <c r="E773" s="79" t="s">
        <v>5952</v>
      </c>
      <c r="F773" s="83">
        <v>80000.0</v>
      </c>
      <c r="G773" s="79">
        <v>2032.0</v>
      </c>
      <c r="H773" s="83">
        <v>1250.0</v>
      </c>
      <c r="I773" s="79" t="s">
        <v>6534</v>
      </c>
      <c r="J773" s="79" t="s">
        <v>7737</v>
      </c>
      <c r="K773" s="80" t="s">
        <v>7738</v>
      </c>
    </row>
    <row r="774">
      <c r="A774" s="86"/>
      <c r="B774" s="86"/>
      <c r="C774" s="86"/>
      <c r="D774" s="86"/>
      <c r="E774" s="86"/>
      <c r="F774" s="86"/>
      <c r="G774" s="86"/>
      <c r="H774" s="86"/>
      <c r="I774" s="86"/>
      <c r="J774" s="86"/>
      <c r="K774" s="87"/>
    </row>
    <row r="775">
      <c r="A775" s="86"/>
      <c r="B775" s="86"/>
      <c r="C775" s="86"/>
      <c r="D775" s="86"/>
      <c r="E775" s="86"/>
      <c r="F775" s="86"/>
      <c r="G775" s="86"/>
      <c r="H775" s="86"/>
      <c r="I775" s="86"/>
      <c r="J775" s="86"/>
      <c r="K775" s="87"/>
    </row>
    <row r="776">
      <c r="A776" s="86"/>
      <c r="B776" s="86"/>
      <c r="C776" s="86"/>
      <c r="D776" s="86"/>
      <c r="E776" s="86"/>
      <c r="F776" s="86"/>
      <c r="G776" s="86"/>
      <c r="H776" s="86"/>
      <c r="I776" s="86"/>
      <c r="J776" s="86"/>
      <c r="K776" s="87"/>
    </row>
    <row r="777">
      <c r="A777" s="86"/>
      <c r="B777" s="86"/>
      <c r="C777" s="86"/>
      <c r="D777" s="86"/>
      <c r="E777" s="86"/>
      <c r="F777" s="86"/>
      <c r="G777" s="86"/>
      <c r="H777" s="86"/>
      <c r="I777" s="86"/>
      <c r="J777" s="86"/>
      <c r="K777" s="87"/>
    </row>
    <row r="778">
      <c r="A778" s="86"/>
      <c r="B778" s="86"/>
      <c r="C778" s="86"/>
      <c r="D778" s="86"/>
      <c r="E778" s="86"/>
      <c r="F778" s="86"/>
      <c r="G778" s="86"/>
      <c r="H778" s="86"/>
      <c r="I778" s="86"/>
      <c r="J778" s="86"/>
      <c r="K778" s="87"/>
    </row>
    <row r="779">
      <c r="A779" s="86"/>
      <c r="B779" s="86"/>
      <c r="C779" s="86"/>
      <c r="D779" s="86"/>
      <c r="E779" s="86"/>
      <c r="F779" s="86"/>
      <c r="G779" s="86"/>
      <c r="H779" s="86"/>
      <c r="I779" s="86"/>
      <c r="J779" s="86"/>
      <c r="K779" s="87"/>
    </row>
    <row r="780">
      <c r="A780" s="86"/>
      <c r="B780" s="86"/>
      <c r="C780" s="86"/>
      <c r="D780" s="86"/>
      <c r="E780" s="86"/>
      <c r="F780" s="86"/>
      <c r="G780" s="86"/>
      <c r="H780" s="86"/>
      <c r="I780" s="86"/>
      <c r="J780" s="86"/>
      <c r="K780" s="87"/>
    </row>
    <row r="781">
      <c r="A781" s="86"/>
      <c r="B781" s="86"/>
      <c r="C781" s="86"/>
      <c r="D781" s="86"/>
      <c r="E781" s="86"/>
      <c r="F781" s="86"/>
      <c r="G781" s="86"/>
      <c r="H781" s="86"/>
      <c r="I781" s="86"/>
      <c r="J781" s="86"/>
      <c r="K781" s="87"/>
    </row>
    <row r="782">
      <c r="A782" s="86"/>
      <c r="B782" s="86"/>
      <c r="C782" s="86"/>
      <c r="D782" s="86"/>
      <c r="E782" s="86"/>
      <c r="F782" s="86"/>
      <c r="G782" s="86"/>
      <c r="H782" s="86"/>
      <c r="I782" s="86"/>
      <c r="J782" s="86"/>
      <c r="K782" s="87"/>
    </row>
    <row r="783">
      <c r="A783" s="86"/>
      <c r="B783" s="86"/>
      <c r="C783" s="86"/>
      <c r="D783" s="86"/>
      <c r="E783" s="86"/>
      <c r="F783" s="86"/>
      <c r="G783" s="86"/>
      <c r="H783" s="86"/>
      <c r="I783" s="86"/>
      <c r="J783" s="86"/>
      <c r="K783" s="87"/>
    </row>
    <row r="784">
      <c r="A784" s="86"/>
      <c r="B784" s="86"/>
      <c r="C784" s="86"/>
      <c r="D784" s="86"/>
      <c r="E784" s="86"/>
      <c r="F784" s="86"/>
      <c r="G784" s="86"/>
      <c r="H784" s="86"/>
      <c r="I784" s="86"/>
      <c r="J784" s="86"/>
      <c r="K784" s="87"/>
    </row>
    <row r="785">
      <c r="A785" s="86"/>
      <c r="B785" s="86"/>
      <c r="C785" s="86"/>
      <c r="D785" s="86"/>
      <c r="E785" s="86"/>
      <c r="F785" s="86"/>
      <c r="G785" s="86"/>
      <c r="H785" s="86"/>
      <c r="I785" s="86"/>
      <c r="J785" s="86"/>
      <c r="K785" s="87"/>
    </row>
    <row r="786">
      <c r="A786" s="86"/>
      <c r="B786" s="86"/>
      <c r="C786" s="86"/>
      <c r="D786" s="86"/>
      <c r="E786" s="86"/>
      <c r="F786" s="86"/>
      <c r="G786" s="86"/>
      <c r="H786" s="86"/>
      <c r="I786" s="86"/>
      <c r="J786" s="86"/>
      <c r="K786" s="87"/>
    </row>
    <row r="787">
      <c r="A787" s="86"/>
      <c r="B787" s="86"/>
      <c r="C787" s="86"/>
      <c r="D787" s="86"/>
      <c r="E787" s="86"/>
      <c r="F787" s="86"/>
      <c r="G787" s="86"/>
      <c r="H787" s="86"/>
      <c r="I787" s="86"/>
      <c r="J787" s="86"/>
      <c r="K787" s="87"/>
    </row>
    <row r="788">
      <c r="A788" s="86"/>
      <c r="B788" s="86"/>
      <c r="C788" s="86"/>
      <c r="D788" s="86"/>
      <c r="E788" s="86"/>
      <c r="F788" s="86"/>
      <c r="G788" s="86"/>
      <c r="H788" s="86"/>
      <c r="I788" s="86"/>
      <c r="J788" s="86"/>
      <c r="K788" s="87"/>
    </row>
    <row r="789">
      <c r="A789" s="86"/>
      <c r="B789" s="86"/>
      <c r="C789" s="86"/>
      <c r="D789" s="86"/>
      <c r="E789" s="86"/>
      <c r="F789" s="86"/>
      <c r="G789" s="86"/>
      <c r="H789" s="86"/>
      <c r="I789" s="86"/>
      <c r="J789" s="86"/>
      <c r="K789" s="87"/>
    </row>
    <row r="790">
      <c r="A790" s="86"/>
      <c r="B790" s="86"/>
      <c r="C790" s="86"/>
      <c r="D790" s="86"/>
      <c r="E790" s="86"/>
      <c r="F790" s="86"/>
      <c r="G790" s="86"/>
      <c r="H790" s="86"/>
      <c r="I790" s="86"/>
      <c r="J790" s="86"/>
      <c r="K790" s="87"/>
    </row>
    <row r="791">
      <c r="A791" s="86"/>
      <c r="B791" s="86"/>
      <c r="C791" s="86"/>
      <c r="D791" s="86"/>
      <c r="E791" s="86"/>
      <c r="F791" s="86"/>
      <c r="G791" s="86"/>
      <c r="H791" s="86"/>
      <c r="I791" s="86"/>
      <c r="J791" s="86"/>
      <c r="K791" s="87"/>
    </row>
    <row r="792">
      <c r="A792" s="86"/>
      <c r="B792" s="86"/>
      <c r="C792" s="86"/>
      <c r="D792" s="86"/>
      <c r="E792" s="86"/>
      <c r="F792" s="86"/>
      <c r="G792" s="86"/>
      <c r="H792" s="86"/>
      <c r="I792" s="86"/>
      <c r="J792" s="86"/>
      <c r="K792" s="87"/>
    </row>
    <row r="793">
      <c r="A793" s="86"/>
      <c r="B793" s="86"/>
      <c r="C793" s="86"/>
      <c r="D793" s="86"/>
      <c r="E793" s="86"/>
      <c r="F793" s="86"/>
      <c r="G793" s="86"/>
      <c r="H793" s="86"/>
      <c r="I793" s="86"/>
      <c r="J793" s="86"/>
      <c r="K793" s="87"/>
    </row>
    <row r="794">
      <c r="A794" s="86"/>
      <c r="B794" s="86"/>
      <c r="C794" s="86"/>
      <c r="D794" s="86"/>
      <c r="E794" s="86"/>
      <c r="F794" s="86"/>
      <c r="G794" s="86"/>
      <c r="H794" s="86"/>
      <c r="I794" s="86"/>
      <c r="J794" s="86"/>
      <c r="K794" s="87"/>
    </row>
    <row r="795">
      <c r="A795" s="86"/>
      <c r="B795" s="86"/>
      <c r="C795" s="86"/>
      <c r="D795" s="86"/>
      <c r="E795" s="86"/>
      <c r="F795" s="86"/>
      <c r="G795" s="86"/>
      <c r="H795" s="86"/>
      <c r="I795" s="86"/>
      <c r="J795" s="86"/>
      <c r="K795" s="87"/>
    </row>
    <row r="796">
      <c r="A796" s="86"/>
      <c r="B796" s="86"/>
      <c r="C796" s="86"/>
      <c r="D796" s="86"/>
      <c r="E796" s="86"/>
      <c r="F796" s="86"/>
      <c r="G796" s="86"/>
      <c r="H796" s="86"/>
      <c r="I796" s="86"/>
      <c r="J796" s="86"/>
      <c r="K796" s="87"/>
    </row>
    <row r="797">
      <c r="A797" s="86"/>
      <c r="B797" s="86"/>
      <c r="C797" s="86"/>
      <c r="D797" s="86"/>
      <c r="E797" s="86"/>
      <c r="F797" s="86"/>
      <c r="G797" s="86"/>
      <c r="H797" s="86"/>
      <c r="I797" s="86"/>
      <c r="J797" s="86"/>
      <c r="K797" s="87"/>
    </row>
    <row r="798">
      <c r="A798" s="86"/>
      <c r="B798" s="86"/>
      <c r="C798" s="86"/>
      <c r="D798" s="86"/>
      <c r="E798" s="86"/>
      <c r="F798" s="86"/>
      <c r="G798" s="86"/>
      <c r="H798" s="86"/>
      <c r="I798" s="86"/>
      <c r="J798" s="86"/>
      <c r="K798" s="87"/>
    </row>
    <row r="799">
      <c r="A799" s="86"/>
      <c r="B799" s="86"/>
      <c r="C799" s="86"/>
      <c r="D799" s="86"/>
      <c r="E799" s="86"/>
      <c r="F799" s="86"/>
      <c r="G799" s="86"/>
      <c r="H799" s="86"/>
      <c r="I799" s="86"/>
      <c r="J799" s="86"/>
      <c r="K799" s="87"/>
    </row>
    <row r="800">
      <c r="A800" s="86"/>
      <c r="B800" s="86"/>
      <c r="C800" s="86"/>
      <c r="D800" s="86"/>
      <c r="E800" s="86"/>
      <c r="F800" s="86"/>
      <c r="G800" s="86"/>
      <c r="H800" s="86"/>
      <c r="I800" s="86"/>
      <c r="J800" s="86"/>
      <c r="K800" s="87"/>
    </row>
    <row r="801">
      <c r="A801" s="86"/>
      <c r="B801" s="86"/>
      <c r="C801" s="86"/>
      <c r="D801" s="86"/>
      <c r="E801" s="86"/>
      <c r="F801" s="86"/>
      <c r="G801" s="86"/>
      <c r="H801" s="86"/>
      <c r="I801" s="86"/>
      <c r="J801" s="86"/>
      <c r="K801" s="87"/>
    </row>
    <row r="802">
      <c r="A802" s="86"/>
      <c r="B802" s="86"/>
      <c r="C802" s="86"/>
      <c r="D802" s="86"/>
      <c r="E802" s="86"/>
      <c r="F802" s="86"/>
      <c r="G802" s="86"/>
      <c r="H802" s="86"/>
      <c r="I802" s="86"/>
      <c r="J802" s="86"/>
      <c r="K802" s="87"/>
    </row>
    <row r="803">
      <c r="A803" s="86"/>
      <c r="B803" s="86"/>
      <c r="C803" s="86"/>
      <c r="D803" s="86"/>
      <c r="E803" s="86"/>
      <c r="F803" s="86"/>
      <c r="G803" s="86"/>
      <c r="H803" s="86"/>
      <c r="I803" s="86"/>
      <c r="J803" s="86"/>
      <c r="K803" s="87"/>
    </row>
    <row r="804">
      <c r="A804" s="86"/>
      <c r="B804" s="86"/>
      <c r="C804" s="86"/>
      <c r="D804" s="86"/>
      <c r="E804" s="86"/>
      <c r="F804" s="86"/>
      <c r="G804" s="86"/>
      <c r="H804" s="86"/>
      <c r="I804" s="86"/>
      <c r="J804" s="86"/>
      <c r="K804" s="87"/>
    </row>
    <row r="805">
      <c r="A805" s="86"/>
      <c r="B805" s="86"/>
      <c r="C805" s="86"/>
      <c r="D805" s="86"/>
      <c r="E805" s="86"/>
      <c r="F805" s="86"/>
      <c r="G805" s="86"/>
      <c r="H805" s="86"/>
      <c r="I805" s="86"/>
      <c r="J805" s="86"/>
      <c r="K805" s="87"/>
    </row>
    <row r="806">
      <c r="A806" s="86"/>
      <c r="B806" s="86"/>
      <c r="C806" s="86"/>
      <c r="D806" s="86"/>
      <c r="E806" s="86"/>
      <c r="F806" s="86"/>
      <c r="G806" s="86"/>
      <c r="H806" s="86"/>
      <c r="I806" s="86"/>
      <c r="J806" s="86"/>
      <c r="K806" s="87"/>
    </row>
    <row r="807">
      <c r="A807" s="86"/>
      <c r="B807" s="86"/>
      <c r="C807" s="86"/>
      <c r="D807" s="86"/>
      <c r="E807" s="86"/>
      <c r="F807" s="86"/>
      <c r="G807" s="86"/>
      <c r="H807" s="86"/>
      <c r="I807" s="86"/>
      <c r="J807" s="86"/>
      <c r="K807" s="87"/>
    </row>
    <row r="808">
      <c r="A808" s="86"/>
      <c r="B808" s="86"/>
      <c r="C808" s="86"/>
      <c r="D808" s="86"/>
      <c r="E808" s="86"/>
      <c r="F808" s="86"/>
      <c r="G808" s="86"/>
      <c r="H808" s="86"/>
      <c r="I808" s="86"/>
      <c r="J808" s="86"/>
      <c r="K808" s="87"/>
    </row>
    <row r="809">
      <c r="A809" s="86"/>
      <c r="B809" s="86"/>
      <c r="C809" s="86"/>
      <c r="D809" s="86"/>
      <c r="E809" s="86"/>
      <c r="F809" s="86"/>
      <c r="G809" s="86"/>
      <c r="H809" s="86"/>
      <c r="I809" s="86"/>
      <c r="J809" s="86"/>
      <c r="K809" s="87"/>
    </row>
    <row r="810">
      <c r="A810" s="86"/>
      <c r="B810" s="86"/>
      <c r="C810" s="86"/>
      <c r="D810" s="86"/>
      <c r="E810" s="86"/>
      <c r="F810" s="86"/>
      <c r="G810" s="86"/>
      <c r="H810" s="86"/>
      <c r="I810" s="86"/>
      <c r="J810" s="86"/>
      <c r="K810" s="87"/>
    </row>
    <row r="811">
      <c r="A811" s="86"/>
      <c r="B811" s="86"/>
      <c r="C811" s="86"/>
      <c r="D811" s="86"/>
      <c r="E811" s="86"/>
      <c r="F811" s="86"/>
      <c r="G811" s="86"/>
      <c r="H811" s="86"/>
      <c r="I811" s="86"/>
      <c r="J811" s="86"/>
      <c r="K811" s="87"/>
    </row>
    <row r="812">
      <c r="A812" s="86"/>
      <c r="B812" s="86"/>
      <c r="C812" s="86"/>
      <c r="D812" s="86"/>
      <c r="E812" s="86"/>
      <c r="F812" s="86"/>
      <c r="G812" s="86"/>
      <c r="H812" s="86"/>
      <c r="I812" s="86"/>
      <c r="J812" s="86"/>
      <c r="K812" s="87"/>
    </row>
    <row r="813">
      <c r="A813" s="86"/>
      <c r="B813" s="86"/>
      <c r="C813" s="86"/>
      <c r="D813" s="86"/>
      <c r="E813" s="86"/>
      <c r="F813" s="86"/>
      <c r="G813" s="86"/>
      <c r="H813" s="86"/>
      <c r="I813" s="86"/>
      <c r="J813" s="86"/>
      <c r="K813" s="87"/>
    </row>
    <row r="814">
      <c r="A814" s="86"/>
      <c r="B814" s="86"/>
      <c r="C814" s="86"/>
      <c r="D814" s="86"/>
      <c r="E814" s="86"/>
      <c r="F814" s="86"/>
      <c r="G814" s="86"/>
      <c r="H814" s="86"/>
      <c r="I814" s="86"/>
      <c r="J814" s="86"/>
      <c r="K814" s="87"/>
    </row>
    <row r="815">
      <c r="A815" s="86"/>
      <c r="B815" s="86"/>
      <c r="C815" s="86"/>
      <c r="D815" s="86"/>
      <c r="E815" s="86"/>
      <c r="F815" s="86"/>
      <c r="G815" s="86"/>
      <c r="H815" s="86"/>
      <c r="I815" s="86"/>
      <c r="J815" s="86"/>
      <c r="K815" s="87"/>
    </row>
    <row r="816">
      <c r="A816" s="86"/>
      <c r="B816" s="86"/>
      <c r="C816" s="86"/>
      <c r="D816" s="86"/>
      <c r="E816" s="86"/>
      <c r="F816" s="86"/>
      <c r="G816" s="86"/>
      <c r="H816" s="86"/>
      <c r="I816" s="86"/>
      <c r="J816" s="86"/>
      <c r="K816" s="87"/>
    </row>
    <row r="817">
      <c r="A817" s="86"/>
      <c r="B817" s="86"/>
      <c r="C817" s="86"/>
      <c r="D817" s="86"/>
      <c r="E817" s="86"/>
      <c r="F817" s="86"/>
      <c r="G817" s="86"/>
      <c r="H817" s="86"/>
      <c r="I817" s="86"/>
      <c r="J817" s="86"/>
      <c r="K817" s="87"/>
    </row>
    <row r="818">
      <c r="A818" s="86"/>
      <c r="B818" s="86"/>
      <c r="C818" s="86"/>
      <c r="D818" s="86"/>
      <c r="E818" s="86"/>
      <c r="F818" s="86"/>
      <c r="G818" s="86"/>
      <c r="H818" s="86"/>
      <c r="I818" s="86"/>
      <c r="J818" s="86"/>
      <c r="K818" s="87"/>
    </row>
    <row r="819">
      <c r="A819" s="86"/>
      <c r="B819" s="86"/>
      <c r="C819" s="86"/>
      <c r="D819" s="86"/>
      <c r="E819" s="86"/>
      <c r="F819" s="86"/>
      <c r="G819" s="86"/>
      <c r="H819" s="86"/>
      <c r="I819" s="86"/>
      <c r="J819" s="86"/>
      <c r="K819" s="87"/>
    </row>
    <row r="820">
      <c r="A820" s="86"/>
      <c r="B820" s="86"/>
      <c r="C820" s="86"/>
      <c r="D820" s="86"/>
      <c r="E820" s="86"/>
      <c r="F820" s="86"/>
      <c r="G820" s="86"/>
      <c r="H820" s="86"/>
      <c r="I820" s="86"/>
      <c r="J820" s="86"/>
      <c r="K820" s="87"/>
    </row>
    <row r="821">
      <c r="A821" s="86"/>
      <c r="B821" s="86"/>
      <c r="C821" s="86"/>
      <c r="D821" s="86"/>
      <c r="E821" s="86"/>
      <c r="F821" s="86"/>
      <c r="G821" s="86"/>
      <c r="H821" s="86"/>
      <c r="I821" s="86"/>
      <c r="J821" s="86"/>
      <c r="K821" s="87"/>
    </row>
    <row r="822">
      <c r="A822" s="86"/>
      <c r="B822" s="86"/>
      <c r="C822" s="86"/>
      <c r="D822" s="86"/>
      <c r="E822" s="86"/>
      <c r="F822" s="86"/>
      <c r="G822" s="86"/>
      <c r="H822" s="86"/>
      <c r="I822" s="86"/>
      <c r="J822" s="86"/>
      <c r="K822" s="87"/>
    </row>
    <row r="823">
      <c r="A823" s="86"/>
      <c r="B823" s="86"/>
      <c r="C823" s="86"/>
      <c r="D823" s="86"/>
      <c r="E823" s="86"/>
      <c r="F823" s="86"/>
      <c r="G823" s="86"/>
      <c r="H823" s="86"/>
      <c r="I823" s="86"/>
      <c r="J823" s="86"/>
      <c r="K823" s="87"/>
    </row>
    <row r="824">
      <c r="A824" s="86"/>
      <c r="B824" s="86"/>
      <c r="C824" s="86"/>
      <c r="D824" s="86"/>
      <c r="E824" s="86"/>
      <c r="F824" s="86"/>
      <c r="G824" s="86"/>
      <c r="H824" s="86"/>
      <c r="I824" s="86"/>
      <c r="J824" s="86"/>
      <c r="K824" s="87"/>
    </row>
    <row r="825">
      <c r="A825" s="86"/>
      <c r="B825" s="86"/>
      <c r="C825" s="86"/>
      <c r="D825" s="86"/>
      <c r="E825" s="86"/>
      <c r="F825" s="86"/>
      <c r="G825" s="86"/>
      <c r="H825" s="86"/>
      <c r="I825" s="86"/>
      <c r="J825" s="86"/>
      <c r="K825" s="87"/>
    </row>
    <row r="826">
      <c r="A826" s="86"/>
      <c r="B826" s="86"/>
      <c r="C826" s="86"/>
      <c r="D826" s="86"/>
      <c r="E826" s="86"/>
      <c r="F826" s="86"/>
      <c r="G826" s="86"/>
      <c r="H826" s="86"/>
      <c r="I826" s="86"/>
      <c r="J826" s="86"/>
      <c r="K826" s="87"/>
    </row>
    <row r="827">
      <c r="A827" s="86"/>
      <c r="B827" s="86"/>
      <c r="C827" s="86"/>
      <c r="D827" s="86"/>
      <c r="E827" s="86"/>
      <c r="F827" s="86"/>
      <c r="G827" s="86"/>
      <c r="H827" s="86"/>
      <c r="I827" s="86"/>
      <c r="J827" s="86"/>
      <c r="K827" s="87"/>
    </row>
    <row r="828">
      <c r="A828" s="86"/>
      <c r="B828" s="86"/>
      <c r="C828" s="86"/>
      <c r="D828" s="86"/>
      <c r="E828" s="86"/>
      <c r="F828" s="86"/>
      <c r="G828" s="86"/>
      <c r="H828" s="86"/>
      <c r="I828" s="86"/>
      <c r="J828" s="86"/>
      <c r="K828" s="87"/>
    </row>
    <row r="829">
      <c r="A829" s="86"/>
      <c r="B829" s="86"/>
      <c r="C829" s="86"/>
      <c r="D829" s="86"/>
      <c r="E829" s="86"/>
      <c r="F829" s="86"/>
      <c r="G829" s="86"/>
      <c r="H829" s="86"/>
      <c r="I829" s="86"/>
      <c r="J829" s="86"/>
      <c r="K829" s="87"/>
    </row>
    <row r="830">
      <c r="A830" s="86"/>
      <c r="B830" s="86"/>
      <c r="C830" s="86"/>
      <c r="D830" s="86"/>
      <c r="E830" s="86"/>
      <c r="F830" s="86"/>
      <c r="G830" s="86"/>
      <c r="H830" s="86"/>
      <c r="I830" s="86"/>
      <c r="J830" s="86"/>
      <c r="K830" s="87"/>
    </row>
    <row r="831">
      <c r="A831" s="86"/>
      <c r="B831" s="86"/>
      <c r="C831" s="86"/>
      <c r="D831" s="86"/>
      <c r="E831" s="86"/>
      <c r="F831" s="86"/>
      <c r="G831" s="86"/>
      <c r="H831" s="86"/>
      <c r="I831" s="86"/>
      <c r="J831" s="86"/>
      <c r="K831" s="87"/>
    </row>
    <row r="832">
      <c r="A832" s="86"/>
      <c r="B832" s="86"/>
      <c r="C832" s="86"/>
      <c r="D832" s="86"/>
      <c r="E832" s="86"/>
      <c r="F832" s="86"/>
      <c r="G832" s="86"/>
      <c r="H832" s="86"/>
      <c r="I832" s="86"/>
      <c r="J832" s="86"/>
      <c r="K832" s="87"/>
    </row>
    <row r="833">
      <c r="A833" s="86"/>
      <c r="B833" s="86"/>
      <c r="C833" s="86"/>
      <c r="D833" s="86"/>
      <c r="E833" s="86"/>
      <c r="F833" s="86"/>
      <c r="G833" s="86"/>
      <c r="H833" s="86"/>
      <c r="I833" s="86"/>
      <c r="J833" s="86"/>
      <c r="K833" s="87"/>
    </row>
    <row r="834">
      <c r="A834" s="86"/>
      <c r="B834" s="86"/>
      <c r="C834" s="86"/>
      <c r="D834" s="86"/>
      <c r="E834" s="86"/>
      <c r="F834" s="86"/>
      <c r="G834" s="86"/>
      <c r="H834" s="86"/>
      <c r="I834" s="86"/>
      <c r="J834" s="86"/>
      <c r="K834" s="87"/>
    </row>
    <row r="835">
      <c r="A835" s="86"/>
      <c r="B835" s="86"/>
      <c r="C835" s="86"/>
      <c r="D835" s="86"/>
      <c r="E835" s="86"/>
      <c r="F835" s="86"/>
      <c r="G835" s="86"/>
      <c r="H835" s="86"/>
      <c r="I835" s="86"/>
      <c r="J835" s="86"/>
      <c r="K835" s="87"/>
    </row>
    <row r="836">
      <c r="A836" s="86"/>
      <c r="B836" s="86"/>
      <c r="C836" s="86"/>
      <c r="D836" s="86"/>
      <c r="E836" s="86"/>
      <c r="F836" s="86"/>
      <c r="G836" s="86"/>
      <c r="H836" s="86"/>
      <c r="I836" s="86"/>
      <c r="J836" s="86"/>
      <c r="K836" s="87"/>
    </row>
    <row r="837">
      <c r="A837" s="86"/>
      <c r="B837" s="86"/>
      <c r="C837" s="86"/>
      <c r="D837" s="86"/>
      <c r="E837" s="86"/>
      <c r="F837" s="86"/>
      <c r="G837" s="86"/>
      <c r="H837" s="86"/>
      <c r="I837" s="86"/>
      <c r="J837" s="86"/>
      <c r="K837" s="87"/>
    </row>
    <row r="838">
      <c r="A838" s="86"/>
      <c r="B838" s="86"/>
      <c r="C838" s="86"/>
      <c r="D838" s="86"/>
      <c r="E838" s="86"/>
      <c r="F838" s="86"/>
      <c r="G838" s="86"/>
      <c r="H838" s="86"/>
      <c r="I838" s="86"/>
      <c r="J838" s="86"/>
      <c r="K838" s="87"/>
    </row>
    <row r="839">
      <c r="A839" s="86"/>
      <c r="B839" s="86"/>
      <c r="C839" s="86"/>
      <c r="D839" s="86"/>
      <c r="E839" s="86"/>
      <c r="F839" s="86"/>
      <c r="G839" s="86"/>
      <c r="H839" s="86"/>
      <c r="I839" s="86"/>
      <c r="J839" s="86"/>
      <c r="K839" s="87"/>
    </row>
    <row r="840">
      <c r="A840" s="86"/>
      <c r="B840" s="86"/>
      <c r="C840" s="86"/>
      <c r="D840" s="86"/>
      <c r="E840" s="86"/>
      <c r="F840" s="86"/>
      <c r="G840" s="86"/>
      <c r="H840" s="86"/>
      <c r="I840" s="86"/>
      <c r="J840" s="86"/>
      <c r="K840" s="87"/>
    </row>
    <row r="841">
      <c r="A841" s="86"/>
      <c r="B841" s="86"/>
      <c r="C841" s="86"/>
      <c r="D841" s="86"/>
      <c r="E841" s="86"/>
      <c r="F841" s="86"/>
      <c r="G841" s="86"/>
      <c r="H841" s="86"/>
      <c r="I841" s="86"/>
      <c r="J841" s="86"/>
      <c r="K841" s="87"/>
    </row>
    <row r="842">
      <c r="A842" s="86"/>
      <c r="B842" s="86"/>
      <c r="C842" s="86"/>
      <c r="D842" s="86"/>
      <c r="E842" s="86"/>
      <c r="F842" s="86"/>
      <c r="G842" s="86"/>
      <c r="H842" s="86"/>
      <c r="I842" s="86"/>
      <c r="J842" s="86"/>
      <c r="K842" s="87"/>
    </row>
    <row r="843">
      <c r="A843" s="86"/>
      <c r="B843" s="86"/>
      <c r="C843" s="86"/>
      <c r="D843" s="86"/>
      <c r="E843" s="86"/>
      <c r="F843" s="86"/>
      <c r="G843" s="86"/>
      <c r="H843" s="86"/>
      <c r="I843" s="86"/>
      <c r="J843" s="86"/>
      <c r="K843" s="87"/>
    </row>
    <row r="844">
      <c r="A844" s="86"/>
      <c r="B844" s="86"/>
      <c r="C844" s="86"/>
      <c r="D844" s="86"/>
      <c r="E844" s="86"/>
      <c r="F844" s="86"/>
      <c r="G844" s="86"/>
      <c r="H844" s="86"/>
      <c r="I844" s="86"/>
      <c r="J844" s="86"/>
      <c r="K844" s="87"/>
    </row>
    <row r="845">
      <c r="A845" s="86"/>
      <c r="B845" s="86"/>
      <c r="C845" s="86"/>
      <c r="D845" s="86"/>
      <c r="E845" s="86"/>
      <c r="F845" s="86"/>
      <c r="G845" s="86"/>
      <c r="H845" s="86"/>
      <c r="I845" s="86"/>
      <c r="J845" s="86"/>
      <c r="K845" s="87"/>
    </row>
    <row r="846">
      <c r="A846" s="86"/>
      <c r="B846" s="86"/>
      <c r="C846" s="86"/>
      <c r="D846" s="86"/>
      <c r="E846" s="86"/>
      <c r="F846" s="86"/>
      <c r="G846" s="86"/>
      <c r="H846" s="86"/>
      <c r="I846" s="86"/>
      <c r="J846" s="86"/>
      <c r="K846" s="87"/>
    </row>
    <row r="847">
      <c r="A847" s="86"/>
      <c r="B847" s="86"/>
      <c r="C847" s="86"/>
      <c r="D847" s="86"/>
      <c r="E847" s="86"/>
      <c r="F847" s="86"/>
      <c r="G847" s="86"/>
      <c r="H847" s="86"/>
      <c r="I847" s="86"/>
      <c r="J847" s="86"/>
      <c r="K847" s="87"/>
    </row>
    <row r="848">
      <c r="A848" s="86"/>
      <c r="B848" s="86"/>
      <c r="C848" s="86"/>
      <c r="D848" s="86"/>
      <c r="E848" s="86"/>
      <c r="F848" s="86"/>
      <c r="G848" s="86"/>
      <c r="H848" s="86"/>
      <c r="I848" s="86"/>
      <c r="J848" s="86"/>
      <c r="K848" s="87"/>
    </row>
    <row r="849">
      <c r="A849" s="86"/>
      <c r="B849" s="86"/>
      <c r="C849" s="86"/>
      <c r="D849" s="86"/>
      <c r="E849" s="86"/>
      <c r="F849" s="86"/>
      <c r="G849" s="86"/>
      <c r="H849" s="86"/>
      <c r="I849" s="86"/>
      <c r="J849" s="86"/>
      <c r="K849" s="87"/>
    </row>
    <row r="850">
      <c r="A850" s="86"/>
      <c r="B850" s="86"/>
      <c r="C850" s="86"/>
      <c r="D850" s="86"/>
      <c r="E850" s="86"/>
      <c r="F850" s="86"/>
      <c r="G850" s="86"/>
      <c r="H850" s="86"/>
      <c r="I850" s="86"/>
      <c r="J850" s="86"/>
      <c r="K850" s="87"/>
    </row>
    <row r="851">
      <c r="A851" s="86"/>
      <c r="B851" s="86"/>
      <c r="C851" s="86"/>
      <c r="D851" s="86"/>
      <c r="E851" s="86"/>
      <c r="F851" s="86"/>
      <c r="G851" s="86"/>
      <c r="H851" s="86"/>
      <c r="I851" s="86"/>
      <c r="J851" s="86"/>
      <c r="K851" s="87"/>
    </row>
    <row r="852">
      <c r="A852" s="86"/>
      <c r="B852" s="86"/>
      <c r="C852" s="86"/>
      <c r="D852" s="86"/>
      <c r="E852" s="86"/>
      <c r="F852" s="86"/>
      <c r="G852" s="86"/>
      <c r="H852" s="86"/>
      <c r="I852" s="86"/>
      <c r="J852" s="86"/>
      <c r="K852" s="87"/>
    </row>
    <row r="853">
      <c r="A853" s="86"/>
      <c r="B853" s="86"/>
      <c r="C853" s="86"/>
      <c r="D853" s="86"/>
      <c r="E853" s="86"/>
      <c r="F853" s="86"/>
      <c r="G853" s="86"/>
      <c r="H853" s="86"/>
      <c r="I853" s="86"/>
      <c r="J853" s="86"/>
      <c r="K853" s="87"/>
    </row>
    <row r="854">
      <c r="A854" s="86"/>
      <c r="B854" s="86"/>
      <c r="C854" s="86"/>
      <c r="D854" s="86"/>
      <c r="E854" s="86"/>
      <c r="F854" s="86"/>
      <c r="G854" s="86"/>
      <c r="H854" s="86"/>
      <c r="I854" s="86"/>
      <c r="J854" s="86"/>
      <c r="K854" s="87"/>
    </row>
    <row r="855">
      <c r="A855" s="86"/>
      <c r="B855" s="86"/>
      <c r="C855" s="86"/>
      <c r="D855" s="86"/>
      <c r="E855" s="86"/>
      <c r="F855" s="86"/>
      <c r="G855" s="86"/>
      <c r="H855" s="86"/>
      <c r="I855" s="86"/>
      <c r="J855" s="86"/>
      <c r="K855" s="87"/>
    </row>
    <row r="856">
      <c r="A856" s="86"/>
      <c r="B856" s="86"/>
      <c r="C856" s="86"/>
      <c r="D856" s="86"/>
      <c r="E856" s="86"/>
      <c r="F856" s="86"/>
      <c r="G856" s="86"/>
      <c r="H856" s="86"/>
      <c r="I856" s="86"/>
      <c r="J856" s="86"/>
      <c r="K856" s="87"/>
    </row>
    <row r="857">
      <c r="A857" s="86"/>
      <c r="B857" s="86"/>
      <c r="C857" s="86"/>
      <c r="D857" s="86"/>
      <c r="E857" s="86"/>
      <c r="F857" s="86"/>
      <c r="G857" s="86"/>
      <c r="H857" s="86"/>
      <c r="I857" s="86"/>
      <c r="J857" s="86"/>
      <c r="K857" s="87"/>
    </row>
    <row r="858">
      <c r="A858" s="86"/>
      <c r="B858" s="86"/>
      <c r="C858" s="86"/>
      <c r="D858" s="86"/>
      <c r="E858" s="86"/>
      <c r="F858" s="86"/>
      <c r="G858" s="86"/>
      <c r="H858" s="86"/>
      <c r="I858" s="86"/>
      <c r="J858" s="86"/>
      <c r="K858" s="87"/>
    </row>
    <row r="859">
      <c r="A859" s="86"/>
      <c r="B859" s="86"/>
      <c r="C859" s="86"/>
      <c r="D859" s="86"/>
      <c r="E859" s="86"/>
      <c r="F859" s="86"/>
      <c r="G859" s="86"/>
      <c r="H859" s="86"/>
      <c r="I859" s="86"/>
      <c r="J859" s="86"/>
      <c r="K859" s="87"/>
    </row>
    <row r="860">
      <c r="A860" s="86"/>
      <c r="B860" s="86"/>
      <c r="C860" s="86"/>
      <c r="D860" s="86"/>
      <c r="E860" s="86"/>
      <c r="F860" s="86"/>
      <c r="G860" s="86"/>
      <c r="H860" s="86"/>
      <c r="I860" s="86"/>
      <c r="J860" s="86"/>
      <c r="K860" s="87"/>
    </row>
    <row r="861">
      <c r="A861" s="86"/>
      <c r="B861" s="86"/>
      <c r="C861" s="86"/>
      <c r="D861" s="86"/>
      <c r="E861" s="86"/>
      <c r="F861" s="86"/>
      <c r="G861" s="86"/>
      <c r="H861" s="86"/>
      <c r="I861" s="86"/>
      <c r="J861" s="86"/>
      <c r="K861" s="87"/>
    </row>
    <row r="862">
      <c r="A862" s="86"/>
      <c r="B862" s="86"/>
      <c r="C862" s="86"/>
      <c r="D862" s="86"/>
      <c r="E862" s="86"/>
      <c r="F862" s="86"/>
      <c r="G862" s="86"/>
      <c r="H862" s="86"/>
      <c r="I862" s="86"/>
      <c r="J862" s="86"/>
      <c r="K862" s="87"/>
    </row>
    <row r="863">
      <c r="A863" s="86"/>
      <c r="B863" s="86"/>
      <c r="C863" s="86"/>
      <c r="D863" s="86"/>
      <c r="E863" s="86"/>
      <c r="F863" s="86"/>
      <c r="G863" s="86"/>
      <c r="H863" s="86"/>
      <c r="I863" s="86"/>
      <c r="J863" s="86"/>
      <c r="K863" s="87"/>
    </row>
    <row r="864">
      <c r="A864" s="86"/>
      <c r="B864" s="86"/>
      <c r="C864" s="86"/>
      <c r="D864" s="86"/>
      <c r="E864" s="86"/>
      <c r="F864" s="86"/>
      <c r="G864" s="86"/>
      <c r="H864" s="86"/>
      <c r="I864" s="86"/>
      <c r="J864" s="86"/>
      <c r="K864" s="87"/>
    </row>
    <row r="865">
      <c r="A865" s="86"/>
      <c r="B865" s="86"/>
      <c r="C865" s="86"/>
      <c r="D865" s="86"/>
      <c r="E865" s="86"/>
      <c r="F865" s="86"/>
      <c r="G865" s="86"/>
      <c r="H865" s="86"/>
      <c r="I865" s="86"/>
      <c r="J865" s="86"/>
      <c r="K865" s="87"/>
    </row>
    <row r="866">
      <c r="A866" s="86"/>
      <c r="B866" s="86"/>
      <c r="C866" s="86"/>
      <c r="D866" s="86"/>
      <c r="E866" s="86"/>
      <c r="F866" s="86"/>
      <c r="G866" s="86"/>
      <c r="H866" s="86"/>
      <c r="I866" s="86"/>
      <c r="J866" s="86"/>
      <c r="K866" s="87"/>
    </row>
    <row r="867">
      <c r="A867" s="86"/>
      <c r="B867" s="86"/>
      <c r="C867" s="86"/>
      <c r="D867" s="86"/>
      <c r="E867" s="86"/>
      <c r="F867" s="86"/>
      <c r="G867" s="86"/>
      <c r="H867" s="86"/>
      <c r="I867" s="86"/>
      <c r="J867" s="86"/>
      <c r="K867" s="87"/>
    </row>
    <row r="868">
      <c r="A868" s="86"/>
      <c r="B868" s="86"/>
      <c r="C868" s="86"/>
      <c r="D868" s="86"/>
      <c r="E868" s="86"/>
      <c r="F868" s="86"/>
      <c r="G868" s="86"/>
      <c r="H868" s="86"/>
      <c r="I868" s="86"/>
      <c r="J868" s="86"/>
      <c r="K868" s="87"/>
    </row>
    <row r="869">
      <c r="A869" s="86"/>
      <c r="B869" s="86"/>
      <c r="C869" s="86"/>
      <c r="D869" s="86"/>
      <c r="E869" s="86"/>
      <c r="F869" s="86"/>
      <c r="G869" s="86"/>
      <c r="H869" s="86"/>
      <c r="I869" s="86"/>
      <c r="J869" s="86"/>
      <c r="K869" s="87"/>
    </row>
    <row r="870">
      <c r="A870" s="86"/>
      <c r="B870" s="86"/>
      <c r="C870" s="86"/>
      <c r="D870" s="86"/>
      <c r="E870" s="86"/>
      <c r="F870" s="86"/>
      <c r="G870" s="86"/>
      <c r="H870" s="86"/>
      <c r="I870" s="86"/>
      <c r="J870" s="86"/>
      <c r="K870" s="87"/>
    </row>
    <row r="871">
      <c r="A871" s="86"/>
      <c r="B871" s="86"/>
      <c r="C871" s="86"/>
      <c r="D871" s="86"/>
      <c r="E871" s="86"/>
      <c r="F871" s="86"/>
      <c r="G871" s="86"/>
      <c r="H871" s="86"/>
      <c r="I871" s="86"/>
      <c r="J871" s="86"/>
      <c r="K871" s="87"/>
    </row>
    <row r="872">
      <c r="A872" s="86"/>
      <c r="B872" s="86"/>
      <c r="C872" s="86"/>
      <c r="D872" s="86"/>
      <c r="E872" s="86"/>
      <c r="F872" s="86"/>
      <c r="G872" s="86"/>
      <c r="H872" s="86"/>
      <c r="I872" s="86"/>
      <c r="J872" s="86"/>
      <c r="K872" s="87"/>
    </row>
    <row r="873">
      <c r="A873" s="86"/>
      <c r="B873" s="86"/>
      <c r="C873" s="86"/>
      <c r="D873" s="86"/>
      <c r="E873" s="86"/>
      <c r="F873" s="86"/>
      <c r="G873" s="86"/>
      <c r="H873" s="86"/>
      <c r="I873" s="86"/>
      <c r="J873" s="86"/>
      <c r="K873" s="87"/>
    </row>
    <row r="874">
      <c r="A874" s="86"/>
      <c r="B874" s="86"/>
      <c r="C874" s="86"/>
      <c r="D874" s="86"/>
      <c r="E874" s="86"/>
      <c r="F874" s="86"/>
      <c r="G874" s="86"/>
      <c r="H874" s="86"/>
      <c r="I874" s="86"/>
      <c r="J874" s="86"/>
      <c r="K874" s="87"/>
    </row>
    <row r="875">
      <c r="A875" s="86"/>
      <c r="B875" s="86"/>
      <c r="C875" s="86"/>
      <c r="D875" s="86"/>
      <c r="E875" s="86"/>
      <c r="F875" s="86"/>
      <c r="G875" s="86"/>
      <c r="H875" s="86"/>
      <c r="I875" s="86"/>
      <c r="J875" s="86"/>
      <c r="K875" s="87"/>
    </row>
    <row r="876">
      <c r="A876" s="86"/>
      <c r="B876" s="86"/>
      <c r="C876" s="86"/>
      <c r="D876" s="86"/>
      <c r="E876" s="86"/>
      <c r="F876" s="86"/>
      <c r="G876" s="86"/>
      <c r="H876" s="86"/>
      <c r="I876" s="86"/>
      <c r="J876" s="86"/>
      <c r="K876" s="87"/>
    </row>
    <row r="877">
      <c r="A877" s="86"/>
      <c r="B877" s="86"/>
      <c r="C877" s="86"/>
      <c r="D877" s="86"/>
      <c r="E877" s="86"/>
      <c r="F877" s="86"/>
      <c r="G877" s="86"/>
      <c r="H877" s="86"/>
      <c r="I877" s="86"/>
      <c r="J877" s="86"/>
      <c r="K877" s="87"/>
    </row>
    <row r="878">
      <c r="A878" s="86"/>
      <c r="B878" s="86"/>
      <c r="C878" s="86"/>
      <c r="D878" s="86"/>
      <c r="E878" s="86"/>
      <c r="F878" s="86"/>
      <c r="G878" s="86"/>
      <c r="H878" s="86"/>
      <c r="I878" s="86"/>
      <c r="J878" s="86"/>
      <c r="K878" s="87"/>
    </row>
    <row r="879">
      <c r="A879" s="86"/>
      <c r="B879" s="86"/>
      <c r="C879" s="86"/>
      <c r="D879" s="86"/>
      <c r="E879" s="86"/>
      <c r="F879" s="86"/>
      <c r="G879" s="86"/>
      <c r="H879" s="86"/>
      <c r="I879" s="86"/>
      <c r="J879" s="86"/>
      <c r="K879" s="87"/>
    </row>
    <row r="880">
      <c r="A880" s="86"/>
      <c r="B880" s="86"/>
      <c r="C880" s="86"/>
      <c r="D880" s="86"/>
      <c r="E880" s="86"/>
      <c r="F880" s="86"/>
      <c r="G880" s="86"/>
      <c r="H880" s="86"/>
      <c r="I880" s="86"/>
      <c r="J880" s="86"/>
      <c r="K880" s="87"/>
    </row>
    <row r="881">
      <c r="A881" s="86"/>
      <c r="B881" s="86"/>
      <c r="C881" s="86"/>
      <c r="D881" s="86"/>
      <c r="E881" s="86"/>
      <c r="F881" s="86"/>
      <c r="G881" s="86"/>
      <c r="H881" s="86"/>
      <c r="I881" s="86"/>
      <c r="J881" s="86"/>
      <c r="K881" s="87"/>
    </row>
    <row r="882">
      <c r="A882" s="86"/>
      <c r="B882" s="86"/>
      <c r="C882" s="86"/>
      <c r="D882" s="86"/>
      <c r="E882" s="86"/>
      <c r="F882" s="86"/>
      <c r="G882" s="86"/>
      <c r="H882" s="86"/>
      <c r="I882" s="86"/>
      <c r="J882" s="86"/>
      <c r="K882" s="87"/>
    </row>
    <row r="883">
      <c r="A883" s="86"/>
      <c r="B883" s="86"/>
      <c r="C883" s="86"/>
      <c r="D883" s="86"/>
      <c r="E883" s="86"/>
      <c r="F883" s="86"/>
      <c r="G883" s="86"/>
      <c r="H883" s="86"/>
      <c r="I883" s="86"/>
      <c r="J883" s="86"/>
      <c r="K883" s="87"/>
    </row>
    <row r="884">
      <c r="A884" s="86"/>
      <c r="B884" s="86"/>
      <c r="C884" s="86"/>
      <c r="D884" s="86"/>
      <c r="E884" s="86"/>
      <c r="F884" s="86"/>
      <c r="G884" s="86"/>
      <c r="H884" s="86"/>
      <c r="I884" s="86"/>
      <c r="J884" s="86"/>
      <c r="K884" s="87"/>
    </row>
    <row r="885">
      <c r="A885" s="86"/>
      <c r="B885" s="86"/>
      <c r="C885" s="86"/>
      <c r="D885" s="86"/>
      <c r="E885" s="86"/>
      <c r="F885" s="86"/>
      <c r="G885" s="86"/>
      <c r="H885" s="86"/>
      <c r="I885" s="86"/>
      <c r="J885" s="86"/>
      <c r="K885" s="87"/>
    </row>
    <row r="886">
      <c r="A886" s="86"/>
      <c r="B886" s="86"/>
      <c r="C886" s="86"/>
      <c r="D886" s="86"/>
      <c r="E886" s="86"/>
      <c r="F886" s="86"/>
      <c r="G886" s="86"/>
      <c r="H886" s="86"/>
      <c r="I886" s="86"/>
      <c r="J886" s="86"/>
      <c r="K886" s="87"/>
    </row>
    <row r="887">
      <c r="A887" s="86"/>
      <c r="B887" s="86"/>
      <c r="C887" s="86"/>
      <c r="D887" s="86"/>
      <c r="E887" s="86"/>
      <c r="F887" s="86"/>
      <c r="G887" s="86"/>
      <c r="H887" s="86"/>
      <c r="I887" s="86"/>
      <c r="J887" s="86"/>
      <c r="K887" s="87"/>
    </row>
    <row r="888">
      <c r="A888" s="86"/>
      <c r="B888" s="86"/>
      <c r="C888" s="86"/>
      <c r="D888" s="86"/>
      <c r="E888" s="86"/>
      <c r="F888" s="86"/>
      <c r="G888" s="86"/>
      <c r="H888" s="86"/>
      <c r="I888" s="86"/>
      <c r="J888" s="86"/>
      <c r="K888" s="87"/>
    </row>
    <row r="889">
      <c r="A889" s="86"/>
      <c r="B889" s="86"/>
      <c r="C889" s="86"/>
      <c r="D889" s="86"/>
      <c r="E889" s="86"/>
      <c r="F889" s="86"/>
      <c r="G889" s="86"/>
      <c r="H889" s="86"/>
      <c r="I889" s="86"/>
      <c r="J889" s="86"/>
      <c r="K889" s="87"/>
    </row>
    <row r="890">
      <c r="A890" s="86"/>
      <c r="B890" s="86"/>
      <c r="C890" s="86"/>
      <c r="D890" s="86"/>
      <c r="E890" s="86"/>
      <c r="F890" s="86"/>
      <c r="G890" s="86"/>
      <c r="H890" s="86"/>
      <c r="I890" s="86"/>
      <c r="J890" s="86"/>
      <c r="K890" s="87"/>
    </row>
    <row r="891">
      <c r="A891" s="86"/>
      <c r="B891" s="86"/>
      <c r="C891" s="86"/>
      <c r="D891" s="86"/>
      <c r="E891" s="86"/>
      <c r="F891" s="86"/>
      <c r="G891" s="86"/>
      <c r="H891" s="86"/>
      <c r="I891" s="86"/>
      <c r="J891" s="86"/>
      <c r="K891" s="87"/>
    </row>
    <row r="892">
      <c r="A892" s="86"/>
      <c r="B892" s="86"/>
      <c r="C892" s="86"/>
      <c r="D892" s="86"/>
      <c r="E892" s="86"/>
      <c r="F892" s="86"/>
      <c r="G892" s="86"/>
      <c r="H892" s="86"/>
      <c r="I892" s="86"/>
      <c r="J892" s="86"/>
      <c r="K892" s="87"/>
    </row>
    <row r="893">
      <c r="A893" s="86"/>
      <c r="B893" s="86"/>
      <c r="C893" s="86"/>
      <c r="D893" s="86"/>
      <c r="E893" s="86"/>
      <c r="F893" s="86"/>
      <c r="G893" s="86"/>
      <c r="H893" s="86"/>
      <c r="I893" s="86"/>
      <c r="J893" s="86"/>
      <c r="K893" s="87"/>
    </row>
    <row r="894">
      <c r="A894" s="86"/>
      <c r="B894" s="86"/>
      <c r="C894" s="86"/>
      <c r="D894" s="86"/>
      <c r="E894" s="86"/>
      <c r="F894" s="86"/>
      <c r="G894" s="86"/>
      <c r="H894" s="86"/>
      <c r="I894" s="86"/>
      <c r="J894" s="86"/>
      <c r="K894" s="87"/>
    </row>
    <row r="895">
      <c r="A895" s="86"/>
      <c r="B895" s="86"/>
      <c r="C895" s="86"/>
      <c r="D895" s="86"/>
      <c r="E895" s="86"/>
      <c r="F895" s="86"/>
      <c r="G895" s="86"/>
      <c r="H895" s="86"/>
      <c r="I895" s="86"/>
      <c r="J895" s="86"/>
      <c r="K895" s="87"/>
    </row>
    <row r="896">
      <c r="A896" s="86"/>
      <c r="B896" s="86"/>
      <c r="C896" s="86"/>
      <c r="D896" s="86"/>
      <c r="E896" s="86"/>
      <c r="F896" s="86"/>
      <c r="G896" s="86"/>
      <c r="H896" s="86"/>
      <c r="I896" s="86"/>
      <c r="J896" s="86"/>
      <c r="K896" s="87"/>
    </row>
    <row r="897">
      <c r="A897" s="86"/>
      <c r="B897" s="86"/>
      <c r="C897" s="86"/>
      <c r="D897" s="86"/>
      <c r="E897" s="86"/>
      <c r="F897" s="86"/>
      <c r="G897" s="86"/>
      <c r="H897" s="86"/>
      <c r="I897" s="86"/>
      <c r="J897" s="86"/>
      <c r="K897" s="87"/>
    </row>
    <row r="898">
      <c r="A898" s="86"/>
      <c r="B898" s="86"/>
      <c r="C898" s="86"/>
      <c r="D898" s="86"/>
      <c r="E898" s="86"/>
      <c r="F898" s="86"/>
      <c r="G898" s="86"/>
      <c r="H898" s="86"/>
      <c r="I898" s="86"/>
      <c r="J898" s="86"/>
      <c r="K898" s="87"/>
    </row>
    <row r="899">
      <c r="A899" s="86"/>
      <c r="B899" s="86"/>
      <c r="C899" s="86"/>
      <c r="D899" s="86"/>
      <c r="E899" s="86"/>
      <c r="F899" s="86"/>
      <c r="G899" s="86"/>
      <c r="H899" s="86"/>
      <c r="I899" s="86"/>
      <c r="J899" s="86"/>
      <c r="K899" s="87"/>
    </row>
    <row r="900">
      <c r="A900" s="86"/>
      <c r="B900" s="86"/>
      <c r="C900" s="86"/>
      <c r="D900" s="86"/>
      <c r="E900" s="86"/>
      <c r="F900" s="86"/>
      <c r="G900" s="86"/>
      <c r="H900" s="86"/>
      <c r="I900" s="86"/>
      <c r="J900" s="86"/>
      <c r="K900" s="87"/>
    </row>
    <row r="901">
      <c r="A901" s="86"/>
      <c r="B901" s="86"/>
      <c r="C901" s="86"/>
      <c r="D901" s="86"/>
      <c r="E901" s="86"/>
      <c r="F901" s="86"/>
      <c r="G901" s="86"/>
      <c r="H901" s="86"/>
      <c r="I901" s="86"/>
      <c r="J901" s="86"/>
      <c r="K901" s="87"/>
    </row>
    <row r="902">
      <c r="A902" s="86"/>
      <c r="B902" s="86"/>
      <c r="C902" s="86"/>
      <c r="D902" s="86"/>
      <c r="E902" s="86"/>
      <c r="F902" s="86"/>
      <c r="G902" s="86"/>
      <c r="H902" s="86"/>
      <c r="I902" s="86"/>
      <c r="J902" s="86"/>
      <c r="K902" s="87"/>
    </row>
    <row r="903">
      <c r="A903" s="86"/>
      <c r="B903" s="86"/>
      <c r="C903" s="86"/>
      <c r="D903" s="86"/>
      <c r="E903" s="86"/>
      <c r="F903" s="86"/>
      <c r="G903" s="86"/>
      <c r="H903" s="86"/>
      <c r="I903" s="86"/>
      <c r="J903" s="86"/>
      <c r="K903" s="87"/>
    </row>
    <row r="904">
      <c r="A904" s="86"/>
      <c r="B904" s="86"/>
      <c r="C904" s="86"/>
      <c r="D904" s="86"/>
      <c r="E904" s="86"/>
      <c r="F904" s="86"/>
      <c r="G904" s="86"/>
      <c r="H904" s="86"/>
      <c r="I904" s="86"/>
      <c r="J904" s="86"/>
      <c r="K904" s="87"/>
    </row>
    <row r="905">
      <c r="A905" s="86"/>
      <c r="B905" s="86"/>
      <c r="C905" s="86"/>
      <c r="D905" s="86"/>
      <c r="E905" s="86"/>
      <c r="F905" s="86"/>
      <c r="G905" s="86"/>
      <c r="H905" s="86"/>
      <c r="I905" s="86"/>
      <c r="J905" s="86"/>
      <c r="K905" s="87"/>
    </row>
    <row r="906">
      <c r="A906" s="86"/>
      <c r="B906" s="86"/>
      <c r="C906" s="86"/>
      <c r="D906" s="86"/>
      <c r="E906" s="86"/>
      <c r="F906" s="86"/>
      <c r="G906" s="86"/>
      <c r="H906" s="86"/>
      <c r="I906" s="86"/>
      <c r="J906" s="86"/>
      <c r="K906" s="87"/>
    </row>
    <row r="907">
      <c r="A907" s="86"/>
      <c r="B907" s="86"/>
      <c r="C907" s="86"/>
      <c r="D907" s="86"/>
      <c r="E907" s="86"/>
      <c r="F907" s="86"/>
      <c r="G907" s="86"/>
      <c r="H907" s="86"/>
      <c r="I907" s="86"/>
      <c r="J907" s="86"/>
      <c r="K907" s="87"/>
    </row>
    <row r="908">
      <c r="A908" s="86"/>
      <c r="B908" s="86"/>
      <c r="C908" s="86"/>
      <c r="D908" s="86"/>
      <c r="E908" s="86"/>
      <c r="F908" s="86"/>
      <c r="G908" s="86"/>
      <c r="H908" s="86"/>
      <c r="I908" s="86"/>
      <c r="J908" s="86"/>
      <c r="K908" s="87"/>
    </row>
    <row r="909">
      <c r="A909" s="86"/>
      <c r="B909" s="86"/>
      <c r="C909" s="86"/>
      <c r="D909" s="86"/>
      <c r="E909" s="86"/>
      <c r="F909" s="86"/>
      <c r="G909" s="86"/>
      <c r="H909" s="86"/>
      <c r="I909" s="86"/>
      <c r="J909" s="86"/>
      <c r="K909" s="87"/>
    </row>
    <row r="910">
      <c r="A910" s="86"/>
      <c r="B910" s="86"/>
      <c r="C910" s="86"/>
      <c r="D910" s="86"/>
      <c r="E910" s="86"/>
      <c r="F910" s="86"/>
      <c r="G910" s="86"/>
      <c r="H910" s="86"/>
      <c r="I910" s="86"/>
      <c r="J910" s="86"/>
      <c r="K910" s="87"/>
    </row>
    <row r="911">
      <c r="A911" s="86"/>
      <c r="B911" s="86"/>
      <c r="C911" s="86"/>
      <c r="D911" s="86"/>
      <c r="E911" s="86"/>
      <c r="F911" s="86"/>
      <c r="G911" s="86"/>
      <c r="H911" s="86"/>
      <c r="I911" s="86"/>
      <c r="J911" s="86"/>
      <c r="K911" s="87"/>
    </row>
    <row r="912">
      <c r="A912" s="86"/>
      <c r="B912" s="86"/>
      <c r="C912" s="86"/>
      <c r="D912" s="86"/>
      <c r="E912" s="86"/>
      <c r="F912" s="86"/>
      <c r="G912" s="86"/>
      <c r="H912" s="86"/>
      <c r="I912" s="86"/>
      <c r="J912" s="86"/>
      <c r="K912" s="87"/>
    </row>
    <row r="913">
      <c r="A913" s="86"/>
      <c r="B913" s="86"/>
      <c r="C913" s="86"/>
      <c r="D913" s="86"/>
      <c r="E913" s="86"/>
      <c r="F913" s="86"/>
      <c r="G913" s="86"/>
      <c r="H913" s="86"/>
      <c r="I913" s="86"/>
      <c r="J913" s="86"/>
      <c r="K913" s="87"/>
    </row>
    <row r="914">
      <c r="A914" s="86"/>
      <c r="B914" s="86"/>
      <c r="C914" s="86"/>
      <c r="D914" s="86"/>
      <c r="E914" s="86"/>
      <c r="F914" s="86"/>
      <c r="G914" s="86"/>
      <c r="H914" s="86"/>
      <c r="I914" s="86"/>
      <c r="J914" s="86"/>
      <c r="K914" s="87"/>
    </row>
    <row r="915">
      <c r="A915" s="86"/>
      <c r="B915" s="86"/>
      <c r="C915" s="86"/>
      <c r="D915" s="86"/>
      <c r="E915" s="86"/>
      <c r="F915" s="86"/>
      <c r="G915" s="86"/>
      <c r="H915" s="86"/>
      <c r="I915" s="86"/>
      <c r="J915" s="86"/>
      <c r="K915" s="87"/>
    </row>
    <row r="916">
      <c r="A916" s="86"/>
      <c r="B916" s="86"/>
      <c r="C916" s="86"/>
      <c r="D916" s="86"/>
      <c r="E916" s="86"/>
      <c r="F916" s="86"/>
      <c r="G916" s="86"/>
      <c r="H916" s="86"/>
      <c r="I916" s="86"/>
      <c r="J916" s="86"/>
      <c r="K916" s="87"/>
    </row>
    <row r="917">
      <c r="A917" s="86"/>
      <c r="B917" s="86"/>
      <c r="C917" s="86"/>
      <c r="D917" s="86"/>
      <c r="E917" s="86"/>
      <c r="F917" s="86"/>
      <c r="G917" s="86"/>
      <c r="H917" s="86"/>
      <c r="I917" s="86"/>
      <c r="J917" s="86"/>
      <c r="K917" s="87"/>
    </row>
    <row r="918">
      <c r="A918" s="86"/>
      <c r="B918" s="86"/>
      <c r="C918" s="86"/>
      <c r="D918" s="86"/>
      <c r="E918" s="86"/>
      <c r="F918" s="86"/>
      <c r="G918" s="86"/>
      <c r="H918" s="86"/>
      <c r="I918" s="86"/>
      <c r="J918" s="86"/>
      <c r="K918" s="87"/>
    </row>
    <row r="919">
      <c r="A919" s="86"/>
      <c r="B919" s="86"/>
      <c r="C919" s="86"/>
      <c r="D919" s="86"/>
      <c r="E919" s="86"/>
      <c r="F919" s="86"/>
      <c r="G919" s="86"/>
      <c r="H919" s="86"/>
      <c r="I919" s="86"/>
      <c r="J919" s="86"/>
      <c r="K919" s="87"/>
    </row>
    <row r="920">
      <c r="A920" s="86"/>
      <c r="B920" s="86"/>
      <c r="C920" s="86"/>
      <c r="D920" s="86"/>
      <c r="E920" s="86"/>
      <c r="F920" s="86"/>
      <c r="G920" s="86"/>
      <c r="H920" s="86"/>
      <c r="I920" s="86"/>
      <c r="J920" s="86"/>
      <c r="K920" s="87"/>
    </row>
    <row r="921">
      <c r="A921" s="86"/>
      <c r="B921" s="86"/>
      <c r="C921" s="86"/>
      <c r="D921" s="86"/>
      <c r="E921" s="86"/>
      <c r="F921" s="86"/>
      <c r="G921" s="86"/>
      <c r="H921" s="86"/>
      <c r="I921" s="86"/>
      <c r="J921" s="86"/>
      <c r="K921" s="87"/>
    </row>
    <row r="922">
      <c r="A922" s="86"/>
      <c r="B922" s="86"/>
      <c r="C922" s="86"/>
      <c r="D922" s="86"/>
      <c r="E922" s="86"/>
      <c r="F922" s="86"/>
      <c r="G922" s="86"/>
      <c r="H922" s="86"/>
      <c r="I922" s="86"/>
      <c r="J922" s="86"/>
      <c r="K922" s="87"/>
    </row>
    <row r="923">
      <c r="A923" s="86"/>
      <c r="B923" s="86"/>
      <c r="C923" s="86"/>
      <c r="D923" s="86"/>
      <c r="E923" s="86"/>
      <c r="F923" s="86"/>
      <c r="G923" s="86"/>
      <c r="H923" s="86"/>
      <c r="I923" s="86"/>
      <c r="J923" s="86"/>
      <c r="K923" s="87"/>
    </row>
    <row r="924">
      <c r="A924" s="86"/>
      <c r="B924" s="86"/>
      <c r="C924" s="86"/>
      <c r="D924" s="86"/>
      <c r="E924" s="86"/>
      <c r="F924" s="86"/>
      <c r="G924" s="86"/>
      <c r="H924" s="86"/>
      <c r="I924" s="86"/>
      <c r="J924" s="86"/>
      <c r="K924" s="87"/>
    </row>
    <row r="925">
      <c r="A925" s="86"/>
      <c r="B925" s="86"/>
      <c r="C925" s="86"/>
      <c r="D925" s="86"/>
      <c r="E925" s="86"/>
      <c r="F925" s="86"/>
      <c r="G925" s="86"/>
      <c r="H925" s="86"/>
      <c r="I925" s="86"/>
      <c r="J925" s="86"/>
      <c r="K925" s="87"/>
    </row>
    <row r="926">
      <c r="A926" s="86"/>
      <c r="B926" s="86"/>
      <c r="C926" s="86"/>
      <c r="D926" s="86"/>
      <c r="E926" s="86"/>
      <c r="F926" s="86"/>
      <c r="G926" s="86"/>
      <c r="H926" s="86"/>
      <c r="I926" s="86"/>
      <c r="J926" s="86"/>
      <c r="K926" s="87"/>
    </row>
    <row r="927">
      <c r="A927" s="86"/>
      <c r="B927" s="86"/>
      <c r="C927" s="86"/>
      <c r="D927" s="86"/>
      <c r="E927" s="86"/>
      <c r="F927" s="86"/>
      <c r="G927" s="86"/>
      <c r="H927" s="86"/>
      <c r="I927" s="86"/>
      <c r="J927" s="86"/>
      <c r="K927" s="87"/>
    </row>
    <row r="928">
      <c r="A928" s="86"/>
      <c r="B928" s="86"/>
      <c r="C928" s="86"/>
      <c r="D928" s="86"/>
      <c r="E928" s="86"/>
      <c r="F928" s="86"/>
      <c r="G928" s="86"/>
      <c r="H928" s="86"/>
      <c r="I928" s="86"/>
      <c r="J928" s="86"/>
      <c r="K928" s="87"/>
    </row>
    <row r="929">
      <c r="A929" s="86"/>
      <c r="B929" s="86"/>
      <c r="C929" s="86"/>
      <c r="D929" s="86"/>
      <c r="E929" s="86"/>
      <c r="F929" s="86"/>
      <c r="G929" s="86"/>
      <c r="H929" s="86"/>
      <c r="I929" s="86"/>
      <c r="J929" s="86"/>
      <c r="K929" s="87"/>
    </row>
    <row r="930">
      <c r="A930" s="86"/>
      <c r="B930" s="86"/>
      <c r="C930" s="86"/>
      <c r="D930" s="86"/>
      <c r="E930" s="86"/>
      <c r="F930" s="86"/>
      <c r="G930" s="86"/>
      <c r="H930" s="86"/>
      <c r="I930" s="86"/>
      <c r="J930" s="86"/>
      <c r="K930" s="87"/>
    </row>
    <row r="931">
      <c r="A931" s="86"/>
      <c r="B931" s="86"/>
      <c r="C931" s="86"/>
      <c r="D931" s="86"/>
      <c r="E931" s="86"/>
      <c r="F931" s="86"/>
      <c r="G931" s="86"/>
      <c r="H931" s="86"/>
      <c r="I931" s="86"/>
      <c r="J931" s="86"/>
      <c r="K931" s="87"/>
    </row>
    <row r="932">
      <c r="A932" s="86"/>
      <c r="B932" s="86"/>
      <c r="C932" s="86"/>
      <c r="D932" s="86"/>
      <c r="E932" s="86"/>
      <c r="F932" s="86"/>
      <c r="G932" s="86"/>
      <c r="H932" s="86"/>
      <c r="I932" s="86"/>
      <c r="J932" s="86"/>
      <c r="K932" s="87"/>
    </row>
    <row r="933">
      <c r="A933" s="86"/>
      <c r="B933" s="86"/>
      <c r="C933" s="86"/>
      <c r="D933" s="86"/>
      <c r="E933" s="86"/>
      <c r="F933" s="86"/>
      <c r="G933" s="86"/>
      <c r="H933" s="86"/>
      <c r="I933" s="86"/>
      <c r="J933" s="86"/>
      <c r="K933" s="87"/>
    </row>
    <row r="934">
      <c r="A934" s="86"/>
      <c r="B934" s="86"/>
      <c r="C934" s="86"/>
      <c r="D934" s="86"/>
      <c r="E934" s="86"/>
      <c r="F934" s="86"/>
      <c r="G934" s="86"/>
      <c r="H934" s="86"/>
      <c r="I934" s="86"/>
      <c r="J934" s="86"/>
      <c r="K934" s="87"/>
    </row>
    <row r="935">
      <c r="A935" s="86"/>
      <c r="B935" s="86"/>
      <c r="C935" s="86"/>
      <c r="D935" s="86"/>
      <c r="E935" s="86"/>
      <c r="F935" s="86"/>
      <c r="G935" s="86"/>
      <c r="H935" s="86"/>
      <c r="I935" s="86"/>
      <c r="J935" s="86"/>
      <c r="K935" s="87"/>
    </row>
    <row r="936">
      <c r="A936" s="86"/>
      <c r="B936" s="86"/>
      <c r="C936" s="86"/>
      <c r="D936" s="86"/>
      <c r="E936" s="86"/>
      <c r="F936" s="86"/>
      <c r="G936" s="86"/>
      <c r="H936" s="86"/>
      <c r="I936" s="86"/>
      <c r="J936" s="86"/>
      <c r="K936" s="87"/>
    </row>
    <row r="937">
      <c r="A937" s="86"/>
      <c r="B937" s="86"/>
      <c r="C937" s="86"/>
      <c r="D937" s="86"/>
      <c r="E937" s="86"/>
      <c r="F937" s="86"/>
      <c r="G937" s="86"/>
      <c r="H937" s="86"/>
      <c r="I937" s="86"/>
      <c r="J937" s="86"/>
      <c r="K937" s="87"/>
    </row>
    <row r="938">
      <c r="A938" s="86"/>
      <c r="B938" s="86"/>
      <c r="C938" s="86"/>
      <c r="D938" s="86"/>
      <c r="E938" s="86"/>
      <c r="F938" s="86"/>
      <c r="G938" s="86"/>
      <c r="H938" s="86"/>
      <c r="I938" s="86"/>
      <c r="J938" s="86"/>
      <c r="K938" s="87"/>
    </row>
    <row r="939">
      <c r="A939" s="86"/>
      <c r="B939" s="86"/>
      <c r="C939" s="86"/>
      <c r="D939" s="86"/>
      <c r="E939" s="86"/>
      <c r="F939" s="86"/>
      <c r="G939" s="86"/>
      <c r="H939" s="86"/>
      <c r="I939" s="86"/>
      <c r="J939" s="86"/>
      <c r="K939" s="87"/>
    </row>
    <row r="940">
      <c r="A940" s="86"/>
      <c r="B940" s="86"/>
      <c r="C940" s="86"/>
      <c r="D940" s="86"/>
      <c r="E940" s="86"/>
      <c r="F940" s="86"/>
      <c r="G940" s="86"/>
      <c r="H940" s="86"/>
      <c r="I940" s="86"/>
      <c r="J940" s="86"/>
      <c r="K940" s="87"/>
    </row>
    <row r="941">
      <c r="A941" s="86"/>
      <c r="B941" s="86"/>
      <c r="C941" s="86"/>
      <c r="D941" s="86"/>
      <c r="E941" s="86"/>
      <c r="F941" s="86"/>
      <c r="G941" s="86"/>
      <c r="H941" s="86"/>
      <c r="I941" s="86"/>
      <c r="J941" s="86"/>
      <c r="K941" s="87"/>
    </row>
    <row r="942">
      <c r="A942" s="86"/>
      <c r="B942" s="86"/>
      <c r="C942" s="86"/>
      <c r="D942" s="86"/>
      <c r="E942" s="86"/>
      <c r="F942" s="86"/>
      <c r="G942" s="86"/>
      <c r="H942" s="86"/>
      <c r="I942" s="86"/>
      <c r="J942" s="86"/>
      <c r="K942" s="87"/>
    </row>
    <row r="943">
      <c r="A943" s="86"/>
      <c r="B943" s="86"/>
      <c r="C943" s="86"/>
      <c r="D943" s="86"/>
      <c r="E943" s="86"/>
      <c r="F943" s="86"/>
      <c r="G943" s="86"/>
      <c r="H943" s="86"/>
      <c r="I943" s="86"/>
      <c r="J943" s="86"/>
      <c r="K943" s="87"/>
    </row>
    <row r="944">
      <c r="A944" s="86"/>
      <c r="B944" s="86"/>
      <c r="C944" s="86"/>
      <c r="D944" s="86"/>
      <c r="E944" s="86"/>
      <c r="F944" s="86"/>
      <c r="G944" s="86"/>
      <c r="H944" s="86"/>
      <c r="I944" s="86"/>
      <c r="J944" s="86"/>
      <c r="K944" s="87"/>
    </row>
    <row r="945">
      <c r="A945" s="86"/>
      <c r="B945" s="86"/>
      <c r="C945" s="86"/>
      <c r="D945" s="86"/>
      <c r="E945" s="86"/>
      <c r="F945" s="86"/>
      <c r="G945" s="86"/>
      <c r="H945" s="86"/>
      <c r="I945" s="86"/>
      <c r="J945" s="86"/>
      <c r="K945" s="87"/>
    </row>
    <row r="946">
      <c r="A946" s="86"/>
      <c r="B946" s="86"/>
      <c r="C946" s="86"/>
      <c r="D946" s="86"/>
      <c r="E946" s="86"/>
      <c r="F946" s="86"/>
      <c r="G946" s="86"/>
      <c r="H946" s="86"/>
      <c r="I946" s="86"/>
      <c r="J946" s="86"/>
      <c r="K946" s="87"/>
    </row>
    <row r="947">
      <c r="A947" s="86"/>
      <c r="B947" s="86"/>
      <c r="C947" s="86"/>
      <c r="D947" s="86"/>
      <c r="E947" s="86"/>
      <c r="F947" s="86"/>
      <c r="G947" s="86"/>
      <c r="H947" s="86"/>
      <c r="I947" s="86"/>
      <c r="J947" s="86"/>
      <c r="K947" s="87"/>
    </row>
    <row r="948">
      <c r="A948" s="86"/>
      <c r="B948" s="86"/>
      <c r="C948" s="86"/>
      <c r="D948" s="86"/>
      <c r="E948" s="86"/>
      <c r="F948" s="86"/>
      <c r="G948" s="86"/>
      <c r="H948" s="86"/>
      <c r="I948" s="86"/>
      <c r="J948" s="86"/>
      <c r="K948" s="87"/>
    </row>
    <row r="949">
      <c r="A949" s="86"/>
      <c r="B949" s="86"/>
      <c r="C949" s="86"/>
      <c r="D949" s="86"/>
      <c r="E949" s="86"/>
      <c r="F949" s="86"/>
      <c r="G949" s="86"/>
      <c r="H949" s="86"/>
      <c r="I949" s="86"/>
      <c r="J949" s="86"/>
      <c r="K949" s="87"/>
    </row>
    <row r="950">
      <c r="A950" s="86"/>
      <c r="B950" s="86"/>
      <c r="C950" s="86"/>
      <c r="D950" s="86"/>
      <c r="E950" s="86"/>
      <c r="F950" s="86"/>
      <c r="G950" s="86"/>
      <c r="H950" s="86"/>
      <c r="I950" s="86"/>
      <c r="J950" s="86"/>
      <c r="K950" s="87"/>
    </row>
    <row r="951">
      <c r="A951" s="86"/>
      <c r="B951" s="86"/>
      <c r="C951" s="86"/>
      <c r="D951" s="86"/>
      <c r="E951" s="86"/>
      <c r="F951" s="86"/>
      <c r="G951" s="86"/>
      <c r="H951" s="86"/>
      <c r="I951" s="86"/>
      <c r="J951" s="86"/>
      <c r="K951" s="87"/>
    </row>
    <row r="952">
      <c r="A952" s="86"/>
      <c r="B952" s="86"/>
      <c r="C952" s="86"/>
      <c r="D952" s="86"/>
      <c r="E952" s="86"/>
      <c r="F952" s="86"/>
      <c r="G952" s="86"/>
      <c r="H952" s="86"/>
      <c r="I952" s="86"/>
      <c r="J952" s="86"/>
      <c r="K952" s="87"/>
    </row>
    <row r="953">
      <c r="A953" s="86"/>
      <c r="B953" s="86"/>
      <c r="C953" s="86"/>
      <c r="D953" s="86"/>
      <c r="E953" s="86"/>
      <c r="F953" s="86"/>
      <c r="G953" s="86"/>
      <c r="H953" s="86"/>
      <c r="I953" s="86"/>
      <c r="J953" s="86"/>
      <c r="K953" s="87"/>
    </row>
    <row r="954">
      <c r="A954" s="86"/>
      <c r="B954" s="86"/>
      <c r="C954" s="86"/>
      <c r="D954" s="86"/>
      <c r="E954" s="86"/>
      <c r="F954" s="86"/>
      <c r="G954" s="86"/>
      <c r="H954" s="86"/>
      <c r="I954" s="86"/>
      <c r="J954" s="86"/>
      <c r="K954" s="87"/>
    </row>
    <row r="955">
      <c r="A955" s="86"/>
      <c r="B955" s="86"/>
      <c r="C955" s="86"/>
      <c r="D955" s="86"/>
      <c r="E955" s="86"/>
      <c r="F955" s="86"/>
      <c r="G955" s="86"/>
      <c r="H955" s="86"/>
      <c r="I955" s="86"/>
      <c r="J955" s="86"/>
      <c r="K955" s="87"/>
    </row>
    <row r="956">
      <c r="A956" s="86"/>
      <c r="B956" s="86"/>
      <c r="C956" s="86"/>
      <c r="D956" s="86"/>
      <c r="E956" s="86"/>
      <c r="F956" s="86"/>
      <c r="G956" s="86"/>
      <c r="H956" s="86"/>
      <c r="I956" s="86"/>
      <c r="J956" s="86"/>
      <c r="K956" s="87"/>
    </row>
    <row r="957">
      <c r="A957" s="86"/>
      <c r="B957" s="86"/>
      <c r="C957" s="86"/>
      <c r="D957" s="86"/>
      <c r="E957" s="86"/>
      <c r="F957" s="86"/>
      <c r="G957" s="86"/>
      <c r="H957" s="86"/>
      <c r="I957" s="86"/>
      <c r="J957" s="86"/>
      <c r="K957" s="87"/>
    </row>
    <row r="958">
      <c r="A958" s="86"/>
      <c r="B958" s="86"/>
      <c r="C958" s="86"/>
      <c r="D958" s="86"/>
      <c r="E958" s="86"/>
      <c r="F958" s="86"/>
      <c r="G958" s="86"/>
      <c r="H958" s="86"/>
      <c r="I958" s="86"/>
      <c r="J958" s="86"/>
      <c r="K958" s="87"/>
    </row>
    <row r="959">
      <c r="A959" s="86"/>
      <c r="B959" s="86"/>
      <c r="C959" s="86"/>
      <c r="D959" s="86"/>
      <c r="E959" s="86"/>
      <c r="F959" s="86"/>
      <c r="G959" s="86"/>
      <c r="H959" s="86"/>
      <c r="I959" s="86"/>
      <c r="J959" s="86"/>
      <c r="K959" s="87"/>
    </row>
    <row r="960">
      <c r="A960" s="86"/>
      <c r="B960" s="86"/>
      <c r="C960" s="86"/>
      <c r="D960" s="86"/>
      <c r="E960" s="86"/>
      <c r="F960" s="86"/>
      <c r="G960" s="86"/>
      <c r="H960" s="86"/>
      <c r="I960" s="86"/>
      <c r="J960" s="86"/>
      <c r="K960" s="87"/>
    </row>
    <row r="961">
      <c r="A961" s="86"/>
      <c r="B961" s="86"/>
      <c r="C961" s="86"/>
      <c r="D961" s="86"/>
      <c r="E961" s="86"/>
      <c r="F961" s="86"/>
      <c r="G961" s="86"/>
      <c r="H961" s="86"/>
      <c r="I961" s="86"/>
      <c r="J961" s="86"/>
      <c r="K961" s="87"/>
    </row>
    <row r="962">
      <c r="A962" s="86"/>
      <c r="B962" s="86"/>
      <c r="C962" s="86"/>
      <c r="D962" s="86"/>
      <c r="E962" s="86"/>
      <c r="F962" s="86"/>
      <c r="G962" s="86"/>
      <c r="H962" s="86"/>
      <c r="I962" s="86"/>
      <c r="J962" s="86"/>
      <c r="K962" s="87"/>
    </row>
    <row r="963">
      <c r="A963" s="86"/>
      <c r="B963" s="86"/>
      <c r="C963" s="86"/>
      <c r="D963" s="86"/>
      <c r="E963" s="86"/>
      <c r="F963" s="86"/>
      <c r="G963" s="86"/>
      <c r="H963" s="86"/>
      <c r="I963" s="86"/>
      <c r="J963" s="86"/>
      <c r="K963" s="87"/>
    </row>
    <row r="964">
      <c r="A964" s="86"/>
      <c r="B964" s="86"/>
      <c r="C964" s="86"/>
      <c r="D964" s="86"/>
      <c r="E964" s="86"/>
      <c r="F964" s="86"/>
      <c r="G964" s="86"/>
      <c r="H964" s="86"/>
      <c r="I964" s="86"/>
      <c r="J964" s="86"/>
      <c r="K964" s="87"/>
    </row>
    <row r="965">
      <c r="A965" s="86"/>
      <c r="B965" s="86"/>
      <c r="C965" s="86"/>
      <c r="D965" s="86"/>
      <c r="E965" s="86"/>
      <c r="F965" s="86"/>
      <c r="G965" s="86"/>
      <c r="H965" s="86"/>
      <c r="I965" s="86"/>
      <c r="J965" s="86"/>
      <c r="K965" s="87"/>
    </row>
    <row r="966">
      <c r="A966" s="86"/>
      <c r="B966" s="86"/>
      <c r="C966" s="86"/>
      <c r="D966" s="86"/>
      <c r="E966" s="86"/>
      <c r="F966" s="86"/>
      <c r="G966" s="86"/>
      <c r="H966" s="86"/>
      <c r="I966" s="86"/>
      <c r="J966" s="86"/>
      <c r="K966" s="87"/>
    </row>
    <row r="967">
      <c r="A967" s="86"/>
      <c r="B967" s="86"/>
      <c r="C967" s="86"/>
      <c r="D967" s="86"/>
      <c r="E967" s="86"/>
      <c r="F967" s="86"/>
      <c r="G967" s="86"/>
      <c r="H967" s="86"/>
      <c r="I967" s="86"/>
      <c r="J967" s="86"/>
      <c r="K967" s="87"/>
    </row>
    <row r="968">
      <c r="A968" s="86"/>
      <c r="B968" s="86"/>
      <c r="C968" s="86"/>
      <c r="D968" s="86"/>
      <c r="E968" s="86"/>
      <c r="F968" s="86"/>
      <c r="G968" s="86"/>
      <c r="H968" s="86"/>
      <c r="I968" s="86"/>
      <c r="J968" s="86"/>
      <c r="K968" s="87"/>
    </row>
    <row r="969">
      <c r="A969" s="86"/>
      <c r="B969" s="86"/>
      <c r="C969" s="86"/>
      <c r="D969" s="86"/>
      <c r="E969" s="86"/>
      <c r="F969" s="86"/>
      <c r="G969" s="86"/>
      <c r="H969" s="86"/>
      <c r="I969" s="86"/>
      <c r="J969" s="86"/>
      <c r="K969" s="87"/>
    </row>
    <row r="970">
      <c r="A970" s="86"/>
      <c r="B970" s="86"/>
      <c r="C970" s="86"/>
      <c r="D970" s="86"/>
      <c r="E970" s="86"/>
      <c r="F970" s="86"/>
      <c r="G970" s="86"/>
      <c r="H970" s="86"/>
      <c r="I970" s="86"/>
      <c r="J970" s="86"/>
      <c r="K970" s="87"/>
    </row>
    <row r="971">
      <c r="A971" s="86"/>
      <c r="B971" s="86"/>
      <c r="C971" s="86"/>
      <c r="D971" s="86"/>
      <c r="E971" s="86"/>
      <c r="F971" s="86"/>
      <c r="G971" s="86"/>
      <c r="H971" s="86"/>
      <c r="I971" s="86"/>
      <c r="J971" s="86"/>
      <c r="K971" s="87"/>
    </row>
    <row r="972">
      <c r="A972" s="86"/>
      <c r="B972" s="86"/>
      <c r="C972" s="86"/>
      <c r="D972" s="86"/>
      <c r="E972" s="86"/>
      <c r="F972" s="86"/>
      <c r="G972" s="86"/>
      <c r="H972" s="86"/>
      <c r="I972" s="86"/>
      <c r="J972" s="86"/>
      <c r="K972" s="87"/>
    </row>
    <row r="973">
      <c r="A973" s="86"/>
      <c r="B973" s="86"/>
      <c r="C973" s="86"/>
      <c r="D973" s="86"/>
      <c r="E973" s="86"/>
      <c r="F973" s="86"/>
      <c r="G973" s="86"/>
      <c r="H973" s="86"/>
      <c r="I973" s="86"/>
      <c r="J973" s="86"/>
      <c r="K973" s="87"/>
    </row>
  </sheetData>
  <autoFilter ref="$A$1:$K$1"/>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13"/>
    <col customWidth="1" min="5" max="5" width="37.25"/>
    <col customWidth="1" min="6" max="6" width="25.0"/>
  </cols>
  <sheetData>
    <row r="1" ht="57.75" customHeight="1">
      <c r="A1" s="88" t="s">
        <v>190</v>
      </c>
      <c r="B1" s="88" t="s">
        <v>6</v>
      </c>
      <c r="C1" s="88" t="s">
        <v>192</v>
      </c>
      <c r="D1" s="88" t="s">
        <v>196</v>
      </c>
      <c r="E1" s="88" t="s">
        <v>199</v>
      </c>
      <c r="F1" s="88" t="s">
        <v>202</v>
      </c>
    </row>
    <row r="2" ht="57.75" customHeight="1">
      <c r="A2" s="4" t="s">
        <v>7739</v>
      </c>
      <c r="B2" s="4" t="s">
        <v>1087</v>
      </c>
      <c r="C2" s="4" t="s">
        <v>7740</v>
      </c>
      <c r="D2" s="4" t="s">
        <v>7741</v>
      </c>
      <c r="E2" s="89" t="str">
        <f t="array" ref="E2">IF(
                C2 = "",
                "",
                       IF(
                           C2 ="FOTOGRAFIA",
                           "LINK",
                           "https://www.appsheet.com/template/gettablefileurl?appName=MEDICIÓNDEESPESORES-924373673&amp;tableName=1_general&amp;fileName="&amp;C2                         )
                          )</f>
        <v>https://www.appsheet.com/template/gettablefileurl?appName=MEDICIÓNDEESPESORES-924373673&amp;tableName=1_general&amp;fileName=3_fotografias_Images/6606d49c.imagen.134413.png</v>
      </c>
      <c r="F2" s="55" t="str">
        <f t="shared" ref="F2:F271" si="1">IMAGE(E2)</f>
        <v/>
      </c>
    </row>
    <row r="3" ht="57.75" customHeight="1">
      <c r="A3" s="4" t="s">
        <v>7742</v>
      </c>
      <c r="B3" s="4" t="s">
        <v>1087</v>
      </c>
      <c r="C3" s="4" t="s">
        <v>7743</v>
      </c>
      <c r="D3" s="4" t="s">
        <v>7744</v>
      </c>
      <c r="E3" s="89" t="str">
        <f t="array" ref="E3">IF(
                C3 = "",
                "",
                       IF(
                           C3 ="FOTOGRAFIA",
                           "LINK",
                           "https://www.appsheet.com/template/gettablefileurl?appName=MEDICIÓNDEESPESORES-924373673&amp;tableName=1_general&amp;fileName="&amp;C3                         )
                          )</f>
        <v>https://www.appsheet.com/template/gettablefileurl?appName=MEDICIÓNDEESPESORES-924373673&amp;tableName=1_general&amp;fileName=3_fotografias_Images/a3328525.imagen.140152.jpg</v>
      </c>
      <c r="F3" s="55" t="str">
        <f t="shared" si="1"/>
        <v/>
      </c>
    </row>
    <row r="4" ht="57.75" customHeight="1">
      <c r="A4" s="4" t="s">
        <v>7745</v>
      </c>
      <c r="B4" s="4" t="s">
        <v>1087</v>
      </c>
      <c r="C4" s="4" t="s">
        <v>7746</v>
      </c>
      <c r="D4" s="4" t="s">
        <v>7747</v>
      </c>
      <c r="E4" s="89" t="str">
        <f t="array" ref="E4">IF(
                C4 = "",
                "",
                       IF(
                           C4 ="FOTOGRAFIA",
                           "LINK",
                           "https://www.appsheet.com/template/gettablefileurl?appName=MEDICIÓNDEESPESORES-924373673&amp;tableName=1_general&amp;fileName="&amp;C4                         )
                          )</f>
        <v>https://www.appsheet.com/template/gettablefileurl?appName=MEDICIÓNDEESPESORES-924373673&amp;tableName=1_general&amp;fileName=3_fotografias_Images/13bb79b4.imagen.140211.png</v>
      </c>
      <c r="F4" s="55" t="str">
        <f t="shared" si="1"/>
        <v/>
      </c>
    </row>
    <row r="5" ht="57.75" customHeight="1">
      <c r="A5" s="4" t="s">
        <v>7748</v>
      </c>
      <c r="B5" s="4" t="s">
        <v>1087</v>
      </c>
      <c r="C5" s="4" t="s">
        <v>7749</v>
      </c>
      <c r="D5" s="4" t="s">
        <v>7750</v>
      </c>
      <c r="E5" s="89" t="str">
        <f t="array" ref="E5">IF(
                C5 = "",
                "",
                       IF(
                           C5 ="FOTOGRAFIA",
                           "LINK",
                           "https://www.appsheet.com/template/gettablefileurl?appName=MEDICIÓNDEESPESORES-924373673&amp;tableName=1_general&amp;fileName="&amp;C5                         )
                          )</f>
        <v>https://www.appsheet.com/template/gettablefileurl?appName=MEDICIÓNDEESPESORES-924373673&amp;tableName=1_general&amp;fileName=3_fotografias_Images/875e87d8.imagen.140608.jpg</v>
      </c>
      <c r="F5" s="55" t="str">
        <f t="shared" si="1"/>
        <v/>
      </c>
    </row>
    <row r="6" ht="135.75" customHeight="1">
      <c r="A6" s="4" t="s">
        <v>7751</v>
      </c>
      <c r="B6" s="4" t="s">
        <v>245</v>
      </c>
      <c r="C6" s="4" t="s">
        <v>7752</v>
      </c>
      <c r="D6" s="4" t="s">
        <v>7753</v>
      </c>
      <c r="E6" s="89" t="str">
        <f t="array" ref="E6">IF(
                C6 = "",
                "",
                       IF(
                           C6 ="FOTOGRAFIA",
                           "LINK",
                           "https://www.appsheet.com/template/gettablefileurl?appName=MEDICIÓNDEESPESORES-924373673&amp;tableName=1_general&amp;fileName="&amp;C6                         )
                          )</f>
        <v>https://www.appsheet.com/template/gettablefileurl?appName=MEDICIÓNDEESPESORES-924373673&amp;tableName=1_general&amp;fileName=3_fotografias_Images/899aef6e.imagen.110832.jpg</v>
      </c>
      <c r="F6" s="55" t="str">
        <f t="shared" si="1"/>
        <v/>
      </c>
    </row>
    <row r="7" ht="126.75" customHeight="1">
      <c r="A7" s="4" t="s">
        <v>7754</v>
      </c>
      <c r="B7" s="4" t="s">
        <v>245</v>
      </c>
      <c r="C7" s="4" t="s">
        <v>7755</v>
      </c>
      <c r="D7" s="4" t="s">
        <v>7756</v>
      </c>
      <c r="E7" s="89" t="str">
        <f t="array" ref="E7">IF(
                C7 = "",
                "",
                       IF(
                           C7 ="FOTOGRAFIA",
                           "LINK",
                           "https://www.appsheet.com/template/gettablefileurl?appName=MEDICIÓNDEESPESORES-924373673&amp;tableName=1_general&amp;fileName="&amp;C7                         )
                          )</f>
        <v>https://www.appsheet.com/template/gettablefileurl?appName=MEDICIÓNDEESPESORES-924373673&amp;tableName=1_general&amp;fileName=3_fotografias_Images/d0b598da.imagen.110837.jpg</v>
      </c>
      <c r="F7" s="55" t="str">
        <f t="shared" si="1"/>
        <v/>
      </c>
    </row>
    <row r="8" ht="57.75" customHeight="1">
      <c r="A8" s="4" t="s">
        <v>7757</v>
      </c>
      <c r="B8" s="4" t="s">
        <v>217</v>
      </c>
      <c r="C8" s="4" t="s">
        <v>7758</v>
      </c>
      <c r="D8" s="4" t="s">
        <v>7759</v>
      </c>
      <c r="E8" s="89" t="str">
        <f t="array" ref="E8">IF(
                C8 = "",
                "",
                       IF(
                           C8 ="FOTOGRAFIA",
                           "LINK",
                           "https://www.appsheet.com/template/gettablefileurl?appName=MEDICIÓNDEESPESORES-924373673&amp;tableName=1_general&amp;fileName="&amp;C8                         )
                          )</f>
        <v>https://www.appsheet.com/template/gettablefileurl?appName=MEDICIÓNDEESPESORES-924373673&amp;tableName=1_general&amp;fileName=3_fotografias_Images/944f6c73.imagen.204041.jpg</v>
      </c>
      <c r="F8" s="55" t="str">
        <f t="shared" si="1"/>
        <v/>
      </c>
    </row>
    <row r="9" ht="57.75" customHeight="1">
      <c r="A9" s="4" t="s">
        <v>7760</v>
      </c>
      <c r="B9" s="4" t="s">
        <v>262</v>
      </c>
      <c r="C9" s="4" t="s">
        <v>7761</v>
      </c>
      <c r="D9" s="4" t="s">
        <v>7762</v>
      </c>
      <c r="E9" s="89" t="str">
        <f t="array" ref="E9">IF(
                C9 = "",
                "",
                       IF(
                           C9 ="FOTOGRAFIA",
                           "LINK",
                           "https://www.appsheet.com/template/gettablefileurl?appName=MEDICIÓNDEESPESORES-924373673&amp;tableName=1_general&amp;fileName="&amp;C9                         )
                          )</f>
        <v>https://www.appsheet.com/template/gettablefileurl?appName=MEDICIÓNDEESPESORES-924373673&amp;tableName=1_general&amp;fileName=3_fotografias_Images/5ec16f91.imagen.165006.jpg</v>
      </c>
      <c r="F9" s="55" t="str">
        <f t="shared" si="1"/>
        <v/>
      </c>
    </row>
    <row r="10" ht="57.75" customHeight="1">
      <c r="A10" s="4" t="s">
        <v>7763</v>
      </c>
      <c r="B10" s="4" t="s">
        <v>262</v>
      </c>
      <c r="C10" s="4" t="s">
        <v>7764</v>
      </c>
      <c r="D10" s="4" t="s">
        <v>7765</v>
      </c>
      <c r="E10" s="89" t="str">
        <f t="array" ref="E10">IF(
                C10 = "",
                "",
                       IF(
                           C10 ="FOTOGRAFIA",
                           "LINK",
                           "https://www.appsheet.com/template/gettablefileurl?appName=MEDICIÓNDEESPESORES-924373673&amp;tableName=1_general&amp;fileName="&amp;C10                         )
                          )</f>
        <v>https://www.appsheet.com/template/gettablefileurl?appName=MEDICIÓNDEESPESORES-924373673&amp;tableName=1_general&amp;fileName=3_fotografias_Images/f2a047ca.imagen.165051.jpg</v>
      </c>
      <c r="F10" s="55" t="str">
        <f t="shared" si="1"/>
        <v/>
      </c>
    </row>
    <row r="11" ht="57.75" customHeight="1">
      <c r="A11" s="4" t="s">
        <v>7766</v>
      </c>
      <c r="B11" s="4" t="s">
        <v>262</v>
      </c>
      <c r="C11" s="4" t="s">
        <v>7767</v>
      </c>
      <c r="D11" s="4" t="s">
        <v>7768</v>
      </c>
      <c r="E11" s="89" t="str">
        <f t="array" ref="E11">IF(
                C11 = "",
                "",
                       IF(
                           C11 ="FOTOGRAFIA",
                           "LINK",
                           "https://www.appsheet.com/template/gettablefileurl?appName=MEDICIÓNDEESPESORES-924373673&amp;tableName=1_general&amp;fileName="&amp;C11                         )
                          )</f>
        <v>https://www.appsheet.com/template/gettablefileurl?appName=MEDICIÓNDEESPESORES-924373673&amp;tableName=1_general&amp;fileName=3_fotografias_Images/c054c25f.imagen.170749.jpg</v>
      </c>
      <c r="F11" s="55" t="str">
        <f t="shared" si="1"/>
        <v/>
      </c>
    </row>
    <row r="12" ht="57.75" customHeight="1">
      <c r="A12" s="4" t="s">
        <v>7769</v>
      </c>
      <c r="B12" s="4" t="s">
        <v>279</v>
      </c>
      <c r="C12" s="4" t="s">
        <v>7770</v>
      </c>
      <c r="D12" s="54" t="s">
        <v>7771</v>
      </c>
      <c r="E12" s="89" t="str">
        <f t="array" ref="E12">IF(
                C12 = "",
                "",
                       IF(
                           C12 ="FOTOGRAFIA",
                           "LINK",
                           "https://www.appsheet.com/template/gettablefileurl?appName=MEDICIÓNDEESPESORES-924373673&amp;tableName=1_general&amp;fileName="&amp;C12                         )
                          )</f>
        <v>https://www.appsheet.com/template/gettablefileurl?appName=MEDICIÓNDEESPESORES-924373673&amp;tableName=1_general&amp;fileName=3_fotografias_Images/10762c90.imagen.212918.jpg</v>
      </c>
      <c r="F12" s="55" t="str">
        <f t="shared" si="1"/>
        <v/>
      </c>
    </row>
    <row r="13" ht="57.75" customHeight="1">
      <c r="A13" s="4" t="s">
        <v>7772</v>
      </c>
      <c r="B13" s="4" t="s">
        <v>279</v>
      </c>
      <c r="C13" s="4" t="s">
        <v>7773</v>
      </c>
      <c r="D13" s="54" t="s">
        <v>7771</v>
      </c>
      <c r="E13" s="89" t="str">
        <f t="array" ref="E13">IF(
                C13 = "",
                "",
                       IF(
                           C13 ="FOTOGRAFIA",
                           "LINK",
                           "https://www.appsheet.com/template/gettablefileurl?appName=MEDICIÓNDEESPESORES-924373673&amp;tableName=1_general&amp;fileName="&amp;C13                         )
                          )</f>
        <v>https://www.appsheet.com/template/gettablefileurl?appName=MEDICIÓNDEESPESORES-924373673&amp;tableName=1_general&amp;fileName=3_fotografias_Images/a5eabdbc.imagen.212921.jpg</v>
      </c>
      <c r="F13" s="55" t="str">
        <f t="shared" si="1"/>
        <v/>
      </c>
    </row>
    <row r="14" ht="57.75" customHeight="1">
      <c r="A14" s="4" t="s">
        <v>7774</v>
      </c>
      <c r="B14" s="4" t="s">
        <v>279</v>
      </c>
      <c r="C14" s="4" t="s">
        <v>7775</v>
      </c>
      <c r="D14" s="4" t="s">
        <v>3829</v>
      </c>
      <c r="E14" s="89" t="str">
        <f t="array" ref="E14">IF(
                C14 = "",
                "",
                       IF(
                           C14 ="FOTOGRAFIA",
                           "LINK",
                           "https://www.appsheet.com/template/gettablefileurl?appName=MEDICIÓNDEESPESORES-924373673&amp;tableName=1_general&amp;fileName="&amp;C14                         )
                          )</f>
        <v>https://www.appsheet.com/template/gettablefileurl?appName=MEDICIÓNDEESPESORES-924373673&amp;tableName=1_general&amp;fileName=3_fotografias_Images/3e73b20a.imagen.212924.jpg</v>
      </c>
      <c r="F14" s="55" t="str">
        <f t="shared" si="1"/>
        <v/>
      </c>
    </row>
    <row r="15" ht="57.75" customHeight="1">
      <c r="A15" s="4" t="s">
        <v>7776</v>
      </c>
      <c r="B15" s="4" t="s">
        <v>279</v>
      </c>
      <c r="C15" s="4" t="s">
        <v>7777</v>
      </c>
      <c r="D15" s="4" t="s">
        <v>3815</v>
      </c>
      <c r="E15" s="89" t="str">
        <f t="array" ref="E15">IF(
                C15 = "",
                "",
                       IF(
                           C15 ="FOTOGRAFIA",
                           "LINK",
                           "https://www.appsheet.com/template/gettablefileurl?appName=MEDICIÓNDEESPESORES-924373673&amp;tableName=1_general&amp;fileName="&amp;C15                         )
                          )</f>
        <v>https://www.appsheet.com/template/gettablefileurl?appName=MEDICIÓNDEESPESORES-924373673&amp;tableName=1_general&amp;fileName=3_fotografias_Images/48a9474b.imagen.212928.jpg</v>
      </c>
      <c r="F15" s="55" t="str">
        <f t="shared" si="1"/>
        <v/>
      </c>
    </row>
    <row r="16" ht="57.75" customHeight="1">
      <c r="A16" s="4" t="s">
        <v>7778</v>
      </c>
      <c r="B16" s="4" t="s">
        <v>291</v>
      </c>
      <c r="C16" s="4" t="s">
        <v>7779</v>
      </c>
      <c r="D16" s="4" t="s">
        <v>7780</v>
      </c>
      <c r="E16" s="89" t="str">
        <f t="array" ref="E16">IF(
                C16 = "",
                "",
                       IF(
                           C16 ="FOTOGRAFIA",
                           "LINK",
                           "https://www.appsheet.com/template/gettablefileurl?appName=MEDICIÓNDEESPESORES-924373673&amp;tableName=1_general&amp;fileName="&amp;C16                         )
                          )</f>
        <v>https://www.appsheet.com/template/gettablefileurl?appName=MEDICIÓNDEESPESORES-924373673&amp;tableName=1_general&amp;fileName=3_fotografias_Images/82790ac3.imagen.033013.jpg</v>
      </c>
      <c r="F16" s="55" t="str">
        <f t="shared" si="1"/>
        <v/>
      </c>
    </row>
    <row r="17" ht="57.75" customHeight="1">
      <c r="A17" s="4" t="s">
        <v>7781</v>
      </c>
      <c r="B17" s="4" t="s">
        <v>291</v>
      </c>
      <c r="C17" s="4" t="s">
        <v>7782</v>
      </c>
      <c r="D17" s="4" t="s">
        <v>7783</v>
      </c>
      <c r="E17" s="89" t="str">
        <f t="array" ref="E17">IF(
                C17 = "",
                "",
                       IF(
                           C17 ="FOTOGRAFIA",
                           "LINK",
                           "https://www.appsheet.com/template/gettablefileurl?appName=MEDICIÓNDEESPESORES-924373673&amp;tableName=1_general&amp;fileName="&amp;C17                         )
                          )</f>
        <v>https://www.appsheet.com/template/gettablefileurl?appName=MEDICIÓNDEESPESORES-924373673&amp;tableName=1_general&amp;fileName=3_fotografias_Images/b1a47de6.imagen.033034.jpg</v>
      </c>
      <c r="F17" s="55" t="str">
        <f t="shared" si="1"/>
        <v/>
      </c>
    </row>
    <row r="18" ht="57.75" customHeight="1">
      <c r="A18" s="4" t="s">
        <v>7784</v>
      </c>
      <c r="B18" s="4" t="s">
        <v>291</v>
      </c>
      <c r="C18" s="4" t="s">
        <v>7785</v>
      </c>
      <c r="D18" s="4" t="s">
        <v>7786</v>
      </c>
      <c r="E18" s="89" t="str">
        <f t="array" ref="E18">IF(
                C18 = "",
                "",
                       IF(
                           C18 ="FOTOGRAFIA",
                           "LINK",
                           "https://www.appsheet.com/template/gettablefileurl?appName=MEDICIÓNDEESPESORES-924373673&amp;tableName=1_general&amp;fileName="&amp;C18                         )
                          )</f>
        <v>https://www.appsheet.com/template/gettablefileurl?appName=MEDICIÓNDEESPESORES-924373673&amp;tableName=1_general&amp;fileName=3_fotografias_Images/8be84851.imagen.033055.png</v>
      </c>
      <c r="F18" s="55" t="str">
        <f t="shared" si="1"/>
        <v/>
      </c>
    </row>
    <row r="19" ht="57.75" customHeight="1">
      <c r="A19" s="4" t="s">
        <v>7787</v>
      </c>
      <c r="B19" s="4" t="s">
        <v>291</v>
      </c>
      <c r="C19" s="4" t="s">
        <v>7788</v>
      </c>
      <c r="D19" s="4" t="s">
        <v>7789</v>
      </c>
      <c r="E19" s="89" t="str">
        <f t="array" ref="E19">IF(
                C19 = "",
                "",
                       IF(
                           C19 ="FOTOGRAFIA",
                           "LINK",
                           "https://www.appsheet.com/template/gettablefileurl?appName=MEDICIÓNDEESPESORES-924373673&amp;tableName=1_general&amp;fileName="&amp;C19                         )
                          )</f>
        <v>https://www.appsheet.com/template/gettablefileurl?appName=MEDICIÓNDEESPESORES-924373673&amp;tableName=1_general&amp;fileName=3_fotografias_Images/6267f0c9.imagen.033115.png</v>
      </c>
      <c r="F19" s="55" t="str">
        <f t="shared" si="1"/>
        <v/>
      </c>
    </row>
    <row r="20" ht="57.75" customHeight="1">
      <c r="A20" s="4" t="s">
        <v>7790</v>
      </c>
      <c r="B20" s="4" t="s">
        <v>312</v>
      </c>
      <c r="C20" s="4" t="s">
        <v>7791</v>
      </c>
      <c r="D20" s="4" t="s">
        <v>7792</v>
      </c>
      <c r="E20" s="89" t="str">
        <f t="array" ref="E20">IF(
                C20 = "",
                "",
                       IF(
                           C20 ="FOTOGRAFIA",
                           "LINK",
                           "https://www.appsheet.com/template/gettablefileurl?appName=MEDICIÓNDEESPESORES-924373673&amp;tableName=1_general&amp;fileName="&amp;C20                         )
                          )</f>
        <v>https://www.appsheet.com/template/gettablefileurl?appName=MEDICIÓNDEESPESORES-924373673&amp;tableName=1_general&amp;fileName=3_fotografias_Images/e99d692e.imagen.145509.jpg</v>
      </c>
      <c r="F20" s="55" t="str">
        <f t="shared" si="1"/>
        <v/>
      </c>
    </row>
    <row r="21" ht="57.75" customHeight="1">
      <c r="A21" s="4" t="s">
        <v>7793</v>
      </c>
      <c r="B21" s="4" t="s">
        <v>312</v>
      </c>
      <c r="C21" s="4" t="s">
        <v>7794</v>
      </c>
      <c r="D21" s="4" t="s">
        <v>4036</v>
      </c>
      <c r="E21" s="89" t="str">
        <f t="array" ref="E21">IF(
                C21 = "",
                "",
                       IF(
                           C21 ="FOTOGRAFIA",
                           "LINK",
                           "https://www.appsheet.com/template/gettablefileurl?appName=MEDICIÓNDEESPESORES-924373673&amp;tableName=1_general&amp;fileName="&amp;C21                         )
                          )</f>
        <v>https://www.appsheet.com/template/gettablefileurl?appName=MEDICIÓNDEESPESORES-924373673&amp;tableName=1_general&amp;fileName=3_fotografias_Images/cdfc32ea.imagen.145512.jpg</v>
      </c>
      <c r="F21" s="55" t="str">
        <f t="shared" si="1"/>
        <v/>
      </c>
    </row>
    <row r="22" ht="57.75" customHeight="1">
      <c r="A22" s="4" t="s">
        <v>7795</v>
      </c>
      <c r="B22" s="4" t="s">
        <v>312</v>
      </c>
      <c r="C22" s="4" t="s">
        <v>7796</v>
      </c>
      <c r="D22" s="4" t="s">
        <v>7797</v>
      </c>
      <c r="E22" s="89" t="str">
        <f t="array" ref="E22">IF(
                C22 = "",
                "",
                       IF(
                           C22 ="FOTOGRAFIA",
                           "LINK",
                           "https://www.appsheet.com/template/gettablefileurl?appName=MEDICIÓNDEESPESORES-924373673&amp;tableName=1_general&amp;fileName="&amp;C22                         )
                          )</f>
        <v>https://www.appsheet.com/template/gettablefileurl?appName=MEDICIÓNDEESPESORES-924373673&amp;tableName=1_general&amp;fileName=3_fotografias_Images/bd7f833d.imagen.145516.jpg</v>
      </c>
      <c r="F22" s="55" t="str">
        <f t="shared" si="1"/>
        <v/>
      </c>
    </row>
    <row r="23" ht="57.75" customHeight="1">
      <c r="A23" s="4" t="s">
        <v>7798</v>
      </c>
      <c r="B23" s="4" t="s">
        <v>312</v>
      </c>
      <c r="C23" s="4" t="s">
        <v>7799</v>
      </c>
      <c r="D23" s="4" t="s">
        <v>7800</v>
      </c>
      <c r="E23" s="89" t="str">
        <f t="array" ref="E23">IF(
                C23 = "",
                "",
                       IF(
                           C23 ="FOTOGRAFIA",
                           "LINK",
                           "https://www.appsheet.com/template/gettablefileurl?appName=MEDICIÓNDEESPESORES-924373673&amp;tableName=1_general&amp;fileName="&amp;C23                         )
                          )</f>
        <v>https://www.appsheet.com/template/gettablefileurl?appName=MEDICIÓNDEESPESORES-924373673&amp;tableName=1_general&amp;fileName=3_fotografias_Images/a2fab278.imagen.145521.jpg</v>
      </c>
      <c r="F23" s="55" t="str">
        <f t="shared" si="1"/>
        <v/>
      </c>
    </row>
    <row r="24" ht="57.75" customHeight="1">
      <c r="A24" s="4" t="s">
        <v>7801</v>
      </c>
      <c r="B24" s="4" t="s">
        <v>312</v>
      </c>
      <c r="C24" s="4" t="s">
        <v>7802</v>
      </c>
      <c r="D24" s="4" t="s">
        <v>5436</v>
      </c>
      <c r="E24" s="89" t="str">
        <f t="array" ref="E24">IF(
                C24 = "",
                "",
                       IF(
                           C24 ="FOTOGRAFIA",
                           "LINK",
                           "https://www.appsheet.com/template/gettablefileurl?appName=MEDICIÓNDEESPESORES-924373673&amp;tableName=1_general&amp;fileName="&amp;C24                         )
                          )</f>
        <v>https://www.appsheet.com/template/gettablefileurl?appName=MEDICIÓNDEESPESORES-924373673&amp;tableName=1_general&amp;fileName=3_fotografias_Images/4ed0bdee.imagen.145524.jpg</v>
      </c>
      <c r="F24" s="55" t="str">
        <f t="shared" si="1"/>
        <v/>
      </c>
    </row>
    <row r="25" ht="57.75" customHeight="1">
      <c r="A25" s="4" t="s">
        <v>7803</v>
      </c>
      <c r="B25" s="4" t="s">
        <v>312</v>
      </c>
      <c r="C25" s="4" t="s">
        <v>7804</v>
      </c>
      <c r="D25" s="4" t="s">
        <v>3872</v>
      </c>
      <c r="E25" s="89" t="str">
        <f t="array" ref="E25">IF(
                C25 = "",
                "",
                       IF(
                           C25 ="FOTOGRAFIA",
                           "LINK",
                           "https://www.appsheet.com/template/gettablefileurl?appName=MEDICIÓNDEESPESORES-924373673&amp;tableName=1_general&amp;fileName="&amp;C25                         )
                          )</f>
        <v>https://www.appsheet.com/template/gettablefileurl?appName=MEDICIÓNDEESPESORES-924373673&amp;tableName=1_general&amp;fileName=3_fotografias_Images/301b753b.imagen.145528.jpg</v>
      </c>
      <c r="F25" s="55" t="str">
        <f t="shared" si="1"/>
        <v/>
      </c>
    </row>
    <row r="26" ht="57.75" customHeight="1">
      <c r="A26" s="4" t="s">
        <v>7805</v>
      </c>
      <c r="B26" s="4" t="s">
        <v>365</v>
      </c>
      <c r="C26" s="4" t="s">
        <v>7806</v>
      </c>
      <c r="D26" s="4" t="s">
        <v>7807</v>
      </c>
      <c r="E26" s="89" t="str">
        <f t="array" ref="E26">IF(
                C26 = "",
                "",
                       IF(
                           C26 ="FOTOGRAFIA",
                           "LINK",
                           "https://www.appsheet.com/template/gettablefileurl?appName=MEDICIÓNDEESPESORES-924373673&amp;tableName=1_general&amp;fileName="&amp;C26                         )
                          )</f>
        <v>https://www.appsheet.com/template/gettablefileurl?appName=MEDICIÓNDEESPESORES-924373673&amp;tableName=1_general&amp;fileName=3_fotografias_Images/650e84ad.imagen.175651.jpg</v>
      </c>
      <c r="F26" s="55" t="str">
        <f t="shared" si="1"/>
        <v/>
      </c>
    </row>
    <row r="27" ht="57.75" customHeight="1">
      <c r="A27" s="4" t="s">
        <v>7808</v>
      </c>
      <c r="B27" s="4" t="s">
        <v>365</v>
      </c>
      <c r="C27" s="4" t="s">
        <v>7809</v>
      </c>
      <c r="D27" s="4" t="s">
        <v>7810</v>
      </c>
      <c r="E27" s="89" t="str">
        <f t="array" ref="E27">IF(
                C27 = "",
                "",
                       IF(
                           C27 ="FOTOGRAFIA",
                           "LINK",
                           "https://www.appsheet.com/template/gettablefileurl?appName=MEDICIÓNDEESPESORES-924373673&amp;tableName=1_general&amp;fileName="&amp;C27                         )
                          )</f>
        <v>https://www.appsheet.com/template/gettablefileurl?appName=MEDICIÓNDEESPESORES-924373673&amp;tableName=1_general&amp;fileName=3_fotografias_Images/ceb21511.imagen.175745.jpg</v>
      </c>
      <c r="F27" s="55" t="str">
        <f t="shared" si="1"/>
        <v/>
      </c>
    </row>
    <row r="28" ht="57.75" customHeight="1">
      <c r="A28" s="4" t="s">
        <v>7811</v>
      </c>
      <c r="B28" s="4" t="s">
        <v>365</v>
      </c>
      <c r="C28" s="4" t="s">
        <v>7812</v>
      </c>
      <c r="D28" s="4" t="s">
        <v>7813</v>
      </c>
      <c r="E28" s="89" t="str">
        <f t="array" ref="E28">IF(
                C28 = "",
                "",
                       IF(
                           C28 ="FOTOGRAFIA",
                           "LINK",
                           "https://www.appsheet.com/template/gettablefileurl?appName=MEDICIÓNDEESPESORES-924373673&amp;tableName=1_general&amp;fileName="&amp;C28                         )
                          )</f>
        <v>https://www.appsheet.com/template/gettablefileurl?appName=MEDICIÓNDEESPESORES-924373673&amp;tableName=1_general&amp;fileName=3_fotografias_Images/6d60c1c1.imagen.175824.jpg</v>
      </c>
      <c r="F28" s="55" t="str">
        <f t="shared" si="1"/>
        <v/>
      </c>
    </row>
    <row r="29" ht="57.75" customHeight="1">
      <c r="A29" s="4" t="s">
        <v>7814</v>
      </c>
      <c r="B29" s="4" t="s">
        <v>365</v>
      </c>
      <c r="C29" s="4" t="s">
        <v>7815</v>
      </c>
      <c r="D29" s="4" t="s">
        <v>7816</v>
      </c>
      <c r="E29" s="89" t="str">
        <f t="array" ref="E29">IF(
                C29 = "",
                "",
                       IF(
                           C29 ="FOTOGRAFIA",
                           "LINK",
                           "https://www.appsheet.com/template/gettablefileurl?appName=MEDICIÓNDEESPESORES-924373673&amp;tableName=1_general&amp;fileName="&amp;C29                         )
                          )</f>
        <v>https://www.appsheet.com/template/gettablefileurl?appName=MEDICIÓNDEESPESORES-924373673&amp;tableName=1_general&amp;fileName=3_fotografias_Images/baa8adb5.imagen.175949.jpg</v>
      </c>
      <c r="F29" s="55" t="str">
        <f t="shared" si="1"/>
        <v/>
      </c>
    </row>
    <row r="30" ht="57.75" customHeight="1">
      <c r="A30" s="4" t="s">
        <v>7817</v>
      </c>
      <c r="B30" s="4" t="s">
        <v>343</v>
      </c>
      <c r="C30" s="4" t="s">
        <v>7818</v>
      </c>
      <c r="D30" s="4" t="s">
        <v>7819</v>
      </c>
      <c r="E30" s="89" t="str">
        <f t="array" ref="E30">IF(
                C30 = "",
                "",
                       IF(
                           C30 ="FOTOGRAFIA",
                           "LINK",
                           "https://www.appsheet.com/template/gettablefileurl?appName=MEDICIÓNDEESPESORES-924373673&amp;tableName=1_general&amp;fileName="&amp;C30                         )
                          )</f>
        <v>https://www.appsheet.com/template/gettablefileurl?appName=MEDICIÓNDEESPESORES-924373673&amp;tableName=1_general&amp;fileName=3_fotografias_Images/12ce09ab.imagen.000658.jpg</v>
      </c>
      <c r="F30" s="55" t="str">
        <f t="shared" si="1"/>
        <v/>
      </c>
    </row>
    <row r="31" ht="57.75" customHeight="1">
      <c r="A31" s="4" t="s">
        <v>7820</v>
      </c>
      <c r="B31" s="4" t="s">
        <v>343</v>
      </c>
      <c r="C31" s="4" t="s">
        <v>7821</v>
      </c>
      <c r="D31" s="4" t="s">
        <v>7822</v>
      </c>
      <c r="E31" s="89" t="str">
        <f t="array" ref="E31">IF(
                C31 = "",
                "",
                       IF(
                           C31 ="FOTOGRAFIA",
                           "LINK",
                           "https://www.appsheet.com/template/gettablefileurl?appName=MEDICIÓNDEESPESORES-924373673&amp;tableName=1_general&amp;fileName="&amp;C31                         )
                          )</f>
        <v>https://www.appsheet.com/template/gettablefileurl?appName=MEDICIÓNDEESPESORES-924373673&amp;tableName=1_general&amp;fileName=3_fotografias_Images/b849768e.imagen.130110.jpg</v>
      </c>
      <c r="F31" s="55" t="str">
        <f t="shared" si="1"/>
        <v/>
      </c>
    </row>
    <row r="32" ht="57.75" customHeight="1">
      <c r="A32" s="4" t="s">
        <v>7823</v>
      </c>
      <c r="B32" s="4" t="s">
        <v>343</v>
      </c>
      <c r="C32" s="4" t="s">
        <v>7824</v>
      </c>
      <c r="D32" s="4" t="s">
        <v>7825</v>
      </c>
      <c r="E32" s="89" t="str">
        <f t="array" ref="E32">IF(
                C32 = "",
                "",
                       IF(
                           C32 ="FOTOGRAFIA",
                           "LINK",
                           "https://www.appsheet.com/template/gettablefileurl?appName=MEDICIÓNDEESPESORES-924373673&amp;tableName=1_general&amp;fileName="&amp;C32                         )
                          )</f>
        <v>https://www.appsheet.com/template/gettablefileurl?appName=MEDICIÓNDEESPESORES-924373673&amp;tableName=1_general&amp;fileName=3_fotografias_Images/47b3f81d.imagen.130114.jpg</v>
      </c>
      <c r="F32" s="55" t="str">
        <f t="shared" si="1"/>
        <v/>
      </c>
    </row>
    <row r="33" ht="57.75" customHeight="1">
      <c r="A33" s="4" t="s">
        <v>7826</v>
      </c>
      <c r="B33" s="4" t="s">
        <v>343</v>
      </c>
      <c r="C33" s="4" t="s">
        <v>7827</v>
      </c>
      <c r="D33" s="4" t="s">
        <v>7828</v>
      </c>
      <c r="E33" s="89" t="str">
        <f t="array" ref="E33">IF(
                C33 = "",
                "",
                       IF(
                           C33 ="FOTOGRAFIA",
                           "LINK",
                           "https://www.appsheet.com/template/gettablefileurl?appName=MEDICIÓNDEESPESORES-924373673&amp;tableName=1_general&amp;fileName="&amp;C33                         )
                          )</f>
        <v>https://www.appsheet.com/template/gettablefileurl?appName=MEDICIÓNDEESPESORES-924373673&amp;tableName=1_general&amp;fileName=3_fotografias_Images/568af585.imagen.130119.jpg</v>
      </c>
      <c r="F33" s="55" t="str">
        <f t="shared" si="1"/>
        <v/>
      </c>
    </row>
    <row r="34" ht="57.75" customHeight="1">
      <c r="A34" s="4" t="s">
        <v>7829</v>
      </c>
      <c r="B34" s="4" t="s">
        <v>343</v>
      </c>
      <c r="C34" s="4" t="s">
        <v>7830</v>
      </c>
      <c r="D34" s="4" t="s">
        <v>7831</v>
      </c>
      <c r="E34" s="89" t="str">
        <f t="array" ref="E34">IF(
                C34 = "",
                "",
                       IF(
                           C34 ="FOTOGRAFIA",
                           "LINK",
                           "https://www.appsheet.com/template/gettablefileurl?appName=MEDICIÓNDEESPESORES-924373673&amp;tableName=1_general&amp;fileName="&amp;C34                         )
                          )</f>
        <v>https://www.appsheet.com/template/gettablefileurl?appName=MEDICIÓNDEESPESORES-924373673&amp;tableName=1_general&amp;fileName=3_fotografias_Images/5f2af538.imagen.130123.jpg</v>
      </c>
      <c r="F34" s="55" t="str">
        <f t="shared" si="1"/>
        <v/>
      </c>
    </row>
    <row r="35" ht="57.75" customHeight="1">
      <c r="A35" s="4" t="s">
        <v>7832</v>
      </c>
      <c r="B35" s="4" t="s">
        <v>398</v>
      </c>
      <c r="C35" s="4" t="s">
        <v>7833</v>
      </c>
      <c r="D35" s="4" t="s">
        <v>7834</v>
      </c>
      <c r="E35" s="89" t="str">
        <f t="array" ref="E35">IF(
                C35 = "",
                "",
                       IF(
                           C35 ="FOTOGRAFIA",
                           "LINK",
                           "https://www.appsheet.com/template/gettablefileurl?appName=MEDICIÓNDEESPESORES-924373673&amp;tableName=1_general&amp;fileName="&amp;C35                         )
                          )</f>
        <v>https://www.appsheet.com/template/gettablefileurl?appName=MEDICIÓNDEESPESORES-924373673&amp;tableName=1_general&amp;fileName=3_fotografias_Images/592343f2.imagen.131048.jpg</v>
      </c>
      <c r="F35" s="55" t="str">
        <f t="shared" si="1"/>
        <v/>
      </c>
    </row>
    <row r="36" ht="57.75" customHeight="1">
      <c r="A36" s="4" t="s">
        <v>7835</v>
      </c>
      <c r="B36" s="4" t="s">
        <v>398</v>
      </c>
      <c r="C36" s="4" t="s">
        <v>7836</v>
      </c>
      <c r="D36" s="4" t="s">
        <v>7837</v>
      </c>
      <c r="E36" s="89" t="str">
        <f t="array" ref="E36">IF(
                C36 = "",
                "",
                       IF(
                           C36 ="FOTOGRAFIA",
                           "LINK",
                           "https://www.appsheet.com/template/gettablefileurl?appName=MEDICIÓNDEESPESORES-924373673&amp;tableName=1_general&amp;fileName="&amp;C36                         )
                          )</f>
        <v>https://www.appsheet.com/template/gettablefileurl?appName=MEDICIÓNDEESPESORES-924373673&amp;tableName=1_general&amp;fileName=3_fotografias_Images/a543d20a.imagen.150619.jpg</v>
      </c>
      <c r="F36" s="55" t="str">
        <f t="shared" si="1"/>
        <v/>
      </c>
    </row>
    <row r="37" ht="57.75" customHeight="1">
      <c r="A37" s="4" t="s">
        <v>7838</v>
      </c>
      <c r="B37" s="4" t="s">
        <v>398</v>
      </c>
      <c r="C37" s="4" t="s">
        <v>7839</v>
      </c>
      <c r="D37" s="4" t="s">
        <v>7840</v>
      </c>
      <c r="E37" s="89" t="str">
        <f t="array" ref="E37">IF(
                C37 = "",
                "",
                       IF(
                           C37 ="FOTOGRAFIA",
                           "LINK",
                           "https://www.appsheet.com/template/gettablefileurl?appName=MEDICIÓNDEESPESORES-924373673&amp;tableName=1_general&amp;fileName="&amp;C37                         )
                          )</f>
        <v>https://www.appsheet.com/template/gettablefileurl?appName=MEDICIÓNDEESPESORES-924373673&amp;tableName=1_general&amp;fileName=3_fotografias_Images/9708b7a7.imagen.150843.jpg</v>
      </c>
      <c r="F37" s="55" t="str">
        <f t="shared" si="1"/>
        <v/>
      </c>
    </row>
    <row r="38" ht="57.75" customHeight="1">
      <c r="A38" s="4" t="s">
        <v>7841</v>
      </c>
      <c r="B38" s="4" t="s">
        <v>398</v>
      </c>
      <c r="C38" s="4" t="s">
        <v>7842</v>
      </c>
      <c r="D38" s="4" t="s">
        <v>7843</v>
      </c>
      <c r="E38" s="89" t="str">
        <f t="array" ref="E38">IF(
                C38 = "",
                "",
                       IF(
                           C38 ="FOTOGRAFIA",
                           "LINK",
                           "https://www.appsheet.com/template/gettablefileurl?appName=MEDICIÓNDEESPESORES-924373673&amp;tableName=1_general&amp;fileName="&amp;C38                         )
                          )</f>
        <v>https://www.appsheet.com/template/gettablefileurl?appName=MEDICIÓNDEESPESORES-924373673&amp;tableName=1_general&amp;fileName=3_fotografias_Images/9afb967f.imagen.164629.jpg</v>
      </c>
      <c r="F38" s="55" t="str">
        <f t="shared" si="1"/>
        <v/>
      </c>
    </row>
    <row r="39" ht="57.75" customHeight="1">
      <c r="A39" s="4" t="s">
        <v>7844</v>
      </c>
      <c r="B39" s="4" t="s">
        <v>398</v>
      </c>
      <c r="C39" s="4" t="s">
        <v>7845</v>
      </c>
      <c r="D39" s="4" t="s">
        <v>7846</v>
      </c>
      <c r="E39" s="89" t="str">
        <f t="array" ref="E39">IF(
                C39 = "",
                "",
                       IF(
                           C39 ="FOTOGRAFIA",
                           "LINK",
                           "https://www.appsheet.com/template/gettablefileurl?appName=MEDICIÓNDEESPESORES-924373673&amp;tableName=1_general&amp;fileName="&amp;C39                         )
                          )</f>
        <v>https://www.appsheet.com/template/gettablefileurl?appName=MEDICIÓNDEESPESORES-924373673&amp;tableName=1_general&amp;fileName=3_fotografias_Images/9fedea05.imagen.172803.jpg</v>
      </c>
      <c r="F39" s="55" t="str">
        <f t="shared" si="1"/>
        <v/>
      </c>
    </row>
    <row r="40" ht="57.75" customHeight="1">
      <c r="A40" s="4" t="s">
        <v>7847</v>
      </c>
      <c r="B40" s="4" t="s">
        <v>398</v>
      </c>
      <c r="C40" s="4" t="s">
        <v>7848</v>
      </c>
      <c r="D40" s="4" t="s">
        <v>7849</v>
      </c>
      <c r="E40" s="89" t="str">
        <f t="array" ref="E40">IF(
                C40 = "",
                "",
                       IF(
                           C40 ="FOTOGRAFIA",
                           "LINK",
                           "https://www.appsheet.com/template/gettablefileurl?appName=MEDICIÓNDEESPESORES-924373673&amp;tableName=1_general&amp;fileName="&amp;C40                         )
                          )</f>
        <v>https://www.appsheet.com/template/gettablefileurl?appName=MEDICIÓNDEESPESORES-924373673&amp;tableName=1_general&amp;fileName=3_fotografias_Images/da95fc0a.imagen.172813.jpg</v>
      </c>
      <c r="F40" s="55" t="str">
        <f t="shared" si="1"/>
        <v/>
      </c>
    </row>
    <row r="41" ht="57.75" customHeight="1">
      <c r="A41" s="4" t="s">
        <v>7850</v>
      </c>
      <c r="B41" s="4" t="s">
        <v>398</v>
      </c>
      <c r="C41" s="4" t="s">
        <v>7851</v>
      </c>
      <c r="D41" s="4" t="s">
        <v>7852</v>
      </c>
      <c r="E41" s="89" t="str">
        <f t="array" ref="E41">IF(
                C41 = "",
                "",
                       IF(
                           C41 ="FOTOGRAFIA",
                           "LINK",
                           "https://www.appsheet.com/template/gettablefileurl?appName=MEDICIÓNDEESPESORES-924373673&amp;tableName=1_general&amp;fileName="&amp;C41                         )
                          )</f>
        <v>https://www.appsheet.com/template/gettablefileurl?appName=MEDICIÓNDEESPESORES-924373673&amp;tableName=1_general&amp;fileName=3_fotografias_Images/359e0b9c.imagen.172824.jpg</v>
      </c>
      <c r="F41" s="55" t="str">
        <f t="shared" si="1"/>
        <v/>
      </c>
    </row>
    <row r="42" ht="57.75" customHeight="1">
      <c r="A42" s="4" t="s">
        <v>7853</v>
      </c>
      <c r="B42" s="4" t="s">
        <v>398</v>
      </c>
      <c r="C42" s="4" t="s">
        <v>7854</v>
      </c>
      <c r="D42" s="4" t="s">
        <v>7855</v>
      </c>
      <c r="E42" s="89" t="str">
        <f t="array" ref="E42">IF(
                C42 = "",
                "",
                       IF(
                           C42 ="FOTOGRAFIA",
                           "LINK",
                           "https://www.appsheet.com/template/gettablefileurl?appName=MEDICIÓNDEESPESORES-924373673&amp;tableName=1_general&amp;fileName="&amp;C42                         )
                          )</f>
        <v>https://www.appsheet.com/template/gettablefileurl?appName=MEDICIÓNDEESPESORES-924373673&amp;tableName=1_general&amp;fileName=3_fotografias_Images/d1eafa2f.imagen.173941.jpg</v>
      </c>
      <c r="F42" s="55" t="str">
        <f t="shared" si="1"/>
        <v/>
      </c>
    </row>
    <row r="43" ht="57.75" customHeight="1">
      <c r="A43" s="4" t="s">
        <v>7856</v>
      </c>
      <c r="B43" s="4" t="s">
        <v>398</v>
      </c>
      <c r="C43" s="4" t="s">
        <v>7857</v>
      </c>
      <c r="D43" s="4" t="s">
        <v>7858</v>
      </c>
      <c r="E43" s="89" t="str">
        <f t="array" ref="E43">IF(
                C43 = "",
                "",
                       IF(
                           C43 ="FOTOGRAFIA",
                           "LINK",
                           "https://www.appsheet.com/template/gettablefileurl?appName=MEDICIÓNDEESPESORES-924373673&amp;tableName=1_general&amp;fileName="&amp;C43                         )
                          )</f>
        <v>https://www.appsheet.com/template/gettablefileurl?appName=MEDICIÓNDEESPESORES-924373673&amp;tableName=1_general&amp;fileName=3_fotografias_Images/b0b30156.imagen.173955.jpg</v>
      </c>
      <c r="F43" s="55" t="str">
        <f t="shared" si="1"/>
        <v/>
      </c>
    </row>
    <row r="44" ht="57.75" customHeight="1">
      <c r="A44" s="4" t="s">
        <v>7859</v>
      </c>
      <c r="B44" s="4" t="s">
        <v>398</v>
      </c>
      <c r="C44" s="4" t="s">
        <v>7860</v>
      </c>
      <c r="D44" s="4" t="s">
        <v>7861</v>
      </c>
      <c r="E44" s="89" t="str">
        <f t="array" ref="E44">IF(
                C44 = "",
                "",
                       IF(
                           C44 ="FOTOGRAFIA",
                           "LINK",
                           "https://www.appsheet.com/template/gettablefileurl?appName=MEDICIÓNDEESPESORES-924373673&amp;tableName=1_general&amp;fileName="&amp;C44                         )
                          )</f>
        <v>https://www.appsheet.com/template/gettablefileurl?appName=MEDICIÓNDEESPESORES-924373673&amp;tableName=1_general&amp;fileName=3_fotografias_Images/3ac04806.imagen.174015.jpg</v>
      </c>
      <c r="F44" s="55" t="str">
        <f t="shared" si="1"/>
        <v/>
      </c>
    </row>
    <row r="45" ht="57.75" customHeight="1">
      <c r="A45" s="54" t="s">
        <v>7862</v>
      </c>
      <c r="B45" s="4" t="s">
        <v>398</v>
      </c>
      <c r="C45" s="4" t="s">
        <v>7863</v>
      </c>
      <c r="D45" s="4" t="s">
        <v>7864</v>
      </c>
      <c r="E45" s="89" t="str">
        <f t="array" ref="E45">IF(
                C45 = "",
                "",
                       IF(
                           C45 ="FOTOGRAFIA",
                           "LINK",
                           "https://www.appsheet.com/template/gettablefileurl?appName=MEDICIÓNDEESPESORES-924373673&amp;tableName=1_general&amp;fileName="&amp;C45                         )
                          )</f>
        <v>https://www.appsheet.com/template/gettablefileurl?appName=MEDICIÓNDEESPESORES-924373673&amp;tableName=1_general&amp;fileName=3_fotografias_Images/11103904.imagen.174026.jpg</v>
      </c>
      <c r="F45" s="55" t="str">
        <f t="shared" si="1"/>
        <v/>
      </c>
    </row>
    <row r="46" ht="57.75" customHeight="1">
      <c r="A46" s="4" t="s">
        <v>7865</v>
      </c>
      <c r="B46" s="4" t="s">
        <v>398</v>
      </c>
      <c r="C46" s="4" t="s">
        <v>7866</v>
      </c>
      <c r="D46" s="4" t="s">
        <v>7867</v>
      </c>
      <c r="E46" s="89" t="str">
        <f t="array" ref="E46">IF(
                C46 = "",
                "",
                       IF(
                           C46 ="FOTOGRAFIA",
                           "LINK",
                           "https://www.appsheet.com/template/gettablefileurl?appName=MEDICIÓNDEESPESORES-924373673&amp;tableName=1_general&amp;fileName="&amp;C46                         )
                          )</f>
        <v>https://www.appsheet.com/template/gettablefileurl?appName=MEDICIÓNDEESPESORES-924373673&amp;tableName=1_general&amp;fileName=3_fotografias_Images/381982cd.imagen.174036.jpg</v>
      </c>
      <c r="F46" s="55" t="str">
        <f t="shared" si="1"/>
        <v/>
      </c>
    </row>
    <row r="47" ht="57.75" customHeight="1">
      <c r="A47" s="4" t="s">
        <v>7868</v>
      </c>
      <c r="B47" s="4" t="s">
        <v>398</v>
      </c>
      <c r="C47" s="4" t="s">
        <v>7869</v>
      </c>
      <c r="D47" s="4" t="s">
        <v>7870</v>
      </c>
      <c r="E47" s="89" t="str">
        <f t="array" ref="E47">IF(
                C47 = "",
                "",
                       IF(
                           C47 ="FOTOGRAFIA",
                           "LINK",
                           "https://www.appsheet.com/template/gettablefileurl?appName=MEDICIÓNDEESPESORES-924373673&amp;tableName=1_general&amp;fileName="&amp;C47                         )
                          )</f>
        <v>https://www.appsheet.com/template/gettablefileurl?appName=MEDICIÓNDEESPESORES-924373673&amp;tableName=1_general&amp;fileName=3_fotografias_Images/d07cfbcb.imagen.174601.jpg</v>
      </c>
      <c r="F47" s="55" t="str">
        <f t="shared" si="1"/>
        <v/>
      </c>
    </row>
    <row r="48" ht="57.75" customHeight="1">
      <c r="A48" s="4" t="s">
        <v>7871</v>
      </c>
      <c r="B48" s="4" t="s">
        <v>398</v>
      </c>
      <c r="C48" s="4" t="s">
        <v>7872</v>
      </c>
      <c r="D48" s="4" t="s">
        <v>7873</v>
      </c>
      <c r="E48" s="89" t="str">
        <f t="array" ref="E48">IF(
                C48 = "",
                "",
                       IF(
                           C48 ="FOTOGRAFIA",
                           "LINK",
                           "https://www.appsheet.com/template/gettablefileurl?appName=MEDICIÓNDEESPESORES-924373673&amp;tableName=1_general&amp;fileName="&amp;C48                         )
                          )</f>
        <v>https://www.appsheet.com/template/gettablefileurl?appName=MEDICIÓNDEESPESORES-924373673&amp;tableName=1_general&amp;fileName=3_fotografias_Images/431afbf5.imagen.174606.jpg</v>
      </c>
      <c r="F48" s="55" t="str">
        <f t="shared" si="1"/>
        <v/>
      </c>
    </row>
    <row r="49" ht="57.75" customHeight="1">
      <c r="A49" s="4" t="s">
        <v>7874</v>
      </c>
      <c r="B49" s="4" t="s">
        <v>398</v>
      </c>
      <c r="C49" s="4" t="s">
        <v>7875</v>
      </c>
      <c r="D49" s="4" t="s">
        <v>7876</v>
      </c>
      <c r="E49" s="89" t="str">
        <f t="array" ref="E49">IF(
                C49 = "",
                "",
                       IF(
                           C49 ="FOTOGRAFIA",
                           "LINK",
                           "https://www.appsheet.com/template/gettablefileurl?appName=MEDICIÓNDEESPESORES-924373673&amp;tableName=1_general&amp;fileName="&amp;C49                         )
                          )</f>
        <v>https://www.appsheet.com/template/gettablefileurl?appName=MEDICIÓNDEESPESORES-924373673&amp;tableName=1_general&amp;fileName=3_fotografias_Images/5f2dd245.imagen.175320.jpg</v>
      </c>
      <c r="F49" s="55" t="str">
        <f t="shared" si="1"/>
        <v/>
      </c>
    </row>
    <row r="50" ht="57.75" customHeight="1">
      <c r="A50" s="4" t="s">
        <v>7877</v>
      </c>
      <c r="B50" s="4" t="s">
        <v>398</v>
      </c>
      <c r="C50" s="4" t="s">
        <v>7878</v>
      </c>
      <c r="D50" s="4" t="s">
        <v>7879</v>
      </c>
      <c r="E50" s="89" t="str">
        <f t="array" ref="E50">IF(
                C50 = "",
                "",
                       IF(
                           C50 ="FOTOGRAFIA",
                           "LINK",
                           "https://www.appsheet.com/template/gettablefileurl?appName=MEDICIÓNDEESPESORES-924373673&amp;tableName=1_general&amp;fileName="&amp;C50                         )
                          )</f>
        <v>https://www.appsheet.com/template/gettablefileurl?appName=MEDICIÓNDEESPESORES-924373673&amp;tableName=1_general&amp;fileName=3_fotografias_Images/62e73b99.imagen.175325.jpg</v>
      </c>
      <c r="F50" s="55" t="str">
        <f t="shared" si="1"/>
        <v/>
      </c>
    </row>
    <row r="51" ht="57.75" customHeight="1">
      <c r="A51" s="4" t="s">
        <v>7880</v>
      </c>
      <c r="B51" s="4" t="s">
        <v>398</v>
      </c>
      <c r="C51" s="4" t="s">
        <v>7881</v>
      </c>
      <c r="D51" s="4" t="s">
        <v>7882</v>
      </c>
      <c r="E51" s="89" t="str">
        <f t="array" ref="E51">IF(
                C51 = "",
                "",
                       IF(
                           C51 ="FOTOGRAFIA",
                           "LINK",
                           "https://www.appsheet.com/template/gettablefileurl?appName=MEDICIÓNDEESPESORES-924373673&amp;tableName=1_general&amp;fileName="&amp;C51                         )
                          )</f>
        <v>https://www.appsheet.com/template/gettablefileurl?appName=MEDICIÓNDEESPESORES-924373673&amp;tableName=1_general&amp;fileName=3_fotografias_Images/32bd360d.imagen.175905.jpg</v>
      </c>
      <c r="F51" s="55" t="str">
        <f t="shared" si="1"/>
        <v/>
      </c>
    </row>
    <row r="52" ht="57.75" customHeight="1">
      <c r="A52" s="4" t="s">
        <v>7883</v>
      </c>
      <c r="B52" s="4" t="s">
        <v>398</v>
      </c>
      <c r="C52" s="4" t="s">
        <v>7884</v>
      </c>
      <c r="D52" s="4" t="s">
        <v>7885</v>
      </c>
      <c r="E52" s="89" t="str">
        <f t="array" ref="E52">IF(
                C52 = "",
                "",
                       IF(
                           C52 ="FOTOGRAFIA",
                           "LINK",
                           "https://www.appsheet.com/template/gettablefileurl?appName=MEDICIÓNDEESPESORES-924373673&amp;tableName=1_general&amp;fileName="&amp;C52                         )
                          )</f>
        <v>https://www.appsheet.com/template/gettablefileurl?appName=MEDICIÓNDEESPESORES-924373673&amp;tableName=1_general&amp;fileName=3_fotografias_Images/ad8c4918.imagen.175909.jpg</v>
      </c>
      <c r="F52" s="55" t="str">
        <f t="shared" si="1"/>
        <v/>
      </c>
    </row>
    <row r="53" ht="57.75" customHeight="1">
      <c r="A53" s="4" t="s">
        <v>7886</v>
      </c>
      <c r="B53" s="4" t="s">
        <v>404</v>
      </c>
      <c r="C53" s="4" t="s">
        <v>7887</v>
      </c>
      <c r="D53" s="4" t="s">
        <v>7888</v>
      </c>
      <c r="E53" s="89" t="str">
        <f t="array" ref="E53">IF(
                C53 = "",
                "",
                       IF(
                           C53 ="FOTOGRAFIA",
                           "LINK",
                           "https://www.appsheet.com/template/gettablefileurl?appName=MEDICIÓNDEESPESORES-924373673&amp;tableName=1_general&amp;fileName="&amp;C53                         )
                          )</f>
        <v>https://www.appsheet.com/template/gettablefileurl?appName=MEDICIÓNDEESPESORES-924373673&amp;tableName=1_general&amp;fileName=3_fotografias_Images/524904ac.imagen.012054.jpg</v>
      </c>
      <c r="F53" s="55" t="str">
        <f t="shared" si="1"/>
        <v/>
      </c>
    </row>
    <row r="54" ht="57.75" customHeight="1">
      <c r="A54" s="4" t="s">
        <v>7889</v>
      </c>
      <c r="B54" s="4" t="s">
        <v>404</v>
      </c>
      <c r="C54" s="4" t="s">
        <v>7890</v>
      </c>
      <c r="D54" s="4" t="s">
        <v>7891</v>
      </c>
      <c r="E54" s="89" t="str">
        <f t="array" ref="E54">IF(
                C54 = "",
                "",
                       IF(
                           C54 ="FOTOGRAFIA",
                           "LINK",
                           "https://www.appsheet.com/template/gettablefileurl?appName=MEDICIÓNDEESPESORES-924373673&amp;tableName=1_general&amp;fileName="&amp;C54                         )
                          )</f>
        <v>https://www.appsheet.com/template/gettablefileurl?appName=MEDICIÓNDEESPESORES-924373673&amp;tableName=1_general&amp;fileName=3_fotografias_Images/2c4fac38.imagen.012105.jpg</v>
      </c>
      <c r="F54" s="55" t="str">
        <f t="shared" si="1"/>
        <v/>
      </c>
    </row>
    <row r="55" ht="57.75" customHeight="1">
      <c r="A55" s="4" t="s">
        <v>7892</v>
      </c>
      <c r="B55" s="4" t="s">
        <v>459</v>
      </c>
      <c r="C55" s="4" t="s">
        <v>7893</v>
      </c>
      <c r="D55" s="4" t="s">
        <v>7894</v>
      </c>
      <c r="E55" s="89" t="str">
        <f t="array" ref="E55">IF(
                C55 = "",
                "",
                       IF(
                           C55 ="FOTOGRAFIA",
                           "LINK",
                           "https://www.appsheet.com/template/gettablefileurl?appName=MEDICIÓNDEESPESORES-924373673&amp;tableName=1_general&amp;fileName="&amp;C55                         )
                          )</f>
        <v>https://www.appsheet.com/template/gettablefileurl?appName=MEDICIÓNDEESPESORES-924373673&amp;tableName=1_general&amp;fileName=3_fotografias_Images/0e4dd03a.imagen.220008.jpg</v>
      </c>
      <c r="F55" s="55" t="str">
        <f t="shared" si="1"/>
        <v/>
      </c>
    </row>
    <row r="56" ht="57.75" customHeight="1">
      <c r="A56" s="4" t="s">
        <v>7895</v>
      </c>
      <c r="B56" s="4" t="s">
        <v>459</v>
      </c>
      <c r="C56" s="4" t="s">
        <v>7896</v>
      </c>
      <c r="D56" s="4" t="s">
        <v>7894</v>
      </c>
      <c r="E56" s="89" t="str">
        <f t="array" ref="E56">IF(
                C56 = "",
                "",
                       IF(
                           C56 ="FOTOGRAFIA",
                           "LINK",
                           "https://www.appsheet.com/template/gettablefileurl?appName=MEDICIÓNDEESPESORES-924373673&amp;tableName=1_general&amp;fileName="&amp;C56                         )
                          )</f>
        <v>https://www.appsheet.com/template/gettablefileurl?appName=MEDICIÓNDEESPESORES-924373673&amp;tableName=1_general&amp;fileName=3_fotografias_Images/ba96251d.imagen.220032.jpg</v>
      </c>
      <c r="F56" s="55" t="str">
        <f t="shared" si="1"/>
        <v/>
      </c>
    </row>
    <row r="57" ht="57.75" customHeight="1">
      <c r="A57" s="4" t="s">
        <v>7897</v>
      </c>
      <c r="B57" s="4" t="s">
        <v>459</v>
      </c>
      <c r="C57" s="4" t="s">
        <v>7898</v>
      </c>
      <c r="D57" s="4" t="s">
        <v>7894</v>
      </c>
      <c r="E57" s="89" t="str">
        <f t="array" ref="E57">IF(
                C57 = "",
                "",
                       IF(
                           C57 ="FOTOGRAFIA",
                           "LINK",
                           "https://www.appsheet.com/template/gettablefileurl?appName=MEDICIÓNDEESPESORES-924373673&amp;tableName=1_general&amp;fileName="&amp;C57                         )
                          )</f>
        <v>https://www.appsheet.com/template/gettablefileurl?appName=MEDICIÓNDEESPESORES-924373673&amp;tableName=1_general&amp;fileName=3_fotografias_Images/f8135feb.imagen.220043.jpg</v>
      </c>
      <c r="F57" s="55" t="str">
        <f t="shared" si="1"/>
        <v/>
      </c>
    </row>
    <row r="58" ht="57.75" customHeight="1">
      <c r="A58" s="4" t="s">
        <v>7899</v>
      </c>
      <c r="B58" s="4" t="s">
        <v>459</v>
      </c>
      <c r="C58" s="4" t="s">
        <v>7900</v>
      </c>
      <c r="D58" s="4" t="s">
        <v>7901</v>
      </c>
      <c r="E58" s="89" t="str">
        <f t="array" ref="E58">IF(
                C58 = "",
                "",
                       IF(
                           C58 ="FOTOGRAFIA",
                           "LINK",
                           "https://www.appsheet.com/template/gettablefileurl?appName=MEDICIÓNDEESPESORES-924373673&amp;tableName=1_general&amp;fileName="&amp;C58                         )
                          )</f>
        <v>https://www.appsheet.com/template/gettablefileurl?appName=MEDICIÓNDEESPESORES-924373673&amp;tableName=1_general&amp;fileName=3_fotografias_Images/82eed6e9.imagen.220053.jpg</v>
      </c>
      <c r="F58" s="55" t="str">
        <f t="shared" si="1"/>
        <v/>
      </c>
    </row>
    <row r="59" ht="57.75" customHeight="1">
      <c r="A59" s="4" t="s">
        <v>7902</v>
      </c>
      <c r="B59" s="4" t="s">
        <v>459</v>
      </c>
      <c r="C59" s="4" t="s">
        <v>7903</v>
      </c>
      <c r="D59" s="4" t="s">
        <v>7904</v>
      </c>
      <c r="E59" s="89" t="str">
        <f t="array" ref="E59">IF(
                C59 = "",
                "",
                       IF(
                           C59 ="FOTOGRAFIA",
                           "LINK",
                           "https://www.appsheet.com/template/gettablefileurl?appName=MEDICIÓNDEESPESORES-924373673&amp;tableName=1_general&amp;fileName="&amp;C59                         )
                          )</f>
        <v>https://www.appsheet.com/template/gettablefileurl?appName=MEDICIÓNDEESPESORES-924373673&amp;tableName=1_general&amp;fileName=3_fotografias_Images/f0f2b89b.imagen.220104.jpg</v>
      </c>
      <c r="F59" s="55" t="str">
        <f t="shared" si="1"/>
        <v/>
      </c>
    </row>
    <row r="60" ht="57.75" customHeight="1">
      <c r="A60" s="4" t="s">
        <v>7905</v>
      </c>
      <c r="B60" s="4" t="s">
        <v>459</v>
      </c>
      <c r="C60" s="4" t="s">
        <v>7906</v>
      </c>
      <c r="D60" s="4" t="s">
        <v>7907</v>
      </c>
      <c r="E60" s="89" t="str">
        <f t="array" ref="E60">IF(
                C60 = "",
                "",
                       IF(
                           C60 ="FOTOGRAFIA",
                           "LINK",
                           "https://www.appsheet.com/template/gettablefileurl?appName=MEDICIÓNDEESPESORES-924373673&amp;tableName=1_general&amp;fileName="&amp;C60                         )
                          )</f>
        <v>https://www.appsheet.com/template/gettablefileurl?appName=MEDICIÓNDEESPESORES-924373673&amp;tableName=1_general&amp;fileName=3_fotografias_Images/eec04db1.imagen.220114.jpg</v>
      </c>
      <c r="F60" s="55" t="str">
        <f t="shared" si="1"/>
        <v/>
      </c>
    </row>
    <row r="61" ht="57.75" customHeight="1">
      <c r="A61" s="4" t="s">
        <v>7908</v>
      </c>
      <c r="B61" s="4" t="s">
        <v>491</v>
      </c>
      <c r="C61" s="4" t="s">
        <v>7909</v>
      </c>
      <c r="D61" s="4" t="s">
        <v>7910</v>
      </c>
      <c r="E61" s="89" t="str">
        <f t="array" ref="E61">IF(
                C61 = "",
                "",
                       IF(
                           C61 ="FOTOGRAFIA",
                           "LINK",
                           "https://www.appsheet.com/template/gettablefileurl?appName=MEDICIÓNDEESPESORES-924373673&amp;tableName=1_general&amp;fileName="&amp;C61                         )
                          )</f>
        <v>https://www.appsheet.com/template/gettablefileurl?appName=MEDICIÓNDEESPESORES-924373673&amp;tableName=1_general&amp;fileName=3_fotografias_Images/b80b15d7.imagen.044927.jpg</v>
      </c>
      <c r="F61" s="55" t="str">
        <f t="shared" si="1"/>
        <v/>
      </c>
    </row>
    <row r="62" ht="57.75" customHeight="1">
      <c r="A62" s="4" t="s">
        <v>7911</v>
      </c>
      <c r="B62" s="4" t="s">
        <v>491</v>
      </c>
      <c r="C62" s="4" t="s">
        <v>7912</v>
      </c>
      <c r="D62" s="4" t="s">
        <v>7913</v>
      </c>
      <c r="E62" s="89" t="str">
        <f t="array" ref="E62">IF(
                C62 = "",
                "",
                       IF(
                           C62 ="FOTOGRAFIA",
                           "LINK",
                           "https://www.appsheet.com/template/gettablefileurl?appName=MEDICIÓNDEESPESORES-924373673&amp;tableName=1_general&amp;fileName="&amp;C62                         )
                          )</f>
        <v>https://www.appsheet.com/template/gettablefileurl?appName=MEDICIÓNDEESPESORES-924373673&amp;tableName=1_general&amp;fileName=3_fotografias_Images/18e726b6.imagen.044930.jpg</v>
      </c>
      <c r="F62" s="55" t="str">
        <f t="shared" si="1"/>
        <v/>
      </c>
    </row>
    <row r="63" ht="57.75" customHeight="1">
      <c r="A63" s="4" t="s">
        <v>7914</v>
      </c>
      <c r="B63" s="4" t="s">
        <v>491</v>
      </c>
      <c r="C63" s="4" t="s">
        <v>7915</v>
      </c>
      <c r="D63" s="4" t="s">
        <v>4260</v>
      </c>
      <c r="E63" s="89" t="str">
        <f t="array" ref="E63">IF(
                C63 = "",
                "",
                       IF(
                           C63 ="FOTOGRAFIA",
                           "LINK",
                           "https://www.appsheet.com/template/gettablefileurl?appName=MEDICIÓNDEESPESORES-924373673&amp;tableName=1_general&amp;fileName="&amp;C63                         )
                          )</f>
        <v>https://www.appsheet.com/template/gettablefileurl?appName=MEDICIÓNDEESPESORES-924373673&amp;tableName=1_general&amp;fileName=3_fotografias_Images/f6106520.imagen.044933.jpg</v>
      </c>
      <c r="F63" s="55" t="str">
        <f t="shared" si="1"/>
        <v/>
      </c>
    </row>
    <row r="64" ht="57.75" customHeight="1">
      <c r="A64" s="4" t="s">
        <v>7916</v>
      </c>
      <c r="B64" s="4" t="s">
        <v>491</v>
      </c>
      <c r="C64" s="4" t="s">
        <v>7917</v>
      </c>
      <c r="D64" s="4" t="s">
        <v>7918</v>
      </c>
      <c r="E64" s="89" t="str">
        <f t="array" ref="E64">IF(
                C64 = "",
                "",
                       IF(
                           C64 ="FOTOGRAFIA",
                           "LINK",
                           "https://www.appsheet.com/template/gettablefileurl?appName=MEDICIÓNDEESPESORES-924373673&amp;tableName=1_general&amp;fileName="&amp;C64                         )
                          )</f>
        <v>https://www.appsheet.com/template/gettablefileurl?appName=MEDICIÓNDEESPESORES-924373673&amp;tableName=1_general&amp;fileName=3_fotografias_Images/dc499aaf.imagen.044936.jpg</v>
      </c>
      <c r="F64" s="55" t="str">
        <f t="shared" si="1"/>
        <v/>
      </c>
    </row>
    <row r="65" ht="57.75" customHeight="1">
      <c r="A65" s="4" t="s">
        <v>7919</v>
      </c>
      <c r="B65" s="4" t="s">
        <v>491</v>
      </c>
      <c r="C65" s="4" t="s">
        <v>7920</v>
      </c>
      <c r="D65" s="4" t="s">
        <v>7921</v>
      </c>
      <c r="E65" s="89" t="str">
        <f t="array" ref="E65">IF(
                C65 = "",
                "",
                       IF(
                           C65 ="FOTOGRAFIA",
                           "LINK",
                           "https://www.appsheet.com/template/gettablefileurl?appName=MEDICIÓNDEESPESORES-924373673&amp;tableName=1_general&amp;fileName="&amp;C65                         )
                          )</f>
        <v>https://www.appsheet.com/template/gettablefileurl?appName=MEDICIÓNDEESPESORES-924373673&amp;tableName=1_general&amp;fileName=3_fotografias_Images/635b85ca.imagen.044939.jpg</v>
      </c>
      <c r="F65" s="55" t="str">
        <f t="shared" si="1"/>
        <v/>
      </c>
    </row>
    <row r="66" ht="57.75" customHeight="1">
      <c r="A66" s="4" t="s">
        <v>7922</v>
      </c>
      <c r="B66" s="4" t="s">
        <v>404</v>
      </c>
      <c r="C66" s="4" t="s">
        <v>7923</v>
      </c>
      <c r="D66" s="4" t="s">
        <v>7924</v>
      </c>
      <c r="E66" s="89" t="str">
        <f t="array" ref="E66">IF(
                C66 = "",
                "",
                       IF(
                           C66 ="FOTOGRAFIA",
                           "LINK",
                           "https://www.appsheet.com/template/gettablefileurl?appName=MEDICIÓNDEESPESORES-924373673&amp;tableName=1_general&amp;fileName="&amp;C66                         )
                          )</f>
        <v>https://www.appsheet.com/template/gettablefileurl?appName=MEDICIÓNDEESPESORES-924373673&amp;tableName=1_general&amp;fileName=3_fotografias_Images/2f6ed100.imagen.172116.jpg</v>
      </c>
      <c r="F66" s="55" t="str">
        <f t="shared" si="1"/>
        <v/>
      </c>
    </row>
    <row r="67" ht="57.75" customHeight="1">
      <c r="A67" s="4" t="s">
        <v>7925</v>
      </c>
      <c r="B67" s="4" t="s">
        <v>404</v>
      </c>
      <c r="C67" s="4" t="s">
        <v>7926</v>
      </c>
      <c r="D67" s="4" t="s">
        <v>7927</v>
      </c>
      <c r="E67" s="89" t="str">
        <f t="array" ref="E67">IF(
                C67 = "",
                "",
                       IF(
                           C67 ="FOTOGRAFIA",
                           "LINK",
                           "https://www.appsheet.com/template/gettablefileurl?appName=MEDICIÓNDEESPESORES-924373673&amp;tableName=1_general&amp;fileName="&amp;C67                         )
                          )</f>
        <v>https://www.appsheet.com/template/gettablefileurl?appName=MEDICIÓNDEESPESORES-924373673&amp;tableName=1_general&amp;fileName=3_fotografias_Images/dc1b89ec.imagen.172124.jpg</v>
      </c>
      <c r="F67" s="55" t="str">
        <f t="shared" si="1"/>
        <v/>
      </c>
    </row>
    <row r="68" ht="57.75" customHeight="1">
      <c r="A68" s="4" t="s">
        <v>7928</v>
      </c>
      <c r="B68" s="4" t="s">
        <v>404</v>
      </c>
      <c r="C68" s="4" t="s">
        <v>7929</v>
      </c>
      <c r="D68" s="4" t="s">
        <v>7930</v>
      </c>
      <c r="E68" s="89" t="str">
        <f t="array" ref="E68">IF(
                C68 = "",
                "",
                       IF(
                           C68 ="FOTOGRAFIA",
                           "LINK",
                           "https://www.appsheet.com/template/gettablefileurl?appName=MEDICIÓNDEESPESORES-924373673&amp;tableName=1_general&amp;fileName="&amp;C68                         )
                          )</f>
        <v>https://www.appsheet.com/template/gettablefileurl?appName=MEDICIÓNDEESPESORES-924373673&amp;tableName=1_general&amp;fileName=3_fotografias_Images/a99080e7.imagen.172135.jpg</v>
      </c>
      <c r="F68" s="55" t="str">
        <f t="shared" si="1"/>
        <v/>
      </c>
    </row>
    <row r="69" ht="57.75" customHeight="1">
      <c r="A69" s="54" t="s">
        <v>7931</v>
      </c>
      <c r="B69" s="4" t="s">
        <v>404</v>
      </c>
      <c r="C69" s="4" t="s">
        <v>7932</v>
      </c>
      <c r="D69" s="4" t="s">
        <v>7933</v>
      </c>
      <c r="E69" s="89" t="str">
        <f t="array" ref="E69">IF(
                C69 = "",
                "",
                       IF(
                           C69 ="FOTOGRAFIA",
                           "LINK",
                           "https://www.appsheet.com/template/gettablefileurl?appName=MEDICIÓNDEESPESORES-924373673&amp;tableName=1_general&amp;fileName="&amp;C69                         )
                          )</f>
        <v>https://www.appsheet.com/template/gettablefileurl?appName=MEDICIÓNDEESPESORES-924373673&amp;tableName=1_general&amp;fileName=3_fotografias_Images/42035553.imagen.172146.jpg</v>
      </c>
      <c r="F69" s="55" t="str">
        <f t="shared" si="1"/>
        <v/>
      </c>
    </row>
    <row r="70" ht="57.75" customHeight="1">
      <c r="A70" s="4" t="s">
        <v>7934</v>
      </c>
      <c r="B70" s="4" t="s">
        <v>404</v>
      </c>
      <c r="C70" s="4" t="s">
        <v>7935</v>
      </c>
      <c r="D70" s="4" t="s">
        <v>7936</v>
      </c>
      <c r="E70" s="89" t="str">
        <f t="array" ref="E70">IF(
                C70 = "",
                "",
                       IF(
                           C70 ="FOTOGRAFIA",
                           "LINK",
                           "https://www.appsheet.com/template/gettablefileurl?appName=MEDICIÓNDEESPESORES-924373673&amp;tableName=1_general&amp;fileName="&amp;C70                         )
                          )</f>
        <v>https://www.appsheet.com/template/gettablefileurl?appName=MEDICIÓNDEESPESORES-924373673&amp;tableName=1_general&amp;fileName=3_fotografias_Images/aec6169e.imagen.172156.jpg</v>
      </c>
      <c r="F70" s="55" t="str">
        <f t="shared" si="1"/>
        <v/>
      </c>
    </row>
    <row r="71" ht="57.75" customHeight="1">
      <c r="A71" s="4" t="s">
        <v>7937</v>
      </c>
      <c r="B71" s="4" t="s">
        <v>448</v>
      </c>
      <c r="C71" s="4" t="s">
        <v>7938</v>
      </c>
      <c r="D71" s="4" t="s">
        <v>7939</v>
      </c>
      <c r="E71" s="89" t="str">
        <f t="array" ref="E71">IF(
                C71 = "",
                "",
                       IF(
                           C71 ="FOTOGRAFIA",
                           "LINK",
                           "https://www.appsheet.com/template/gettablefileurl?appName=MEDICIÓNDEESPESORES-924373673&amp;tableName=1_general&amp;fileName="&amp;C71                         )
                          )</f>
        <v>https://www.appsheet.com/template/gettablefileurl?appName=MEDICIÓNDEESPESORES-924373673&amp;tableName=1_general&amp;fileName=3_fotografias_Images/7ad2a252.imagen.172226.jpg</v>
      </c>
      <c r="F71" s="55" t="str">
        <f t="shared" si="1"/>
        <v/>
      </c>
    </row>
    <row r="72" ht="57.75" customHeight="1">
      <c r="A72" s="4" t="s">
        <v>7940</v>
      </c>
      <c r="B72" s="4" t="s">
        <v>448</v>
      </c>
      <c r="C72" s="4" t="s">
        <v>7941</v>
      </c>
      <c r="D72" s="4" t="s">
        <v>7942</v>
      </c>
      <c r="E72" s="89" t="str">
        <f t="array" ref="E72">IF(
                C72 = "",
                "",
                       IF(
                           C72 ="FOTOGRAFIA",
                           "LINK",
                           "https://www.appsheet.com/template/gettablefileurl?appName=MEDICIÓNDEESPESORES-924373673&amp;tableName=1_general&amp;fileName="&amp;C72                         )
                          )</f>
        <v>https://www.appsheet.com/template/gettablefileurl?appName=MEDICIÓNDEESPESORES-924373673&amp;tableName=1_general&amp;fileName=3_fotografias_Images/99536bdc.imagen.172237.jpg</v>
      </c>
      <c r="F72" s="55" t="str">
        <f t="shared" si="1"/>
        <v/>
      </c>
    </row>
    <row r="73" ht="57.75" customHeight="1">
      <c r="A73" s="4" t="s">
        <v>7943</v>
      </c>
      <c r="B73" s="4" t="s">
        <v>448</v>
      </c>
      <c r="C73" s="4" t="s">
        <v>7944</v>
      </c>
      <c r="D73" s="4" t="s">
        <v>7945</v>
      </c>
      <c r="E73" s="89" t="str">
        <f t="array" ref="E73">IF(
                C73 = "",
                "",
                       IF(
                           C73 ="FOTOGRAFIA",
                           "LINK",
                           "https://www.appsheet.com/template/gettablefileurl?appName=MEDICIÓNDEESPESORES-924373673&amp;tableName=1_general&amp;fileName="&amp;C73                         )
                          )</f>
        <v>https://www.appsheet.com/template/gettablefileurl?appName=MEDICIÓNDEESPESORES-924373673&amp;tableName=1_general&amp;fileName=3_fotografias_Images/c5ee6750.imagen.172247.jpg</v>
      </c>
      <c r="F73" s="55" t="str">
        <f t="shared" si="1"/>
        <v/>
      </c>
    </row>
    <row r="74" ht="57.75" customHeight="1">
      <c r="A74" s="4" t="s">
        <v>7946</v>
      </c>
      <c r="B74" s="4" t="s">
        <v>454</v>
      </c>
      <c r="C74" s="4" t="s">
        <v>7947</v>
      </c>
      <c r="D74" s="4" t="s">
        <v>7948</v>
      </c>
      <c r="E74" s="89" t="str">
        <f t="array" ref="E74">IF(
                C74 = "",
                "",
                       IF(
                           C74 ="FOTOGRAFIA",
                           "LINK",
                           "https://www.appsheet.com/template/gettablefileurl?appName=MEDICIÓNDEESPESORES-924373673&amp;tableName=1_general&amp;fileName="&amp;C74                         )
                          )</f>
        <v>https://www.appsheet.com/template/gettablefileurl?appName=MEDICIÓNDEESPESORES-924373673&amp;tableName=1_general&amp;fileName=3_fotografias_Images/003013d1.imagen.172318.jpg</v>
      </c>
      <c r="F74" s="55" t="str">
        <f t="shared" si="1"/>
        <v/>
      </c>
    </row>
    <row r="75" ht="57.75" customHeight="1">
      <c r="A75" s="4" t="s">
        <v>7949</v>
      </c>
      <c r="B75" s="4" t="s">
        <v>454</v>
      </c>
      <c r="C75" s="4" t="s">
        <v>7950</v>
      </c>
      <c r="D75" s="4" t="s">
        <v>7951</v>
      </c>
      <c r="E75" s="89" t="str">
        <f t="array" ref="E75">IF(
                C75 = "",
                "",
                       IF(
                           C75 ="FOTOGRAFIA",
                           "LINK",
                           "https://www.appsheet.com/template/gettablefileurl?appName=MEDICIÓNDEESPESORES-924373673&amp;tableName=1_general&amp;fileName="&amp;C75                         )
                          )</f>
        <v>https://www.appsheet.com/template/gettablefileurl?appName=MEDICIÓNDEESPESORES-924373673&amp;tableName=1_general&amp;fileName=3_fotografias_Images/26a792e0.imagen.172330.jpg</v>
      </c>
      <c r="F75" s="55" t="str">
        <f t="shared" si="1"/>
        <v/>
      </c>
    </row>
    <row r="76" ht="57.75" customHeight="1">
      <c r="A76" s="4" t="s">
        <v>7952</v>
      </c>
      <c r="B76" s="4" t="s">
        <v>454</v>
      </c>
      <c r="C76" s="4" t="s">
        <v>7953</v>
      </c>
      <c r="D76" s="4" t="s">
        <v>7954</v>
      </c>
      <c r="E76" s="89" t="str">
        <f t="array" ref="E76">IF(
                C76 = "",
                "",
                       IF(
                           C76 ="FOTOGRAFIA",
                           "LINK",
                           "https://www.appsheet.com/template/gettablefileurl?appName=MEDICIÓNDEESPESORES-924373673&amp;tableName=1_general&amp;fileName="&amp;C76                         )
                          )</f>
        <v>https://www.appsheet.com/template/gettablefileurl?appName=MEDICIÓNDEESPESORES-924373673&amp;tableName=1_general&amp;fileName=3_fotografias_Images/b7ddf742.imagen.172356.jpg</v>
      </c>
      <c r="F76" s="55" t="str">
        <f t="shared" si="1"/>
        <v/>
      </c>
    </row>
    <row r="77" ht="57.75" customHeight="1">
      <c r="A77" s="4" t="s">
        <v>7955</v>
      </c>
      <c r="B77" s="4" t="s">
        <v>454</v>
      </c>
      <c r="C77" s="4" t="s">
        <v>7956</v>
      </c>
      <c r="D77" s="4" t="s">
        <v>7939</v>
      </c>
      <c r="E77" s="89" t="str">
        <f t="array" ref="E77">IF(
                C77 = "",
                "",
                       IF(
                           C77 ="FOTOGRAFIA",
                           "LINK",
                           "https://www.appsheet.com/template/gettablefileurl?appName=MEDICIÓNDEESPESORES-924373673&amp;tableName=1_general&amp;fileName="&amp;C77                         )
                          )</f>
        <v>https://www.appsheet.com/template/gettablefileurl?appName=MEDICIÓNDEESPESORES-924373673&amp;tableName=1_general&amp;fileName=3_fotografias_Images/a1ded692.imagen.172405.jpg</v>
      </c>
      <c r="F77" s="55" t="str">
        <f t="shared" si="1"/>
        <v/>
      </c>
    </row>
    <row r="78" ht="57.75" customHeight="1">
      <c r="A78" s="4" t="s">
        <v>7957</v>
      </c>
      <c r="B78" s="4" t="s">
        <v>390</v>
      </c>
      <c r="C78" s="4" t="s">
        <v>7958</v>
      </c>
      <c r="D78" s="4" t="s">
        <v>7930</v>
      </c>
      <c r="E78" s="89" t="str">
        <f t="array" ref="E78">IF(
                C78 = "",
                "",
                       IF(
                           C78 ="FOTOGRAFIA",
                           "LINK",
                           "https://www.appsheet.com/template/gettablefileurl?appName=MEDICIÓNDEESPESORES-924373673&amp;tableName=1_general&amp;fileName="&amp;C78                         )
                          )</f>
        <v>https://www.appsheet.com/template/gettablefileurl?appName=MEDICIÓNDEESPESORES-924373673&amp;tableName=1_general&amp;fileName=3_fotografias_Images/ba80ddaa.imagen.172435.jpg</v>
      </c>
      <c r="F78" s="55" t="str">
        <f t="shared" si="1"/>
        <v/>
      </c>
    </row>
    <row r="79" ht="57.75" customHeight="1">
      <c r="A79" s="4" t="s">
        <v>7959</v>
      </c>
      <c r="B79" s="4" t="s">
        <v>390</v>
      </c>
      <c r="C79" s="4" t="s">
        <v>7960</v>
      </c>
      <c r="D79" s="4" t="s">
        <v>7961</v>
      </c>
      <c r="E79" s="89" t="str">
        <f t="array" ref="E79">IF(
                C79 = "",
                "",
                       IF(
                           C79 ="FOTOGRAFIA",
                           "LINK",
                           "https://www.appsheet.com/template/gettablefileurl?appName=MEDICIÓNDEESPESORES-924373673&amp;tableName=1_general&amp;fileName="&amp;C79                         )
                          )</f>
        <v>https://www.appsheet.com/template/gettablefileurl?appName=MEDICIÓNDEESPESORES-924373673&amp;tableName=1_general&amp;fileName=3_fotografias_Images/646fbb99.imagen.172446.jpg</v>
      </c>
      <c r="F79" s="55" t="str">
        <f t="shared" si="1"/>
        <v/>
      </c>
    </row>
    <row r="80" ht="57.75" customHeight="1">
      <c r="A80" s="4" t="s">
        <v>7962</v>
      </c>
      <c r="B80" s="4" t="s">
        <v>390</v>
      </c>
      <c r="C80" s="4" t="s">
        <v>7963</v>
      </c>
      <c r="D80" s="4" t="s">
        <v>7945</v>
      </c>
      <c r="E80" s="89" t="str">
        <f t="array" ref="E80">IF(
                C80 = "",
                "",
                       IF(
                           C80 ="FOTOGRAFIA",
                           "LINK",
                           "https://www.appsheet.com/template/gettablefileurl?appName=MEDICIÓNDEESPESORES-924373673&amp;tableName=1_general&amp;fileName="&amp;C80                         )
                          )</f>
        <v>https://www.appsheet.com/template/gettablefileurl?appName=MEDICIÓNDEESPESORES-924373673&amp;tableName=1_general&amp;fileName=3_fotografias_Images/c2899a77.imagen.172457.jpg</v>
      </c>
      <c r="F80" s="55" t="str">
        <f t="shared" si="1"/>
        <v/>
      </c>
    </row>
    <row r="81" ht="57.75" customHeight="1">
      <c r="A81" s="4" t="s">
        <v>7964</v>
      </c>
      <c r="B81" s="4" t="s">
        <v>390</v>
      </c>
      <c r="C81" s="4" t="s">
        <v>7965</v>
      </c>
      <c r="D81" s="4" t="s">
        <v>7924</v>
      </c>
      <c r="E81" s="89" t="str">
        <f t="array" ref="E81">IF(
                C81 = "",
                "",
                       IF(
                           C81 ="FOTOGRAFIA",
                           "LINK",
                           "https://www.appsheet.com/template/gettablefileurl?appName=MEDICIÓNDEESPESORES-924373673&amp;tableName=1_general&amp;fileName="&amp;C81                         )
                          )</f>
        <v>https://www.appsheet.com/template/gettablefileurl?appName=MEDICIÓNDEESPESORES-924373673&amp;tableName=1_general&amp;fileName=3_fotografias_Images/254bd91d.imagen.172506.jpg</v>
      </c>
      <c r="F81" s="55" t="str">
        <f t="shared" si="1"/>
        <v/>
      </c>
    </row>
    <row r="82" ht="57.75" customHeight="1">
      <c r="A82" s="4" t="s">
        <v>7966</v>
      </c>
      <c r="B82" s="4" t="s">
        <v>442</v>
      </c>
      <c r="C82" s="4" t="s">
        <v>7967</v>
      </c>
      <c r="D82" s="4" t="s">
        <v>7968</v>
      </c>
      <c r="E82" s="89" t="str">
        <f t="array" ref="E82">IF(
                C82 = "",
                "",
                       IF(
                           C82 ="FOTOGRAFIA",
                           "LINK",
                           "https://www.appsheet.com/template/gettablefileurl?appName=MEDICIÓNDEESPESORES-924373673&amp;tableName=1_general&amp;fileName="&amp;C82                         )
                          )</f>
        <v>https://www.appsheet.com/template/gettablefileurl?appName=MEDICIÓNDEESPESORES-924373673&amp;tableName=1_general&amp;fileName=3_fotografias_Images/bcb1f4aa.imagen.172524.jpg</v>
      </c>
      <c r="F82" s="55" t="str">
        <f t="shared" si="1"/>
        <v/>
      </c>
    </row>
    <row r="83" ht="57.75" customHeight="1">
      <c r="A83" s="4" t="s">
        <v>7969</v>
      </c>
      <c r="B83" s="4" t="s">
        <v>442</v>
      </c>
      <c r="C83" s="4" t="s">
        <v>7970</v>
      </c>
      <c r="D83" s="4" t="s">
        <v>7939</v>
      </c>
      <c r="E83" s="89" t="str">
        <f t="array" ref="E83">IF(
                C83 = "",
                "",
                       IF(
                           C83 ="FOTOGRAFIA",
                           "LINK",
                           "https://www.appsheet.com/template/gettablefileurl?appName=MEDICIÓNDEESPESORES-924373673&amp;tableName=1_general&amp;fileName="&amp;C83                         )
                          )</f>
        <v>https://www.appsheet.com/template/gettablefileurl?appName=MEDICIÓNDEESPESORES-924373673&amp;tableName=1_general&amp;fileName=3_fotografias_Images/e7cadf52.imagen.172528.jpg</v>
      </c>
      <c r="F83" s="55" t="str">
        <f t="shared" si="1"/>
        <v/>
      </c>
    </row>
    <row r="84" ht="57.75" customHeight="1">
      <c r="A84" s="4" t="s">
        <v>7971</v>
      </c>
      <c r="B84" s="4" t="s">
        <v>448</v>
      </c>
      <c r="C84" s="4" t="s">
        <v>7972</v>
      </c>
      <c r="D84" s="4" t="s">
        <v>7973</v>
      </c>
      <c r="E84" s="89" t="str">
        <f t="array" ref="E84">IF(
                C84 = "",
                "",
                       IF(
                           C84 ="FOTOGRAFIA",
                           "LINK",
                           "https://www.appsheet.com/template/gettablefileurl?appName=MEDICIÓNDEESPESORES-924373673&amp;tableName=1_general&amp;fileName="&amp;C84                         )
                          )</f>
        <v>https://www.appsheet.com/template/gettablefileurl?appName=MEDICIÓNDEESPESORES-924373673&amp;tableName=1_general&amp;fileName=3_fotografias_Images/b9ed323b.imagen.191110.jpg</v>
      </c>
      <c r="F84" s="55" t="str">
        <f t="shared" si="1"/>
        <v/>
      </c>
    </row>
    <row r="85" ht="57.75" customHeight="1">
      <c r="A85" s="4" t="s">
        <v>7974</v>
      </c>
      <c r="B85" s="4" t="s">
        <v>448</v>
      </c>
      <c r="C85" s="4" t="s">
        <v>7975</v>
      </c>
      <c r="D85" s="4" t="s">
        <v>7976</v>
      </c>
      <c r="E85" s="89" t="str">
        <f t="array" ref="E85">IF(
                C85 = "",
                "",
                       IF(
                           C85 ="FOTOGRAFIA",
                           "LINK",
                           "https://www.appsheet.com/template/gettablefileurl?appName=MEDICIÓNDEESPESORES-924373673&amp;tableName=1_general&amp;fileName="&amp;C85                         )
                          )</f>
        <v>https://www.appsheet.com/template/gettablefileurl?appName=MEDICIÓNDEESPESORES-924373673&amp;tableName=1_general&amp;fileName=3_fotografias_Images/a1f9e1ee.imagen.202432.jpg</v>
      </c>
      <c r="F85" s="55" t="str">
        <f t="shared" si="1"/>
        <v/>
      </c>
    </row>
    <row r="86" ht="57.75" customHeight="1">
      <c r="A86" s="4" t="s">
        <v>7977</v>
      </c>
      <c r="B86" s="4" t="s">
        <v>448</v>
      </c>
      <c r="C86" s="4" t="s">
        <v>7978</v>
      </c>
      <c r="D86" s="4" t="s">
        <v>7979</v>
      </c>
      <c r="E86" s="89" t="str">
        <f t="array" ref="E86">IF(
                C86 = "",
                "",
                       IF(
                           C86 ="FOTOGRAFIA",
                           "LINK",
                           "https://www.appsheet.com/template/gettablefileurl?appName=MEDICIÓNDEESPESORES-924373673&amp;tableName=1_general&amp;fileName="&amp;C86                         )
                          )</f>
        <v>https://www.appsheet.com/template/gettablefileurl?appName=MEDICIÓNDEESPESORES-924373673&amp;tableName=1_general&amp;fileName=3_fotografias_Images/531cadc8.imagen.202409.jpg</v>
      </c>
      <c r="F86" s="55" t="str">
        <f t="shared" si="1"/>
        <v/>
      </c>
    </row>
    <row r="87" ht="57.75" customHeight="1">
      <c r="A87" s="4" t="s">
        <v>7980</v>
      </c>
      <c r="B87" s="4" t="s">
        <v>448</v>
      </c>
      <c r="C87" s="4" t="s">
        <v>7981</v>
      </c>
      <c r="D87" s="4" t="s">
        <v>7982</v>
      </c>
      <c r="E87" s="89" t="str">
        <f t="array" ref="E87">IF(
                C87 = "",
                "",
                       IF(
                           C87 ="FOTOGRAFIA",
                           "LINK",
                           "https://www.appsheet.com/template/gettablefileurl?appName=MEDICIÓNDEESPESORES-924373673&amp;tableName=1_general&amp;fileName="&amp;C87                         )
                          )</f>
        <v>https://www.appsheet.com/template/gettablefileurl?appName=MEDICIÓNDEESPESORES-924373673&amp;tableName=1_general&amp;fileName=3_fotografias_Images/073aa82b.imagen.202346.jpg</v>
      </c>
      <c r="F87" s="55" t="str">
        <f t="shared" si="1"/>
        <v/>
      </c>
    </row>
    <row r="88" ht="57.75" customHeight="1">
      <c r="A88" s="4" t="s">
        <v>7983</v>
      </c>
      <c r="B88" s="4" t="s">
        <v>448</v>
      </c>
      <c r="C88" s="4" t="s">
        <v>7984</v>
      </c>
      <c r="D88" s="4" t="s">
        <v>7985</v>
      </c>
      <c r="E88" s="89" t="str">
        <f t="array" ref="E88">IF(
                C88 = "",
                "",
                       IF(
                           C88 ="FOTOGRAFIA",
                           "LINK",
                           "https://www.appsheet.com/template/gettablefileurl?appName=MEDICIÓNDEESPESORES-924373673&amp;tableName=1_general&amp;fileName="&amp;C88                         )
                          )</f>
        <v>https://www.appsheet.com/template/gettablefileurl?appName=MEDICIÓNDEESPESORES-924373673&amp;tableName=1_general&amp;fileName=3_fotografias_Images/f143b89f.imagen.202313.jpg</v>
      </c>
      <c r="F88" s="55" t="str">
        <f t="shared" si="1"/>
        <v/>
      </c>
    </row>
    <row r="89" ht="57.75" customHeight="1">
      <c r="A89" s="4" t="s">
        <v>7986</v>
      </c>
      <c r="B89" s="4" t="s">
        <v>545</v>
      </c>
      <c r="C89" s="4" t="s">
        <v>7987</v>
      </c>
      <c r="D89" s="4" t="s">
        <v>7988</v>
      </c>
      <c r="E89" s="89" t="str">
        <f t="array" ref="E89">IF(
                C89 = "",
                "",
                       IF(
                           C89 ="FOTOGRAFIA",
                           "LINK",
                           "https://www.appsheet.com/template/gettablefileurl?appName=MEDICIÓNDEESPESORES-924373673&amp;tableName=1_general&amp;fileName="&amp;C89                         )
                          )</f>
        <v>https://www.appsheet.com/template/gettablefileurl?appName=MEDICIÓNDEESPESORES-924373673&amp;tableName=1_general&amp;fileName=3_fotografias_Images/b66b5ba1.imagen.142903.jpg</v>
      </c>
      <c r="F89" s="55" t="str">
        <f t="shared" si="1"/>
        <v/>
      </c>
    </row>
    <row r="90" ht="57.75" customHeight="1">
      <c r="A90" s="4" t="s">
        <v>7989</v>
      </c>
      <c r="B90" s="4" t="s">
        <v>448</v>
      </c>
      <c r="C90" s="4" t="s">
        <v>7990</v>
      </c>
      <c r="D90" s="4" t="s">
        <v>7991</v>
      </c>
      <c r="E90" s="89" t="str">
        <f t="array" ref="E90">IF(
                C90 = "",
                "",
                       IF(
                           C90 ="FOTOGRAFIA",
                           "LINK",
                           "https://www.appsheet.com/template/gettablefileurl?appName=MEDICIÓNDEESPESORES-924373673&amp;tableName=1_general&amp;fileName="&amp;C90                         )
                          )</f>
        <v>https://www.appsheet.com/template/gettablefileurl?appName=MEDICIÓNDEESPESORES-924373673&amp;tableName=1_general&amp;fileName=3_fotografias_Images/bad5bb7b.imagen.202452.jpg</v>
      </c>
      <c r="F90" s="55" t="str">
        <f t="shared" si="1"/>
        <v/>
      </c>
    </row>
    <row r="91" ht="57.75" customHeight="1">
      <c r="A91" s="4" t="s">
        <v>7992</v>
      </c>
      <c r="B91" s="4" t="s">
        <v>448</v>
      </c>
      <c r="C91" s="4" t="s">
        <v>7993</v>
      </c>
      <c r="D91" s="4" t="s">
        <v>7994</v>
      </c>
      <c r="E91" s="89" t="str">
        <f t="array" ref="E91">IF(
                C91 = "",
                "",
                       IF(
                           C91 ="FOTOGRAFIA",
                           "LINK",
                           "https://www.appsheet.com/template/gettablefileurl?appName=MEDICIÓNDEESPESORES-924373673&amp;tableName=1_general&amp;fileName="&amp;C91                         )
                          )</f>
        <v>https://www.appsheet.com/template/gettablefileurl?appName=MEDICIÓNDEESPESORES-924373673&amp;tableName=1_general&amp;fileName=3_fotografias_Images/956ca2d2.imagen.202515.jpg</v>
      </c>
      <c r="F91" s="55" t="str">
        <f t="shared" si="1"/>
        <v/>
      </c>
    </row>
    <row r="92" ht="57.75" customHeight="1">
      <c r="A92" s="4" t="s">
        <v>7995</v>
      </c>
      <c r="B92" s="4" t="s">
        <v>448</v>
      </c>
      <c r="C92" s="4" t="s">
        <v>7996</v>
      </c>
      <c r="D92" s="4" t="s">
        <v>7997</v>
      </c>
      <c r="E92" s="89" t="str">
        <f t="array" ref="E92">IF(
                C92 = "",
                "",
                       IF(
                           C92 ="FOTOGRAFIA",
                           "LINK",
                           "https://www.appsheet.com/template/gettablefileurl?appName=MEDICIÓNDEESPESORES-924373673&amp;tableName=1_general&amp;fileName="&amp;C92                         )
                          )</f>
        <v>https://www.appsheet.com/template/gettablefileurl?appName=MEDICIÓNDEESPESORES-924373673&amp;tableName=1_general&amp;fileName=3_fotografias_Images/2aadf292.imagen.202541.jpg</v>
      </c>
      <c r="F92" s="55" t="str">
        <f t="shared" si="1"/>
        <v/>
      </c>
    </row>
    <row r="93" ht="57.75" customHeight="1">
      <c r="A93" s="4" t="s">
        <v>7998</v>
      </c>
      <c r="B93" s="4" t="s">
        <v>448</v>
      </c>
      <c r="C93" s="4" t="s">
        <v>7999</v>
      </c>
      <c r="D93" s="4" t="s">
        <v>8000</v>
      </c>
      <c r="E93" s="89" t="str">
        <f t="array" ref="E93">IF(
                C93 = "",
                "",
                       IF(
                           C93 ="FOTOGRAFIA",
                           "LINK",
                           "https://www.appsheet.com/template/gettablefileurl?appName=MEDICIÓNDEESPESORES-924373673&amp;tableName=1_general&amp;fileName="&amp;C93                         )
                          )</f>
        <v>https://www.appsheet.com/template/gettablefileurl?appName=MEDICIÓNDEESPESORES-924373673&amp;tableName=1_general&amp;fileName=3_fotografias_Images/7702cb69.imagen.202638.jpg</v>
      </c>
      <c r="F93" s="55" t="str">
        <f t="shared" si="1"/>
        <v/>
      </c>
    </row>
    <row r="94" ht="57.75" customHeight="1">
      <c r="A94" s="4" t="s">
        <v>8001</v>
      </c>
      <c r="B94" s="4" t="s">
        <v>448</v>
      </c>
      <c r="C94" s="4" t="s">
        <v>8002</v>
      </c>
      <c r="D94" s="4" t="s">
        <v>8003</v>
      </c>
      <c r="E94" s="89" t="str">
        <f t="array" ref="E94">IF(
                C94 = "",
                "",
                       IF(
                           C94 ="FOTOGRAFIA",
                           "LINK",
                           "https://www.appsheet.com/template/gettablefileurl?appName=MEDICIÓNDEESPESORES-924373673&amp;tableName=1_general&amp;fileName="&amp;C94                         )
                          )</f>
        <v>https://www.appsheet.com/template/gettablefileurl?appName=MEDICIÓNDEESPESORES-924373673&amp;tableName=1_general&amp;fileName=3_fotografias_Images/76f82a25.imagen.202612.jpg</v>
      </c>
      <c r="F94" s="55" t="str">
        <f t="shared" si="1"/>
        <v/>
      </c>
    </row>
    <row r="95" ht="57.75" customHeight="1">
      <c r="A95" s="4" t="s">
        <v>8004</v>
      </c>
      <c r="B95" s="4" t="s">
        <v>448</v>
      </c>
      <c r="C95" s="4" t="s">
        <v>8005</v>
      </c>
      <c r="D95" s="4" t="s">
        <v>8006</v>
      </c>
      <c r="E95" s="89" t="str">
        <f t="array" ref="E95">IF(
                C95 = "",
                "",
                       IF(
                           C95 ="FOTOGRAFIA",
                           "LINK",
                           "https://www.appsheet.com/template/gettablefileurl?appName=MEDICIÓNDEESPESORES-924373673&amp;tableName=1_general&amp;fileName="&amp;C95                         )
                          )</f>
        <v>https://www.appsheet.com/template/gettablefileurl?appName=MEDICIÓNDEESPESORES-924373673&amp;tableName=1_general&amp;fileName=3_fotografias_Images/f2a055ed.imagen.202722.jpg</v>
      </c>
      <c r="F95" s="55" t="str">
        <f t="shared" si="1"/>
        <v/>
      </c>
    </row>
    <row r="96" ht="57.75" customHeight="1">
      <c r="A96" s="4" t="s">
        <v>8007</v>
      </c>
      <c r="B96" s="4" t="s">
        <v>552</v>
      </c>
      <c r="C96" s="4" t="s">
        <v>8008</v>
      </c>
      <c r="D96" s="4" t="s">
        <v>8009</v>
      </c>
      <c r="E96" s="89" t="str">
        <f t="array" ref="E96">IF(
                C96 = "",
                "",
                       IF(
                           C96 ="FOTOGRAFIA",
                           "LINK",
                           "https://www.appsheet.com/template/gettablefileurl?appName=MEDICIÓNDEESPESORES-924373673&amp;tableName=1_general&amp;fileName="&amp;C96                         )
                          )</f>
        <v>https://www.appsheet.com/template/gettablefileurl?appName=MEDICIÓNDEESPESORES-924373673&amp;tableName=1_general&amp;fileName=3_fotografias_Images/21b1be25.imagen.134211.jpg</v>
      </c>
      <c r="F96" s="55" t="str">
        <f t="shared" si="1"/>
        <v/>
      </c>
    </row>
    <row r="97" ht="57.75" customHeight="1">
      <c r="A97" s="4" t="s">
        <v>8010</v>
      </c>
      <c r="B97" s="4" t="s">
        <v>552</v>
      </c>
      <c r="C97" s="4" t="s">
        <v>8011</v>
      </c>
      <c r="D97" s="4" t="s">
        <v>8012</v>
      </c>
      <c r="E97" s="89" t="str">
        <f t="array" ref="E97">IF(
                C97 = "",
                "",
                       IF(
                           C97 ="FOTOGRAFIA",
                           "LINK",
                           "https://www.appsheet.com/template/gettablefileurl?appName=MEDICIÓNDEESPESORES-924373673&amp;tableName=1_general&amp;fileName="&amp;C97                         )
                          )</f>
        <v>https://www.appsheet.com/template/gettablefileurl?appName=MEDICIÓNDEESPESORES-924373673&amp;tableName=1_general&amp;fileName=3_fotografias_Images/55a7f5a3.imagen.134231.jpg</v>
      </c>
      <c r="F97" s="55" t="str">
        <f t="shared" si="1"/>
        <v/>
      </c>
    </row>
    <row r="98" ht="57.75" customHeight="1">
      <c r="A98" s="4" t="s">
        <v>8013</v>
      </c>
      <c r="B98" s="4" t="s">
        <v>552</v>
      </c>
      <c r="C98" s="4" t="s">
        <v>8014</v>
      </c>
      <c r="D98" s="4" t="s">
        <v>8015</v>
      </c>
      <c r="E98" s="89" t="str">
        <f t="array" ref="E98">IF(
                C98 = "",
                "",
                       IF(
                           C98 ="FOTOGRAFIA",
                           "LINK",
                           "https://www.appsheet.com/template/gettablefileurl?appName=MEDICIÓNDEESPESORES-924373673&amp;tableName=1_general&amp;fileName="&amp;C98                         )
                          )</f>
        <v>https://www.appsheet.com/template/gettablefileurl?appName=MEDICIÓNDEESPESORES-924373673&amp;tableName=1_general&amp;fileName=3_fotografias_Images/86dc9c66.imagen.134241.jpg</v>
      </c>
      <c r="F98" s="55" t="str">
        <f t="shared" si="1"/>
        <v/>
      </c>
    </row>
    <row r="99" ht="57.75" customHeight="1">
      <c r="A99" s="4" t="s">
        <v>8016</v>
      </c>
      <c r="B99" s="4" t="s">
        <v>552</v>
      </c>
      <c r="C99" s="4" t="s">
        <v>8017</v>
      </c>
      <c r="D99" s="4" t="s">
        <v>8018</v>
      </c>
      <c r="E99" s="89" t="str">
        <f t="array" ref="E99">IF(
                C99 = "",
                "",
                       IF(
                           C99 ="FOTOGRAFIA",
                           "LINK",
                           "https://www.appsheet.com/template/gettablefileurl?appName=MEDICIÓNDEESPESORES-924373673&amp;tableName=1_general&amp;fileName="&amp;C99                         )
                          )</f>
        <v>https://www.appsheet.com/template/gettablefileurl?appName=MEDICIÓNDEESPESORES-924373673&amp;tableName=1_general&amp;fileName=3_fotografias_Images/c0d18874.imagen.134250.jpg</v>
      </c>
      <c r="F99" s="55" t="str">
        <f t="shared" si="1"/>
        <v/>
      </c>
    </row>
    <row r="100" ht="57.75" customHeight="1">
      <c r="A100" s="4" t="s">
        <v>8019</v>
      </c>
      <c r="B100" s="4" t="s">
        <v>552</v>
      </c>
      <c r="C100" s="4" t="s">
        <v>8020</v>
      </c>
      <c r="D100" s="4" t="s">
        <v>8021</v>
      </c>
      <c r="E100" s="89" t="str">
        <f t="array" ref="E100">IF(
                C100 = "",
                "",
                       IF(
                           C100 ="FOTOGRAFIA",
                           "LINK",
                           "https://www.appsheet.com/template/gettablefileurl?appName=MEDICIÓNDEESPESORES-924373673&amp;tableName=1_general&amp;fileName="&amp;C100                         )
                          )</f>
        <v>https://www.appsheet.com/template/gettablefileurl?appName=MEDICIÓNDEESPESORES-924373673&amp;tableName=1_general&amp;fileName=3_fotografias_Images/7caa688a.imagen.134254.jpg</v>
      </c>
      <c r="F100" s="55" t="str">
        <f t="shared" si="1"/>
        <v/>
      </c>
    </row>
    <row r="101" ht="57.75" customHeight="1">
      <c r="A101" s="4" t="s">
        <v>8022</v>
      </c>
      <c r="B101" s="4" t="s">
        <v>552</v>
      </c>
      <c r="C101" s="4" t="s">
        <v>8023</v>
      </c>
      <c r="D101" s="4" t="s">
        <v>8024</v>
      </c>
      <c r="E101" s="89" t="str">
        <f t="array" ref="E101">IF(
                C101 = "",
                "",
                       IF(
                           C101 ="FOTOGRAFIA",
                           "LINK",
                           "https://www.appsheet.com/template/gettablefileurl?appName=MEDICIÓNDEESPESORES-924373673&amp;tableName=1_general&amp;fileName="&amp;C101                         )
                          )</f>
        <v>https://www.appsheet.com/template/gettablefileurl?appName=MEDICIÓNDEESPESORES-924373673&amp;tableName=1_general&amp;fileName=3_fotografias_Images/cdf4fa46.imagen.134257.jpg</v>
      </c>
      <c r="F101" s="55" t="str">
        <f t="shared" si="1"/>
        <v/>
      </c>
    </row>
    <row r="102" ht="57.75" customHeight="1">
      <c r="A102" s="4" t="s">
        <v>8025</v>
      </c>
      <c r="B102" s="4" t="s">
        <v>552</v>
      </c>
      <c r="C102" s="4" t="s">
        <v>8026</v>
      </c>
      <c r="D102" s="4" t="s">
        <v>8027</v>
      </c>
      <c r="E102" s="89" t="str">
        <f t="array" ref="E102">IF(
                C102 = "",
                "",
                       IF(
                           C102 ="FOTOGRAFIA",
                           "LINK",
                           "https://www.appsheet.com/template/gettablefileurl?appName=MEDICIÓNDEESPESORES-924373673&amp;tableName=1_general&amp;fileName="&amp;C102                         )
                          )</f>
        <v>https://www.appsheet.com/template/gettablefileurl?appName=MEDICIÓNDEESPESORES-924373673&amp;tableName=1_general&amp;fileName=3_fotografias_Images/b2c2b0e1.imagen.134302.jpg</v>
      </c>
      <c r="F102" s="55" t="str">
        <f t="shared" si="1"/>
        <v/>
      </c>
    </row>
    <row r="103" ht="57.75" customHeight="1">
      <c r="A103" s="54" t="s">
        <v>8028</v>
      </c>
      <c r="B103" s="4" t="s">
        <v>552</v>
      </c>
      <c r="C103" s="4" t="s">
        <v>8029</v>
      </c>
      <c r="D103" s="4" t="s">
        <v>8030</v>
      </c>
      <c r="E103" s="89" t="str">
        <f t="array" ref="E103">IF(
                C103 = "",
                "",
                       IF(
                           C103 ="FOTOGRAFIA",
                           "LINK",
                           "https://www.appsheet.com/template/gettablefileurl?appName=MEDICIÓNDEESPESORES-924373673&amp;tableName=1_general&amp;fileName="&amp;C103                         )
                          )</f>
        <v>https://www.appsheet.com/template/gettablefileurl?appName=MEDICIÓNDEESPESORES-924373673&amp;tableName=1_general&amp;fileName=3_fotografias_Images/91877286.imagen.134306.jpg</v>
      </c>
      <c r="F103" s="55" t="str">
        <f t="shared" si="1"/>
        <v/>
      </c>
    </row>
    <row r="104" ht="57.75" customHeight="1">
      <c r="A104" s="4" t="s">
        <v>8031</v>
      </c>
      <c r="B104" s="4" t="s">
        <v>552</v>
      </c>
      <c r="C104" s="4" t="s">
        <v>8032</v>
      </c>
      <c r="D104" s="4" t="s">
        <v>4723</v>
      </c>
      <c r="E104" s="89" t="str">
        <f t="array" ref="E104">IF(
                C104 = "",
                "",
                       IF(
                           C104 ="FOTOGRAFIA",
                           "LINK",
                           "https://www.appsheet.com/template/gettablefileurl?appName=MEDICIÓNDEESPESORES-924373673&amp;tableName=1_general&amp;fileName="&amp;C104                         )
                          )</f>
        <v>https://www.appsheet.com/template/gettablefileurl?appName=MEDICIÓNDEESPESORES-924373673&amp;tableName=1_general&amp;fileName=3_fotografias_Images/616f23eb.imagen.134311.jpg</v>
      </c>
      <c r="F104" s="55" t="str">
        <f t="shared" si="1"/>
        <v/>
      </c>
    </row>
    <row r="105" ht="57.75" customHeight="1">
      <c r="A105" s="4" t="s">
        <v>8033</v>
      </c>
      <c r="B105" s="4" t="s">
        <v>552</v>
      </c>
      <c r="C105" s="4" t="s">
        <v>8034</v>
      </c>
      <c r="D105" s="4" t="s">
        <v>4725</v>
      </c>
      <c r="E105" s="89" t="str">
        <f t="array" ref="E105">IF(
                C105 = "",
                "",
                       IF(
                           C105 ="FOTOGRAFIA",
                           "LINK",
                           "https://www.appsheet.com/template/gettablefileurl?appName=MEDICIÓNDEESPESORES-924373673&amp;tableName=1_general&amp;fileName="&amp;C105                         )
                          )</f>
        <v>https://www.appsheet.com/template/gettablefileurl?appName=MEDICIÓNDEESPESORES-924373673&amp;tableName=1_general&amp;fileName=3_fotografias_Images/3b30701b.imagen.134315.jpg</v>
      </c>
      <c r="F105" s="55" t="str">
        <f t="shared" si="1"/>
        <v/>
      </c>
    </row>
    <row r="106" ht="57.75" customHeight="1">
      <c r="A106" s="4" t="s">
        <v>8035</v>
      </c>
      <c r="B106" s="4" t="s">
        <v>552</v>
      </c>
      <c r="C106" s="4" t="s">
        <v>8036</v>
      </c>
      <c r="D106" s="4" t="s">
        <v>4727</v>
      </c>
      <c r="E106" s="89" t="str">
        <f t="array" ref="E106">IF(
                C106 = "",
                "",
                       IF(
                           C106 ="FOTOGRAFIA",
                           "LINK",
                           "https://www.appsheet.com/template/gettablefileurl?appName=MEDICIÓNDEESPESORES-924373673&amp;tableName=1_general&amp;fileName="&amp;C106                         )
                          )</f>
        <v>https://www.appsheet.com/template/gettablefileurl?appName=MEDICIÓNDEESPESORES-924373673&amp;tableName=1_general&amp;fileName=3_fotografias_Images/d9d4ce2f.imagen.134319.jpg</v>
      </c>
      <c r="F106" s="55" t="str">
        <f t="shared" si="1"/>
        <v/>
      </c>
    </row>
    <row r="107" ht="57.75" customHeight="1">
      <c r="A107" s="4" t="s">
        <v>8037</v>
      </c>
      <c r="B107" s="4" t="s">
        <v>552</v>
      </c>
      <c r="C107" s="4" t="s">
        <v>8038</v>
      </c>
      <c r="D107" s="4" t="s">
        <v>4840</v>
      </c>
      <c r="E107" s="89" t="str">
        <f t="array" ref="E107">IF(
                C107 = "",
                "",
                       IF(
                           C107 ="FOTOGRAFIA",
                           "LINK",
                           "https://www.appsheet.com/template/gettablefileurl?appName=MEDICIÓNDEESPESORES-924373673&amp;tableName=1_general&amp;fileName="&amp;C107                         )
                          )</f>
        <v>https://www.appsheet.com/template/gettablefileurl?appName=MEDICIÓNDEESPESORES-924373673&amp;tableName=1_general&amp;fileName=3_fotografias_Images/c10ded4f.imagen.134322.jpg</v>
      </c>
      <c r="F107" s="55" t="str">
        <f t="shared" si="1"/>
        <v/>
      </c>
    </row>
    <row r="108" ht="57.75" customHeight="1">
      <c r="A108" s="4" t="s">
        <v>8039</v>
      </c>
      <c r="B108" s="4" t="s">
        <v>552</v>
      </c>
      <c r="C108" s="4" t="s">
        <v>8040</v>
      </c>
      <c r="D108" s="4" t="s">
        <v>8041</v>
      </c>
      <c r="E108" s="89" t="str">
        <f t="array" ref="E108">IF(
                C108 = "",
                "",
                       IF(
                           C108 ="FOTOGRAFIA",
                           "LINK",
                           "https://www.appsheet.com/template/gettablefileurl?appName=MEDICIÓNDEESPESORES-924373673&amp;tableName=1_general&amp;fileName="&amp;C108                         )
                          )</f>
        <v>https://www.appsheet.com/template/gettablefileurl?appName=MEDICIÓNDEESPESORES-924373673&amp;tableName=1_general&amp;fileName=3_fotografias_Images/84a4b548.imagen.134327.jpg</v>
      </c>
      <c r="F108" s="55" t="str">
        <f t="shared" si="1"/>
        <v/>
      </c>
    </row>
    <row r="109" ht="57.75" customHeight="1">
      <c r="A109" s="4" t="s">
        <v>8042</v>
      </c>
      <c r="B109" s="4" t="s">
        <v>454</v>
      </c>
      <c r="C109" s="4" t="s">
        <v>8043</v>
      </c>
      <c r="D109" s="4" t="s">
        <v>8044</v>
      </c>
      <c r="E109" s="89" t="str">
        <f t="array" ref="E109">IF(
                C109 = "",
                "",
                       IF(
                           C109 ="FOTOGRAFIA",
                           "LINK",
                           "https://www.appsheet.com/template/gettablefileurl?appName=MEDICIÓNDEESPESORES-924373673&amp;tableName=1_general&amp;fileName="&amp;C109                         )
                          )</f>
        <v>https://www.appsheet.com/template/gettablefileurl?appName=MEDICIÓNDEESPESORES-924373673&amp;tableName=1_general&amp;fileName=3_fotografias_Images/93d8955f.imagen.141624.jpg</v>
      </c>
      <c r="F109" s="55" t="str">
        <f t="shared" si="1"/>
        <v/>
      </c>
    </row>
    <row r="110" ht="57.75" customHeight="1">
      <c r="A110" s="4" t="s">
        <v>8045</v>
      </c>
      <c r="B110" s="4" t="s">
        <v>454</v>
      </c>
      <c r="C110" s="4" t="s">
        <v>8046</v>
      </c>
      <c r="D110" s="4" t="s">
        <v>8047</v>
      </c>
      <c r="E110" s="89" t="str">
        <f t="array" ref="E110">IF(
                C110 = "",
                "",
                       IF(
                           C110 ="FOTOGRAFIA",
                           "LINK",
                           "https://www.appsheet.com/template/gettablefileurl?appName=MEDICIÓNDEESPESORES-924373673&amp;tableName=1_general&amp;fileName="&amp;C110                         )
                          )</f>
        <v>https://www.appsheet.com/template/gettablefileurl?appName=MEDICIÓNDEESPESORES-924373673&amp;tableName=1_general&amp;fileName=3_fotografias_Images/f32f2fca.imagen.141709.jpg</v>
      </c>
      <c r="F110" s="55" t="str">
        <f t="shared" si="1"/>
        <v/>
      </c>
    </row>
    <row r="111" ht="57.75" customHeight="1">
      <c r="A111" s="4" t="s">
        <v>8048</v>
      </c>
      <c r="B111" s="4" t="s">
        <v>454</v>
      </c>
      <c r="C111" s="4" t="s">
        <v>8049</v>
      </c>
      <c r="D111" s="4" t="s">
        <v>8050</v>
      </c>
      <c r="E111" s="89" t="str">
        <f t="array" ref="E111">IF(
                C111 = "",
                "",
                       IF(
                           C111 ="FOTOGRAFIA",
                           "LINK",
                           "https://www.appsheet.com/template/gettablefileurl?appName=MEDICIÓNDEESPESORES-924373673&amp;tableName=1_general&amp;fileName="&amp;C111                         )
                          )</f>
        <v>https://www.appsheet.com/template/gettablefileurl?appName=MEDICIÓNDEESPESORES-924373673&amp;tableName=1_general&amp;fileName=3_fotografias_Images/57280fe3.imagen.141814.jpg</v>
      </c>
      <c r="F111" s="55" t="str">
        <f t="shared" si="1"/>
        <v/>
      </c>
    </row>
    <row r="112" ht="57.75" customHeight="1">
      <c r="A112" s="4" t="s">
        <v>8051</v>
      </c>
      <c r="B112" s="4" t="s">
        <v>454</v>
      </c>
      <c r="C112" s="4" t="s">
        <v>8052</v>
      </c>
      <c r="D112" s="4" t="s">
        <v>8053</v>
      </c>
      <c r="E112" s="89" t="str">
        <f t="array" ref="E112">IF(
                C112 = "",
                "",
                       IF(
                           C112 ="FOTOGRAFIA",
                           "LINK",
                           "https://www.appsheet.com/template/gettablefileurl?appName=MEDICIÓNDEESPESORES-924373673&amp;tableName=1_general&amp;fileName="&amp;C112                         )
                          )</f>
        <v>https://www.appsheet.com/template/gettablefileurl?appName=MEDICIÓNDEESPESORES-924373673&amp;tableName=1_general&amp;fileName=3_fotografias_Images/b12d4d03.imagen.141916.jpg</v>
      </c>
      <c r="F112" s="55" t="str">
        <f t="shared" si="1"/>
        <v/>
      </c>
    </row>
    <row r="113" ht="57.75" customHeight="1">
      <c r="A113" s="4" t="s">
        <v>8054</v>
      </c>
      <c r="B113" s="4" t="s">
        <v>454</v>
      </c>
      <c r="C113" s="4" t="s">
        <v>8055</v>
      </c>
      <c r="D113" s="4" t="s">
        <v>8056</v>
      </c>
      <c r="E113" s="89" t="str">
        <f t="array" ref="E113">IF(
                C113 = "",
                "",
                       IF(
                           C113 ="FOTOGRAFIA",
                           "LINK",
                           "https://www.appsheet.com/template/gettablefileurl?appName=MEDICIÓNDEESPESORES-924373673&amp;tableName=1_general&amp;fileName="&amp;C113                         )
                          )</f>
        <v>https://www.appsheet.com/template/gettablefileurl?appName=MEDICIÓNDEESPESORES-924373673&amp;tableName=1_general&amp;fileName=3_fotografias_Images/a4a19f5d.imagen.142006.jpg</v>
      </c>
      <c r="F113" s="55" t="str">
        <f t="shared" si="1"/>
        <v/>
      </c>
    </row>
    <row r="114" ht="57.75" customHeight="1">
      <c r="A114" s="4" t="s">
        <v>8057</v>
      </c>
      <c r="B114" s="4" t="s">
        <v>454</v>
      </c>
      <c r="C114" s="4" t="s">
        <v>8058</v>
      </c>
      <c r="D114" s="4" t="s">
        <v>8059</v>
      </c>
      <c r="E114" s="89" t="str">
        <f t="array" ref="E114">IF(
                C114 = "",
                "",
                       IF(
                           C114 ="FOTOGRAFIA",
                           "LINK",
                           "https://www.appsheet.com/template/gettablefileurl?appName=MEDICIÓNDEESPESORES-924373673&amp;tableName=1_general&amp;fileName="&amp;C114                         )
                          )</f>
        <v>https://www.appsheet.com/template/gettablefileurl?appName=MEDICIÓNDEESPESORES-924373673&amp;tableName=1_general&amp;fileName=3_fotografias_Images/829816f4.imagen.142055.jpg</v>
      </c>
      <c r="F114" s="55" t="str">
        <f t="shared" si="1"/>
        <v/>
      </c>
    </row>
    <row r="115" ht="57.75" customHeight="1">
      <c r="A115" s="4" t="s">
        <v>8060</v>
      </c>
      <c r="B115" s="4" t="s">
        <v>454</v>
      </c>
      <c r="C115" s="4" t="s">
        <v>8061</v>
      </c>
      <c r="D115" s="4" t="s">
        <v>8062</v>
      </c>
      <c r="E115" s="89" t="str">
        <f t="array" ref="E115">IF(
                C115 = "",
                "",
                       IF(
                           C115 ="FOTOGRAFIA",
                           "LINK",
                           "https://www.appsheet.com/template/gettablefileurl?appName=MEDICIÓNDEESPESORES-924373673&amp;tableName=1_general&amp;fileName="&amp;C115                         )
                          )</f>
        <v>https://www.appsheet.com/template/gettablefileurl?appName=MEDICIÓNDEESPESORES-924373673&amp;tableName=1_general&amp;fileName=3_fotografias_Images/4834f6ad.imagen.142154.jpg</v>
      </c>
      <c r="F115" s="55" t="str">
        <f t="shared" si="1"/>
        <v/>
      </c>
    </row>
    <row r="116" ht="57.75" customHeight="1">
      <c r="A116" s="54" t="s">
        <v>8063</v>
      </c>
      <c r="B116" s="4" t="s">
        <v>454</v>
      </c>
      <c r="C116" s="4" t="s">
        <v>8064</v>
      </c>
      <c r="D116" s="4" t="s">
        <v>8065</v>
      </c>
      <c r="E116" s="89" t="str">
        <f t="array" ref="E116">IF(
                C116 = "",
                "",
                       IF(
                           C116 ="FOTOGRAFIA",
                           "LINK",
                           "https://www.appsheet.com/template/gettablefileurl?appName=MEDICIÓNDEESPESORES-924373673&amp;tableName=1_general&amp;fileName="&amp;C116                         )
                          )</f>
        <v>https://www.appsheet.com/template/gettablefileurl?appName=MEDICIÓNDEESPESORES-924373673&amp;tableName=1_general&amp;fileName=3_fotografias_Images/23707146.imagen.142244.jpg</v>
      </c>
      <c r="F116" s="55" t="str">
        <f t="shared" si="1"/>
        <v/>
      </c>
    </row>
    <row r="117" ht="57.75" customHeight="1">
      <c r="A117" s="4" t="s">
        <v>8066</v>
      </c>
      <c r="B117" s="4" t="s">
        <v>454</v>
      </c>
      <c r="C117" s="4" t="s">
        <v>8067</v>
      </c>
      <c r="D117" s="4" t="s">
        <v>8068</v>
      </c>
      <c r="E117" s="89" t="str">
        <f t="array" ref="E117">IF(
                C117 = "",
                "",
                       IF(
                           C117 ="FOTOGRAFIA",
                           "LINK",
                           "https://www.appsheet.com/template/gettablefileurl?appName=MEDICIÓNDEESPESORES-924373673&amp;tableName=1_general&amp;fileName="&amp;C117                         )
                          )</f>
        <v>https://www.appsheet.com/template/gettablefileurl?appName=MEDICIÓNDEESPESORES-924373673&amp;tableName=1_general&amp;fileName=3_fotografias_Images/e35b7a05.imagen.142333.jpg</v>
      </c>
      <c r="F117" s="55" t="str">
        <f t="shared" si="1"/>
        <v/>
      </c>
    </row>
    <row r="118" ht="57.75" customHeight="1">
      <c r="A118" s="4" t="s">
        <v>8069</v>
      </c>
      <c r="B118" s="4" t="s">
        <v>454</v>
      </c>
      <c r="C118" s="4" t="s">
        <v>8070</v>
      </c>
      <c r="D118" s="4" t="s">
        <v>8071</v>
      </c>
      <c r="E118" s="89" t="str">
        <f t="array" ref="E118">IF(
                C118 = "",
                "",
                       IF(
                           C118 ="FOTOGRAFIA",
                           "LINK",
                           "https://www.appsheet.com/template/gettablefileurl?appName=MEDICIÓNDEESPESORES-924373673&amp;tableName=1_general&amp;fileName="&amp;C118                         )
                          )</f>
        <v>https://www.appsheet.com/template/gettablefileurl?appName=MEDICIÓNDEESPESORES-924373673&amp;tableName=1_general&amp;fileName=3_fotografias_Images/a77cf741.imagen.142541.jpg</v>
      </c>
      <c r="F118" s="55" t="str">
        <f t="shared" si="1"/>
        <v/>
      </c>
    </row>
    <row r="119" ht="57.75" customHeight="1">
      <c r="A119" s="4" t="s">
        <v>8072</v>
      </c>
      <c r="B119" s="4" t="s">
        <v>454</v>
      </c>
      <c r="C119" s="4" t="s">
        <v>8073</v>
      </c>
      <c r="D119" s="4" t="s">
        <v>8074</v>
      </c>
      <c r="E119" s="89" t="str">
        <f t="array" ref="E119">IF(
                C119 = "",
                "",
                       IF(
                           C119 ="FOTOGRAFIA",
                           "LINK",
                           "https://www.appsheet.com/template/gettablefileurl?appName=MEDICIÓNDEESPESORES-924373673&amp;tableName=1_general&amp;fileName="&amp;C119                         )
                          )</f>
        <v>https://www.appsheet.com/template/gettablefileurl?appName=MEDICIÓNDEESPESORES-924373673&amp;tableName=1_general&amp;fileName=3_fotografias_Images/81c2e0c0.imagen.142628.jpg</v>
      </c>
      <c r="F119" s="55" t="str">
        <f t="shared" si="1"/>
        <v/>
      </c>
    </row>
    <row r="120" ht="57.75" customHeight="1">
      <c r="A120" s="4" t="s">
        <v>8075</v>
      </c>
      <c r="B120" s="4" t="s">
        <v>442</v>
      </c>
      <c r="C120" s="4" t="s">
        <v>8076</v>
      </c>
      <c r="D120" s="4" t="s">
        <v>8044</v>
      </c>
      <c r="E120" s="89" t="str">
        <f t="array" ref="E120">IF(
                C120 = "",
                "",
                       IF(
                           C120 ="FOTOGRAFIA",
                           "LINK",
                           "https://www.appsheet.com/template/gettablefileurl?appName=MEDICIÓNDEESPESORES-924373673&amp;tableName=1_general&amp;fileName="&amp;C120                         )
                          )</f>
        <v>https://www.appsheet.com/template/gettablefileurl?appName=MEDICIÓNDEESPESORES-924373673&amp;tableName=1_general&amp;fileName=3_fotografias_Images/c3926683.imagen.153927.jpg</v>
      </c>
      <c r="F120" s="55" t="str">
        <f t="shared" si="1"/>
        <v/>
      </c>
    </row>
    <row r="121" ht="57.75" customHeight="1">
      <c r="A121" s="4" t="s">
        <v>8077</v>
      </c>
      <c r="B121" s="4" t="s">
        <v>442</v>
      </c>
      <c r="C121" s="4" t="s">
        <v>8078</v>
      </c>
      <c r="D121" s="4" t="s">
        <v>8079</v>
      </c>
      <c r="E121" s="89" t="str">
        <f t="array" ref="E121">IF(
                C121 = "",
                "",
                       IF(
                           C121 ="FOTOGRAFIA",
                           "LINK",
                           "https://www.appsheet.com/template/gettablefileurl?appName=MEDICIÓNDEESPESORES-924373673&amp;tableName=1_general&amp;fileName="&amp;C121                         )
                          )</f>
        <v>https://www.appsheet.com/template/gettablefileurl?appName=MEDICIÓNDEESPESORES-924373673&amp;tableName=1_general&amp;fileName=3_fotografias_Images/e2bc2c14.imagen.153955.jpg</v>
      </c>
      <c r="F121" s="55" t="str">
        <f t="shared" si="1"/>
        <v/>
      </c>
    </row>
    <row r="122" ht="57.75" customHeight="1">
      <c r="A122" s="4" t="s">
        <v>8080</v>
      </c>
      <c r="B122" s="4" t="s">
        <v>442</v>
      </c>
      <c r="C122" s="4" t="s">
        <v>8081</v>
      </c>
      <c r="D122" s="4" t="s">
        <v>8082</v>
      </c>
      <c r="E122" s="89" t="str">
        <f t="array" ref="E122">IF(
                C122 = "",
                "",
                       IF(
                           C122 ="FOTOGRAFIA",
                           "LINK",
                           "https://www.appsheet.com/template/gettablefileurl?appName=MEDICIÓNDEESPESORES-924373673&amp;tableName=1_general&amp;fileName="&amp;C122                         )
                          )</f>
        <v>https://www.appsheet.com/template/gettablefileurl?appName=MEDICIÓNDEESPESORES-924373673&amp;tableName=1_general&amp;fileName=3_fotografias_Images/4ec93976.imagen.154029.jpg</v>
      </c>
      <c r="F122" s="55" t="str">
        <f t="shared" si="1"/>
        <v/>
      </c>
    </row>
    <row r="123" ht="57.75" customHeight="1">
      <c r="A123" s="4" t="s">
        <v>8083</v>
      </c>
      <c r="B123" s="4" t="s">
        <v>442</v>
      </c>
      <c r="C123" s="4" t="s">
        <v>8084</v>
      </c>
      <c r="D123" s="4" t="s">
        <v>8085</v>
      </c>
      <c r="E123" s="89" t="str">
        <f t="array" ref="E123">IF(
                C123 = "",
                "",
                       IF(
                           C123 ="FOTOGRAFIA",
                           "LINK",
                           "https://www.appsheet.com/template/gettablefileurl?appName=MEDICIÓNDEESPESORES-924373673&amp;tableName=1_general&amp;fileName="&amp;C123                         )
                          )</f>
        <v>https://www.appsheet.com/template/gettablefileurl?appName=MEDICIÓNDEESPESORES-924373673&amp;tableName=1_general&amp;fileName=3_fotografias_Images/29ca9682.imagen.154117.jpg</v>
      </c>
      <c r="F123" s="55" t="str">
        <f t="shared" si="1"/>
        <v/>
      </c>
    </row>
    <row r="124" ht="57.75" customHeight="1">
      <c r="A124" s="4" t="s">
        <v>8086</v>
      </c>
      <c r="B124" s="4" t="s">
        <v>442</v>
      </c>
      <c r="C124" s="4" t="s">
        <v>8087</v>
      </c>
      <c r="D124" s="4" t="s">
        <v>8088</v>
      </c>
      <c r="E124" s="89" t="str">
        <f t="array" ref="E124">IF(
                C124 = "",
                "",
                       IF(
                           C124 ="FOTOGRAFIA",
                           "LINK",
                           "https://www.appsheet.com/template/gettablefileurl?appName=MEDICIÓNDEESPESORES-924373673&amp;tableName=1_general&amp;fileName="&amp;C124                         )
                          )</f>
        <v>https://www.appsheet.com/template/gettablefileurl?appName=MEDICIÓNDEESPESORES-924373673&amp;tableName=1_general&amp;fileName=3_fotografias_Images/038e507d.imagen.154147.jpg</v>
      </c>
      <c r="F124" s="55" t="str">
        <f t="shared" si="1"/>
        <v/>
      </c>
    </row>
    <row r="125" ht="57.75" customHeight="1">
      <c r="A125" s="4" t="s">
        <v>8089</v>
      </c>
      <c r="B125" s="4" t="s">
        <v>442</v>
      </c>
      <c r="C125" s="4" t="s">
        <v>8090</v>
      </c>
      <c r="D125" s="4" t="s">
        <v>8091</v>
      </c>
      <c r="E125" s="89" t="str">
        <f t="array" ref="E125">IF(
                C125 = "",
                "",
                       IF(
                           C125 ="FOTOGRAFIA",
                           "LINK",
                           "https://www.appsheet.com/template/gettablefileurl?appName=MEDICIÓNDEESPESORES-924373673&amp;tableName=1_general&amp;fileName="&amp;C125                         )
                          )</f>
        <v>https://www.appsheet.com/template/gettablefileurl?appName=MEDICIÓNDEESPESORES-924373673&amp;tableName=1_general&amp;fileName=3_fotografias_Images/e8cd5ebb.imagen.154227.jpg</v>
      </c>
      <c r="F125" s="55" t="str">
        <f t="shared" si="1"/>
        <v/>
      </c>
    </row>
    <row r="126" ht="57.75" customHeight="1">
      <c r="A126" s="4" t="s">
        <v>8092</v>
      </c>
      <c r="B126" s="4" t="s">
        <v>442</v>
      </c>
      <c r="C126" s="4" t="s">
        <v>8093</v>
      </c>
      <c r="D126" s="4" t="s">
        <v>8094</v>
      </c>
      <c r="E126" s="89" t="str">
        <f t="array" ref="E126">IF(
                C126 = "",
                "",
                       IF(
                           C126 ="FOTOGRAFIA",
                           "LINK",
                           "https://www.appsheet.com/template/gettablefileurl?appName=MEDICIÓNDEESPESORES-924373673&amp;tableName=1_general&amp;fileName="&amp;C126                         )
                          )</f>
        <v>https://www.appsheet.com/template/gettablefileurl?appName=MEDICIÓNDEESPESORES-924373673&amp;tableName=1_general&amp;fileName=3_fotografias_Images/0690a36e.imagen.154346.jpg</v>
      </c>
      <c r="F126" s="55" t="str">
        <f t="shared" si="1"/>
        <v/>
      </c>
    </row>
    <row r="127" ht="57.75" customHeight="1">
      <c r="A127" s="4" t="s">
        <v>8095</v>
      </c>
      <c r="B127" s="4" t="s">
        <v>442</v>
      </c>
      <c r="C127" s="4" t="s">
        <v>8096</v>
      </c>
      <c r="D127" s="4" t="s">
        <v>8097</v>
      </c>
      <c r="E127" s="89" t="str">
        <f t="array" ref="E127">IF(
                C127 = "",
                "",
                       IF(
                           C127 ="FOTOGRAFIA",
                           "LINK",
                           "https://www.appsheet.com/template/gettablefileurl?appName=MEDICIÓNDEESPESORES-924373673&amp;tableName=1_general&amp;fileName="&amp;C127                         )
                          )</f>
        <v>https://www.appsheet.com/template/gettablefileurl?appName=MEDICIÓNDEESPESORES-924373673&amp;tableName=1_general&amp;fileName=3_fotografias_Images/472f1082.imagen.154420.jpg</v>
      </c>
      <c r="F127" s="55" t="str">
        <f t="shared" si="1"/>
        <v/>
      </c>
    </row>
    <row r="128" ht="57.75" customHeight="1">
      <c r="A128" s="4" t="s">
        <v>8098</v>
      </c>
      <c r="B128" s="4" t="s">
        <v>442</v>
      </c>
      <c r="C128" s="4" t="s">
        <v>8099</v>
      </c>
      <c r="D128" s="4" t="s">
        <v>8100</v>
      </c>
      <c r="E128" s="89" t="str">
        <f t="array" ref="E128">IF(
                C128 = "",
                "",
                       IF(
                           C128 ="FOTOGRAFIA",
                           "LINK",
                           "https://www.appsheet.com/template/gettablefileurl?appName=MEDICIÓNDEESPESORES-924373673&amp;tableName=1_general&amp;fileName="&amp;C128                         )
                          )</f>
        <v>https://www.appsheet.com/template/gettablefileurl?appName=MEDICIÓNDEESPESORES-924373673&amp;tableName=1_general&amp;fileName=3_fotografias_Images/ae74922d.imagen.154513.jpg</v>
      </c>
      <c r="F128" s="55" t="str">
        <f t="shared" si="1"/>
        <v/>
      </c>
    </row>
    <row r="129" ht="57.75" customHeight="1">
      <c r="A129" s="4" t="s">
        <v>8101</v>
      </c>
      <c r="B129" s="4" t="s">
        <v>442</v>
      </c>
      <c r="C129" s="4" t="s">
        <v>8102</v>
      </c>
      <c r="D129" s="4" t="s">
        <v>8103</v>
      </c>
      <c r="E129" s="89" t="str">
        <f t="array" ref="E129">IF(
                C129 = "",
                "",
                       IF(
                           C129 ="FOTOGRAFIA",
                           "LINK",
                           "https://www.appsheet.com/template/gettablefileurl?appName=MEDICIÓNDEESPESORES-924373673&amp;tableName=1_general&amp;fileName="&amp;C129                         )
                          )</f>
        <v>https://www.appsheet.com/template/gettablefileurl?appName=MEDICIÓNDEESPESORES-924373673&amp;tableName=1_general&amp;fileName=3_fotografias_Images/b8559db7.imagen.154553.jpg</v>
      </c>
      <c r="F129" s="55" t="str">
        <f t="shared" si="1"/>
        <v/>
      </c>
    </row>
    <row r="130" ht="57.75" customHeight="1">
      <c r="A130" s="4" t="s">
        <v>8104</v>
      </c>
      <c r="B130" s="4" t="s">
        <v>442</v>
      </c>
      <c r="C130" s="4" t="s">
        <v>8105</v>
      </c>
      <c r="D130" s="4" t="s">
        <v>8106</v>
      </c>
      <c r="E130" s="89" t="str">
        <f t="array" ref="E130">IF(
                C130 = "",
                "",
                       IF(
                           C130 ="FOTOGRAFIA",
                           "LINK",
                           "https://www.appsheet.com/template/gettablefileurl?appName=MEDICIÓNDEESPESORES-924373673&amp;tableName=1_general&amp;fileName="&amp;C130                         )
                          )</f>
        <v>https://www.appsheet.com/template/gettablefileurl?appName=MEDICIÓNDEESPESORES-924373673&amp;tableName=1_general&amp;fileName=3_fotografias_Images/9527ea57.imagen.154846.jpg</v>
      </c>
      <c r="F130" s="55" t="str">
        <f t="shared" si="1"/>
        <v/>
      </c>
    </row>
    <row r="131" ht="57.75" customHeight="1">
      <c r="A131" s="4" t="s">
        <v>8107</v>
      </c>
      <c r="B131" s="4" t="s">
        <v>442</v>
      </c>
      <c r="C131" s="4" t="s">
        <v>8108</v>
      </c>
      <c r="D131" s="4" t="s">
        <v>8109</v>
      </c>
      <c r="E131" s="89" t="str">
        <f t="array" ref="E131">IF(
                C131 = "",
                "",
                       IF(
                           C131 ="FOTOGRAFIA",
                           "LINK",
                           "https://www.appsheet.com/template/gettablefileurl?appName=MEDICIÓNDEESPESORES-924373673&amp;tableName=1_general&amp;fileName="&amp;C131                         )
                          )</f>
        <v>https://www.appsheet.com/template/gettablefileurl?appName=MEDICIÓNDEESPESORES-924373673&amp;tableName=1_general&amp;fileName=3_fotografias_Images/d9f22ddb.imagen.154930.jpg</v>
      </c>
      <c r="F131" s="55" t="str">
        <f t="shared" si="1"/>
        <v/>
      </c>
    </row>
    <row r="132" ht="57.75" customHeight="1">
      <c r="A132" s="4" t="s">
        <v>8110</v>
      </c>
      <c r="B132" s="4" t="s">
        <v>442</v>
      </c>
      <c r="C132" s="4" t="s">
        <v>8111</v>
      </c>
      <c r="D132" s="4" t="s">
        <v>8112</v>
      </c>
      <c r="E132" s="89" t="str">
        <f t="array" ref="E132">IF(
                C132 = "",
                "",
                       IF(
                           C132 ="FOTOGRAFIA",
                           "LINK",
                           "https://www.appsheet.com/template/gettablefileurl?appName=MEDICIÓNDEESPESORES-924373673&amp;tableName=1_general&amp;fileName="&amp;C132                         )
                          )</f>
        <v>https://www.appsheet.com/template/gettablefileurl?appName=MEDICIÓNDEESPESORES-924373673&amp;tableName=1_general&amp;fileName=3_fotografias_Images/54cd3653.imagen.155121.jpg</v>
      </c>
      <c r="F132" s="55" t="str">
        <f t="shared" si="1"/>
        <v/>
      </c>
    </row>
    <row r="133" ht="57.75" customHeight="1">
      <c r="A133" s="4" t="s">
        <v>8113</v>
      </c>
      <c r="B133" s="4" t="s">
        <v>442</v>
      </c>
      <c r="C133" s="4" t="s">
        <v>8114</v>
      </c>
      <c r="D133" s="4" t="s">
        <v>8115</v>
      </c>
      <c r="E133" s="89" t="str">
        <f t="array" ref="E133">IF(
                C133 = "",
                "",
                       IF(
                           C133 ="FOTOGRAFIA",
                           "LINK",
                           "https://www.appsheet.com/template/gettablefileurl?appName=MEDICIÓNDEESPESORES-924373673&amp;tableName=1_general&amp;fileName="&amp;C133                         )
                          )</f>
        <v>https://www.appsheet.com/template/gettablefileurl?appName=MEDICIÓNDEESPESORES-924373673&amp;tableName=1_general&amp;fileName=3_fotografias_Images/d6561fb5.imagen.155207.jpg</v>
      </c>
      <c r="F133" s="55" t="str">
        <f t="shared" si="1"/>
        <v/>
      </c>
    </row>
    <row r="134" ht="57.75" customHeight="1">
      <c r="A134" s="4" t="s">
        <v>8116</v>
      </c>
      <c r="B134" s="4" t="s">
        <v>442</v>
      </c>
      <c r="C134" s="4" t="s">
        <v>8117</v>
      </c>
      <c r="D134" s="4" t="s">
        <v>8118</v>
      </c>
      <c r="E134" s="89" t="str">
        <f t="array" ref="E134">IF(
                C134 = "",
                "",
                       IF(
                           C134 ="FOTOGRAFIA",
                           "LINK",
                           "https://www.appsheet.com/template/gettablefileurl?appName=MEDICIÓNDEESPESORES-924373673&amp;tableName=1_general&amp;fileName="&amp;C134                         )
                          )</f>
        <v>https://www.appsheet.com/template/gettablefileurl?appName=MEDICIÓNDEESPESORES-924373673&amp;tableName=1_general&amp;fileName=3_fotografias_Images/dbd197d5.imagen.155247.jpg</v>
      </c>
      <c r="F134" s="55" t="str">
        <f t="shared" si="1"/>
        <v/>
      </c>
    </row>
    <row r="135" ht="57.75" customHeight="1">
      <c r="A135" s="4" t="s">
        <v>8119</v>
      </c>
      <c r="B135" s="4" t="s">
        <v>442</v>
      </c>
      <c r="C135" s="4" t="s">
        <v>8120</v>
      </c>
      <c r="D135" s="4" t="s">
        <v>8121</v>
      </c>
      <c r="E135" s="89" t="str">
        <f t="array" ref="E135">IF(
                C135 = "",
                "",
                       IF(
                           C135 ="FOTOGRAFIA",
                           "LINK",
                           "https://www.appsheet.com/template/gettablefileurl?appName=MEDICIÓNDEESPESORES-924373673&amp;tableName=1_general&amp;fileName="&amp;C135                         )
                          )</f>
        <v>https://www.appsheet.com/template/gettablefileurl?appName=MEDICIÓNDEESPESORES-924373673&amp;tableName=1_general&amp;fileName=3_fotografias_Images/ea6d3708.imagen.155318.jpg</v>
      </c>
      <c r="F135" s="55" t="str">
        <f t="shared" si="1"/>
        <v/>
      </c>
    </row>
    <row r="136" ht="57.75" customHeight="1">
      <c r="A136" s="4" t="s">
        <v>8122</v>
      </c>
      <c r="B136" s="4" t="s">
        <v>595</v>
      </c>
      <c r="C136" s="4" t="s">
        <v>8123</v>
      </c>
      <c r="D136" s="4" t="s">
        <v>8027</v>
      </c>
      <c r="E136" s="89" t="str">
        <f t="array" ref="E136">IF(
                C136 = "",
                "",
                       IF(
                           C136 ="FOTOGRAFIA",
                           "LINK",
                           "https://www.appsheet.com/template/gettablefileurl?appName=MEDICIÓNDEESPESORES-924373673&amp;tableName=1_general&amp;fileName="&amp;C136                         )
                          )</f>
        <v>https://www.appsheet.com/template/gettablefileurl?appName=MEDICIÓNDEESPESORES-924373673&amp;tableName=1_general&amp;fileName=3_fotografias_Images/5b3de6a9.imagen.160406.jpg</v>
      </c>
      <c r="F136" s="55" t="str">
        <f t="shared" si="1"/>
        <v/>
      </c>
    </row>
    <row r="137" ht="57.75" customHeight="1">
      <c r="A137" s="4" t="s">
        <v>8124</v>
      </c>
      <c r="B137" s="4" t="s">
        <v>595</v>
      </c>
      <c r="C137" s="4" t="s">
        <v>8125</v>
      </c>
      <c r="D137" s="4" t="s">
        <v>8024</v>
      </c>
      <c r="E137" s="89" t="str">
        <f t="array" ref="E137">IF(
                C137 = "",
                "",
                       IF(
                           C137 ="FOTOGRAFIA",
                           "LINK",
                           "https://www.appsheet.com/template/gettablefileurl?appName=MEDICIÓNDEESPESORES-924373673&amp;tableName=1_general&amp;fileName="&amp;C137                         )
                          )</f>
        <v>https://www.appsheet.com/template/gettablefileurl?appName=MEDICIÓNDEESPESORES-924373673&amp;tableName=1_general&amp;fileName=3_fotografias_Images/93aa851e.imagen.160413.jpg</v>
      </c>
      <c r="F137" s="55" t="str">
        <f t="shared" si="1"/>
        <v/>
      </c>
    </row>
    <row r="138" ht="57.75" customHeight="1">
      <c r="A138" s="4" t="s">
        <v>8126</v>
      </c>
      <c r="B138" s="4" t="s">
        <v>595</v>
      </c>
      <c r="C138" s="4" t="s">
        <v>8127</v>
      </c>
      <c r="D138" s="4" t="s">
        <v>4830</v>
      </c>
      <c r="E138" s="89" t="str">
        <f t="array" ref="E138">IF(
                C138 = "",
                "",
                       IF(
                           C138 ="FOTOGRAFIA",
                           "LINK",
                           "https://www.appsheet.com/template/gettablefileurl?appName=MEDICIÓNDEESPESORES-924373673&amp;tableName=1_general&amp;fileName="&amp;C138                         )
                          )</f>
        <v>https://www.appsheet.com/template/gettablefileurl?appName=MEDICIÓNDEESPESORES-924373673&amp;tableName=1_general&amp;fileName=3_fotografias_Images/b0e22c7a.imagen.160417.jpg</v>
      </c>
      <c r="F138" s="55" t="str">
        <f t="shared" si="1"/>
        <v/>
      </c>
    </row>
    <row r="139" ht="57.75" customHeight="1">
      <c r="A139" s="4" t="s">
        <v>8128</v>
      </c>
      <c r="B139" s="4" t="s">
        <v>595</v>
      </c>
      <c r="C139" s="4" t="s">
        <v>8129</v>
      </c>
      <c r="D139" s="4" t="s">
        <v>4723</v>
      </c>
      <c r="E139" s="89" t="str">
        <f t="array" ref="E139">IF(
                C139 = "",
                "",
                       IF(
                           C139 ="FOTOGRAFIA",
                           "LINK",
                           "https://www.appsheet.com/template/gettablefileurl?appName=MEDICIÓNDEESPESORES-924373673&amp;tableName=1_general&amp;fileName="&amp;C139                         )
                          )</f>
        <v>https://www.appsheet.com/template/gettablefileurl?appName=MEDICIÓNDEESPESORES-924373673&amp;tableName=1_general&amp;fileName=3_fotografias_Images/54bcd163.imagen.160421.jpg</v>
      </c>
      <c r="F139" s="55" t="str">
        <f t="shared" si="1"/>
        <v/>
      </c>
    </row>
    <row r="140" ht="57.75" customHeight="1">
      <c r="A140" s="4" t="s">
        <v>8130</v>
      </c>
      <c r="B140" s="4" t="s">
        <v>595</v>
      </c>
      <c r="C140" s="4" t="s">
        <v>8131</v>
      </c>
      <c r="D140" s="4" t="s">
        <v>8132</v>
      </c>
      <c r="E140" s="89" t="str">
        <f t="array" ref="E140">IF(
                C140 = "",
                "",
                       IF(
                           C140 ="FOTOGRAFIA",
                           "LINK",
                           "https://www.appsheet.com/template/gettablefileurl?appName=MEDICIÓNDEESPESORES-924373673&amp;tableName=1_general&amp;fileName="&amp;C140                         )
                          )</f>
        <v>https://www.appsheet.com/template/gettablefileurl?appName=MEDICIÓNDEESPESORES-924373673&amp;tableName=1_general&amp;fileName=3_fotografias_Images/8524deeb.imagen.160425.png</v>
      </c>
      <c r="F140" s="55" t="str">
        <f t="shared" si="1"/>
        <v/>
      </c>
    </row>
    <row r="141" ht="57.75" customHeight="1">
      <c r="A141" s="4" t="s">
        <v>8133</v>
      </c>
      <c r="B141" s="4" t="s">
        <v>595</v>
      </c>
      <c r="C141" s="4" t="s">
        <v>8134</v>
      </c>
      <c r="D141" s="4" t="s">
        <v>4725</v>
      </c>
      <c r="E141" s="89" t="str">
        <f t="array" ref="E141">IF(
                C141 = "",
                "",
                       IF(
                           C141 ="FOTOGRAFIA",
                           "LINK",
                           "https://www.appsheet.com/template/gettablefileurl?appName=MEDICIÓNDEESPESORES-924373673&amp;tableName=1_general&amp;fileName="&amp;C141                         )
                          )</f>
        <v>https://www.appsheet.com/template/gettablefileurl?appName=MEDICIÓNDEESPESORES-924373673&amp;tableName=1_general&amp;fileName=3_fotografias_Images/c4ca9853.imagen.160430.jpg</v>
      </c>
      <c r="F141" s="55" t="str">
        <f t="shared" si="1"/>
        <v/>
      </c>
    </row>
    <row r="142" ht="57.75" customHeight="1">
      <c r="A142" s="4" t="s">
        <v>8135</v>
      </c>
      <c r="B142" s="4" t="s">
        <v>595</v>
      </c>
      <c r="C142" s="4" t="s">
        <v>8136</v>
      </c>
      <c r="D142" s="4" t="s">
        <v>4727</v>
      </c>
      <c r="E142" s="89" t="str">
        <f t="array" ref="E142">IF(
                C142 = "",
                "",
                       IF(
                           C142 ="FOTOGRAFIA",
                           "LINK",
                           "https://www.appsheet.com/template/gettablefileurl?appName=MEDICIÓNDEESPESORES-924373673&amp;tableName=1_general&amp;fileName="&amp;C142                         )
                          )</f>
        <v>https://www.appsheet.com/template/gettablefileurl?appName=MEDICIÓNDEESPESORES-924373673&amp;tableName=1_general&amp;fileName=3_fotografias_Images/43d78a67.imagen.160434.jpg</v>
      </c>
      <c r="F142" s="55" t="str">
        <f t="shared" si="1"/>
        <v/>
      </c>
    </row>
    <row r="143" ht="57.75" customHeight="1">
      <c r="A143" s="4" t="s">
        <v>8137</v>
      </c>
      <c r="B143" s="4" t="s">
        <v>595</v>
      </c>
      <c r="C143" s="4" t="s">
        <v>8138</v>
      </c>
      <c r="D143" s="4" t="s">
        <v>8139</v>
      </c>
      <c r="E143" s="89" t="str">
        <f t="array" ref="E143">IF(
                C143 = "",
                "",
                       IF(
                           C143 ="FOTOGRAFIA",
                           "LINK",
                           "https://www.appsheet.com/template/gettablefileurl?appName=MEDICIÓNDEESPESORES-924373673&amp;tableName=1_general&amp;fileName="&amp;C143                         )
                          )</f>
        <v>https://www.appsheet.com/template/gettablefileurl?appName=MEDICIÓNDEESPESORES-924373673&amp;tableName=1_general&amp;fileName=3_fotografias_Images/a53feaa4.imagen.160438.jpg</v>
      </c>
      <c r="F143" s="55" t="str">
        <f t="shared" si="1"/>
        <v/>
      </c>
    </row>
    <row r="144" ht="57.75" customHeight="1">
      <c r="A144" s="4" t="s">
        <v>8140</v>
      </c>
      <c r="B144" s="4" t="s">
        <v>595</v>
      </c>
      <c r="C144" s="4" t="s">
        <v>8141</v>
      </c>
      <c r="D144" s="4" t="s">
        <v>4840</v>
      </c>
      <c r="E144" s="89" t="str">
        <f t="array" ref="E144">IF(
                C144 = "",
                "",
                       IF(
                           C144 ="FOTOGRAFIA",
                           "LINK",
                           "https://www.appsheet.com/template/gettablefileurl?appName=MEDICIÓNDEESPESORES-924373673&amp;tableName=1_general&amp;fileName="&amp;C144                         )
                          )</f>
        <v>https://www.appsheet.com/template/gettablefileurl?appName=MEDICIÓNDEESPESORES-924373673&amp;tableName=1_general&amp;fileName=3_fotografias_Images/8cd81684.imagen.160442.jpg</v>
      </c>
      <c r="F144" s="55" t="str">
        <f t="shared" si="1"/>
        <v/>
      </c>
    </row>
    <row r="145" ht="57.75" customHeight="1">
      <c r="A145" s="4" t="s">
        <v>8142</v>
      </c>
      <c r="B145" s="4" t="s">
        <v>595</v>
      </c>
      <c r="C145" s="4" t="s">
        <v>8143</v>
      </c>
      <c r="D145" s="4" t="s">
        <v>4842</v>
      </c>
      <c r="E145" s="89" t="str">
        <f t="array" ref="E145">IF(
                C145 = "",
                "",
                       IF(
                           C145 ="FOTOGRAFIA",
                           "LINK",
                           "https://www.appsheet.com/template/gettablefileurl?appName=MEDICIÓNDEESPESORES-924373673&amp;tableName=1_general&amp;fileName="&amp;C145                         )
                          )</f>
        <v>https://www.appsheet.com/template/gettablefileurl?appName=MEDICIÓNDEESPESORES-924373673&amp;tableName=1_general&amp;fileName=3_fotografias_Images/48d3e9cc.imagen.160445.jpg</v>
      </c>
      <c r="F145" s="55" t="str">
        <f t="shared" si="1"/>
        <v/>
      </c>
    </row>
    <row r="146" ht="57.75" customHeight="1">
      <c r="A146" s="4" t="s">
        <v>8144</v>
      </c>
      <c r="B146" s="4" t="s">
        <v>390</v>
      </c>
      <c r="C146" s="4" t="s">
        <v>8145</v>
      </c>
      <c r="D146" s="4" t="s">
        <v>8146</v>
      </c>
      <c r="E146" s="89" t="str">
        <f t="array" ref="E146">IF(
                C146 = "",
                "",
                       IF(
                           C146 ="FOTOGRAFIA",
                           "LINK",
                           "https://www.appsheet.com/template/gettablefileurl?appName=MEDICIÓNDEESPESORES-924373673&amp;tableName=1_general&amp;fileName="&amp;C146                         )
                          )</f>
        <v>https://www.appsheet.com/template/gettablefileurl?appName=MEDICIÓNDEESPESORES-924373673&amp;tableName=1_general&amp;fileName=3_fotografias_Images/1e3b0d1e.imagen.163144.jpg</v>
      </c>
      <c r="F146" s="55" t="str">
        <f t="shared" si="1"/>
        <v/>
      </c>
    </row>
    <row r="147" ht="57.75" customHeight="1">
      <c r="A147" s="4" t="s">
        <v>8147</v>
      </c>
      <c r="B147" s="4" t="s">
        <v>390</v>
      </c>
      <c r="C147" s="4" t="s">
        <v>8148</v>
      </c>
      <c r="D147" s="4" t="s">
        <v>8056</v>
      </c>
      <c r="E147" s="89" t="str">
        <f t="array" ref="E147">IF(
                C147 = "",
                "",
                       IF(
                           C147 ="FOTOGRAFIA",
                           "LINK",
                           "https://www.appsheet.com/template/gettablefileurl?appName=MEDICIÓNDEESPESORES-924373673&amp;tableName=1_general&amp;fileName="&amp;C147                         )
                          )</f>
        <v>https://www.appsheet.com/template/gettablefileurl?appName=MEDICIÓNDEESPESORES-924373673&amp;tableName=1_general&amp;fileName=3_fotografias_Images/94877b62.imagen.163215.jpg</v>
      </c>
      <c r="F147" s="55" t="str">
        <f t="shared" si="1"/>
        <v/>
      </c>
    </row>
    <row r="148" ht="57.75" customHeight="1">
      <c r="A148" s="4" t="s">
        <v>8149</v>
      </c>
      <c r="B148" s="4" t="s">
        <v>390</v>
      </c>
      <c r="C148" s="4" t="s">
        <v>8150</v>
      </c>
      <c r="D148" s="4" t="s">
        <v>8151</v>
      </c>
      <c r="E148" s="89" t="str">
        <f t="array" ref="E148">IF(
                C148 = "",
                "",
                       IF(
                           C148 ="FOTOGRAFIA",
                           "LINK",
                           "https://www.appsheet.com/template/gettablefileurl?appName=MEDICIÓNDEESPESORES-924373673&amp;tableName=1_general&amp;fileName="&amp;C148                         )
                          )</f>
        <v>https://www.appsheet.com/template/gettablefileurl?appName=MEDICIÓNDEESPESORES-924373673&amp;tableName=1_general&amp;fileName=3_fotografias_Images/ebfa6e32.imagen.163431.jpg</v>
      </c>
      <c r="F148" s="55" t="str">
        <f t="shared" si="1"/>
        <v/>
      </c>
    </row>
    <row r="149" ht="57.75" customHeight="1">
      <c r="A149" s="4" t="s">
        <v>8152</v>
      </c>
      <c r="B149" s="4" t="s">
        <v>390</v>
      </c>
      <c r="C149" s="4" t="s">
        <v>8153</v>
      </c>
      <c r="D149" s="4" t="s">
        <v>8154</v>
      </c>
      <c r="E149" s="89" t="str">
        <f t="array" ref="E149">IF(
                C149 = "",
                "",
                       IF(
                           C149 ="FOTOGRAFIA",
                           "LINK",
                           "https://www.appsheet.com/template/gettablefileurl?appName=MEDICIÓNDEESPESORES-924373673&amp;tableName=1_general&amp;fileName="&amp;C149                         )
                          )</f>
        <v>https://www.appsheet.com/template/gettablefileurl?appName=MEDICIÓNDEESPESORES-924373673&amp;tableName=1_general&amp;fileName=3_fotografias_Images/41d4e4e6.imagen.163519.jpg</v>
      </c>
      <c r="F149" s="55" t="str">
        <f t="shared" si="1"/>
        <v/>
      </c>
    </row>
    <row r="150" ht="57.75" customHeight="1">
      <c r="A150" s="4" t="s">
        <v>8155</v>
      </c>
      <c r="B150" s="4" t="s">
        <v>390</v>
      </c>
      <c r="C150" s="4" t="s">
        <v>8156</v>
      </c>
      <c r="D150" s="4" t="s">
        <v>8157</v>
      </c>
      <c r="E150" s="89" t="str">
        <f t="array" ref="E150">IF(
                C150 = "",
                "",
                       IF(
                           C150 ="FOTOGRAFIA",
                           "LINK",
                           "https://www.appsheet.com/template/gettablefileurl?appName=MEDICIÓNDEESPESORES-924373673&amp;tableName=1_general&amp;fileName="&amp;C150                         )
                          )</f>
        <v>https://www.appsheet.com/template/gettablefileurl?appName=MEDICIÓNDEESPESORES-924373673&amp;tableName=1_general&amp;fileName=3_fotografias_Images/b95d74ef.imagen.163803.jpg</v>
      </c>
      <c r="F150" s="55" t="str">
        <f t="shared" si="1"/>
        <v/>
      </c>
    </row>
    <row r="151" ht="57.75" customHeight="1">
      <c r="A151" s="4" t="s">
        <v>8158</v>
      </c>
      <c r="B151" s="4" t="s">
        <v>390</v>
      </c>
      <c r="C151" s="4" t="s">
        <v>8159</v>
      </c>
      <c r="D151" s="4" t="s">
        <v>8160</v>
      </c>
      <c r="E151" s="89" t="str">
        <f t="array" ref="E151">IF(
                C151 = "",
                "",
                       IF(
                           C151 ="FOTOGRAFIA",
                           "LINK",
                           "https://www.appsheet.com/template/gettablefileurl?appName=MEDICIÓNDEESPESORES-924373673&amp;tableName=1_general&amp;fileName="&amp;C151                         )
                          )</f>
        <v>https://www.appsheet.com/template/gettablefileurl?appName=MEDICIÓNDEESPESORES-924373673&amp;tableName=1_general&amp;fileName=3_fotografias_Images/2aad3a14.imagen.164536.jpg</v>
      </c>
      <c r="F151" s="55" t="str">
        <f t="shared" si="1"/>
        <v/>
      </c>
    </row>
    <row r="152" ht="57.75" customHeight="1">
      <c r="A152" s="4" t="s">
        <v>8161</v>
      </c>
      <c r="B152" s="4" t="s">
        <v>390</v>
      </c>
      <c r="C152" s="4" t="s">
        <v>8162</v>
      </c>
      <c r="D152" s="4" t="s">
        <v>8163</v>
      </c>
      <c r="E152" s="89" t="str">
        <f t="array" ref="E152">IF(
                C152 = "",
                "",
                       IF(
                           C152 ="FOTOGRAFIA",
                           "LINK",
                           "https://www.appsheet.com/template/gettablefileurl?appName=MEDICIÓNDEESPESORES-924373673&amp;tableName=1_general&amp;fileName="&amp;C152                         )
                          )</f>
        <v>https://www.appsheet.com/template/gettablefileurl?appName=MEDICIÓNDEESPESORES-924373673&amp;tableName=1_general&amp;fileName=3_fotografias_Images/6beca075.imagen.164742.jpg</v>
      </c>
      <c r="F152" s="55" t="str">
        <f t="shared" si="1"/>
        <v/>
      </c>
    </row>
    <row r="153" ht="57.75" customHeight="1">
      <c r="A153" s="4" t="s">
        <v>8164</v>
      </c>
      <c r="B153" s="4" t="s">
        <v>390</v>
      </c>
      <c r="C153" s="4" t="s">
        <v>8165</v>
      </c>
      <c r="D153" s="4" t="s">
        <v>8166</v>
      </c>
      <c r="E153" s="89" t="str">
        <f t="array" ref="E153">IF(
                C153 = "",
                "",
                       IF(
                           C153 ="FOTOGRAFIA",
                           "LINK",
                           "https://www.appsheet.com/template/gettablefileurl?appName=MEDICIÓNDEESPESORES-924373673&amp;tableName=1_general&amp;fileName="&amp;C153                         )
                          )</f>
        <v>https://www.appsheet.com/template/gettablefileurl?appName=MEDICIÓNDEESPESORES-924373673&amp;tableName=1_general&amp;fileName=3_fotografias_Images/5379e9b1.imagen.164823.jpg</v>
      </c>
      <c r="F153" s="55" t="str">
        <f t="shared" si="1"/>
        <v/>
      </c>
    </row>
    <row r="154" ht="57.75" customHeight="1">
      <c r="A154" s="54" t="s">
        <v>8167</v>
      </c>
      <c r="B154" s="4" t="s">
        <v>390</v>
      </c>
      <c r="C154" s="4" t="s">
        <v>8168</v>
      </c>
      <c r="D154" s="4" t="s">
        <v>8169</v>
      </c>
      <c r="E154" s="89" t="str">
        <f t="array" ref="E154">IF(
                C154 = "",
                "",
                       IF(
                           C154 ="FOTOGRAFIA",
                           "LINK",
                           "https://www.appsheet.com/template/gettablefileurl?appName=MEDICIÓNDEESPESORES-924373673&amp;tableName=1_general&amp;fileName="&amp;C154                         )
                          )</f>
        <v>https://www.appsheet.com/template/gettablefileurl?appName=MEDICIÓNDEESPESORES-924373673&amp;tableName=1_general&amp;fileName=3_fotografias_Images/61987567.imagen.164852.jpg</v>
      </c>
      <c r="F154" s="55" t="str">
        <f t="shared" si="1"/>
        <v/>
      </c>
    </row>
    <row r="155" ht="57.75" customHeight="1">
      <c r="A155" s="4" t="s">
        <v>8170</v>
      </c>
      <c r="B155" s="4" t="s">
        <v>390</v>
      </c>
      <c r="C155" s="4" t="s">
        <v>8171</v>
      </c>
      <c r="D155" s="4" t="s">
        <v>8172</v>
      </c>
      <c r="E155" s="89" t="str">
        <f t="array" ref="E155">IF(
                C155 = "",
                "",
                       IF(
                           C155 ="FOTOGRAFIA",
                           "LINK",
                           "https://www.appsheet.com/template/gettablefileurl?appName=MEDICIÓNDEESPESORES-924373673&amp;tableName=1_general&amp;fileName="&amp;C155                         )
                          )</f>
        <v>https://www.appsheet.com/template/gettablefileurl?appName=MEDICIÓNDEESPESORES-924373673&amp;tableName=1_general&amp;fileName=3_fotografias_Images/e3ef5306.imagen.164934.jpg</v>
      </c>
      <c r="F155" s="55" t="str">
        <f t="shared" si="1"/>
        <v/>
      </c>
    </row>
    <row r="156" ht="57.75" customHeight="1">
      <c r="A156" s="4" t="s">
        <v>8173</v>
      </c>
      <c r="B156" s="4" t="s">
        <v>390</v>
      </c>
      <c r="C156" s="4" t="s">
        <v>8174</v>
      </c>
      <c r="D156" s="4" t="s">
        <v>8175</v>
      </c>
      <c r="E156" s="89" t="str">
        <f t="array" ref="E156">IF(
                C156 = "",
                "",
                       IF(
                           C156 ="FOTOGRAFIA",
                           "LINK",
                           "https://www.appsheet.com/template/gettablefileurl?appName=MEDICIÓNDEESPESORES-924373673&amp;tableName=1_general&amp;fileName="&amp;C156                         )
                          )</f>
        <v>https://www.appsheet.com/template/gettablefileurl?appName=MEDICIÓNDEESPESORES-924373673&amp;tableName=1_general&amp;fileName=3_fotografias_Images/6709a176.imagen.165020.jpg</v>
      </c>
      <c r="F156" s="55" t="str">
        <f t="shared" si="1"/>
        <v/>
      </c>
    </row>
    <row r="157" ht="57.75" customHeight="1">
      <c r="A157" s="4" t="s">
        <v>8176</v>
      </c>
      <c r="B157" s="4" t="s">
        <v>610</v>
      </c>
      <c r="C157" s="4" t="s">
        <v>8177</v>
      </c>
      <c r="D157" s="4" t="s">
        <v>8178</v>
      </c>
      <c r="E157" s="89" t="str">
        <f t="array" ref="E157">IF(
                C157 = "",
                "",
                       IF(
                           C157 ="FOTOGRAFIA",
                           "LINK",
                           "https://www.appsheet.com/template/gettablefileurl?appName=MEDICIÓNDEESPESORES-924373673&amp;tableName=1_general&amp;fileName="&amp;C157                         )
                          )</f>
        <v>https://www.appsheet.com/template/gettablefileurl?appName=MEDICIÓNDEESPESORES-924373673&amp;tableName=1_general&amp;fileName=3_fotografias_Images/464a5dcf.imagen.165554.jpg</v>
      </c>
      <c r="F157" s="55" t="str">
        <f t="shared" si="1"/>
        <v/>
      </c>
    </row>
    <row r="158" ht="57.75" customHeight="1">
      <c r="A158" s="4" t="s">
        <v>8179</v>
      </c>
      <c r="B158" s="4" t="s">
        <v>610</v>
      </c>
      <c r="C158" s="4" t="s">
        <v>8180</v>
      </c>
      <c r="D158" s="4" t="s">
        <v>8181</v>
      </c>
      <c r="E158" s="89" t="str">
        <f t="array" ref="E158">IF(
                C158 = "",
                "",
                       IF(
                           C158 ="FOTOGRAFIA",
                           "LINK",
                           "https://www.appsheet.com/template/gettablefileurl?appName=MEDICIÓNDEESPESORES-924373673&amp;tableName=1_general&amp;fileName="&amp;C158                         )
                          )</f>
        <v>https://www.appsheet.com/template/gettablefileurl?appName=MEDICIÓNDEESPESORES-924373673&amp;tableName=1_general&amp;fileName=3_fotografias_Images/e7b6765e.imagen.165559.jpg</v>
      </c>
      <c r="F158" s="55" t="str">
        <f t="shared" si="1"/>
        <v/>
      </c>
    </row>
    <row r="159" ht="57.75" customHeight="1">
      <c r="A159" s="4" t="s">
        <v>8182</v>
      </c>
      <c r="B159" s="4" t="s">
        <v>653</v>
      </c>
      <c r="C159" s="4" t="s">
        <v>8183</v>
      </c>
      <c r="D159" s="4" t="s">
        <v>8184</v>
      </c>
      <c r="E159" s="89" t="str">
        <f t="array" ref="E159">IF(
                C159 = "",
                "",
                       IF(
                           C159 ="FOTOGRAFIA",
                           "LINK",
                           "https://www.appsheet.com/template/gettablefileurl?appName=MEDICIÓNDEESPESORES-924373673&amp;tableName=1_general&amp;fileName="&amp;C159                         )
                          )</f>
        <v>https://www.appsheet.com/template/gettablefileurl?appName=MEDICIÓNDEESPESORES-924373673&amp;tableName=1_general&amp;fileName=3_fotografias_Images/45117eb9.imagen.165826.jpg</v>
      </c>
      <c r="F159" s="55" t="str">
        <f t="shared" si="1"/>
        <v/>
      </c>
    </row>
    <row r="160" ht="57.75" customHeight="1">
      <c r="A160" s="4" t="s">
        <v>8185</v>
      </c>
      <c r="B160" s="4" t="s">
        <v>806</v>
      </c>
      <c r="C160" s="4" t="s">
        <v>8186</v>
      </c>
      <c r="D160" s="4" t="s">
        <v>8187</v>
      </c>
      <c r="E160" s="89" t="str">
        <f t="array" ref="E160">IF(
                C160 = "",
                "",
                       IF(
                           C160 ="FOTOGRAFIA",
                           "LINK",
                           "https://www.appsheet.com/template/gettablefileurl?appName=MEDICIÓNDEESPESORES-924373673&amp;tableName=1_general&amp;fileName="&amp;C160                         )
                          )</f>
        <v>https://www.appsheet.com/template/gettablefileurl?appName=MEDICIÓNDEESPESORES-924373673&amp;tableName=1_general&amp;fileName=3_fotografias_Images/f6af543e.imagen.200824.jpg</v>
      </c>
      <c r="F160" s="55" t="str">
        <f t="shared" si="1"/>
        <v/>
      </c>
    </row>
    <row r="161" ht="57.75" customHeight="1">
      <c r="A161" s="4" t="s">
        <v>8188</v>
      </c>
      <c r="B161" s="4" t="s">
        <v>806</v>
      </c>
      <c r="C161" s="4" t="s">
        <v>8189</v>
      </c>
      <c r="D161" s="4" t="s">
        <v>8190</v>
      </c>
      <c r="E161" s="89" t="str">
        <f t="array" ref="E161">IF(
                C161 = "",
                "",
                       IF(
                           C161 ="FOTOGRAFIA",
                           "LINK",
                           "https://www.appsheet.com/template/gettablefileurl?appName=MEDICIÓNDEESPESORES-924373673&amp;tableName=1_general&amp;fileName="&amp;C161                         )
                          )</f>
        <v>https://www.appsheet.com/template/gettablefileurl?appName=MEDICIÓNDEESPESORES-924373673&amp;tableName=1_general&amp;fileName=3_fotografias_Images/e7044a7f.imagen.200829.jpg</v>
      </c>
      <c r="F161" s="55" t="str">
        <f t="shared" si="1"/>
        <v/>
      </c>
    </row>
    <row r="162" ht="57.75" customHeight="1">
      <c r="A162" s="4" t="s">
        <v>8191</v>
      </c>
      <c r="B162" s="4" t="s">
        <v>806</v>
      </c>
      <c r="C162" s="4" t="s">
        <v>8192</v>
      </c>
      <c r="D162" s="4" t="s">
        <v>8193</v>
      </c>
      <c r="E162" s="89" t="str">
        <f t="array" ref="E162">IF(
                C162 = "",
                "",
                       IF(
                           C162 ="FOTOGRAFIA",
                           "LINK",
                           "https://www.appsheet.com/template/gettablefileurl?appName=MEDICIÓNDEESPESORES-924373673&amp;tableName=1_general&amp;fileName="&amp;C162                         )
                          )</f>
        <v>https://www.appsheet.com/template/gettablefileurl?appName=MEDICIÓNDEESPESORES-924373673&amp;tableName=1_general&amp;fileName=3_fotografias_Images/e7a39641.imagen.200833.jpg</v>
      </c>
      <c r="F162" s="55" t="str">
        <f t="shared" si="1"/>
        <v/>
      </c>
    </row>
    <row r="163" ht="57.75" customHeight="1">
      <c r="A163" s="4" t="s">
        <v>8194</v>
      </c>
      <c r="B163" s="4" t="s">
        <v>806</v>
      </c>
      <c r="C163" s="4" t="s">
        <v>8195</v>
      </c>
      <c r="D163" s="4" t="s">
        <v>8196</v>
      </c>
      <c r="E163" s="89" t="str">
        <f t="array" ref="E163">IF(
                C163 = "",
                "",
                       IF(
                           C163 ="FOTOGRAFIA",
                           "LINK",
                           "https://www.appsheet.com/template/gettablefileurl?appName=MEDICIÓNDEESPESORES-924373673&amp;tableName=1_general&amp;fileName="&amp;C163                         )
                          )</f>
        <v>https://www.appsheet.com/template/gettablefileurl?appName=MEDICIÓNDEESPESORES-924373673&amp;tableName=1_general&amp;fileName=3_fotografias_Images/b74e8276.imagen.200838.jpg</v>
      </c>
      <c r="F163" s="55" t="str">
        <f t="shared" si="1"/>
        <v/>
      </c>
    </row>
    <row r="164" ht="57.75" customHeight="1">
      <c r="A164" s="4" t="s">
        <v>8197</v>
      </c>
      <c r="B164" s="4" t="s">
        <v>761</v>
      </c>
      <c r="C164" s="4" t="s">
        <v>8198</v>
      </c>
      <c r="D164" s="4" t="s">
        <v>8199</v>
      </c>
      <c r="E164" s="89" t="str">
        <f t="array" ref="E164">IF(
                C164 = "",
                "",
                       IF(
                           C164 ="FOTOGRAFIA",
                           "LINK",
                           "https://www.appsheet.com/template/gettablefileurl?appName=MEDICIÓNDEESPESORES-924373673&amp;tableName=1_general&amp;fileName="&amp;C164                         )
                          )</f>
        <v>https://www.appsheet.com/template/gettablefileurl?appName=MEDICIÓNDEESPESORES-924373673&amp;tableName=1_general&amp;fileName=3_fotografias_Images/c61f2233.imagen.161716.jpg</v>
      </c>
      <c r="F164" s="55" t="str">
        <f t="shared" si="1"/>
        <v/>
      </c>
    </row>
    <row r="165" ht="57.75" customHeight="1">
      <c r="A165" s="4" t="s">
        <v>8200</v>
      </c>
      <c r="B165" s="4" t="s">
        <v>761</v>
      </c>
      <c r="C165" s="4" t="s">
        <v>8201</v>
      </c>
      <c r="D165" s="4" t="s">
        <v>8202</v>
      </c>
      <c r="E165" s="89" t="str">
        <f t="array" ref="E165">IF(
                C165 = "",
                "",
                       IF(
                           C165 ="FOTOGRAFIA",
                           "LINK",
                           "https://www.appsheet.com/template/gettablefileurl?appName=MEDICIÓNDEESPESORES-924373673&amp;tableName=1_general&amp;fileName="&amp;C165                         )
                          )</f>
        <v>https://www.appsheet.com/template/gettablefileurl?appName=MEDICIÓNDEESPESORES-924373673&amp;tableName=1_general&amp;fileName=3_fotografias_Images/8d513a5d.imagen.161720.jpg</v>
      </c>
      <c r="F165" s="55" t="str">
        <f t="shared" si="1"/>
        <v/>
      </c>
    </row>
    <row r="166" ht="57.75" customHeight="1">
      <c r="A166" s="4" t="s">
        <v>8203</v>
      </c>
      <c r="B166" s="4" t="s">
        <v>761</v>
      </c>
      <c r="C166" s="4" t="s">
        <v>8204</v>
      </c>
      <c r="D166" s="4" t="s">
        <v>8205</v>
      </c>
      <c r="E166" s="89" t="str">
        <f t="array" ref="E166">IF(
                C166 = "",
                "",
                       IF(
                           C166 ="FOTOGRAFIA",
                           "LINK",
                           "https://www.appsheet.com/template/gettablefileurl?appName=MEDICIÓNDEESPESORES-924373673&amp;tableName=1_general&amp;fileName="&amp;C166                         )
                          )</f>
        <v>https://www.appsheet.com/template/gettablefileurl?appName=MEDICIÓNDEESPESORES-924373673&amp;tableName=1_general&amp;fileName=3_fotografias_Images/b02d82ee.imagen.161724.jpg</v>
      </c>
      <c r="F166" s="55" t="str">
        <f t="shared" si="1"/>
        <v/>
      </c>
    </row>
    <row r="167" ht="57.75" customHeight="1">
      <c r="A167" s="4" t="s">
        <v>8206</v>
      </c>
      <c r="B167" s="4" t="s">
        <v>770</v>
      </c>
      <c r="C167" s="4" t="s">
        <v>8207</v>
      </c>
      <c r="D167" s="4" t="s">
        <v>8208</v>
      </c>
      <c r="E167" s="89" t="str">
        <f t="array" ref="E167">IF(
                C167 = "",
                "",
                       IF(
                           C167 ="FOTOGRAFIA",
                           "LINK",
                           "https://www.appsheet.com/template/gettablefileurl?appName=MEDICIÓNDEESPESORES-924373673&amp;tableName=1_general&amp;fileName="&amp;C167                         )
                          )</f>
        <v>https://www.appsheet.com/template/gettablefileurl?appName=MEDICIÓNDEESPESORES-924373673&amp;tableName=1_general&amp;fileName=3_fotografias_Images/15f2cf49.imagen.161928.jpg</v>
      </c>
      <c r="F167" s="55" t="str">
        <f t="shared" si="1"/>
        <v/>
      </c>
    </row>
    <row r="168" ht="57.75" customHeight="1">
      <c r="A168" s="4" t="s">
        <v>8209</v>
      </c>
      <c r="B168" s="4" t="s">
        <v>770</v>
      </c>
      <c r="C168" s="4" t="s">
        <v>8210</v>
      </c>
      <c r="D168" s="4" t="s">
        <v>8211</v>
      </c>
      <c r="E168" s="89" t="str">
        <f t="array" ref="E168">IF(
                C168 = "",
                "",
                       IF(
                           C168 ="FOTOGRAFIA",
                           "LINK",
                           "https://www.appsheet.com/template/gettablefileurl?appName=MEDICIÓNDEESPESORES-924373673&amp;tableName=1_general&amp;fileName="&amp;C168                         )
                          )</f>
        <v>https://www.appsheet.com/template/gettablefileurl?appName=MEDICIÓNDEESPESORES-924373673&amp;tableName=1_general&amp;fileName=3_fotografias_Images/0d764c63.imagen.161932.jpg</v>
      </c>
      <c r="F168" s="55" t="str">
        <f t="shared" si="1"/>
        <v/>
      </c>
    </row>
    <row r="169" ht="57.75" customHeight="1">
      <c r="A169" s="4" t="s">
        <v>8212</v>
      </c>
      <c r="B169" s="4" t="s">
        <v>779</v>
      </c>
      <c r="C169" s="4" t="s">
        <v>8213</v>
      </c>
      <c r="D169" s="4" t="s">
        <v>8214</v>
      </c>
      <c r="E169" s="89" t="str">
        <f t="array" ref="E169">IF(
                C169 = "",
                "",
                       IF(
                           C169 ="FOTOGRAFIA",
                           "LINK",
                           "https://www.appsheet.com/template/gettablefileurl?appName=MEDICIÓNDEESPESORES-924373673&amp;tableName=1_general&amp;fileName="&amp;C169                         )
                          )</f>
        <v>https://www.appsheet.com/template/gettablefileurl?appName=MEDICIÓNDEESPESORES-924373673&amp;tableName=1_general&amp;fileName=3_fotografias_Images/946fffcb.imagen.162039.jpg</v>
      </c>
      <c r="F169" s="55" t="str">
        <f t="shared" si="1"/>
        <v/>
      </c>
    </row>
    <row r="170" ht="57.75" customHeight="1">
      <c r="A170" s="4" t="s">
        <v>8215</v>
      </c>
      <c r="B170" s="4" t="s">
        <v>779</v>
      </c>
      <c r="C170" s="4" t="s">
        <v>8216</v>
      </c>
      <c r="D170" s="4" t="s">
        <v>8211</v>
      </c>
      <c r="E170" s="89" t="str">
        <f t="array" ref="E170">IF(
                C170 = "",
                "",
                       IF(
                           C170 ="FOTOGRAFIA",
                           "LINK",
                           "https://www.appsheet.com/template/gettablefileurl?appName=MEDICIÓNDEESPESORES-924373673&amp;tableName=1_general&amp;fileName="&amp;C170                         )
                          )</f>
        <v>https://www.appsheet.com/template/gettablefileurl?appName=MEDICIÓNDEESPESORES-924373673&amp;tableName=1_general&amp;fileName=3_fotografias_Images/5f7ecf9e.imagen.162043.jpg</v>
      </c>
      <c r="F170" s="55" t="str">
        <f t="shared" si="1"/>
        <v/>
      </c>
    </row>
    <row r="171" ht="57.75" customHeight="1">
      <c r="A171" s="4" t="s">
        <v>8217</v>
      </c>
      <c r="B171" s="4" t="s">
        <v>779</v>
      </c>
      <c r="C171" s="4" t="s">
        <v>8218</v>
      </c>
      <c r="D171" s="4" t="s">
        <v>8219</v>
      </c>
      <c r="E171" s="89" t="str">
        <f t="array" ref="E171">IF(
                C171 = "",
                "",
                       IF(
                           C171 ="FOTOGRAFIA",
                           "LINK",
                           "https://www.appsheet.com/template/gettablefileurl?appName=MEDICIÓNDEESPESORES-924373673&amp;tableName=1_general&amp;fileName="&amp;C171                         )
                          )</f>
        <v>https://www.appsheet.com/template/gettablefileurl?appName=MEDICIÓNDEESPESORES-924373673&amp;tableName=1_general&amp;fileName=3_fotografias_Images/4ecb1202.imagen.162120.jpg</v>
      </c>
      <c r="F171" s="55" t="str">
        <f t="shared" si="1"/>
        <v/>
      </c>
    </row>
    <row r="172" ht="57.75" customHeight="1">
      <c r="A172" s="4" t="s">
        <v>8220</v>
      </c>
      <c r="B172" s="4" t="s">
        <v>787</v>
      </c>
      <c r="C172" s="4" t="s">
        <v>8221</v>
      </c>
      <c r="D172" s="4" t="s">
        <v>8219</v>
      </c>
      <c r="E172" s="89" t="str">
        <f t="array" ref="E172">IF(
                C172 = "",
                "",
                       IF(
                           C172 ="FOTOGRAFIA",
                           "LINK",
                           "https://www.appsheet.com/template/gettablefileurl?appName=MEDICIÓNDEESPESORES-924373673&amp;tableName=1_general&amp;fileName="&amp;C172                         )
                          )</f>
        <v>https://www.appsheet.com/template/gettablefileurl?appName=MEDICIÓNDEESPESORES-924373673&amp;tableName=1_general&amp;fileName=3_fotografias_Images/992fbf8f.imagen.162219.jpg</v>
      </c>
      <c r="F172" s="55" t="str">
        <f t="shared" si="1"/>
        <v/>
      </c>
    </row>
    <row r="173" ht="57.75" customHeight="1">
      <c r="A173" s="4" t="s">
        <v>8222</v>
      </c>
      <c r="B173" s="4" t="s">
        <v>787</v>
      </c>
      <c r="C173" s="4" t="s">
        <v>8223</v>
      </c>
      <c r="D173" s="4" t="s">
        <v>8224</v>
      </c>
      <c r="E173" s="89" t="str">
        <f t="array" ref="E173">IF(
                C173 = "",
                "",
                       IF(
                           C173 ="FOTOGRAFIA",
                           "LINK",
                           "https://www.appsheet.com/template/gettablefileurl?appName=MEDICIÓNDEESPESORES-924373673&amp;tableName=1_general&amp;fileName="&amp;C173                         )
                          )</f>
        <v>https://www.appsheet.com/template/gettablefileurl?appName=MEDICIÓNDEESPESORES-924373673&amp;tableName=1_general&amp;fileName=3_fotografias_Images/81632da6.imagen.162225.jpg</v>
      </c>
      <c r="F173" s="55" t="str">
        <f t="shared" si="1"/>
        <v/>
      </c>
    </row>
    <row r="174" ht="57.75" customHeight="1">
      <c r="A174" s="4" t="s">
        <v>8225</v>
      </c>
      <c r="B174" s="4" t="s">
        <v>813</v>
      </c>
      <c r="C174" s="4" t="s">
        <v>8226</v>
      </c>
      <c r="D174" s="4" t="s">
        <v>8227</v>
      </c>
      <c r="E174" s="89" t="str">
        <f t="array" ref="E174">IF(
                C174 = "",
                "",
                       IF(
                           C174 ="FOTOGRAFIA",
                           "LINK",
                           "https://www.appsheet.com/template/gettablefileurl?appName=MEDICIÓNDEESPESORES-924373673&amp;tableName=1_general&amp;fileName="&amp;C174                         )
                          )</f>
        <v>https://www.appsheet.com/template/gettablefileurl?appName=MEDICIÓNDEESPESORES-924373673&amp;tableName=1_general&amp;fileName=3_fotografias_Images/030b0f42.imagen.174220.jpg</v>
      </c>
      <c r="F174" s="55" t="str">
        <f t="shared" si="1"/>
        <v/>
      </c>
    </row>
    <row r="175" ht="57.75" customHeight="1">
      <c r="A175" s="4" t="s">
        <v>8228</v>
      </c>
      <c r="B175" s="4" t="s">
        <v>813</v>
      </c>
      <c r="C175" s="4" t="s">
        <v>8229</v>
      </c>
      <c r="D175" s="4" t="s">
        <v>8230</v>
      </c>
      <c r="E175" s="89" t="str">
        <f t="array" ref="E175">IF(
                C175 = "",
                "",
                       IF(
                           C175 ="FOTOGRAFIA",
                           "LINK",
                           "https://www.appsheet.com/template/gettablefileurl?appName=MEDICIÓNDEESPESORES-924373673&amp;tableName=1_general&amp;fileName="&amp;C175                         )
                          )</f>
        <v>https://www.appsheet.com/template/gettablefileurl?appName=MEDICIÓNDEESPESORES-924373673&amp;tableName=1_general&amp;fileName=3_fotografias_Images/477dc782.imagen.174224.jpg</v>
      </c>
      <c r="F175" s="55" t="str">
        <f t="shared" si="1"/>
        <v/>
      </c>
    </row>
    <row r="176" ht="57.75" customHeight="1">
      <c r="A176" s="4" t="s">
        <v>8231</v>
      </c>
      <c r="B176" s="4" t="s">
        <v>850</v>
      </c>
      <c r="C176" s="4" t="s">
        <v>8232</v>
      </c>
      <c r="D176" s="54" t="s">
        <v>815</v>
      </c>
      <c r="E176" s="89" t="str">
        <f t="array" ref="E176">IF(
                C176 = "",
                "",
                       IF(
                           C176 ="FOTOGRAFIA",
                           "LINK",
                           "https://www.appsheet.com/template/gettablefileurl?appName=MEDICIÓNDEESPESORES-924373673&amp;tableName=1_general&amp;fileName="&amp;C176                         )
                          )</f>
        <v>https://www.appsheet.com/template/gettablefileurl?appName=MEDICIÓNDEESPESORES-924373673&amp;tableName=1_general&amp;fileName=3_fotografias_Images/d77b16d2.imagen.185628.jpg</v>
      </c>
      <c r="F176" s="55" t="str">
        <f t="shared" si="1"/>
        <v/>
      </c>
    </row>
    <row r="177" ht="57.75" customHeight="1">
      <c r="A177" s="4" t="s">
        <v>8233</v>
      </c>
      <c r="B177" s="4" t="s">
        <v>850</v>
      </c>
      <c r="C177" s="4" t="s">
        <v>8234</v>
      </c>
      <c r="D177" s="54" t="s">
        <v>851</v>
      </c>
      <c r="E177" s="89" t="str">
        <f t="array" ref="E177">IF(
                C177 = "",
                "",
                       IF(
                           C177 ="FOTOGRAFIA",
                           "LINK",
                           "https://www.appsheet.com/template/gettablefileurl?appName=MEDICIÓNDEESPESORES-924373673&amp;tableName=1_general&amp;fileName="&amp;C177                         )
                          )</f>
        <v>https://www.appsheet.com/template/gettablefileurl?appName=MEDICIÓNDEESPESORES-924373673&amp;tableName=1_general&amp;fileName=3_fotografias_Images/042f9913.imagen.185632.jpg</v>
      </c>
      <c r="F177" s="55" t="str">
        <f t="shared" si="1"/>
        <v/>
      </c>
    </row>
    <row r="178" ht="57.75" customHeight="1">
      <c r="A178" s="4" t="s">
        <v>8235</v>
      </c>
      <c r="B178" s="4" t="s">
        <v>850</v>
      </c>
      <c r="C178" s="4" t="s">
        <v>8236</v>
      </c>
      <c r="D178" s="54" t="s">
        <v>8237</v>
      </c>
      <c r="E178" s="89" t="str">
        <f t="array" ref="E178">IF(
                C178 = "",
                "",
                       IF(
                           C178 ="FOTOGRAFIA",
                           "LINK",
                           "https://www.appsheet.com/template/gettablefileurl?appName=MEDICIÓNDEESPESORES-924373673&amp;tableName=1_general&amp;fileName="&amp;C178                         )
                          )</f>
        <v>https://www.appsheet.com/template/gettablefileurl?appName=MEDICIÓNDEESPESORES-924373673&amp;tableName=1_general&amp;fileName=3_fotografias_Images/5c400150.imagen.185636.jpg</v>
      </c>
      <c r="F178" s="55" t="str">
        <f t="shared" si="1"/>
        <v/>
      </c>
    </row>
    <row r="179" ht="57.75" customHeight="1">
      <c r="A179" s="4" t="s">
        <v>8238</v>
      </c>
      <c r="B179" s="4" t="s">
        <v>850</v>
      </c>
      <c r="C179" s="4" t="s">
        <v>8239</v>
      </c>
      <c r="D179" s="54" t="s">
        <v>8240</v>
      </c>
      <c r="E179" s="89" t="str">
        <f t="array" ref="E179">IF(
                C179 = "",
                "",
                       IF(
                           C179 ="FOTOGRAFIA",
                           "LINK",
                           "https://www.appsheet.com/template/gettablefileurl?appName=MEDICIÓNDEESPESORES-924373673&amp;tableName=1_general&amp;fileName="&amp;C179                         )
                          )</f>
        <v>https://www.appsheet.com/template/gettablefileurl?appName=MEDICIÓNDEESPESORES-924373673&amp;tableName=1_general&amp;fileName=3_fotografias_Images/0cb7dc20.imagen.185641.jpg</v>
      </c>
      <c r="F179" s="55" t="str">
        <f t="shared" si="1"/>
        <v/>
      </c>
    </row>
    <row r="180" ht="57.75" customHeight="1">
      <c r="A180" s="4" t="s">
        <v>8241</v>
      </c>
      <c r="B180" s="4" t="s">
        <v>850</v>
      </c>
      <c r="C180" s="4" t="s">
        <v>8242</v>
      </c>
      <c r="D180" s="54" t="s">
        <v>8243</v>
      </c>
      <c r="E180" s="89" t="str">
        <f t="array" ref="E180">IF(
                C180 = "",
                "",
                       IF(
                           C180 ="FOTOGRAFIA",
                           "LINK",
                           "https://www.appsheet.com/template/gettablefileurl?appName=MEDICIÓNDEESPESORES-924373673&amp;tableName=1_general&amp;fileName="&amp;C180                         )
                          )</f>
        <v>https://www.appsheet.com/template/gettablefileurl?appName=MEDICIÓNDEESPESORES-924373673&amp;tableName=1_general&amp;fileName=3_fotografias_Images/540fdfbc.imagen.185646.jpg</v>
      </c>
      <c r="F180" s="55" t="str">
        <f t="shared" si="1"/>
        <v/>
      </c>
    </row>
    <row r="181" ht="57.75" customHeight="1">
      <c r="A181" s="4" t="s">
        <v>8244</v>
      </c>
      <c r="B181" s="4" t="s">
        <v>893</v>
      </c>
      <c r="C181" s="4" t="s">
        <v>8245</v>
      </c>
      <c r="D181" s="4" t="s">
        <v>8246</v>
      </c>
      <c r="E181" s="89" t="str">
        <f t="array" ref="E181">IF(
                C181 = "",
                "",
                       IF(
                           C181 ="FOTOGRAFIA",
                           "LINK",
                           "https://www.appsheet.com/template/gettablefileurl?appName=MEDICIÓNDEESPESORES-924373673&amp;tableName=1_general&amp;fileName="&amp;C181                         )
                          )</f>
        <v>https://www.appsheet.com/template/gettablefileurl?appName=MEDICIÓNDEESPESORES-924373673&amp;tableName=1_general&amp;fileName=3_fotografias_Images/a873e92a.imagen.221258.jpg</v>
      </c>
      <c r="F181" s="55" t="str">
        <f t="shared" si="1"/>
        <v/>
      </c>
    </row>
    <row r="182" ht="57.75" customHeight="1">
      <c r="A182" s="4" t="s">
        <v>8247</v>
      </c>
      <c r="B182" s="4" t="s">
        <v>962</v>
      </c>
      <c r="C182" s="4" t="s">
        <v>8248</v>
      </c>
      <c r="D182" s="4" t="s">
        <v>8249</v>
      </c>
      <c r="E182" s="89" t="str">
        <f t="array" ref="E182">IF(
                C182 = "",
                "",
                       IF(
                           C182 ="FOTOGRAFIA",
                           "LINK",
                           "https://www.appsheet.com/template/gettablefileurl?appName=MEDICIÓNDEESPESORES-924373673&amp;tableName=1_general&amp;fileName="&amp;C182                         )
                          )</f>
        <v>https://www.appsheet.com/template/gettablefileurl?appName=MEDICIÓNDEESPESORES-924373673&amp;tableName=1_general&amp;fileName=3_fotografias_Images/23a3d42c.imagen.002303.jpg</v>
      </c>
      <c r="F182" s="55" t="str">
        <f t="shared" si="1"/>
        <v/>
      </c>
    </row>
    <row r="183" ht="57.75" customHeight="1">
      <c r="A183" s="4"/>
      <c r="B183" s="4"/>
      <c r="C183" s="4"/>
      <c r="D183" s="4"/>
      <c r="E183" s="55" t="str">
        <f t="array" ref="E183">IF(
                C183 = "",
                "",
                       IF(
                           C183 ="FOTOGRAFIA",
                           "LINK",
                           "https://www.appsheet.com/template/gettablefileurl?appName=MEDICIÓNDEESPESORES-924373673&amp;tableName=1_general&amp;fileName="&amp;C183                         )
                          )</f>
        <v/>
      </c>
      <c r="F183" s="55" t="str">
        <f t="shared" si="1"/>
        <v/>
      </c>
    </row>
    <row r="184" ht="57.75" customHeight="1">
      <c r="A184" s="4" t="s">
        <v>8250</v>
      </c>
      <c r="B184" s="4" t="s">
        <v>970</v>
      </c>
      <c r="C184" s="4" t="s">
        <v>8251</v>
      </c>
      <c r="D184" s="4" t="s">
        <v>8249</v>
      </c>
      <c r="E184" s="89" t="str">
        <f t="array" ref="E184">IF(
                C184 = "",
                "",
                       IF(
                           C184 ="FOTOGRAFIA",
                           "LINK",
                           "https://www.appsheet.com/template/gettablefileurl?appName=MEDICIÓNDEESPESORES-924373673&amp;tableName=1_general&amp;fileName="&amp;C184                         )
                          )</f>
        <v>https://www.appsheet.com/template/gettablefileurl?appName=MEDICIÓNDEESPESORES-924373673&amp;tableName=1_general&amp;fileName=3_fotografias_Images/79a9b8ee.imagen.003057.jpg</v>
      </c>
      <c r="F184" s="55" t="str">
        <f t="shared" si="1"/>
        <v/>
      </c>
    </row>
    <row r="185" ht="57.75" customHeight="1">
      <c r="A185" s="4" t="s">
        <v>8252</v>
      </c>
      <c r="B185" s="4" t="s">
        <v>970</v>
      </c>
      <c r="C185" s="4" t="s">
        <v>8253</v>
      </c>
      <c r="D185" s="4" t="s">
        <v>8254</v>
      </c>
      <c r="E185" s="89" t="str">
        <f t="array" ref="E185">IF(
                C185 = "",
                "",
                       IF(
                           C185 ="FOTOGRAFIA",
                           "LINK",
                           "https://www.appsheet.com/template/gettablefileurl?appName=MEDICIÓNDEESPESORES-924373673&amp;tableName=1_general&amp;fileName="&amp;C185                         )
                          )</f>
        <v>https://www.appsheet.com/template/gettablefileurl?appName=MEDICIÓNDEESPESORES-924373673&amp;tableName=1_general&amp;fileName=3_fotografias_Images/05b1b482.imagen.003105.jpg</v>
      </c>
      <c r="F185" s="55" t="str">
        <f t="shared" si="1"/>
        <v/>
      </c>
    </row>
    <row r="186" ht="57.75" customHeight="1">
      <c r="A186" s="4" t="s">
        <v>8255</v>
      </c>
      <c r="B186" s="4" t="s">
        <v>962</v>
      </c>
      <c r="C186" s="4" t="s">
        <v>8256</v>
      </c>
      <c r="D186" s="4" t="s">
        <v>8254</v>
      </c>
      <c r="E186" s="89" t="str">
        <f t="array" ref="E186">IF(
                C186 = "",
                "",
                       IF(
                           C186 ="FOTOGRAFIA",
                           "LINK",
                           "https://www.appsheet.com/template/gettablefileurl?appName=MEDICIÓNDEESPESORES-924373673&amp;tableName=1_general&amp;fileName="&amp;C186                         )
                          )</f>
        <v>https://www.appsheet.com/template/gettablefileurl?appName=MEDICIÓNDEESPESORES-924373673&amp;tableName=1_general&amp;fileName=3_fotografias_Images/841053c6.imagen.003237.jpg</v>
      </c>
      <c r="F186" s="55" t="str">
        <f t="shared" si="1"/>
        <v/>
      </c>
    </row>
    <row r="187" ht="57.75" customHeight="1">
      <c r="A187" s="4" t="s">
        <v>8257</v>
      </c>
      <c r="B187" s="4" t="s">
        <v>974</v>
      </c>
      <c r="C187" s="4" t="s">
        <v>8258</v>
      </c>
      <c r="D187" s="4" t="s">
        <v>8259</v>
      </c>
      <c r="E187" s="89" t="str">
        <f t="array" ref="E187">IF(
                C187 = "",
                "",
                       IF(
                           C187 ="FOTOGRAFIA",
                           "LINK",
                           "https://www.appsheet.com/template/gettablefileurl?appName=MEDICIÓNDEESPESORES-924373673&amp;tableName=1_general&amp;fileName="&amp;C187                         )
                          )</f>
        <v>https://www.appsheet.com/template/gettablefileurl?appName=MEDICIÓNDEESPESORES-924373673&amp;tableName=1_general&amp;fileName=3_fotografias_Images/0a1be937.imagen.235952.jpg</v>
      </c>
      <c r="F187" s="55" t="str">
        <f t="shared" si="1"/>
        <v/>
      </c>
    </row>
    <row r="188" ht="57.75" customHeight="1">
      <c r="A188" s="4" t="s">
        <v>8260</v>
      </c>
      <c r="B188" s="4" t="s">
        <v>974</v>
      </c>
      <c r="C188" s="4" t="s">
        <v>8261</v>
      </c>
      <c r="D188" s="4" t="s">
        <v>8249</v>
      </c>
      <c r="E188" s="89" t="str">
        <f t="array" ref="E188">IF(
                C188 = "",
                "",
                       IF(
                           C188 ="FOTOGRAFIA",
                           "LINK",
                           "https://www.appsheet.com/template/gettablefileurl?appName=MEDICIÓNDEESPESORES-924373673&amp;tableName=1_general&amp;fileName="&amp;C188                         )
                          )</f>
        <v>https://www.appsheet.com/template/gettablefileurl?appName=MEDICIÓNDEESPESORES-924373673&amp;tableName=1_general&amp;fileName=3_fotografias_Images/052b724e.imagen.235958.jpg</v>
      </c>
      <c r="F188" s="55" t="str">
        <f t="shared" si="1"/>
        <v/>
      </c>
    </row>
    <row r="189" ht="57.75" customHeight="1">
      <c r="A189" s="4" t="s">
        <v>8262</v>
      </c>
      <c r="B189" s="4" t="s">
        <v>980</v>
      </c>
      <c r="C189" s="4" t="s">
        <v>8263</v>
      </c>
      <c r="D189" s="4" t="s">
        <v>8249</v>
      </c>
      <c r="E189" s="89" t="str">
        <f t="array" ref="E189">IF(
                C189 = "",
                "",
                       IF(
                           C189 ="FOTOGRAFIA",
                           "LINK",
                           "https://www.appsheet.com/template/gettablefileurl?appName=MEDICIÓNDEESPESORES-924373673&amp;tableName=1_general&amp;fileName="&amp;C189                         )
                          )</f>
        <v>https://www.appsheet.com/template/gettablefileurl?appName=MEDICIÓNDEESPESORES-924373673&amp;tableName=1_general&amp;fileName=3_fotografias_Images/4ca97a9c.imagen.004317.jpg</v>
      </c>
      <c r="F189" s="55" t="str">
        <f t="shared" si="1"/>
        <v/>
      </c>
    </row>
    <row r="190" ht="57.75" customHeight="1">
      <c r="A190" s="4" t="s">
        <v>8264</v>
      </c>
      <c r="B190" s="4" t="s">
        <v>980</v>
      </c>
      <c r="C190" s="4" t="s">
        <v>8265</v>
      </c>
      <c r="D190" s="4" t="s">
        <v>8266</v>
      </c>
      <c r="E190" s="89" t="str">
        <f t="array" ref="E190">IF(
                C190 = "",
                "",
                       IF(
                           C190 ="FOTOGRAFIA",
                           "LINK",
                           "https://www.appsheet.com/template/gettablefileurl?appName=MEDICIÓNDEESPESORES-924373673&amp;tableName=1_general&amp;fileName="&amp;C190                         )
                          )</f>
        <v>https://www.appsheet.com/template/gettablefileurl?appName=MEDICIÓNDEESPESORES-924373673&amp;tableName=1_general&amp;fileName=3_fotografias_Images/a7d38b7e.imagen.004322.jpg</v>
      </c>
      <c r="F190" s="55" t="str">
        <f t="shared" si="1"/>
        <v/>
      </c>
    </row>
    <row r="191" ht="57.75" customHeight="1">
      <c r="A191" s="4" t="s">
        <v>8267</v>
      </c>
      <c r="B191" s="4" t="s">
        <v>980</v>
      </c>
      <c r="C191" s="4" t="s">
        <v>8268</v>
      </c>
      <c r="D191" s="4" t="s">
        <v>8269</v>
      </c>
      <c r="E191" s="89" t="str">
        <f t="array" ref="E191">IF(
                C191 = "",
                "",
                       IF(
                           C191 ="FOTOGRAFIA",
                           "LINK",
                           "https://www.appsheet.com/template/gettablefileurl?appName=MEDICIÓNDEESPESORES-924373673&amp;tableName=1_general&amp;fileName="&amp;C191                         )
                          )</f>
        <v>https://www.appsheet.com/template/gettablefileurl?appName=MEDICIÓNDEESPESORES-924373673&amp;tableName=1_general&amp;fileName=3_fotografias_Images/301a58ba.imagen.004327.jpg</v>
      </c>
      <c r="F191" s="55" t="str">
        <f t="shared" si="1"/>
        <v/>
      </c>
    </row>
    <row r="192" ht="57.75" customHeight="1">
      <c r="A192" s="4" t="s">
        <v>8270</v>
      </c>
      <c r="B192" s="4" t="s">
        <v>985</v>
      </c>
      <c r="C192" s="4" t="s">
        <v>8271</v>
      </c>
      <c r="D192" s="4" t="s">
        <v>8269</v>
      </c>
      <c r="E192" s="89" t="str">
        <f t="array" ref="E192">IF(
                C192 = "",
                "",
                       IF(
                           C192 ="FOTOGRAFIA",
                           "LINK",
                           "https://www.appsheet.com/template/gettablefileurl?appName=MEDICIÓNDEESPESORES-924373673&amp;tableName=1_general&amp;fileName="&amp;C192                         )
                          )</f>
        <v>https://www.appsheet.com/template/gettablefileurl?appName=MEDICIÓNDEESPESORES-924373673&amp;tableName=1_general&amp;fileName=3_fotografias_Images/30cfc794.imagen.004851.jpg</v>
      </c>
      <c r="F192" s="55" t="str">
        <f t="shared" si="1"/>
        <v/>
      </c>
    </row>
    <row r="193" ht="57.75" customHeight="1">
      <c r="A193" s="4" t="s">
        <v>8272</v>
      </c>
      <c r="B193" s="4" t="s">
        <v>985</v>
      </c>
      <c r="C193" s="4" t="s">
        <v>8273</v>
      </c>
      <c r="D193" s="4" t="s">
        <v>8274</v>
      </c>
      <c r="E193" s="89" t="str">
        <f t="array" ref="E193">IF(
                C193 = "",
                "",
                       IF(
                           C193 ="FOTOGRAFIA",
                           "LINK",
                           "https://www.appsheet.com/template/gettablefileurl?appName=MEDICIÓNDEESPESORES-924373673&amp;tableName=1_general&amp;fileName="&amp;C193                         )
                          )</f>
        <v>https://www.appsheet.com/template/gettablefileurl?appName=MEDICIÓNDEESPESORES-924373673&amp;tableName=1_general&amp;fileName=3_fotografias_Images/d3ee8754.imagen.004857.jpg</v>
      </c>
      <c r="F193" s="55" t="str">
        <f t="shared" si="1"/>
        <v/>
      </c>
    </row>
    <row r="194" ht="57.75" customHeight="1">
      <c r="A194" s="4" t="s">
        <v>8275</v>
      </c>
      <c r="B194" s="4" t="s">
        <v>985</v>
      </c>
      <c r="C194" s="4" t="s">
        <v>8276</v>
      </c>
      <c r="D194" s="4" t="s">
        <v>8277</v>
      </c>
      <c r="E194" s="89" t="str">
        <f t="array" ref="E194">IF(
                C194 = "",
                "",
                       IF(
                           C194 ="FOTOGRAFIA",
                           "LINK",
                           "https://www.appsheet.com/template/gettablefileurl?appName=MEDICIÓNDEESPESORES-924373673&amp;tableName=1_general&amp;fileName="&amp;C194                         )
                          )</f>
        <v>https://www.appsheet.com/template/gettablefileurl?appName=MEDICIÓNDEESPESORES-924373673&amp;tableName=1_general&amp;fileName=3_fotografias_Images/d273c737.imagen.004905.jpg</v>
      </c>
      <c r="F194" s="55" t="str">
        <f t="shared" si="1"/>
        <v/>
      </c>
    </row>
    <row r="195" ht="57.75" customHeight="1">
      <c r="A195" s="4" t="s">
        <v>8278</v>
      </c>
      <c r="B195" s="4" t="s">
        <v>989</v>
      </c>
      <c r="C195" s="4" t="s">
        <v>8279</v>
      </c>
      <c r="D195" s="4" t="s">
        <v>8274</v>
      </c>
      <c r="E195" s="89" t="str">
        <f t="array" ref="E195">IF(
                C195 = "",
                "",
                       IF(
                           C195 ="FOTOGRAFIA",
                           "LINK",
                           "https://www.appsheet.com/template/gettablefileurl?appName=MEDICIÓNDEESPESORES-924373673&amp;tableName=1_general&amp;fileName="&amp;C195                         )
                          )</f>
        <v>https://www.appsheet.com/template/gettablefileurl?appName=MEDICIÓNDEESPESORES-924373673&amp;tableName=1_general&amp;fileName=3_fotografias_Images/7816a031.imagen.010005.jpg</v>
      </c>
      <c r="F195" s="55" t="str">
        <f t="shared" si="1"/>
        <v/>
      </c>
    </row>
    <row r="196" ht="57.75" customHeight="1">
      <c r="A196" s="4" t="s">
        <v>8280</v>
      </c>
      <c r="B196" s="4" t="s">
        <v>989</v>
      </c>
      <c r="C196" s="4" t="s">
        <v>8281</v>
      </c>
      <c r="D196" s="4" t="s">
        <v>8249</v>
      </c>
      <c r="E196" s="89" t="str">
        <f t="array" ref="E196">IF(
                C196 = "",
                "",
                       IF(
                           C196 ="FOTOGRAFIA",
                           "LINK",
                           "https://www.appsheet.com/template/gettablefileurl?appName=MEDICIÓNDEESPESORES-924373673&amp;tableName=1_general&amp;fileName="&amp;C196                         )
                          )</f>
        <v>https://www.appsheet.com/template/gettablefileurl?appName=MEDICIÓNDEESPESORES-924373673&amp;tableName=1_general&amp;fileName=3_fotografias_Images/4ba27605.imagen.010024.jpg</v>
      </c>
      <c r="F196" s="55" t="str">
        <f t="shared" si="1"/>
        <v/>
      </c>
    </row>
    <row r="197" ht="57.75" customHeight="1">
      <c r="A197" s="4" t="s">
        <v>8282</v>
      </c>
      <c r="B197" s="4" t="s">
        <v>989</v>
      </c>
      <c r="C197" s="4" t="s">
        <v>8283</v>
      </c>
      <c r="D197" s="4" t="s">
        <v>8269</v>
      </c>
      <c r="E197" s="89" t="str">
        <f t="array" ref="E197">IF(
                C197 = "",
                "",
                       IF(
                           C197 ="FOTOGRAFIA",
                           "LINK",
                           "https://www.appsheet.com/template/gettablefileurl?appName=MEDICIÓNDEESPESORES-924373673&amp;tableName=1_general&amp;fileName="&amp;C197                         )
                          )</f>
        <v>https://www.appsheet.com/template/gettablefileurl?appName=MEDICIÓNDEESPESORES-924373673&amp;tableName=1_general&amp;fileName=3_fotografias_Images/4dad52d5.imagen.010031.jpg</v>
      </c>
      <c r="F197" s="55" t="str">
        <f t="shared" si="1"/>
        <v/>
      </c>
    </row>
    <row r="198" ht="57.75" customHeight="1">
      <c r="A198" s="4" t="s">
        <v>8284</v>
      </c>
      <c r="B198" s="4" t="s">
        <v>994</v>
      </c>
      <c r="C198" s="4" t="s">
        <v>8285</v>
      </c>
      <c r="D198" s="4" t="s">
        <v>8274</v>
      </c>
      <c r="E198" s="89" t="str">
        <f t="array" ref="E198">IF(
                C198 = "",
                "",
                       IF(
                           C198 ="FOTOGRAFIA",
                           "LINK",
                           "https://www.appsheet.com/template/gettablefileurl?appName=MEDICIÓNDEESPESORES-924373673&amp;tableName=1_general&amp;fileName="&amp;C198                         )
                          )</f>
        <v>https://www.appsheet.com/template/gettablefileurl?appName=MEDICIÓNDEESPESORES-924373673&amp;tableName=1_general&amp;fileName=3_fotografias_Images/7f61e379.imagen.010040.jpg</v>
      </c>
      <c r="F198" s="55" t="str">
        <f t="shared" si="1"/>
        <v/>
      </c>
    </row>
    <row r="199" ht="57.75" customHeight="1">
      <c r="A199" s="4" t="s">
        <v>8286</v>
      </c>
      <c r="B199" s="4" t="s">
        <v>994</v>
      </c>
      <c r="C199" s="4" t="s">
        <v>8287</v>
      </c>
      <c r="D199" s="4" t="s">
        <v>8269</v>
      </c>
      <c r="E199" s="89" t="str">
        <f t="array" ref="E199">IF(
                C199 = "",
                "",
                       IF(
                           C199 ="FOTOGRAFIA",
                           "LINK",
                           "https://www.appsheet.com/template/gettablefileurl?appName=MEDICIÓNDEESPESORES-924373673&amp;tableName=1_general&amp;fileName="&amp;C199                         )
                          )</f>
        <v>https://www.appsheet.com/template/gettablefileurl?appName=MEDICIÓNDEESPESORES-924373673&amp;tableName=1_general&amp;fileName=3_fotografias_Images/05da514f.imagen.010046.jpg</v>
      </c>
      <c r="F199" s="55" t="str">
        <f t="shared" si="1"/>
        <v/>
      </c>
    </row>
    <row r="200" ht="57.75" customHeight="1">
      <c r="A200" s="4" t="s">
        <v>8288</v>
      </c>
      <c r="B200" s="4" t="s">
        <v>994</v>
      </c>
      <c r="C200" s="4" t="s">
        <v>8289</v>
      </c>
      <c r="D200" s="4" t="s">
        <v>8249</v>
      </c>
      <c r="E200" s="89" t="str">
        <f t="array" ref="E200">IF(
                C200 = "",
                "",
                       IF(
                           C200 ="FOTOGRAFIA",
                           "LINK",
                           "https://www.appsheet.com/template/gettablefileurl?appName=MEDICIÓNDEESPESORES-924373673&amp;tableName=1_general&amp;fileName="&amp;C200                         )
                          )</f>
        <v>https://www.appsheet.com/template/gettablefileurl?appName=MEDICIÓNDEESPESORES-924373673&amp;tableName=1_general&amp;fileName=3_fotografias_Images/3e85eb08.imagen.010053.jpg</v>
      </c>
      <c r="F200" s="55" t="str">
        <f t="shared" si="1"/>
        <v/>
      </c>
    </row>
    <row r="201" ht="57.75" customHeight="1">
      <c r="A201" s="4" t="s">
        <v>8290</v>
      </c>
      <c r="B201" s="4" t="s">
        <v>999</v>
      </c>
      <c r="C201" s="4" t="s">
        <v>8291</v>
      </c>
      <c r="D201" s="4" t="s">
        <v>8292</v>
      </c>
      <c r="E201" s="89" t="str">
        <f t="array" ref="E201">IF(
                C201 = "",
                "",
                       IF(
                           C201 ="FOTOGRAFIA",
                           "LINK",
                           "https://www.appsheet.com/template/gettablefileurl?appName=MEDICIÓNDEESPESORES-924373673&amp;tableName=1_general&amp;fileName="&amp;C201                         )
                          )</f>
        <v>https://www.appsheet.com/template/gettablefileurl?appName=MEDICIÓNDEESPESORES-924373673&amp;tableName=1_general&amp;fileName=3_fotografias_Images/efb1e755.imagen.150343.jpg</v>
      </c>
      <c r="F201" s="55" t="str">
        <f t="shared" si="1"/>
        <v/>
      </c>
    </row>
    <row r="202" ht="57.75" customHeight="1">
      <c r="A202" s="4" t="s">
        <v>8293</v>
      </c>
      <c r="B202" s="4" t="s">
        <v>999</v>
      </c>
      <c r="C202" s="4" t="s">
        <v>8294</v>
      </c>
      <c r="D202" s="4" t="s">
        <v>8295</v>
      </c>
      <c r="E202" s="89" t="str">
        <f t="array" ref="E202">IF(
                C202 = "",
                "",
                       IF(
                           C202 ="FOTOGRAFIA",
                           "LINK",
                           "https://www.appsheet.com/template/gettablefileurl?appName=MEDICIÓNDEESPESORES-924373673&amp;tableName=1_general&amp;fileName="&amp;C202                         )
                          )</f>
        <v>https://www.appsheet.com/template/gettablefileurl?appName=MEDICIÓNDEESPESORES-924373673&amp;tableName=1_general&amp;fileName=3_fotografias_Images/431b10af.imagen.150348.jpg</v>
      </c>
      <c r="F202" s="55" t="str">
        <f t="shared" si="1"/>
        <v/>
      </c>
    </row>
    <row r="203" ht="57.75" customHeight="1">
      <c r="A203" s="4" t="s">
        <v>8296</v>
      </c>
      <c r="B203" s="4" t="s">
        <v>999</v>
      </c>
      <c r="C203" s="4" t="s">
        <v>8297</v>
      </c>
      <c r="D203" s="4" t="s">
        <v>8292</v>
      </c>
      <c r="E203" s="89" t="str">
        <f t="array" ref="E203">IF(
                C203 = "",
                "",
                       IF(
                           C203 ="FOTOGRAFIA",
                           "LINK",
                           "https://www.appsheet.com/template/gettablefileurl?appName=MEDICIÓNDEESPESORES-924373673&amp;tableName=1_general&amp;fileName="&amp;C203                         )
                          )</f>
        <v>https://www.appsheet.com/template/gettablefileurl?appName=MEDICIÓNDEESPESORES-924373673&amp;tableName=1_general&amp;fileName=3_fotografias_Images/ed15af8d.imagen.150351.jpg</v>
      </c>
      <c r="F203" s="55" t="str">
        <f t="shared" si="1"/>
        <v/>
      </c>
    </row>
    <row r="204" ht="57.75" customHeight="1">
      <c r="A204" s="4" t="s">
        <v>8298</v>
      </c>
      <c r="B204" s="4" t="s">
        <v>999</v>
      </c>
      <c r="C204" s="4" t="s">
        <v>8299</v>
      </c>
      <c r="D204" s="4" t="s">
        <v>8300</v>
      </c>
      <c r="E204" s="89" t="str">
        <f t="array" ref="E204">IF(
                C204 = "",
                "",
                       IF(
                           C204 ="FOTOGRAFIA",
                           "LINK",
                           "https://www.appsheet.com/template/gettablefileurl?appName=MEDICIÓNDEESPESORES-924373673&amp;tableName=1_general&amp;fileName="&amp;C204                         )
                          )</f>
        <v>https://www.appsheet.com/template/gettablefileurl?appName=MEDICIÓNDEESPESORES-924373673&amp;tableName=1_general&amp;fileName=3_fotografias_Images/e6869e73.imagen.150355.jpg</v>
      </c>
      <c r="F204" s="55" t="str">
        <f t="shared" si="1"/>
        <v/>
      </c>
    </row>
    <row r="205" ht="57.75" customHeight="1">
      <c r="A205" s="4" t="s">
        <v>8301</v>
      </c>
      <c r="B205" s="4" t="s">
        <v>999</v>
      </c>
      <c r="C205" s="4" t="s">
        <v>8302</v>
      </c>
      <c r="D205" s="4" t="s">
        <v>8300</v>
      </c>
      <c r="E205" s="89" t="str">
        <f t="array" ref="E205">IF(
                C205 = "",
                "",
                       IF(
                           C205 ="FOTOGRAFIA",
                           "LINK",
                           "https://www.appsheet.com/template/gettablefileurl?appName=MEDICIÓNDEESPESORES-924373673&amp;tableName=1_general&amp;fileName="&amp;C205                         )
                          )</f>
        <v>https://www.appsheet.com/template/gettablefileurl?appName=MEDICIÓNDEESPESORES-924373673&amp;tableName=1_general&amp;fileName=3_fotografias_Images/7f1b7d4c.imagen.150400.jpg</v>
      </c>
      <c r="F205" s="55" t="str">
        <f t="shared" si="1"/>
        <v/>
      </c>
    </row>
    <row r="206" ht="57.75" customHeight="1">
      <c r="A206" s="4" t="s">
        <v>8303</v>
      </c>
      <c r="B206" s="4" t="s">
        <v>999</v>
      </c>
      <c r="C206" s="4" t="s">
        <v>8304</v>
      </c>
      <c r="D206" s="4" t="s">
        <v>8305</v>
      </c>
      <c r="E206" s="89" t="str">
        <f t="array" ref="E206">IF(
                C206 = "",
                "",
                       IF(
                           C206 ="FOTOGRAFIA",
                           "LINK",
                           "https://www.appsheet.com/template/gettablefileurl?appName=MEDICIÓNDEESPESORES-924373673&amp;tableName=1_general&amp;fileName="&amp;C206                         )
                          )</f>
        <v>https://www.appsheet.com/template/gettablefileurl?appName=MEDICIÓNDEESPESORES-924373673&amp;tableName=1_general&amp;fileName=3_fotografias_Images/0f5610bd.imagen.150403.jpg</v>
      </c>
      <c r="F206" s="55" t="str">
        <f t="shared" si="1"/>
        <v/>
      </c>
    </row>
    <row r="207" ht="57.75" customHeight="1">
      <c r="A207" s="4" t="s">
        <v>8306</v>
      </c>
      <c r="B207" s="4" t="s">
        <v>1012</v>
      </c>
      <c r="C207" s="4" t="s">
        <v>8307</v>
      </c>
      <c r="D207" s="4" t="s">
        <v>8295</v>
      </c>
      <c r="E207" s="89" t="str">
        <f t="array" ref="E207">IF(
                C207 = "",
                "",
                       IF(
                           C207 ="FOTOGRAFIA",
                           "LINK",
                           "https://www.appsheet.com/template/gettablefileurl?appName=MEDICIÓNDEESPESORES-924373673&amp;tableName=1_general&amp;fileName="&amp;C207                         )
                          )</f>
        <v>https://www.appsheet.com/template/gettablefileurl?appName=MEDICIÓNDEESPESORES-924373673&amp;tableName=1_general&amp;fileName=3_fotografias_Images/f1927df2.imagen.163551.jpg</v>
      </c>
      <c r="F207" s="55" t="str">
        <f t="shared" si="1"/>
        <v/>
      </c>
    </row>
    <row r="208" ht="57.75" customHeight="1">
      <c r="A208" s="4" t="s">
        <v>8308</v>
      </c>
      <c r="B208" s="4" t="s">
        <v>1012</v>
      </c>
      <c r="C208" s="4" t="s">
        <v>8309</v>
      </c>
      <c r="D208" s="4" t="s">
        <v>8292</v>
      </c>
      <c r="E208" s="89" t="str">
        <f t="array" ref="E208">IF(
                C208 = "",
                "",
                       IF(
                           C208 ="FOTOGRAFIA",
                           "LINK",
                           "https://www.appsheet.com/template/gettablefileurl?appName=MEDICIÓNDEESPESORES-924373673&amp;tableName=1_general&amp;fileName="&amp;C208                         )
                          )</f>
        <v>https://www.appsheet.com/template/gettablefileurl?appName=MEDICIÓNDEESPESORES-924373673&amp;tableName=1_general&amp;fileName=3_fotografias_Images/1c106274.imagen.163554.jpg</v>
      </c>
      <c r="F208" s="55" t="str">
        <f t="shared" si="1"/>
        <v/>
      </c>
    </row>
    <row r="209" ht="57.75" customHeight="1">
      <c r="A209" s="4" t="s">
        <v>8310</v>
      </c>
      <c r="B209" s="4" t="s">
        <v>1012</v>
      </c>
      <c r="C209" s="4" t="s">
        <v>8311</v>
      </c>
      <c r="D209" s="4" t="s">
        <v>8300</v>
      </c>
      <c r="E209" s="89" t="str">
        <f t="array" ref="E209">IF(
                C209 = "",
                "",
                       IF(
                           C209 ="FOTOGRAFIA",
                           "LINK",
                           "https://www.appsheet.com/template/gettablefileurl?appName=MEDICIÓNDEESPESORES-924373673&amp;tableName=1_general&amp;fileName="&amp;C209                         )
                          )</f>
        <v>https://www.appsheet.com/template/gettablefileurl?appName=MEDICIÓNDEESPESORES-924373673&amp;tableName=1_general&amp;fileName=3_fotografias_Images/baba0e51.imagen.163557.jpg</v>
      </c>
      <c r="F209" s="55" t="str">
        <f t="shared" si="1"/>
        <v/>
      </c>
    </row>
    <row r="210" ht="57.75" customHeight="1">
      <c r="A210" s="4" t="s">
        <v>8312</v>
      </c>
      <c r="B210" s="4" t="s">
        <v>1012</v>
      </c>
      <c r="C210" s="4" t="s">
        <v>8313</v>
      </c>
      <c r="D210" s="4" t="s">
        <v>8292</v>
      </c>
      <c r="E210" s="89" t="str">
        <f t="array" ref="E210">IF(
                C210 = "",
                "",
                       IF(
                           C210 ="FOTOGRAFIA",
                           "LINK",
                           "https://www.appsheet.com/template/gettablefileurl?appName=MEDICIÓNDEESPESORES-924373673&amp;tableName=1_general&amp;fileName="&amp;C210                         )
                          )</f>
        <v>https://www.appsheet.com/template/gettablefileurl?appName=MEDICIÓNDEESPESORES-924373673&amp;tableName=1_general&amp;fileName=3_fotografias_Images/068c963c.imagen.163602.jpg</v>
      </c>
      <c r="F210" s="55" t="str">
        <f t="shared" si="1"/>
        <v/>
      </c>
    </row>
    <row r="211" ht="57.75" customHeight="1">
      <c r="A211" s="4" t="s">
        <v>8314</v>
      </c>
      <c r="B211" s="4" t="s">
        <v>1012</v>
      </c>
      <c r="C211" s="4" t="s">
        <v>8315</v>
      </c>
      <c r="D211" s="4" t="s">
        <v>8295</v>
      </c>
      <c r="E211" s="89" t="str">
        <f t="array" ref="E211">IF(
                C211 = "",
                "",
                       IF(
                           C211 ="FOTOGRAFIA",
                           "LINK",
                           "https://www.appsheet.com/template/gettablefileurl?appName=MEDICIÓNDEESPESORES-924373673&amp;tableName=1_general&amp;fileName="&amp;C211                         )
                          )</f>
        <v>https://www.appsheet.com/template/gettablefileurl?appName=MEDICIÓNDEESPESORES-924373673&amp;tableName=1_general&amp;fileName=3_fotografias_Images/3aae4069.imagen.163605.jpg</v>
      </c>
      <c r="F211" s="55" t="str">
        <f t="shared" si="1"/>
        <v/>
      </c>
    </row>
    <row r="212" ht="57.75" customHeight="1">
      <c r="A212" s="4" t="s">
        <v>8316</v>
      </c>
      <c r="B212" s="4" t="s">
        <v>1012</v>
      </c>
      <c r="C212" s="4" t="s">
        <v>8317</v>
      </c>
      <c r="D212" s="4" t="s">
        <v>8300</v>
      </c>
      <c r="E212" s="89" t="str">
        <f t="array" ref="E212">IF(
                C212 = "",
                "",
                       IF(
                           C212 ="FOTOGRAFIA",
                           "LINK",
                           "https://www.appsheet.com/template/gettablefileurl?appName=MEDICIÓNDEESPESORES-924373673&amp;tableName=1_general&amp;fileName="&amp;C212                         )
                          )</f>
        <v>https://www.appsheet.com/template/gettablefileurl?appName=MEDICIÓNDEESPESORES-924373673&amp;tableName=1_general&amp;fileName=3_fotografias_Images/cd631948.imagen.163608.jpg</v>
      </c>
      <c r="F212" s="55" t="str">
        <f t="shared" si="1"/>
        <v/>
      </c>
    </row>
    <row r="213" ht="57.75" customHeight="1">
      <c r="A213" s="4" t="s">
        <v>8318</v>
      </c>
      <c r="B213" s="4" t="s">
        <v>1019</v>
      </c>
      <c r="C213" s="4" t="s">
        <v>8319</v>
      </c>
      <c r="D213" s="4" t="s">
        <v>8320</v>
      </c>
      <c r="E213" s="89" t="str">
        <f t="array" ref="E213">IF(
                C213 = "",
                "",
                       IF(
                           C213 ="FOTOGRAFIA",
                           "LINK",
                           "https://www.appsheet.com/template/gettablefileurl?appName=MEDICIÓNDEESPESORES-924373673&amp;tableName=1_general&amp;fileName="&amp;C213                         )
                          )</f>
        <v>https://www.appsheet.com/template/gettablefileurl?appName=MEDICIÓNDEESPESORES-924373673&amp;tableName=1_general&amp;fileName=3_fotografias_Images/8536253e.imagen.174934.jpg</v>
      </c>
      <c r="F213" s="55" t="str">
        <f t="shared" si="1"/>
        <v/>
      </c>
    </row>
    <row r="214" ht="57.75" customHeight="1">
      <c r="A214" s="4" t="s">
        <v>8321</v>
      </c>
      <c r="B214" s="4" t="s">
        <v>1019</v>
      </c>
      <c r="C214" s="4" t="s">
        <v>8322</v>
      </c>
      <c r="D214" s="4" t="s">
        <v>8323</v>
      </c>
      <c r="E214" s="89" t="str">
        <f t="array" ref="E214">IF(
                C214 = "",
                "",
                       IF(
                           C214 ="FOTOGRAFIA",
                           "LINK",
                           "https://www.appsheet.com/template/gettablefileurl?appName=MEDICIÓNDEESPESORES-924373673&amp;tableName=1_general&amp;fileName="&amp;C214                         )
                          )</f>
        <v>https://www.appsheet.com/template/gettablefileurl?appName=MEDICIÓNDEESPESORES-924373673&amp;tableName=1_general&amp;fileName=3_fotografias_Images/f4007e72.imagen.174938.jpg</v>
      </c>
      <c r="F214" s="55" t="str">
        <f t="shared" si="1"/>
        <v/>
      </c>
    </row>
    <row r="215" ht="57.75" customHeight="1">
      <c r="A215" s="4" t="s">
        <v>8324</v>
      </c>
      <c r="B215" s="4" t="s">
        <v>1040</v>
      </c>
      <c r="C215" s="4" t="s">
        <v>8325</v>
      </c>
      <c r="D215" s="4" t="s">
        <v>8320</v>
      </c>
      <c r="E215" s="89" t="str">
        <f t="array" ref="E215">IF(
                C215 = "",
                "",
                       IF(
                           C215 ="FOTOGRAFIA",
                           "LINK",
                           "https://www.appsheet.com/template/gettablefileurl?appName=MEDICIÓNDEESPESORES-924373673&amp;tableName=1_general&amp;fileName="&amp;C215                         )
                          )</f>
        <v>https://www.appsheet.com/template/gettablefileurl?appName=MEDICIÓNDEESPESORES-924373673&amp;tableName=1_general&amp;fileName=3_fotografias_Images/49b1917f.imagen.194354.jpg</v>
      </c>
      <c r="F215" s="55" t="str">
        <f t="shared" si="1"/>
        <v/>
      </c>
    </row>
    <row r="216" ht="57.75" customHeight="1">
      <c r="A216" s="4" t="s">
        <v>8326</v>
      </c>
      <c r="B216" s="4" t="s">
        <v>1040</v>
      </c>
      <c r="C216" s="4" t="s">
        <v>8327</v>
      </c>
      <c r="D216" s="4" t="s">
        <v>8328</v>
      </c>
      <c r="E216" s="89" t="str">
        <f t="array" ref="E216">IF(
                C216 = "",
                "",
                       IF(
                           C216 ="FOTOGRAFIA",
                           "LINK",
                           "https://www.appsheet.com/template/gettablefileurl?appName=MEDICIÓNDEESPESORES-924373673&amp;tableName=1_general&amp;fileName="&amp;C216                         )
                          )</f>
        <v>https://www.appsheet.com/template/gettablefileurl?appName=MEDICIÓNDEESPESORES-924373673&amp;tableName=1_general&amp;fileName=3_fotografias_Images/570fa26b.imagen.194432.jpg</v>
      </c>
      <c r="F216" s="55" t="str">
        <f t="shared" si="1"/>
        <v/>
      </c>
    </row>
    <row r="217" ht="57.75" customHeight="1">
      <c r="A217" s="4" t="s">
        <v>8329</v>
      </c>
      <c r="B217" s="4" t="s">
        <v>1032</v>
      </c>
      <c r="C217" s="4" t="s">
        <v>8330</v>
      </c>
      <c r="D217" s="4" t="s">
        <v>8331</v>
      </c>
      <c r="E217" s="89" t="str">
        <f t="array" ref="E217">IF(
                C217 = "",
                "",
                       IF(
                           C217 ="FOTOGRAFIA",
                           "LINK",
                           "https://www.appsheet.com/template/gettablefileurl?appName=MEDICIÓNDEESPESORES-924373673&amp;tableName=1_general&amp;fileName="&amp;C217                         )
                          )</f>
        <v>https://www.appsheet.com/template/gettablefileurl?appName=MEDICIÓNDEESPESORES-924373673&amp;tableName=1_general&amp;fileName=3_fotografias_Images/8a256c1c.imagen.205458.jpg</v>
      </c>
      <c r="F217" s="55" t="str">
        <f t="shared" si="1"/>
        <v/>
      </c>
    </row>
    <row r="218" ht="57.75" customHeight="1">
      <c r="A218" s="4" t="s">
        <v>8332</v>
      </c>
      <c r="B218" s="4" t="s">
        <v>1032</v>
      </c>
      <c r="C218" s="4" t="s">
        <v>8333</v>
      </c>
      <c r="D218" s="4" t="s">
        <v>8292</v>
      </c>
      <c r="E218" s="89" t="str">
        <f t="array" ref="E218">IF(
                C218 = "",
                "",
                       IF(
                           C218 ="FOTOGRAFIA",
                           "LINK",
                           "https://www.appsheet.com/template/gettablefileurl?appName=MEDICIÓNDEESPESORES-924373673&amp;tableName=1_general&amp;fileName="&amp;C218                         )
                          )</f>
        <v>https://www.appsheet.com/template/gettablefileurl?appName=MEDICIÓNDEESPESORES-924373673&amp;tableName=1_general&amp;fileName=3_fotografias_Images/f41ffb6c.imagen.205502.jpg</v>
      </c>
      <c r="F218" s="55" t="str">
        <f t="shared" si="1"/>
        <v/>
      </c>
    </row>
    <row r="219" ht="57.75" customHeight="1">
      <c r="A219" s="4" t="s">
        <v>8334</v>
      </c>
      <c r="B219" s="4" t="s">
        <v>1032</v>
      </c>
      <c r="C219" s="4" t="s">
        <v>8335</v>
      </c>
      <c r="D219" s="4" t="s">
        <v>8292</v>
      </c>
      <c r="E219" s="89" t="str">
        <f t="array" ref="E219">IF(
                C219 = "",
                "",
                       IF(
                           C219 ="FOTOGRAFIA",
                           "LINK",
                           "https://www.appsheet.com/template/gettablefileurl?appName=MEDICIÓNDEESPESORES-924373673&amp;tableName=1_general&amp;fileName="&amp;C219                         )
                          )</f>
        <v>https://www.appsheet.com/template/gettablefileurl?appName=MEDICIÓNDEESPESORES-924373673&amp;tableName=1_general&amp;fileName=3_fotografias_Images/a87630b3.imagen.205505.jpg</v>
      </c>
      <c r="F219" s="55" t="str">
        <f t="shared" si="1"/>
        <v/>
      </c>
    </row>
    <row r="220" ht="57.75" customHeight="1">
      <c r="A220" s="4" t="s">
        <v>8336</v>
      </c>
      <c r="B220" s="4" t="s">
        <v>1032</v>
      </c>
      <c r="C220" s="4" t="s">
        <v>8337</v>
      </c>
      <c r="D220" s="4" t="s">
        <v>8300</v>
      </c>
      <c r="E220" s="89" t="str">
        <f t="array" ref="E220">IF(
                C220 = "",
                "",
                       IF(
                           C220 ="FOTOGRAFIA",
                           "LINK",
                           "https://www.appsheet.com/template/gettablefileurl?appName=MEDICIÓNDEESPESORES-924373673&amp;tableName=1_general&amp;fileName="&amp;C220                         )
                          )</f>
        <v>https://www.appsheet.com/template/gettablefileurl?appName=MEDICIÓNDEESPESORES-924373673&amp;tableName=1_general&amp;fileName=3_fotografias_Images/291ebae1.imagen.205508.jpg</v>
      </c>
      <c r="F220" s="55" t="str">
        <f t="shared" si="1"/>
        <v/>
      </c>
    </row>
    <row r="221" ht="57.75" customHeight="1">
      <c r="A221" s="4" t="s">
        <v>8338</v>
      </c>
      <c r="B221" s="4" t="s">
        <v>1032</v>
      </c>
      <c r="C221" s="4" t="s">
        <v>8339</v>
      </c>
      <c r="D221" s="4" t="s">
        <v>8300</v>
      </c>
      <c r="E221" s="89" t="str">
        <f t="array" ref="E221">IF(
                C221 = "",
                "",
                       IF(
                           C221 ="FOTOGRAFIA",
                           "LINK",
                           "https://www.appsheet.com/template/gettablefileurl?appName=MEDICIÓNDEESPESORES-924373673&amp;tableName=1_general&amp;fileName="&amp;C221                         )
                          )</f>
        <v>https://www.appsheet.com/template/gettablefileurl?appName=MEDICIÓNDEESPESORES-924373673&amp;tableName=1_general&amp;fileName=3_fotografias_Images/e36592e7.imagen.205512.jpg</v>
      </c>
      <c r="F221" s="55" t="str">
        <f t="shared" si="1"/>
        <v/>
      </c>
    </row>
    <row r="222" ht="57.75" customHeight="1">
      <c r="A222" s="4" t="s">
        <v>8340</v>
      </c>
      <c r="B222" s="4" t="s">
        <v>1047</v>
      </c>
      <c r="C222" s="4" t="s">
        <v>8341</v>
      </c>
      <c r="D222" s="4" t="s">
        <v>8292</v>
      </c>
      <c r="E222" s="89" t="str">
        <f t="array" ref="E222">IF(
                C222 = "",
                "",
                       IF(
                           C222 ="FOTOGRAFIA",
                           "LINK",
                           "https://www.appsheet.com/template/gettablefileurl?appName=MEDICIÓNDEESPESORES-924373673&amp;tableName=1_general&amp;fileName="&amp;C222                         )
                          )</f>
        <v>https://www.appsheet.com/template/gettablefileurl?appName=MEDICIÓNDEESPESORES-924373673&amp;tableName=1_general&amp;fileName=3_fotografias_Images/1538642b.imagen.211457.jpg</v>
      </c>
      <c r="F222" s="55" t="str">
        <f t="shared" si="1"/>
        <v/>
      </c>
    </row>
    <row r="223" ht="57.75" customHeight="1">
      <c r="A223" s="4" t="s">
        <v>8342</v>
      </c>
      <c r="B223" s="4" t="s">
        <v>1047</v>
      </c>
      <c r="C223" s="4" t="s">
        <v>8343</v>
      </c>
      <c r="D223" s="4" t="s">
        <v>8300</v>
      </c>
      <c r="E223" s="89" t="str">
        <f t="array" ref="E223">IF(
                C223 = "",
                "",
                       IF(
                           C223 ="FOTOGRAFIA",
                           "LINK",
                           "https://www.appsheet.com/template/gettablefileurl?appName=MEDICIÓNDEESPESORES-924373673&amp;tableName=1_general&amp;fileName="&amp;C223                         )
                          )</f>
        <v>https://www.appsheet.com/template/gettablefileurl?appName=MEDICIÓNDEESPESORES-924373673&amp;tableName=1_general&amp;fileName=3_fotografias_Images/ab70218b.imagen.211527.jpg</v>
      </c>
      <c r="F223" s="55" t="str">
        <f t="shared" si="1"/>
        <v/>
      </c>
    </row>
    <row r="224" ht="57.75" customHeight="1">
      <c r="A224" s="4" t="s">
        <v>8344</v>
      </c>
      <c r="B224" s="4" t="s">
        <v>1047</v>
      </c>
      <c r="C224" s="4" t="s">
        <v>8345</v>
      </c>
      <c r="D224" s="4" t="s">
        <v>8300</v>
      </c>
      <c r="E224" s="89" t="str">
        <f t="array" ref="E224">IF(
                C224 = "",
                "",
                       IF(
                           C224 ="FOTOGRAFIA",
                           "LINK",
                           "https://www.appsheet.com/template/gettablefileurl?appName=MEDICIÓNDEESPESORES-924373673&amp;tableName=1_general&amp;fileName="&amp;C224                         )
                          )</f>
        <v>https://www.appsheet.com/template/gettablefileurl?appName=MEDICIÓNDEESPESORES-924373673&amp;tableName=1_general&amp;fileName=3_fotografias_Images/65c2e009.imagen.211531.jpg</v>
      </c>
      <c r="F224" s="55" t="str">
        <f t="shared" si="1"/>
        <v/>
      </c>
    </row>
    <row r="225" ht="57.75" customHeight="1">
      <c r="A225" s="4" t="s">
        <v>8346</v>
      </c>
      <c r="B225" s="4" t="s">
        <v>1047</v>
      </c>
      <c r="C225" s="4" t="s">
        <v>8347</v>
      </c>
      <c r="D225" s="4" t="s">
        <v>8292</v>
      </c>
      <c r="E225" s="89" t="str">
        <f t="array" ref="E225">IF(
                C225 = "",
                "",
                       IF(
                           C225 ="FOTOGRAFIA",
                           "LINK",
                           "https://www.appsheet.com/template/gettablefileurl?appName=MEDICIÓNDEESPESORES-924373673&amp;tableName=1_general&amp;fileName="&amp;C225                         )
                          )</f>
        <v>https://www.appsheet.com/template/gettablefileurl?appName=MEDICIÓNDEESPESORES-924373673&amp;tableName=1_general&amp;fileName=3_fotografias_Images/61ed8ea8.imagen.211534.jpg</v>
      </c>
      <c r="F225" s="55" t="str">
        <f t="shared" si="1"/>
        <v/>
      </c>
    </row>
    <row r="226" ht="57.75" customHeight="1">
      <c r="A226" s="4" t="s">
        <v>8348</v>
      </c>
      <c r="B226" s="4" t="s">
        <v>1047</v>
      </c>
      <c r="C226" s="4" t="s">
        <v>8349</v>
      </c>
      <c r="D226" s="4" t="s">
        <v>8331</v>
      </c>
      <c r="E226" s="89" t="str">
        <f t="array" ref="E226">IF(
                C226 = "",
                "",
                       IF(
                           C226 ="FOTOGRAFIA",
                           "LINK",
                           "https://www.appsheet.com/template/gettablefileurl?appName=MEDICIÓNDEESPESORES-924373673&amp;tableName=1_general&amp;fileName="&amp;C226                         )
                          )</f>
        <v>https://www.appsheet.com/template/gettablefileurl?appName=MEDICIÓNDEESPESORES-924373673&amp;tableName=1_general&amp;fileName=3_fotografias_Images/10aff068.imagen.211537.jpg</v>
      </c>
      <c r="F226" s="55" t="str">
        <f t="shared" si="1"/>
        <v/>
      </c>
    </row>
    <row r="227" ht="57.75" customHeight="1">
      <c r="A227" s="4" t="s">
        <v>8350</v>
      </c>
      <c r="B227" s="4" t="s">
        <v>1064</v>
      </c>
      <c r="C227" s="4" t="s">
        <v>8351</v>
      </c>
      <c r="D227" s="4" t="s">
        <v>8352</v>
      </c>
      <c r="E227" s="89" t="str">
        <f t="array" ref="E227">IF(
                C227 = "",
                "",
                       IF(
                           C227 ="FOTOGRAFIA",
                           "LINK",
                           "https://www.appsheet.com/template/gettablefileurl?appName=MEDICIÓNDEESPESORES-924373673&amp;tableName=1_general&amp;fileName="&amp;C227                         )
                          )</f>
        <v>https://www.appsheet.com/template/gettablefileurl?appName=MEDICIÓNDEESPESORES-924373673&amp;tableName=1_general&amp;fileName=3_fotografias_Images/f861a82c.imagen.005000.jpg</v>
      </c>
      <c r="F227" s="55" t="str">
        <f t="shared" si="1"/>
        <v/>
      </c>
    </row>
    <row r="228" ht="57.75" customHeight="1">
      <c r="A228" s="4" t="s">
        <v>8353</v>
      </c>
      <c r="B228" s="4" t="s">
        <v>1064</v>
      </c>
      <c r="C228" s="4" t="s">
        <v>8354</v>
      </c>
      <c r="D228" s="4" t="s">
        <v>8355</v>
      </c>
      <c r="E228" s="89" t="str">
        <f t="array" ref="E228">IF(
                C228 = "",
                "",
                       IF(
                           C228 ="FOTOGRAFIA",
                           "LINK",
                           "https://www.appsheet.com/template/gettablefileurl?appName=MEDICIÓNDEESPESORES-924373673&amp;tableName=1_general&amp;fileName="&amp;C228                         )
                          )</f>
        <v>https://www.appsheet.com/template/gettablefileurl?appName=MEDICIÓNDEESPESORES-924373673&amp;tableName=1_general&amp;fileName=3_fotografias_Images/4fd00d01.imagen.005003.jpg</v>
      </c>
      <c r="F228" s="55" t="str">
        <f t="shared" si="1"/>
        <v/>
      </c>
    </row>
    <row r="229" ht="57.75" customHeight="1">
      <c r="A229" s="54" t="s">
        <v>8356</v>
      </c>
      <c r="B229" s="4" t="s">
        <v>1060</v>
      </c>
      <c r="C229" s="4" t="s">
        <v>8357</v>
      </c>
      <c r="D229" s="4" t="s">
        <v>8320</v>
      </c>
      <c r="E229" s="89" t="str">
        <f t="array" ref="E229">IF(
                C229 = "",
                "",
                       IF(
                           C229 ="FOTOGRAFIA",
                           "LINK",
                           "https://www.appsheet.com/template/gettablefileurl?appName=MEDICIÓNDEESPESORES-924373673&amp;tableName=1_general&amp;fileName="&amp;C229                         )
                          )</f>
        <v>https://www.appsheet.com/template/gettablefileurl?appName=MEDICIÓNDEESPESORES-924373673&amp;tableName=1_general&amp;fileName=3_fotografias_Images/80547865.imagen.151131.jpg</v>
      </c>
      <c r="F229" s="55" t="str">
        <f t="shared" si="1"/>
        <v/>
      </c>
    </row>
    <row r="230" ht="57.75" customHeight="1">
      <c r="A230" s="4" t="s">
        <v>8358</v>
      </c>
      <c r="B230" s="4" t="s">
        <v>1054</v>
      </c>
      <c r="C230" s="4" t="s">
        <v>8359</v>
      </c>
      <c r="D230" s="4" t="s">
        <v>8360</v>
      </c>
      <c r="E230" s="89" t="str">
        <f t="array" ref="E230">IF(
                C230 = "",
                "",
                       IF(
                           C230 ="FOTOGRAFIA",
                           "LINK",
                           "https://www.appsheet.com/template/gettablefileurl?appName=MEDICIÓNDEESPESORES-924373673&amp;tableName=1_general&amp;fileName="&amp;C230                         )
                          )</f>
        <v>https://www.appsheet.com/template/gettablefileurl?appName=MEDICIÓNDEESPESORES-924373673&amp;tableName=1_general&amp;fileName=3_fotografias_Images/398ef57c.imagen.151201.jpg</v>
      </c>
      <c r="F230" s="55" t="str">
        <f t="shared" si="1"/>
        <v/>
      </c>
    </row>
    <row r="231" ht="57.75" customHeight="1">
      <c r="A231" s="4" t="s">
        <v>8361</v>
      </c>
      <c r="B231" s="4" t="s">
        <v>1075</v>
      </c>
      <c r="C231" s="4" t="s">
        <v>8362</v>
      </c>
      <c r="D231" s="4" t="s">
        <v>8292</v>
      </c>
      <c r="E231" s="89" t="str">
        <f t="array" ref="E231">IF(
                C231 = "",
                "",
                       IF(
                           C231 ="FOTOGRAFIA",
                           "LINK",
                           "https://www.appsheet.com/template/gettablefileurl?appName=MEDICIÓNDEESPESORES-924373673&amp;tableName=1_general&amp;fileName="&amp;C231                         )
                          )</f>
        <v>https://www.appsheet.com/template/gettablefileurl?appName=MEDICIÓNDEESPESORES-924373673&amp;tableName=1_general&amp;fileName=3_fotografias_Images/802b7eb4.imagen.160110.jpg</v>
      </c>
      <c r="F231" s="55" t="str">
        <f t="shared" si="1"/>
        <v/>
      </c>
    </row>
    <row r="232" ht="57.75" customHeight="1">
      <c r="A232" s="4" t="s">
        <v>8363</v>
      </c>
      <c r="B232" s="4" t="s">
        <v>1075</v>
      </c>
      <c r="C232" s="4" t="s">
        <v>8364</v>
      </c>
      <c r="D232" s="4" t="s">
        <v>8300</v>
      </c>
      <c r="E232" s="89" t="str">
        <f t="array" ref="E232">IF(
                C232 = "",
                "",
                       IF(
                           C232 ="FOTOGRAFIA",
                           "LINK",
                           "https://www.appsheet.com/template/gettablefileurl?appName=MEDICIÓNDEESPESORES-924373673&amp;tableName=1_general&amp;fileName="&amp;C232                         )
                          )</f>
        <v>https://www.appsheet.com/template/gettablefileurl?appName=MEDICIÓNDEESPESORES-924373673&amp;tableName=1_general&amp;fileName=3_fotografias_Images/c7e8f025.imagen.160114.jpg</v>
      </c>
      <c r="F232" s="55" t="str">
        <f t="shared" si="1"/>
        <v/>
      </c>
    </row>
    <row r="233" ht="57.75" customHeight="1">
      <c r="A233" s="4" t="s">
        <v>8365</v>
      </c>
      <c r="B233" s="4" t="s">
        <v>1075</v>
      </c>
      <c r="C233" s="4" t="s">
        <v>8366</v>
      </c>
      <c r="D233" s="4" t="s">
        <v>8295</v>
      </c>
      <c r="E233" s="89" t="str">
        <f t="array" ref="E233">IF(
                C233 = "",
                "",
                       IF(
                           C233 ="FOTOGRAFIA",
                           "LINK",
                           "https://www.appsheet.com/template/gettablefileurl?appName=MEDICIÓNDEESPESORES-924373673&amp;tableName=1_general&amp;fileName="&amp;C233                         )
                          )</f>
        <v>https://www.appsheet.com/template/gettablefileurl?appName=MEDICIÓNDEESPESORES-924373673&amp;tableName=1_general&amp;fileName=3_fotografias_Images/c8369a0d.imagen.160118.jpg</v>
      </c>
      <c r="F233" s="55" t="str">
        <f t="shared" si="1"/>
        <v/>
      </c>
    </row>
    <row r="234" ht="57.75" customHeight="1">
      <c r="A234" s="4" t="s">
        <v>8367</v>
      </c>
      <c r="B234" s="4" t="s">
        <v>1075</v>
      </c>
      <c r="C234" s="4" t="s">
        <v>8368</v>
      </c>
      <c r="D234" s="4" t="s">
        <v>8369</v>
      </c>
      <c r="E234" s="89" t="str">
        <f t="array" ref="E234">IF(
                C234 = "",
                "",
                       IF(
                           C234 ="FOTOGRAFIA",
                           "LINK",
                           "https://www.appsheet.com/template/gettablefileurl?appName=MEDICIÓNDEESPESORES-924373673&amp;tableName=1_general&amp;fileName="&amp;C234                         )
                          )</f>
        <v>https://www.appsheet.com/template/gettablefileurl?appName=MEDICIÓNDEESPESORES-924373673&amp;tableName=1_general&amp;fileName=3_fotografias_Images/7085d7cf.imagen.160121.jpg</v>
      </c>
      <c r="F234" s="55" t="str">
        <f t="shared" si="1"/>
        <v/>
      </c>
    </row>
    <row r="235" ht="57.75" customHeight="1">
      <c r="A235" s="4" t="s">
        <v>8370</v>
      </c>
      <c r="B235" s="4" t="s">
        <v>1075</v>
      </c>
      <c r="C235" s="4" t="s">
        <v>8371</v>
      </c>
      <c r="D235" s="4" t="s">
        <v>8300</v>
      </c>
      <c r="E235" s="89" t="str">
        <f t="array" ref="E235">IF(
                C235 = "",
                "",
                       IF(
                           C235 ="FOTOGRAFIA",
                           "LINK",
                           "https://www.appsheet.com/template/gettablefileurl?appName=MEDICIÓNDEESPESORES-924373673&amp;tableName=1_general&amp;fileName="&amp;C235                         )
                          )</f>
        <v>https://www.appsheet.com/template/gettablefileurl?appName=MEDICIÓNDEESPESORES-924373673&amp;tableName=1_general&amp;fileName=3_fotografias_Images/87c6b6a9.imagen.160124.jpg</v>
      </c>
      <c r="F235" s="55" t="str">
        <f t="shared" si="1"/>
        <v/>
      </c>
    </row>
    <row r="236" ht="57.75" customHeight="1">
      <c r="A236" s="4" t="s">
        <v>8372</v>
      </c>
      <c r="B236" s="4" t="s">
        <v>1075</v>
      </c>
      <c r="C236" s="4" t="s">
        <v>8373</v>
      </c>
      <c r="D236" s="4" t="s">
        <v>8295</v>
      </c>
      <c r="E236" s="89" t="str">
        <f t="array" ref="E236">IF(
                C236 = "",
                "",
                       IF(
                           C236 ="FOTOGRAFIA",
                           "LINK",
                           "https://www.appsheet.com/template/gettablefileurl?appName=MEDICIÓNDEESPESORES-924373673&amp;tableName=1_general&amp;fileName="&amp;C236                         )
                          )</f>
        <v>https://www.appsheet.com/template/gettablefileurl?appName=MEDICIÓNDEESPESORES-924373673&amp;tableName=1_general&amp;fileName=3_fotografias_Images/247d3846.imagen.160127.jpg</v>
      </c>
      <c r="F236" s="55" t="str">
        <f t="shared" si="1"/>
        <v/>
      </c>
    </row>
    <row r="237" ht="57.75" customHeight="1">
      <c r="E237" s="55" t="str">
        <f t="array" ref="E237">IF(
                C237 = "",
                "",
                       IF(
                           C237 ="FOTOGRAFIA",
                           "LINK",
                           "https://www.appsheet.com/template/gettablefileurl?appName=MEDICIÓNDEESPESORES-924373673&amp;tableName=1_general&amp;fileName="&amp;C237                         )
                          )</f>
        <v/>
      </c>
      <c r="F237" s="55" t="str">
        <f t="shared" si="1"/>
        <v/>
      </c>
    </row>
    <row r="238" ht="57.75" customHeight="1">
      <c r="E238" s="55" t="str">
        <f t="array" ref="E238">IF(
                C238 = "",
                "",
                       IF(
                           C238 ="FOTOGRAFIA",
                           "LINK",
                           "https://www.appsheet.com/template/gettablefileurl?appName=MEDICIÓNDEESPESORES-924373673&amp;tableName=1_general&amp;fileName="&amp;C238                         )
                          )</f>
        <v/>
      </c>
      <c r="F238" s="55" t="str">
        <f t="shared" si="1"/>
        <v/>
      </c>
    </row>
    <row r="239" ht="57.75" customHeight="1">
      <c r="E239" s="55" t="str">
        <f t="array" ref="E239">IF(
                C239 = "",
                "",
                       IF(
                           C239 ="FOTOGRAFIA",
                           "LINK",
                           "https://www.appsheet.com/template/gettablefileurl?appName=MEDICIÓNDEESPESORES-924373673&amp;tableName=1_general&amp;fileName="&amp;C239                         )
                          )</f>
        <v/>
      </c>
      <c r="F239" s="55" t="str">
        <f t="shared" si="1"/>
        <v/>
      </c>
    </row>
    <row r="240" ht="57.75" customHeight="1">
      <c r="E240" s="55" t="str">
        <f t="array" ref="E240">IF(
                C240 = "",
                "",
                       IF(
                           C240 ="FOTOGRAFIA",
                           "LINK",
                           "https://www.appsheet.com/template/gettablefileurl?appName=MEDICIÓNDEESPESORES-924373673&amp;tableName=1_general&amp;fileName="&amp;C240                         )
                          )</f>
        <v/>
      </c>
      <c r="F240" s="55" t="str">
        <f t="shared" si="1"/>
        <v/>
      </c>
    </row>
    <row r="241" ht="57.75" customHeight="1">
      <c r="E241" s="55" t="str">
        <f t="array" ref="E241">IF(
                C241 = "",
                "",
                       IF(
                           C241 ="FOTOGRAFIA",
                           "LINK",
                           "https://www.appsheet.com/template/gettablefileurl?appName=MEDICIÓNDEESPESORES-924373673&amp;tableName=1_general&amp;fileName="&amp;C241                         )
                          )</f>
        <v/>
      </c>
      <c r="F241" s="55" t="str">
        <f t="shared" si="1"/>
        <v/>
      </c>
    </row>
    <row r="242" ht="57.75" customHeight="1">
      <c r="E242" s="55" t="str">
        <f t="array" ref="E242">IF(
                C242 = "",
                "",
                       IF(
                           C242 ="FOTOGRAFIA",
                           "LINK",
                           "https://www.appsheet.com/template/gettablefileurl?appName=MEDICIÓNDEESPESORES-924373673&amp;tableName=1_general&amp;fileName="&amp;C242                         )
                          )</f>
        <v/>
      </c>
      <c r="F242" s="55" t="str">
        <f t="shared" si="1"/>
        <v/>
      </c>
    </row>
    <row r="243" ht="57.75" customHeight="1">
      <c r="E243" s="55" t="str">
        <f t="array" ref="E243">IF(
                C243 = "",
                "",
                       IF(
                           C243 ="FOTOGRAFIA",
                           "LINK",
                           "https://www.appsheet.com/template/gettablefileurl?appName=MEDICIÓNDEESPESORES-924373673&amp;tableName=1_general&amp;fileName="&amp;C243                         )
                          )</f>
        <v/>
      </c>
      <c r="F243" s="55" t="str">
        <f t="shared" si="1"/>
        <v/>
      </c>
    </row>
    <row r="244" ht="57.75" customHeight="1">
      <c r="E244" s="55" t="str">
        <f t="array" ref="E244">IF(
                C244 = "",
                "",
                       IF(
                           C244 ="FOTOGRAFIA",
                           "LINK",
                           "https://www.appsheet.com/template/gettablefileurl?appName=MEDICIÓNDEESPESORES-924373673&amp;tableName=1_general&amp;fileName="&amp;C244                         )
                          )</f>
        <v/>
      </c>
      <c r="F244" s="55" t="str">
        <f t="shared" si="1"/>
        <v/>
      </c>
    </row>
    <row r="245" ht="57.75" customHeight="1">
      <c r="E245" s="55" t="str">
        <f t="array" ref="E245">IF(
                C245 = "",
                "",
                       IF(
                           C245 ="FOTOGRAFIA",
                           "LINK",
                           "https://www.appsheet.com/template/gettablefileurl?appName=MEDICIÓNDEESPESORES-924373673&amp;tableName=1_general&amp;fileName="&amp;C245                         )
                          )</f>
        <v/>
      </c>
      <c r="F245" s="55" t="str">
        <f t="shared" si="1"/>
        <v/>
      </c>
    </row>
    <row r="246" ht="57.75" customHeight="1">
      <c r="E246" s="55" t="str">
        <f t="array" ref="E246">IF(
                C246 = "",
                "",
                       IF(
                           C246 ="FOTOGRAFIA",
                           "LINK",
                           "https://www.appsheet.com/template/gettablefileurl?appName=MEDICIÓNDEESPESORES-924373673&amp;tableName=1_general&amp;fileName="&amp;C246                         )
                          )</f>
        <v/>
      </c>
      <c r="F246" s="55" t="str">
        <f t="shared" si="1"/>
        <v/>
      </c>
    </row>
    <row r="247" ht="57.75" customHeight="1">
      <c r="E247" s="55" t="str">
        <f t="array" ref="E247">IF(
                C247 = "",
                "",
                       IF(
                           C247 ="FOTOGRAFIA",
                           "LINK",
                           "https://www.appsheet.com/template/gettablefileurl?appName=MEDICIÓNDEESPESORES-924373673&amp;tableName=1_general&amp;fileName="&amp;C247                         )
                          )</f>
        <v/>
      </c>
      <c r="F247" s="55" t="str">
        <f t="shared" si="1"/>
        <v/>
      </c>
    </row>
    <row r="248" ht="57.75" customHeight="1">
      <c r="E248" s="55" t="str">
        <f t="array" ref="E248">IF(
                C248 = "",
                "",
                       IF(
                           C248 ="FOTOGRAFIA",
                           "LINK",
                           "https://www.appsheet.com/template/gettablefileurl?appName=MEDICIÓNDEESPESORES-924373673&amp;tableName=1_general&amp;fileName="&amp;C248                         )
                          )</f>
        <v/>
      </c>
      <c r="F248" s="55" t="str">
        <f t="shared" si="1"/>
        <v/>
      </c>
    </row>
    <row r="249" ht="57.75" customHeight="1">
      <c r="E249" s="55" t="str">
        <f t="array" ref="E249">IF(
                C249 = "",
                "",
                       IF(
                           C249 ="FOTOGRAFIA",
                           "LINK",
                           "https://www.appsheet.com/template/gettablefileurl?appName=MEDICIÓNDEESPESORES-924373673&amp;tableName=1_general&amp;fileName="&amp;C249                         )
                          )</f>
        <v/>
      </c>
      <c r="F249" s="55" t="str">
        <f t="shared" si="1"/>
        <v/>
      </c>
    </row>
    <row r="250" ht="57.75" customHeight="1">
      <c r="E250" s="55" t="str">
        <f t="array" ref="E250">IF(
                C250 = "",
                "",
                       IF(
                           C250 ="FOTOGRAFIA",
                           "LINK",
                           "https://www.appsheet.com/template/gettablefileurl?appName=MEDICIÓNDEESPESORES-924373673&amp;tableName=1_general&amp;fileName="&amp;C250                         )
                          )</f>
        <v/>
      </c>
      <c r="F250" s="55" t="str">
        <f t="shared" si="1"/>
        <v/>
      </c>
    </row>
    <row r="251" ht="57.75" customHeight="1">
      <c r="E251" s="55" t="str">
        <f t="array" ref="E251">IF(
                C251 = "",
                "",
                       IF(
                           C251 ="FOTOGRAFIA",
                           "LINK",
                           "https://www.appsheet.com/template/gettablefileurl?appName=MEDICIÓNDEESPESORES-924373673&amp;tableName=1_general&amp;fileName="&amp;C251                         )
                          )</f>
        <v/>
      </c>
      <c r="F251" s="55" t="str">
        <f t="shared" si="1"/>
        <v/>
      </c>
    </row>
    <row r="252" ht="57.75" customHeight="1">
      <c r="E252" s="55" t="str">
        <f t="array" ref="E252">IF(
                C252 = "",
                "",
                       IF(
                           C252 ="FOTOGRAFIA",
                           "LINK",
                           "https://www.appsheet.com/template/gettablefileurl?appName=MEDICIÓNDEESPESORES-924373673&amp;tableName=1_general&amp;fileName="&amp;C252                         )
                          )</f>
        <v/>
      </c>
      <c r="F252" s="55" t="str">
        <f t="shared" si="1"/>
        <v/>
      </c>
    </row>
    <row r="253" ht="57.75" customHeight="1">
      <c r="E253" s="55" t="str">
        <f t="array" ref="E253">IF(
                C253 = "",
                "",
                       IF(
                           C253 ="FOTOGRAFIA",
                           "LINK",
                           "https://www.appsheet.com/template/gettablefileurl?appName=MEDICIÓNDEESPESORES-924373673&amp;tableName=1_general&amp;fileName="&amp;C253                         )
                          )</f>
        <v/>
      </c>
      <c r="F253" s="55" t="str">
        <f t="shared" si="1"/>
        <v/>
      </c>
    </row>
    <row r="254" ht="57.75" customHeight="1">
      <c r="E254" s="55" t="str">
        <f t="array" ref="E254">IF(
                C254 = "",
                "",
                       IF(
                           C254 ="FOTOGRAFIA",
                           "LINK",
                           "https://www.appsheet.com/template/gettablefileurl?appName=MEDICIÓNDEESPESORES-924373673&amp;tableName=1_general&amp;fileName="&amp;C254                         )
                          )</f>
        <v/>
      </c>
      <c r="F254" s="55" t="str">
        <f t="shared" si="1"/>
        <v/>
      </c>
    </row>
    <row r="255" ht="57.75" customHeight="1">
      <c r="E255" s="55" t="str">
        <f t="array" ref="E255">IF(
                C255 = "",
                "",
                       IF(
                           C255 ="FOTOGRAFIA",
                           "LINK",
                           "https://www.appsheet.com/template/gettablefileurl?appName=MEDICIÓNDEESPESORES-924373673&amp;tableName=1_general&amp;fileName="&amp;C255                         )
                          )</f>
        <v/>
      </c>
      <c r="F255" s="55" t="str">
        <f t="shared" si="1"/>
        <v/>
      </c>
    </row>
    <row r="256" ht="57.75" customHeight="1">
      <c r="E256" s="55" t="str">
        <f t="array" ref="E256">IF(
                C256 = "",
                "",
                       IF(
                           C256 ="FOTOGRAFIA",
                           "LINK",
                           "https://www.appsheet.com/template/gettablefileurl?appName=MEDICIÓNDEESPESORES-924373673&amp;tableName=1_general&amp;fileName="&amp;C256                         )
                          )</f>
        <v/>
      </c>
      <c r="F256" s="55" t="str">
        <f t="shared" si="1"/>
        <v/>
      </c>
    </row>
    <row r="257" ht="57.75" customHeight="1">
      <c r="E257" s="55" t="str">
        <f t="array" ref="E257">IF(
                C257 = "",
                "",
                       IF(
                           C257 ="FOTOGRAFIA",
                           "LINK",
                           "https://www.appsheet.com/template/gettablefileurl?appName=MEDICIÓNDEESPESORES-924373673&amp;tableName=1_general&amp;fileName="&amp;C257                         )
                          )</f>
        <v/>
      </c>
      <c r="F257" s="55" t="str">
        <f t="shared" si="1"/>
        <v/>
      </c>
    </row>
    <row r="258" ht="57.75" customHeight="1">
      <c r="E258" s="55" t="str">
        <f t="array" ref="E258">IF(
                C258 = "",
                "",
                       IF(
                           C258 ="FOTOGRAFIA",
                           "LINK",
                           "https://www.appsheet.com/template/gettablefileurl?appName=MEDICIÓNDEESPESORES-924373673&amp;tableName=1_general&amp;fileName="&amp;C258                         )
                          )</f>
        <v/>
      </c>
      <c r="F258" s="55" t="str">
        <f t="shared" si="1"/>
        <v/>
      </c>
    </row>
    <row r="259" ht="57.75" customHeight="1">
      <c r="E259" s="55" t="str">
        <f t="array" ref="E259">IF(
                C259 = "",
                "",
                       IF(
                           C259 ="FOTOGRAFIA",
                           "LINK",
                           "https://www.appsheet.com/template/gettablefileurl?appName=MEDICIÓNDEESPESORES-924373673&amp;tableName=1_general&amp;fileName="&amp;C259                         )
                          )</f>
        <v/>
      </c>
      <c r="F259" s="55" t="str">
        <f t="shared" si="1"/>
        <v/>
      </c>
    </row>
    <row r="260" ht="57.75" customHeight="1">
      <c r="E260" s="55" t="str">
        <f t="array" ref="E260">IF(
                C260 = "",
                "",
                       IF(
                           C260 ="FOTOGRAFIA",
                           "LINK",
                           "https://www.appsheet.com/template/gettablefileurl?appName=MEDICIÓNDEESPESORES-924373673&amp;tableName=1_general&amp;fileName="&amp;C260                         )
                          )</f>
        <v/>
      </c>
      <c r="F260" s="55" t="str">
        <f t="shared" si="1"/>
        <v/>
      </c>
    </row>
    <row r="261" ht="57.75" customHeight="1">
      <c r="E261" s="55" t="str">
        <f t="array" ref="E261">IF(
                C261 = "",
                "",
                       IF(
                           C261 ="FOTOGRAFIA",
                           "LINK",
                           "https://www.appsheet.com/template/gettablefileurl?appName=MEDICIÓNDEESPESORES-924373673&amp;tableName=1_general&amp;fileName="&amp;C261                         )
                          )</f>
        <v/>
      </c>
      <c r="F261" s="55" t="str">
        <f t="shared" si="1"/>
        <v/>
      </c>
    </row>
    <row r="262" ht="57.75" customHeight="1">
      <c r="E262" s="55" t="str">
        <f t="array" ref="E262">IF(
                C262 = "",
                "",
                       IF(
                           C262 ="FOTOGRAFIA",
                           "LINK",
                           "https://www.appsheet.com/template/gettablefileurl?appName=MEDICIÓNDEESPESORES-924373673&amp;tableName=1_general&amp;fileName="&amp;C262                         )
                          )</f>
        <v/>
      </c>
      <c r="F262" s="55" t="str">
        <f t="shared" si="1"/>
        <v/>
      </c>
    </row>
    <row r="263" ht="57.75" customHeight="1">
      <c r="E263" s="55" t="str">
        <f t="array" ref="E263">IF(
                C263 = "",
                "",
                       IF(
                           C263 ="FOTOGRAFIA",
                           "LINK",
                           "https://www.appsheet.com/template/gettablefileurl?appName=MEDICIÓNDEESPESORES-924373673&amp;tableName=1_general&amp;fileName="&amp;C263                         )
                          )</f>
        <v/>
      </c>
      <c r="F263" s="55" t="str">
        <f t="shared" si="1"/>
        <v/>
      </c>
    </row>
    <row r="264" ht="57.75" customHeight="1">
      <c r="E264" s="55" t="str">
        <f t="array" ref="E264">IF(
                C264 = "",
                "",
                       IF(
                           C264 ="FOTOGRAFIA",
                           "LINK",
                           "https://www.appsheet.com/template/gettablefileurl?appName=MEDICIÓNDEESPESORES-924373673&amp;tableName=1_general&amp;fileName="&amp;C264                         )
                          )</f>
        <v/>
      </c>
      <c r="F264" s="55" t="str">
        <f t="shared" si="1"/>
        <v/>
      </c>
    </row>
    <row r="265" ht="57.75" customHeight="1">
      <c r="E265" s="55" t="str">
        <f t="array" ref="E265">IF(
                C265 = "",
                "",
                       IF(
                           C265 ="FOTOGRAFIA",
                           "LINK",
                           "https://www.appsheet.com/template/gettablefileurl?appName=MEDICIÓNDEESPESORES-924373673&amp;tableName=1_general&amp;fileName="&amp;C265                         )
                          )</f>
        <v/>
      </c>
      <c r="F265" s="55" t="str">
        <f t="shared" si="1"/>
        <v/>
      </c>
    </row>
    <row r="266" ht="57.75" customHeight="1">
      <c r="E266" s="55" t="str">
        <f t="array" ref="E266">IF(
                C266 = "",
                "",
                       IF(
                           C266 ="FOTOGRAFIA",
                           "LINK",
                           "https://www.appsheet.com/template/gettablefileurl?appName=MEDICIÓNDEESPESORES-924373673&amp;tableName=1_general&amp;fileName="&amp;C266                         )
                          )</f>
        <v/>
      </c>
      <c r="F266" s="55" t="str">
        <f t="shared" si="1"/>
        <v/>
      </c>
    </row>
    <row r="267" ht="57.75" customHeight="1">
      <c r="E267" s="55" t="str">
        <f t="array" ref="E267">IF(
                C267 = "",
                "",
                       IF(
                           C267 ="FOTOGRAFIA",
                           "LINK",
                           "https://www.appsheet.com/template/gettablefileurl?appName=MEDICIÓNDEESPESORES-924373673&amp;tableName=1_general&amp;fileName="&amp;C267                         )
                          )</f>
        <v/>
      </c>
      <c r="F267" s="55" t="str">
        <f t="shared" si="1"/>
        <v/>
      </c>
    </row>
    <row r="268" ht="57.75" customHeight="1">
      <c r="E268" s="55" t="str">
        <f t="array" ref="E268">IF(
                C268 = "",
                "",
                       IF(
                           C268 ="FOTOGRAFIA",
                           "LINK",
                           "https://www.appsheet.com/template/gettablefileurl?appName=MEDICIÓNDEESPESORES-924373673&amp;tableName=1_general&amp;fileName="&amp;C268                         )
                          )</f>
        <v/>
      </c>
      <c r="F268" s="55" t="str">
        <f t="shared" si="1"/>
        <v/>
      </c>
    </row>
    <row r="269" ht="57.75" customHeight="1">
      <c r="E269" s="55" t="str">
        <f t="array" ref="E269">IF(
                C269 = "",
                "",
                       IF(
                           C269 ="FOTOGRAFIA",
                           "LINK",
                           "https://www.appsheet.com/template/gettablefileurl?appName=MEDICIÓNDEESPESORES-924373673&amp;tableName=1_general&amp;fileName="&amp;C269                         )
                          )</f>
        <v/>
      </c>
      <c r="F269" s="55" t="str">
        <f t="shared" si="1"/>
        <v/>
      </c>
    </row>
    <row r="270" ht="57.75" customHeight="1">
      <c r="E270" s="55" t="str">
        <f t="array" ref="E270">IF(
                C270 = "",
                "",
                       IF(
                           C270 ="FOTOGRAFIA",
                           "LINK",
                           "https://www.appsheet.com/template/gettablefileurl?appName=MEDICIÓNDEESPESORES-924373673&amp;tableName=1_general&amp;fileName="&amp;C270                         )
                          )</f>
        <v/>
      </c>
      <c r="F270" s="55" t="str">
        <f t="shared" si="1"/>
        <v/>
      </c>
    </row>
    <row r="271" ht="57.75" customHeight="1">
      <c r="E271" s="55" t="str">
        <f t="array" ref="E271">IF(
                C271 = "",
                "",
                       IF(
                           C271 ="FOTOGRAFIA",
                           "LINK",
                           "https://www.appsheet.com/template/gettablefileurl?appName=MEDICIÓNDEESPESORES-924373673&amp;tableName=1_general&amp;fileName="&amp;C271                         )
                          )</f>
        <v/>
      </c>
      <c r="F271" s="55" t="str">
        <f t="shared" si="1"/>
        <v/>
      </c>
    </row>
    <row r="272" ht="57.75" customHeight="1"/>
    <row r="273" ht="57.75" customHeight="1"/>
    <row r="274" ht="57.75" customHeight="1"/>
    <row r="275" ht="57.75" customHeight="1"/>
    <row r="276" ht="57.75" customHeight="1"/>
    <row r="277" ht="57.75" customHeight="1"/>
    <row r="278" ht="57.75" customHeight="1"/>
    <row r="279" ht="57.75" customHeight="1"/>
    <row r="280" ht="57.75" customHeight="1"/>
    <row r="281" ht="57.75" customHeight="1"/>
    <row r="282" ht="57.75" customHeight="1"/>
    <row r="283" ht="57.75" customHeight="1"/>
    <row r="284" ht="57.75" customHeight="1"/>
    <row r="285" ht="57.75" customHeight="1"/>
    <row r="286" ht="57.75" customHeight="1"/>
    <row r="287" ht="57.75" customHeight="1"/>
    <row r="288" ht="57.75" customHeight="1"/>
    <row r="289" ht="57.75" customHeight="1"/>
    <row r="290" ht="57.75" customHeight="1"/>
    <row r="291" ht="57.75" customHeight="1"/>
    <row r="292" ht="57.75" customHeight="1"/>
    <row r="293" ht="57.75" customHeight="1"/>
    <row r="294" ht="57.75" customHeight="1"/>
    <row r="295" ht="57.75" customHeight="1"/>
    <row r="296" ht="57.75" customHeight="1"/>
    <row r="297" ht="57.75" customHeight="1"/>
    <row r="298" ht="57.75" customHeight="1"/>
    <row r="299" ht="57.75" customHeight="1"/>
    <row r="300" ht="57.75" customHeight="1"/>
    <row r="301" ht="57.75" customHeight="1"/>
    <row r="302" ht="57.75" customHeight="1"/>
    <row r="303" ht="57.75" customHeight="1"/>
    <row r="304" ht="57.75" customHeight="1"/>
    <row r="305" ht="57.75" customHeight="1"/>
    <row r="306" ht="57.75" customHeight="1"/>
    <row r="307" ht="57.75" customHeight="1"/>
    <row r="308" ht="57.75" customHeight="1"/>
    <row r="309" ht="57.75" customHeight="1"/>
    <row r="310" ht="57.75" customHeight="1"/>
    <row r="311" ht="57.75" customHeight="1"/>
    <row r="312" ht="57.75" customHeight="1"/>
    <row r="313" ht="57.75" customHeight="1"/>
    <row r="314" ht="57.75" customHeight="1"/>
    <row r="315" ht="57.75" customHeight="1"/>
    <row r="316" ht="57.75" customHeight="1"/>
    <row r="317" ht="57.75" customHeight="1"/>
    <row r="318" ht="57.75" customHeight="1"/>
    <row r="319" ht="57.75" customHeight="1"/>
    <row r="320" ht="57.75" customHeight="1"/>
    <row r="321" ht="57.75" customHeight="1"/>
    <row r="322" ht="57.75" customHeight="1"/>
    <row r="323" ht="57.75" customHeight="1"/>
    <row r="324" ht="57.75" customHeight="1"/>
    <row r="325" ht="57.75" customHeight="1"/>
    <row r="326" ht="57.75" customHeight="1"/>
    <row r="327" ht="57.75" customHeight="1"/>
    <row r="328" ht="57.75" customHeight="1"/>
    <row r="329" ht="57.75" customHeight="1"/>
    <row r="330" ht="57.75" customHeight="1"/>
    <row r="331" ht="57.75" customHeight="1"/>
    <row r="332" ht="57.75" customHeight="1"/>
    <row r="333" ht="57.75" customHeight="1"/>
    <row r="334" ht="57.75" customHeight="1"/>
    <row r="335" ht="57.75" customHeight="1"/>
    <row r="336" ht="57.75" customHeight="1"/>
    <row r="337" ht="57.75" customHeight="1"/>
    <row r="338" ht="57.75" customHeight="1"/>
    <row r="339" ht="57.75" customHeight="1"/>
    <row r="340" ht="57.75" customHeight="1"/>
    <row r="341" ht="57.75" customHeight="1"/>
    <row r="342" ht="57.75" customHeight="1"/>
    <row r="343" ht="57.75" customHeight="1"/>
    <row r="344" ht="57.75" customHeight="1"/>
    <row r="345" ht="57.75" customHeight="1"/>
    <row r="346" ht="57.75" customHeight="1"/>
    <row r="347" ht="57.75" customHeight="1"/>
    <row r="348" ht="57.75" customHeight="1"/>
    <row r="349" ht="57.75" customHeight="1"/>
    <row r="350" ht="57.75" customHeight="1"/>
    <row r="351" ht="57.75" customHeight="1"/>
    <row r="352" ht="57.75" customHeight="1"/>
    <row r="353" ht="57.75" customHeight="1"/>
    <row r="354" ht="57.75" customHeight="1"/>
    <row r="355" ht="57.75" customHeight="1"/>
    <row r="356" ht="57.75" customHeight="1"/>
    <row r="357" ht="57.75" customHeight="1"/>
    <row r="358" ht="57.75" customHeight="1"/>
    <row r="359" ht="57.75" customHeight="1"/>
    <row r="360" ht="57.75" customHeight="1"/>
    <row r="361" ht="57.75" customHeight="1"/>
    <row r="362" ht="57.75" customHeight="1"/>
    <row r="363" ht="57.75" customHeight="1"/>
    <row r="364" ht="57.75" customHeight="1"/>
    <row r="365" ht="57.75" customHeight="1"/>
    <row r="366" ht="57.75" customHeight="1"/>
    <row r="367" ht="57.75" customHeight="1"/>
    <row r="368" ht="57.75" customHeight="1"/>
    <row r="369" ht="57.75" customHeight="1"/>
    <row r="370" ht="57.75" customHeight="1"/>
    <row r="371" ht="57.75" customHeight="1"/>
    <row r="372" ht="57.75" customHeight="1"/>
    <row r="373" ht="57.75" customHeight="1"/>
    <row r="374" ht="57.75" customHeight="1"/>
    <row r="375" ht="57.75" customHeight="1"/>
    <row r="376" ht="57.75" customHeight="1"/>
    <row r="377" ht="57.75" customHeight="1"/>
    <row r="378" ht="57.75" customHeight="1"/>
    <row r="379" ht="57.75" customHeight="1"/>
    <row r="380" ht="57.75" customHeight="1"/>
    <row r="381" ht="57.75" customHeight="1"/>
    <row r="382" ht="57.75" customHeight="1"/>
    <row r="383" ht="57.75" customHeight="1"/>
    <row r="384" ht="57.75" customHeight="1"/>
    <row r="385" ht="57.75" customHeight="1"/>
    <row r="386" ht="57.75" customHeight="1"/>
    <row r="387" ht="57.75" customHeight="1"/>
    <row r="388" ht="57.75" customHeight="1"/>
    <row r="389" ht="57.75" customHeight="1"/>
    <row r="390" ht="57.75" customHeight="1"/>
    <row r="391" ht="57.75" customHeight="1"/>
    <row r="392" ht="57.75" customHeight="1"/>
    <row r="393" ht="57.75" customHeight="1"/>
    <row r="394" ht="57.75" customHeight="1"/>
    <row r="395" ht="57.75" customHeight="1"/>
    <row r="396" ht="57.75" customHeight="1"/>
    <row r="397" ht="57.75" customHeight="1"/>
    <row r="398" ht="57.75" customHeight="1"/>
    <row r="399" ht="57.75" customHeight="1"/>
    <row r="400" ht="57.75" customHeight="1"/>
    <row r="401" ht="57.75" customHeight="1"/>
    <row r="402" ht="57.75" customHeight="1"/>
    <row r="403" ht="57.75" customHeight="1"/>
    <row r="404" ht="57.75" customHeight="1"/>
    <row r="405" ht="57.75" customHeight="1"/>
    <row r="406" ht="57.75" customHeight="1"/>
    <row r="407" ht="57.75" customHeight="1"/>
    <row r="408" ht="57.75" customHeight="1"/>
    <row r="409" ht="57.75" customHeight="1"/>
    <row r="410" ht="57.75" customHeight="1"/>
    <row r="411" ht="57.75" customHeight="1"/>
    <row r="412" ht="57.75" customHeight="1"/>
    <row r="413" ht="57.75" customHeight="1"/>
    <row r="414" ht="57.75" customHeight="1"/>
    <row r="415" ht="57.75" customHeight="1"/>
    <row r="416" ht="57.75" customHeight="1"/>
    <row r="417" ht="57.75" customHeight="1"/>
    <row r="418" ht="57.75" customHeight="1"/>
    <row r="419" ht="57.75" customHeight="1"/>
    <row r="420" ht="57.75" customHeight="1"/>
    <row r="421" ht="57.75" customHeight="1"/>
    <row r="422" ht="57.75" customHeight="1"/>
    <row r="423" ht="57.75" customHeight="1"/>
    <row r="424" ht="57.75" customHeight="1"/>
    <row r="425" ht="57.75" customHeight="1"/>
    <row r="426" ht="57.75" customHeight="1"/>
    <row r="427" ht="57.75" customHeight="1"/>
    <row r="428" ht="57.75" customHeight="1"/>
    <row r="429" ht="57.75" customHeight="1"/>
    <row r="430" ht="57.75" customHeight="1"/>
    <row r="431" ht="57.75" customHeight="1"/>
    <row r="432" ht="57.75" customHeight="1"/>
    <row r="433" ht="57.75" customHeight="1"/>
    <row r="434" ht="57.75" customHeight="1"/>
    <row r="435" ht="57.75" customHeight="1"/>
    <row r="436" ht="57.75" customHeight="1"/>
    <row r="437" ht="57.75" customHeight="1"/>
    <row r="438" ht="57.75" customHeight="1"/>
    <row r="439" ht="57.75" customHeight="1"/>
    <row r="440" ht="57.75" customHeight="1"/>
    <row r="441" ht="57.75" customHeight="1"/>
    <row r="442" ht="57.75" customHeight="1"/>
    <row r="443" ht="57.75" customHeight="1"/>
    <row r="444" ht="57.75" customHeight="1"/>
    <row r="445" ht="57.75" customHeight="1"/>
    <row r="446" ht="57.75" customHeight="1"/>
    <row r="447" ht="57.75" customHeight="1"/>
    <row r="448" ht="57.75" customHeight="1"/>
    <row r="449" ht="57.75" customHeight="1"/>
    <row r="450" ht="57.75" customHeight="1"/>
    <row r="451" ht="57.75" customHeight="1"/>
    <row r="452" ht="57.75" customHeight="1"/>
    <row r="453" ht="57.75" customHeight="1"/>
    <row r="454" ht="57.75" customHeight="1"/>
    <row r="455" ht="57.75" customHeight="1"/>
    <row r="456" ht="57.75" customHeight="1"/>
    <row r="457" ht="57.75" customHeight="1"/>
    <row r="458" ht="57.75" customHeight="1"/>
    <row r="459" ht="57.75" customHeight="1"/>
    <row r="460" ht="57.75" customHeight="1"/>
    <row r="461" ht="57.75" customHeight="1"/>
    <row r="462" ht="57.75" customHeight="1"/>
    <row r="463" ht="57.75" customHeight="1"/>
    <row r="464" ht="57.75" customHeight="1"/>
    <row r="465" ht="57.75" customHeight="1"/>
    <row r="466" ht="57.75" customHeight="1"/>
    <row r="467" ht="57.75" customHeight="1"/>
    <row r="468" ht="57.75" customHeight="1"/>
    <row r="469" ht="57.75" customHeight="1"/>
    <row r="470" ht="57.75" customHeight="1"/>
    <row r="471" ht="57.75" customHeight="1"/>
    <row r="472" ht="57.75" customHeight="1"/>
    <row r="473" ht="57.75" customHeight="1"/>
    <row r="474" ht="57.75" customHeight="1"/>
    <row r="475" ht="57.75" customHeight="1"/>
    <row r="476" ht="57.75" customHeight="1"/>
    <row r="477" ht="57.75" customHeight="1"/>
    <row r="478" ht="57.75" customHeight="1"/>
    <row r="479" ht="57.75" customHeight="1"/>
    <row r="480" ht="57.75" customHeight="1"/>
    <row r="481" ht="57.75" customHeight="1"/>
    <row r="482" ht="57.75" customHeight="1"/>
    <row r="483" ht="57.75" customHeight="1"/>
    <row r="484" ht="57.75" customHeight="1"/>
    <row r="485" ht="57.75" customHeight="1"/>
    <row r="486" ht="57.75" customHeight="1"/>
    <row r="487" ht="57.75" customHeight="1"/>
    <row r="488" ht="57.75" customHeight="1"/>
    <row r="489" ht="57.75" customHeight="1"/>
    <row r="490" ht="57.75" customHeight="1"/>
    <row r="491" ht="57.75" customHeight="1"/>
    <row r="492" ht="57.75" customHeight="1"/>
    <row r="493" ht="57.75" customHeight="1"/>
    <row r="494" ht="57.75" customHeight="1"/>
    <row r="495" ht="57.75" customHeight="1"/>
    <row r="496" ht="57.75" customHeight="1"/>
    <row r="497" ht="57.75" customHeight="1"/>
    <row r="498" ht="57.75" customHeight="1"/>
    <row r="499" ht="57.75" customHeight="1"/>
    <row r="500" ht="57.75" customHeight="1"/>
    <row r="501" ht="57.75" customHeight="1"/>
    <row r="502" ht="57.75" customHeight="1"/>
    <row r="503" ht="57.75" customHeight="1"/>
    <row r="504" ht="57.75" customHeight="1"/>
    <row r="505" ht="57.75" customHeight="1"/>
    <row r="506" ht="57.75" customHeight="1"/>
    <row r="507" ht="57.75" customHeight="1"/>
    <row r="508" ht="57.75" customHeight="1"/>
    <row r="509" ht="57.75" customHeight="1"/>
    <row r="510" ht="57.75" customHeight="1"/>
    <row r="511" ht="57.75" customHeight="1"/>
    <row r="512" ht="57.75" customHeight="1"/>
    <row r="513" ht="57.75" customHeight="1"/>
    <row r="514" ht="57.75" customHeight="1"/>
    <row r="515" ht="57.75" customHeight="1"/>
    <row r="516" ht="57.75" customHeight="1"/>
    <row r="517" ht="57.75" customHeight="1"/>
    <row r="518" ht="57.75" customHeight="1"/>
    <row r="519" ht="57.75" customHeight="1"/>
    <row r="520" ht="57.75" customHeight="1"/>
    <row r="521" ht="57.75" customHeight="1"/>
    <row r="522" ht="57.75" customHeight="1"/>
    <row r="523" ht="57.75" customHeight="1"/>
    <row r="524" ht="57.75" customHeight="1"/>
    <row r="525" ht="57.75" customHeight="1"/>
    <row r="526" ht="57.75" customHeight="1"/>
    <row r="527" ht="57.75" customHeight="1"/>
    <row r="528" ht="57.75" customHeight="1"/>
    <row r="529" ht="57.75" customHeight="1"/>
    <row r="530" ht="57.75" customHeight="1"/>
    <row r="531" ht="57.75" customHeight="1"/>
    <row r="532" ht="57.75" customHeight="1"/>
    <row r="533" ht="57.75" customHeight="1"/>
    <row r="534" ht="57.75" customHeight="1"/>
    <row r="535" ht="57.75" customHeight="1"/>
    <row r="536" ht="57.75" customHeight="1"/>
    <row r="537" ht="57.75" customHeight="1"/>
    <row r="538" ht="57.75" customHeight="1"/>
    <row r="539" ht="57.75" customHeight="1"/>
    <row r="540" ht="57.75" customHeight="1"/>
    <row r="541" ht="57.75" customHeight="1"/>
    <row r="542" ht="57.75" customHeight="1"/>
    <row r="543" ht="57.75" customHeight="1"/>
    <row r="544" ht="57.75" customHeight="1"/>
    <row r="545" ht="57.75" customHeight="1"/>
    <row r="546" ht="57.75" customHeight="1"/>
    <row r="547" ht="57.75" customHeight="1"/>
    <row r="548" ht="57.75" customHeight="1"/>
    <row r="549" ht="57.75" customHeight="1"/>
    <row r="550" ht="57.75" customHeight="1"/>
    <row r="551" ht="57.75" customHeight="1"/>
    <row r="552" ht="57.75" customHeight="1"/>
    <row r="553" ht="57.75" customHeight="1"/>
    <row r="554" ht="57.75" customHeight="1"/>
    <row r="555" ht="57.75" customHeight="1"/>
    <row r="556" ht="57.75" customHeight="1"/>
    <row r="557" ht="57.75" customHeight="1"/>
    <row r="558" ht="57.75" customHeight="1"/>
    <row r="559" ht="57.75" customHeight="1"/>
    <row r="560" ht="57.75" customHeight="1"/>
    <row r="561" ht="57.75" customHeight="1"/>
    <row r="562" ht="57.75" customHeight="1"/>
    <row r="563" ht="57.75" customHeight="1"/>
    <row r="564" ht="57.75" customHeight="1"/>
    <row r="565" ht="57.75" customHeight="1"/>
    <row r="566" ht="57.75" customHeight="1"/>
    <row r="567" ht="57.75" customHeight="1"/>
    <row r="568" ht="57.75" customHeight="1"/>
    <row r="569" ht="57.75" customHeight="1"/>
    <row r="570" ht="57.75" customHeight="1"/>
    <row r="571" ht="57.75" customHeight="1"/>
    <row r="572" ht="57.75" customHeight="1"/>
    <row r="573" ht="57.75" customHeight="1"/>
    <row r="574" ht="57.75" customHeight="1"/>
    <row r="575" ht="57.75" customHeight="1"/>
    <row r="576" ht="57.75" customHeight="1"/>
    <row r="577" ht="57.75" customHeight="1"/>
    <row r="578" ht="57.75" customHeight="1"/>
    <row r="579" ht="57.75" customHeight="1"/>
    <row r="580" ht="57.75" customHeight="1"/>
    <row r="581" ht="57.75" customHeight="1"/>
    <row r="582" ht="57.75" customHeight="1"/>
    <row r="583" ht="57.75" customHeight="1"/>
    <row r="584" ht="57.75" customHeight="1"/>
    <row r="585" ht="57.75" customHeight="1"/>
    <row r="586" ht="57.75" customHeight="1"/>
    <row r="587" ht="57.75" customHeight="1"/>
    <row r="588" ht="57.75" customHeight="1"/>
    <row r="589" ht="57.75" customHeight="1"/>
    <row r="590" ht="57.75" customHeight="1"/>
    <row r="591" ht="57.75" customHeight="1"/>
    <row r="592" ht="57.75" customHeight="1"/>
    <row r="593" ht="57.75" customHeight="1"/>
    <row r="594" ht="57.75" customHeight="1"/>
    <row r="595" ht="57.75" customHeight="1"/>
    <row r="596" ht="57.75" customHeight="1"/>
    <row r="597" ht="57.75" customHeight="1"/>
    <row r="598" ht="57.75" customHeight="1"/>
    <row r="599" ht="57.75" customHeight="1"/>
    <row r="600" ht="57.75" customHeight="1"/>
    <row r="601" ht="57.75" customHeight="1"/>
    <row r="602" ht="57.75" customHeight="1"/>
    <row r="603" ht="57.75" customHeight="1"/>
    <row r="604" ht="57.75" customHeight="1"/>
    <row r="605" ht="57.75" customHeight="1"/>
    <row r="606" ht="57.75" customHeight="1"/>
    <row r="607" ht="57.75" customHeight="1"/>
    <row r="608" ht="57.75" customHeight="1"/>
    <row r="609" ht="57.75" customHeight="1"/>
    <row r="610" ht="57.75" customHeight="1"/>
    <row r="611" ht="57.75" customHeight="1"/>
    <row r="612" ht="57.75" customHeight="1"/>
    <row r="613" ht="57.75" customHeight="1"/>
    <row r="614" ht="57.75" customHeight="1"/>
    <row r="615" ht="57.75" customHeight="1"/>
    <row r="616" ht="57.75" customHeight="1"/>
    <row r="617" ht="57.75" customHeight="1"/>
    <row r="618" ht="57.75" customHeight="1"/>
    <row r="619" ht="57.75" customHeight="1"/>
    <row r="620" ht="57.75" customHeight="1"/>
    <row r="621" ht="57.75" customHeight="1"/>
    <row r="622" ht="57.75" customHeight="1"/>
    <row r="623" ht="57.75" customHeight="1"/>
    <row r="624" ht="57.75" customHeight="1"/>
    <row r="625" ht="57.75" customHeight="1"/>
    <row r="626" ht="57.75" customHeight="1"/>
    <row r="627" ht="57.75" customHeight="1"/>
    <row r="628" ht="57.75" customHeight="1"/>
    <row r="629" ht="57.75" customHeight="1"/>
    <row r="630" ht="57.75" customHeight="1"/>
    <row r="631" ht="57.75" customHeight="1"/>
    <row r="632" ht="57.75" customHeight="1"/>
    <row r="633" ht="57.75" customHeight="1"/>
    <row r="634" ht="57.75" customHeight="1"/>
    <row r="635" ht="57.75" customHeight="1"/>
    <row r="636" ht="57.75" customHeight="1"/>
    <row r="637" ht="57.75" customHeight="1"/>
    <row r="638" ht="57.75" customHeight="1"/>
    <row r="639" ht="57.75" customHeight="1"/>
    <row r="640" ht="57.75" customHeight="1"/>
    <row r="641" ht="57.75" customHeight="1"/>
    <row r="642" ht="57.75" customHeight="1"/>
    <row r="643" ht="57.75" customHeight="1"/>
    <row r="644" ht="57.75" customHeight="1"/>
    <row r="645" ht="57.75" customHeight="1"/>
    <row r="646" ht="57.75" customHeight="1"/>
    <row r="647" ht="57.75" customHeight="1"/>
    <row r="648" ht="57.75" customHeight="1"/>
    <row r="649" ht="57.75" customHeight="1"/>
    <row r="650" ht="57.75" customHeight="1"/>
    <row r="651" ht="57.75" customHeight="1"/>
    <row r="652" ht="57.75" customHeight="1"/>
    <row r="653" ht="57.75" customHeight="1"/>
    <row r="654" ht="57.75" customHeight="1"/>
    <row r="655" ht="57.75" customHeight="1"/>
    <row r="656" ht="57.75" customHeight="1"/>
    <row r="657" ht="57.75" customHeight="1"/>
    <row r="658" ht="57.75" customHeight="1"/>
    <row r="659" ht="57.75" customHeight="1"/>
    <row r="660" ht="57.75" customHeight="1"/>
    <row r="661" ht="57.75" customHeight="1"/>
    <row r="662" ht="57.75" customHeight="1"/>
    <row r="663" ht="57.75" customHeight="1"/>
    <row r="664" ht="57.75" customHeight="1"/>
    <row r="665" ht="57.75" customHeight="1"/>
    <row r="666" ht="57.75" customHeight="1"/>
    <row r="667" ht="57.75" customHeight="1"/>
    <row r="668" ht="57.75" customHeight="1"/>
    <row r="669" ht="57.75" customHeight="1"/>
    <row r="670" ht="57.75" customHeight="1"/>
    <row r="671" ht="57.75" customHeight="1"/>
    <row r="672" ht="57.75" customHeight="1"/>
    <row r="673" ht="57.75" customHeight="1"/>
    <row r="674" ht="57.75" customHeight="1"/>
    <row r="675" ht="57.75" customHeight="1"/>
    <row r="676" ht="57.75" customHeight="1"/>
    <row r="677" ht="57.75" customHeight="1"/>
    <row r="678" ht="57.75" customHeight="1"/>
    <row r="679" ht="57.75" customHeight="1"/>
    <row r="680" ht="57.75" customHeight="1"/>
    <row r="681" ht="57.75" customHeight="1"/>
    <row r="682" ht="57.75" customHeight="1"/>
    <row r="683" ht="57.75" customHeight="1"/>
    <row r="684" ht="57.75" customHeight="1"/>
    <row r="685" ht="57.75" customHeight="1"/>
    <row r="686" ht="57.75" customHeight="1"/>
    <row r="687" ht="57.75" customHeight="1"/>
    <row r="688" ht="57.75" customHeight="1"/>
    <row r="689" ht="57.75" customHeight="1"/>
    <row r="690" ht="57.75" customHeight="1"/>
    <row r="691" ht="57.75" customHeight="1"/>
    <row r="692" ht="57.75" customHeight="1"/>
    <row r="693" ht="57.75" customHeight="1"/>
    <row r="694" ht="57.75" customHeight="1"/>
    <row r="695" ht="57.75" customHeight="1"/>
    <row r="696" ht="57.75" customHeight="1"/>
    <row r="697" ht="57.75" customHeight="1"/>
    <row r="698" ht="57.75" customHeight="1"/>
    <row r="699" ht="57.75" customHeight="1"/>
    <row r="700" ht="57.75" customHeight="1"/>
    <row r="701" ht="57.75" customHeight="1"/>
    <row r="702" ht="57.75" customHeight="1"/>
    <row r="703" ht="57.75" customHeight="1"/>
    <row r="704" ht="57.75" customHeight="1"/>
    <row r="705" ht="57.75" customHeight="1"/>
    <row r="706" ht="57.75" customHeight="1"/>
    <row r="707" ht="57.75" customHeight="1"/>
    <row r="708" ht="57.75" customHeight="1"/>
    <row r="709" ht="57.75" customHeight="1"/>
    <row r="710" ht="57.75" customHeight="1"/>
    <row r="711" ht="57.75" customHeight="1"/>
    <row r="712" ht="57.75" customHeight="1"/>
    <row r="713" ht="57.75" customHeight="1"/>
    <row r="714" ht="57.75" customHeight="1"/>
    <row r="715" ht="57.75" customHeight="1"/>
    <row r="716" ht="57.75" customHeight="1"/>
    <row r="717" ht="57.75" customHeight="1"/>
    <row r="718" ht="57.75" customHeight="1"/>
    <row r="719" ht="57.75" customHeight="1"/>
    <row r="720" ht="57.75" customHeight="1"/>
    <row r="721" ht="57.75" customHeight="1"/>
    <row r="722" ht="57.75" customHeight="1"/>
    <row r="723" ht="57.75" customHeight="1"/>
    <row r="724" ht="57.75" customHeight="1"/>
    <row r="725" ht="57.75" customHeight="1"/>
    <row r="726" ht="57.75" customHeight="1"/>
    <row r="727" ht="57.75" customHeight="1"/>
    <row r="728" ht="57.75" customHeight="1"/>
    <row r="729" ht="57.75" customHeight="1"/>
    <row r="730" ht="57.75" customHeight="1"/>
    <row r="731" ht="57.75" customHeight="1"/>
    <row r="732" ht="57.75" customHeight="1"/>
    <row r="733" ht="57.75" customHeight="1"/>
    <row r="734" ht="57.75" customHeight="1"/>
    <row r="735" ht="57.75" customHeight="1"/>
    <row r="736" ht="57.75" customHeight="1"/>
    <row r="737" ht="57.75" customHeight="1"/>
    <row r="738" ht="57.75" customHeight="1"/>
    <row r="739" ht="57.75" customHeight="1"/>
    <row r="740" ht="57.75" customHeight="1"/>
    <row r="741" ht="57.75" customHeight="1"/>
    <row r="742" ht="57.75" customHeight="1"/>
    <row r="743" ht="57.75" customHeight="1"/>
    <row r="744" ht="57.75" customHeight="1"/>
    <row r="745" ht="57.75" customHeight="1"/>
    <row r="746" ht="57.75" customHeight="1"/>
    <row r="747" ht="57.75" customHeight="1"/>
    <row r="748" ht="57.75" customHeight="1"/>
    <row r="749" ht="57.75" customHeight="1"/>
    <row r="750" ht="57.75" customHeight="1"/>
    <row r="751" ht="57.75" customHeight="1"/>
    <row r="752" ht="57.75" customHeight="1"/>
    <row r="753" ht="57.75" customHeight="1"/>
    <row r="754" ht="57.75" customHeight="1"/>
    <row r="755" ht="57.75" customHeight="1"/>
    <row r="756" ht="57.75" customHeight="1"/>
    <row r="757" ht="57.75" customHeight="1"/>
    <row r="758" ht="57.75" customHeight="1"/>
    <row r="759" ht="57.75" customHeight="1"/>
    <row r="760" ht="57.75" customHeight="1"/>
    <row r="761" ht="57.75" customHeight="1"/>
    <row r="762" ht="57.75" customHeight="1"/>
    <row r="763" ht="57.75" customHeight="1"/>
    <row r="764" ht="57.75" customHeight="1"/>
    <row r="765" ht="57.75" customHeight="1"/>
    <row r="766" ht="57.75" customHeight="1"/>
    <row r="767" ht="57.75" customHeight="1"/>
    <row r="768" ht="57.75" customHeight="1"/>
    <row r="769" ht="57.75" customHeight="1"/>
    <row r="770" ht="57.75" customHeight="1"/>
    <row r="771" ht="57.75" customHeight="1"/>
    <row r="772" ht="57.75" customHeight="1"/>
    <row r="773" ht="57.75" customHeight="1"/>
    <row r="774" ht="57.75" customHeight="1"/>
    <row r="775" ht="57.75" customHeight="1"/>
    <row r="776" ht="57.75" customHeight="1"/>
    <row r="777" ht="57.75" customHeight="1"/>
    <row r="778" ht="57.75" customHeight="1"/>
    <row r="779" ht="57.75" customHeight="1"/>
    <row r="780" ht="57.75" customHeight="1"/>
    <row r="781" ht="57.75" customHeight="1"/>
    <row r="782" ht="57.75" customHeight="1"/>
    <row r="783" ht="57.75" customHeight="1"/>
    <row r="784" ht="57.75" customHeight="1"/>
    <row r="785" ht="57.75" customHeight="1"/>
    <row r="786" ht="57.75" customHeight="1"/>
    <row r="787" ht="57.75" customHeight="1"/>
    <row r="788" ht="57.75" customHeight="1"/>
    <row r="789" ht="57.75" customHeight="1"/>
    <row r="790" ht="57.75" customHeight="1"/>
    <row r="791" ht="57.75" customHeight="1"/>
    <row r="792" ht="57.75" customHeight="1"/>
    <row r="793" ht="57.75" customHeight="1"/>
    <row r="794" ht="57.75" customHeight="1"/>
    <row r="795" ht="57.75" customHeight="1"/>
    <row r="796" ht="57.75" customHeight="1"/>
    <row r="797" ht="57.75" customHeight="1"/>
    <row r="798" ht="57.75" customHeight="1"/>
    <row r="799" ht="57.75" customHeight="1"/>
    <row r="800" ht="57.75" customHeight="1"/>
    <row r="801" ht="57.75" customHeight="1"/>
    <row r="802" ht="57.75" customHeight="1"/>
    <row r="803" ht="57.75" customHeight="1"/>
    <row r="804" ht="57.75" customHeight="1"/>
    <row r="805" ht="57.75" customHeight="1"/>
    <row r="806" ht="57.75" customHeight="1"/>
    <row r="807" ht="57.75" customHeight="1"/>
    <row r="808" ht="57.75" customHeight="1"/>
    <row r="809" ht="57.75" customHeight="1"/>
    <row r="810" ht="57.75" customHeight="1"/>
    <row r="811" ht="57.75" customHeight="1"/>
    <row r="812" ht="57.75" customHeight="1"/>
    <row r="813" ht="57.75" customHeight="1"/>
    <row r="814" ht="57.75" customHeight="1"/>
    <row r="815" ht="57.75" customHeight="1"/>
    <row r="816" ht="57.75" customHeight="1"/>
    <row r="817" ht="57.75" customHeight="1"/>
    <row r="818" ht="57.75" customHeight="1"/>
    <row r="819" ht="57.75" customHeight="1"/>
    <row r="820" ht="57.75" customHeight="1"/>
    <row r="821" ht="57.75" customHeight="1"/>
    <row r="822" ht="57.75" customHeight="1"/>
    <row r="823" ht="57.75" customHeight="1"/>
    <row r="824" ht="57.75" customHeight="1"/>
    <row r="825" ht="57.75" customHeight="1"/>
    <row r="826" ht="57.75" customHeight="1"/>
    <row r="827" ht="57.75" customHeight="1"/>
    <row r="828" ht="57.75" customHeight="1"/>
    <row r="829" ht="57.75" customHeight="1"/>
    <row r="830" ht="57.75" customHeight="1"/>
    <row r="831" ht="57.75" customHeight="1"/>
    <row r="832" ht="57.75" customHeight="1"/>
    <row r="833" ht="57.75" customHeight="1"/>
    <row r="834" ht="57.75" customHeight="1"/>
    <row r="835" ht="57.75" customHeight="1"/>
    <row r="836" ht="57.75" customHeight="1"/>
    <row r="837" ht="57.75" customHeight="1"/>
    <row r="838" ht="57.75" customHeight="1"/>
    <row r="839" ht="57.75" customHeight="1"/>
    <row r="840" ht="57.75" customHeight="1"/>
    <row r="841" ht="57.75" customHeight="1"/>
    <row r="842" ht="57.75" customHeight="1"/>
    <row r="843" ht="57.75" customHeight="1"/>
    <row r="844" ht="57.75" customHeight="1"/>
    <row r="845" ht="57.75" customHeight="1"/>
    <row r="846" ht="57.75" customHeight="1"/>
    <row r="847" ht="57.75" customHeight="1"/>
    <row r="848" ht="57.75" customHeight="1"/>
    <row r="849" ht="57.75" customHeight="1"/>
    <row r="850" ht="57.75" customHeight="1"/>
    <row r="851" ht="57.75" customHeight="1"/>
    <row r="852" ht="57.75" customHeight="1"/>
    <row r="853" ht="57.75" customHeight="1"/>
    <row r="854" ht="57.75" customHeight="1"/>
    <row r="855" ht="57.75" customHeight="1"/>
    <row r="856" ht="57.75" customHeight="1"/>
    <row r="857" ht="57.75" customHeight="1"/>
    <row r="858" ht="57.75" customHeight="1"/>
    <row r="859" ht="57.75" customHeight="1"/>
    <row r="860" ht="57.75" customHeight="1"/>
    <row r="861" ht="57.75" customHeight="1"/>
    <row r="862" ht="57.75" customHeight="1"/>
    <row r="863" ht="57.75" customHeight="1"/>
    <row r="864" ht="57.75" customHeight="1"/>
    <row r="865" ht="57.75" customHeight="1"/>
    <row r="866" ht="57.75" customHeight="1"/>
    <row r="867" ht="57.75" customHeight="1"/>
    <row r="868" ht="57.75" customHeight="1"/>
    <row r="869" ht="57.75" customHeight="1"/>
    <row r="870" ht="57.75" customHeight="1"/>
    <row r="871" ht="57.75" customHeight="1"/>
    <row r="872" ht="57.75" customHeight="1"/>
    <row r="873" ht="57.75" customHeight="1"/>
    <row r="874" ht="57.75" customHeight="1"/>
    <row r="875" ht="57.75" customHeight="1"/>
    <row r="876" ht="57.75" customHeight="1"/>
    <row r="877" ht="57.75" customHeight="1"/>
    <row r="878" ht="57.75" customHeight="1"/>
    <row r="879" ht="57.75" customHeight="1"/>
    <row r="880" ht="57.75" customHeight="1"/>
    <row r="881" ht="57.75" customHeight="1"/>
    <row r="882" ht="57.75" customHeight="1"/>
    <row r="883" ht="57.75" customHeight="1"/>
    <row r="884" ht="57.75" customHeight="1"/>
    <row r="885" ht="57.75" customHeight="1"/>
    <row r="886" ht="57.75" customHeight="1"/>
    <row r="887" ht="57.75" customHeight="1"/>
    <row r="888" ht="57.75" customHeight="1"/>
    <row r="889" ht="57.75" customHeight="1"/>
    <row r="890" ht="57.75" customHeight="1"/>
    <row r="891" ht="57.75" customHeight="1"/>
    <row r="892" ht="57.75" customHeight="1"/>
    <row r="893" ht="57.75" customHeight="1"/>
    <row r="894" ht="57.75" customHeight="1"/>
    <row r="895" ht="57.75" customHeight="1"/>
    <row r="896" ht="57.75" customHeight="1"/>
    <row r="897" ht="57.75" customHeight="1"/>
    <row r="898" ht="57.75" customHeight="1"/>
    <row r="899" ht="57.75" customHeight="1"/>
    <row r="900" ht="57.75" customHeight="1"/>
    <row r="901" ht="57.75" customHeight="1"/>
    <row r="902" ht="57.75" customHeight="1"/>
    <row r="903" ht="57.75" customHeight="1"/>
    <row r="904" ht="57.75" customHeight="1"/>
    <row r="905" ht="57.75" customHeight="1"/>
    <row r="906" ht="57.75" customHeight="1"/>
    <row r="907" ht="57.75" customHeight="1"/>
    <row r="908" ht="57.75" customHeight="1"/>
    <row r="909" ht="57.75" customHeight="1"/>
    <row r="910" ht="57.75" customHeight="1"/>
    <row r="911" ht="57.75" customHeight="1"/>
    <row r="912" ht="57.75" customHeight="1"/>
    <row r="913" ht="57.75" customHeight="1"/>
    <row r="914" ht="57.75" customHeight="1"/>
    <row r="915" ht="57.75" customHeight="1"/>
    <row r="916" ht="57.75" customHeight="1"/>
    <row r="917" ht="57.75" customHeight="1"/>
    <row r="918" ht="57.75" customHeight="1"/>
    <row r="919" ht="57.75" customHeight="1"/>
    <row r="920" ht="57.75" customHeight="1"/>
    <row r="921" ht="57.75" customHeight="1"/>
    <row r="922" ht="57.75" customHeight="1"/>
    <row r="923" ht="57.75" customHeight="1"/>
    <row r="924" ht="57.75" customHeight="1"/>
    <row r="925" ht="57.75" customHeight="1"/>
    <row r="926" ht="57.75" customHeight="1"/>
    <row r="927" ht="57.75" customHeight="1"/>
    <row r="928" ht="57.75" customHeight="1"/>
    <row r="929" ht="57.75" customHeight="1"/>
    <row r="930" ht="57.75" customHeight="1"/>
    <row r="931" ht="57.75" customHeight="1"/>
    <row r="932" ht="57.75" customHeight="1"/>
    <row r="933" ht="57.75" customHeight="1"/>
    <row r="934" ht="57.75" customHeight="1"/>
    <row r="935" ht="57.75" customHeight="1"/>
    <row r="936" ht="57.75" customHeight="1"/>
    <row r="937" ht="57.75" customHeight="1"/>
    <row r="938" ht="57.75" customHeight="1"/>
    <row r="939" ht="57.75" customHeight="1"/>
    <row r="940" ht="57.75" customHeight="1"/>
    <row r="941" ht="57.75" customHeight="1"/>
    <row r="942" ht="57.75" customHeight="1"/>
    <row r="943" ht="57.75" customHeight="1"/>
    <row r="944" ht="57.75" customHeight="1"/>
    <row r="945" ht="57.75" customHeight="1"/>
    <row r="946" ht="57.75" customHeight="1"/>
    <row r="947" ht="57.75" customHeight="1"/>
    <row r="948" ht="57.75" customHeight="1"/>
    <row r="949" ht="57.75" customHeight="1"/>
    <row r="950" ht="57.75" customHeight="1"/>
    <row r="951" ht="57.75" customHeight="1"/>
    <row r="952" ht="57.75" customHeight="1"/>
    <row r="953" ht="57.75" customHeight="1"/>
    <row r="954" ht="57.75" customHeight="1"/>
    <row r="955" ht="57.75" customHeight="1"/>
    <row r="956" ht="57.75" customHeight="1"/>
    <row r="957" ht="57.75" customHeight="1"/>
    <row r="958" ht="57.75" customHeight="1"/>
    <row r="959" ht="57.75" customHeight="1"/>
    <row r="960" ht="57.75" customHeight="1"/>
    <row r="961" ht="57.75" customHeight="1"/>
    <row r="962" ht="57.75" customHeight="1"/>
    <row r="963" ht="57.75" customHeight="1"/>
    <row r="964" ht="57.75" customHeight="1"/>
    <row r="965" ht="57.75" customHeight="1"/>
    <row r="966" ht="57.75" customHeight="1"/>
    <row r="967" ht="57.75" customHeight="1"/>
    <row r="968" ht="57.75" customHeight="1"/>
    <row r="969" ht="57.75" customHeight="1"/>
    <row r="970" ht="57.75" customHeight="1"/>
    <row r="971" ht="57.75" customHeight="1"/>
    <row r="972" ht="57.75" customHeight="1"/>
    <row r="973" ht="57.75" customHeight="1"/>
    <row r="974" ht="57.75" customHeight="1"/>
    <row r="975" ht="57.75" customHeight="1"/>
    <row r="976" ht="57.75" customHeight="1"/>
    <row r="977" ht="57.75" customHeight="1"/>
    <row r="978" ht="57.75" customHeight="1"/>
    <row r="979" ht="57.75" customHeight="1"/>
    <row r="980" ht="57.75" customHeight="1"/>
    <row r="981" ht="57.75" customHeight="1"/>
    <row r="982" ht="57.75" customHeight="1"/>
    <row r="983" ht="57.75" customHeight="1"/>
    <row r="984" ht="57.75" customHeight="1"/>
    <row r="985" ht="57.75" customHeight="1"/>
    <row r="986" ht="57.75" customHeight="1"/>
    <row r="987" ht="57.75" customHeight="1"/>
    <row r="988" ht="57.75" customHeight="1"/>
    <row r="989" ht="57.75" customHeight="1"/>
    <row r="990" ht="57.75" customHeight="1"/>
    <row r="991" ht="57.75" customHeight="1"/>
    <row r="992" ht="57.75" customHeight="1"/>
    <row r="993" ht="57.75" customHeight="1"/>
    <row r="994" ht="57.75" customHeight="1"/>
    <row r="995" ht="57.75" customHeight="1"/>
    <row r="996" ht="57.75" customHeight="1"/>
    <row r="997" ht="57.75" customHeight="1"/>
    <row r="998" ht="57.75" customHeight="1"/>
    <row r="999" ht="57.75" customHeight="1"/>
    <row r="1000" ht="57.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8.63"/>
    <col customWidth="1" min="2" max="2" width="5.25"/>
    <col customWidth="1" min="3" max="4" width="3.0"/>
    <col customWidth="1" min="5" max="7" width="6.88"/>
    <col customWidth="1" min="8" max="8" width="12.38"/>
    <col customWidth="1" min="9" max="9" width="6.88"/>
    <col customWidth="1" min="10" max="10" width="8.0"/>
    <col customWidth="1" min="11" max="39" width="6.88"/>
  </cols>
  <sheetData>
    <row r="1" ht="19.5" customHeight="1">
      <c r="A1" s="90"/>
      <c r="B1" s="91"/>
      <c r="C1" s="91"/>
      <c r="D1" s="91"/>
      <c r="E1" s="92"/>
      <c r="F1" s="93" t="s">
        <v>8374</v>
      </c>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5"/>
      <c r="AJ1" s="96" t="s">
        <v>8375</v>
      </c>
      <c r="AK1" s="97"/>
      <c r="AL1" s="97"/>
      <c r="AM1" s="98"/>
    </row>
    <row r="2" ht="19.5" customHeight="1">
      <c r="A2" s="99"/>
      <c r="E2" s="100"/>
      <c r="F2" s="101" t="s">
        <v>8376</v>
      </c>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3"/>
      <c r="AJ2" s="104" t="s">
        <v>8377</v>
      </c>
      <c r="AK2" s="8"/>
      <c r="AL2" s="105">
        <v>4.0</v>
      </c>
      <c r="AM2" s="106"/>
    </row>
    <row r="3" ht="19.5" customHeight="1">
      <c r="A3" s="107"/>
      <c r="B3" s="108"/>
      <c r="C3" s="108"/>
      <c r="D3" s="108"/>
      <c r="E3" s="109"/>
      <c r="F3" s="110"/>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9"/>
      <c r="AJ3" s="111" t="s">
        <v>8378</v>
      </c>
      <c r="AK3" s="8"/>
      <c r="AL3" s="112">
        <v>45779.0</v>
      </c>
      <c r="AM3" s="106"/>
    </row>
    <row r="4" ht="3.75" customHeight="1">
      <c r="A4" s="113"/>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5"/>
    </row>
    <row r="5" ht="24.75" customHeight="1">
      <c r="A5" s="116" t="s">
        <v>8379</v>
      </c>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06"/>
    </row>
    <row r="6" ht="6.0" customHeight="1">
      <c r="A6" s="118"/>
      <c r="B6" s="119"/>
      <c r="C6" s="119"/>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20"/>
    </row>
    <row r="7" ht="19.5" customHeight="1">
      <c r="A7" s="121" t="s">
        <v>12</v>
      </c>
      <c r="B7" s="122"/>
      <c r="C7" s="123"/>
      <c r="D7" s="124"/>
      <c r="H7" s="125" t="s">
        <v>17</v>
      </c>
      <c r="J7" s="126"/>
      <c r="K7" s="124"/>
      <c r="Q7" s="123"/>
      <c r="R7" s="127" t="s">
        <v>20</v>
      </c>
      <c r="S7" s="122"/>
      <c r="T7" s="123"/>
      <c r="U7" s="128"/>
      <c r="AA7" s="129"/>
      <c r="AB7" s="130" t="s">
        <v>24</v>
      </c>
      <c r="AC7" s="123"/>
      <c r="AD7" s="124"/>
      <c r="AG7" s="123"/>
      <c r="AH7" s="127" t="s">
        <v>8380</v>
      </c>
      <c r="AI7" s="122"/>
      <c r="AJ7" s="123"/>
      <c r="AK7" s="124"/>
      <c r="AM7" s="131"/>
    </row>
    <row r="8" ht="6.0" customHeight="1">
      <c r="A8" s="132"/>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4"/>
    </row>
    <row r="9" ht="19.5" customHeight="1">
      <c r="A9" s="135" t="s">
        <v>30</v>
      </c>
      <c r="B9" s="122"/>
      <c r="C9" s="123"/>
      <c r="D9" s="124"/>
      <c r="H9" s="125" t="s">
        <v>33</v>
      </c>
      <c r="J9" s="126"/>
      <c r="K9" s="124"/>
      <c r="Q9" s="123"/>
      <c r="R9" s="127" t="s">
        <v>36</v>
      </c>
      <c r="S9" s="122"/>
      <c r="T9" s="123"/>
      <c r="U9" s="124"/>
      <c r="AA9" s="123"/>
      <c r="AB9" s="127" t="s">
        <v>39</v>
      </c>
      <c r="AC9" s="122"/>
      <c r="AD9" s="124"/>
      <c r="AM9" s="131"/>
    </row>
    <row r="10" ht="6.0" customHeight="1">
      <c r="A10" s="132"/>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4"/>
    </row>
    <row r="11" ht="19.5" customHeight="1">
      <c r="A11" s="135" t="s">
        <v>42</v>
      </c>
      <c r="B11" s="133"/>
      <c r="C11" s="133"/>
      <c r="D11" s="133"/>
      <c r="E11" s="122"/>
      <c r="F11" s="124"/>
      <c r="Q11" s="123"/>
      <c r="R11" s="127" t="s">
        <v>45</v>
      </c>
      <c r="S11" s="133"/>
      <c r="T11" s="133"/>
      <c r="U11" s="133"/>
      <c r="V11" s="133"/>
      <c r="W11" s="133"/>
      <c r="X11" s="133"/>
      <c r="Y11" s="133"/>
      <c r="Z11" s="122"/>
      <c r="AA11" s="123"/>
      <c r="AB11" s="124"/>
      <c r="AM11" s="131"/>
    </row>
    <row r="12" ht="3.75" customHeight="1">
      <c r="A12" s="136"/>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8"/>
    </row>
    <row r="13" ht="24.75" customHeight="1">
      <c r="A13" s="116" t="s">
        <v>8381</v>
      </c>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06"/>
    </row>
    <row r="14" ht="6.0" customHeight="1">
      <c r="A14" s="132"/>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4"/>
    </row>
    <row r="15" ht="23.25" customHeight="1">
      <c r="A15" s="121" t="s">
        <v>48</v>
      </c>
      <c r="B15" s="133"/>
      <c r="C15" s="122"/>
      <c r="D15" s="123"/>
      <c r="E15" s="124"/>
      <c r="L15" s="123"/>
      <c r="M15" s="127" t="s">
        <v>8382</v>
      </c>
      <c r="N15" s="133"/>
      <c r="O15" s="133"/>
      <c r="P15" s="122"/>
      <c r="Q15" s="123"/>
      <c r="R15" s="139"/>
      <c r="U15" s="140" t="str">
        <f>IF(R15="","",((R15*9/5)+32))</f>
        <v/>
      </c>
      <c r="V15" s="122"/>
      <c r="W15" s="141"/>
      <c r="X15" s="142" t="s">
        <v>55</v>
      </c>
      <c r="Y15" s="133"/>
      <c r="Z15" s="122"/>
      <c r="AA15" s="123"/>
      <c r="AB15" s="143"/>
      <c r="AE15" s="144"/>
      <c r="AF15" s="145" t="s">
        <v>59</v>
      </c>
      <c r="AG15" s="133"/>
      <c r="AH15" s="133"/>
      <c r="AI15" s="122"/>
      <c r="AJ15" s="143"/>
      <c r="AM15" s="131"/>
    </row>
    <row r="16" ht="6.0" customHeight="1">
      <c r="A16" s="146"/>
      <c r="B16" s="123"/>
      <c r="C16" s="123"/>
      <c r="D16" s="123"/>
      <c r="E16" s="147"/>
      <c r="F16" s="147"/>
      <c r="G16" s="123"/>
      <c r="H16" s="147"/>
      <c r="I16" s="123"/>
      <c r="J16" s="147"/>
      <c r="K16" s="147"/>
      <c r="L16" s="123"/>
      <c r="M16" s="147"/>
      <c r="N16" s="147"/>
      <c r="O16" s="123"/>
      <c r="P16" s="123"/>
      <c r="Q16" s="123"/>
      <c r="R16" s="123"/>
      <c r="S16" s="123"/>
      <c r="T16" s="123"/>
      <c r="U16" s="123"/>
      <c r="V16" s="123"/>
      <c r="W16" s="141"/>
      <c r="X16" s="141"/>
      <c r="Y16" s="141"/>
      <c r="Z16" s="141"/>
      <c r="AA16" s="123"/>
      <c r="AB16" s="123"/>
      <c r="AC16" s="123"/>
      <c r="AD16" s="123"/>
      <c r="AE16" s="123"/>
      <c r="AF16" s="123"/>
      <c r="AG16" s="147"/>
      <c r="AH16" s="147"/>
      <c r="AI16" s="147"/>
      <c r="AJ16" s="147"/>
      <c r="AK16" s="147"/>
      <c r="AL16" s="147"/>
      <c r="AM16" s="148"/>
    </row>
    <row r="17" ht="39.0" customHeight="1">
      <c r="A17" s="135" t="s">
        <v>63</v>
      </c>
      <c r="B17" s="133"/>
      <c r="C17" s="122"/>
      <c r="D17" s="149"/>
      <c r="E17" s="124"/>
      <c r="O17" s="150"/>
      <c r="P17" s="127" t="s">
        <v>66</v>
      </c>
      <c r="Q17" s="133"/>
      <c r="R17" s="122"/>
      <c r="S17" s="151"/>
      <c r="V17" s="152"/>
      <c r="W17" s="127" t="s">
        <v>69</v>
      </c>
      <c r="X17" s="133"/>
      <c r="Y17" s="122"/>
      <c r="Z17" s="151"/>
      <c r="AC17" s="153"/>
      <c r="AD17" s="127" t="s">
        <v>72</v>
      </c>
      <c r="AE17" s="133"/>
      <c r="AF17" s="122"/>
      <c r="AG17" s="124"/>
      <c r="AM17" s="131"/>
    </row>
    <row r="18" ht="6.0" customHeight="1">
      <c r="A18" s="146"/>
      <c r="B18" s="123"/>
      <c r="C18" s="123"/>
      <c r="D18" s="123"/>
      <c r="E18" s="154"/>
      <c r="F18" s="154"/>
      <c r="G18" s="123"/>
      <c r="H18" s="154"/>
      <c r="I18" s="123"/>
      <c r="J18" s="154"/>
      <c r="K18" s="154"/>
      <c r="L18" s="123"/>
      <c r="M18" s="154"/>
      <c r="N18" s="154"/>
      <c r="O18" s="123"/>
      <c r="P18" s="123"/>
      <c r="Q18" s="123"/>
      <c r="R18" s="123"/>
      <c r="S18" s="123"/>
      <c r="T18" s="123"/>
      <c r="U18" s="123"/>
      <c r="V18" s="123"/>
      <c r="W18" s="141"/>
      <c r="X18" s="155"/>
      <c r="Y18" s="155"/>
      <c r="Z18" s="123"/>
      <c r="AA18" s="123"/>
      <c r="AB18" s="123"/>
      <c r="AC18" s="123"/>
      <c r="AD18" s="123"/>
      <c r="AE18" s="123"/>
      <c r="AF18" s="123"/>
      <c r="AG18" s="154"/>
      <c r="AH18" s="154"/>
      <c r="AI18" s="154"/>
      <c r="AJ18" s="154"/>
      <c r="AK18" s="154"/>
      <c r="AL18" s="154"/>
      <c r="AM18" s="156"/>
    </row>
    <row r="19" ht="24.75" customHeight="1">
      <c r="A19" s="116" t="s">
        <v>8383</v>
      </c>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06"/>
    </row>
    <row r="20" ht="6.0" customHeight="1">
      <c r="A20" s="132"/>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4"/>
    </row>
    <row r="21" ht="24.0" customHeight="1">
      <c r="A21" s="135" t="s">
        <v>8384</v>
      </c>
      <c r="B21" s="133"/>
      <c r="C21" s="133"/>
      <c r="D21" s="133"/>
      <c r="E21" s="122"/>
      <c r="F21" s="123"/>
      <c r="G21" s="124"/>
      <c r="T21" s="123"/>
      <c r="U21" s="127" t="s">
        <v>78</v>
      </c>
      <c r="V21" s="122"/>
      <c r="W21" s="123"/>
      <c r="X21" s="124"/>
      <c r="AD21" s="123"/>
      <c r="AE21" s="130" t="s">
        <v>81</v>
      </c>
      <c r="AF21" s="124"/>
      <c r="AI21" s="127" t="s">
        <v>84</v>
      </c>
      <c r="AJ21" s="133"/>
      <c r="AK21" s="122"/>
      <c r="AL21" s="128"/>
      <c r="AM21" s="131"/>
    </row>
    <row r="22" ht="6.0" customHeight="1">
      <c r="A22" s="132"/>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4"/>
    </row>
    <row r="23" ht="24.0" customHeight="1">
      <c r="A23" s="135" t="s">
        <v>87</v>
      </c>
      <c r="B23" s="133"/>
      <c r="C23" s="122"/>
      <c r="D23" s="123"/>
      <c r="E23" s="124"/>
      <c r="M23" s="123"/>
      <c r="N23" s="127" t="s">
        <v>91</v>
      </c>
      <c r="O23" s="133"/>
      <c r="P23" s="122"/>
      <c r="Q23" s="123"/>
      <c r="R23" s="124"/>
      <c r="V23" s="123"/>
      <c r="W23" s="127" t="s">
        <v>8385</v>
      </c>
      <c r="X23" s="133"/>
      <c r="Y23" s="133"/>
      <c r="Z23" s="122"/>
      <c r="AA23" s="123"/>
      <c r="AB23" s="157"/>
      <c r="AE23" s="127" t="s">
        <v>97</v>
      </c>
      <c r="AF23" s="133"/>
      <c r="AG23" s="122"/>
      <c r="AH23" s="123"/>
      <c r="AI23" s="124"/>
      <c r="AM23" s="131"/>
    </row>
    <row r="24" ht="6.0" customHeight="1">
      <c r="A24" s="132"/>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4"/>
    </row>
    <row r="25" ht="24.0" customHeight="1">
      <c r="A25" s="135" t="s">
        <v>100</v>
      </c>
      <c r="B25" s="133"/>
      <c r="C25" s="122"/>
      <c r="D25" s="123"/>
      <c r="E25" s="124"/>
      <c r="M25" s="123"/>
      <c r="N25" s="127" t="s">
        <v>8386</v>
      </c>
      <c r="O25" s="133"/>
      <c r="P25" s="122"/>
      <c r="Q25" s="123"/>
      <c r="R25" s="124"/>
      <c r="Z25" s="127" t="s">
        <v>106</v>
      </c>
      <c r="AA25" s="122"/>
      <c r="AB25" s="123"/>
      <c r="AC25" s="124"/>
      <c r="AG25" s="158"/>
      <c r="AH25" s="127" t="s">
        <v>8387</v>
      </c>
      <c r="AI25" s="133"/>
      <c r="AJ25" s="122"/>
      <c r="AK25" s="123"/>
      <c r="AL25" s="124"/>
      <c r="AM25" s="131"/>
    </row>
    <row r="26" ht="9.75" customHeight="1">
      <c r="A26" s="159"/>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4"/>
    </row>
    <row r="27" ht="30.0" customHeight="1">
      <c r="A27" s="160" t="s">
        <v>8388</v>
      </c>
      <c r="B27" s="161"/>
      <c r="C27" s="162"/>
      <c r="D27" s="163">
        <v>2.5</v>
      </c>
      <c r="E27" s="161"/>
      <c r="F27" s="162"/>
      <c r="G27" s="163">
        <v>5.0</v>
      </c>
      <c r="H27" s="162"/>
      <c r="I27" s="163">
        <v>7.5</v>
      </c>
      <c r="J27" s="161"/>
      <c r="K27" s="162"/>
      <c r="L27" s="163">
        <v>10.0</v>
      </c>
      <c r="M27" s="161"/>
      <c r="N27" s="162"/>
      <c r="O27" s="163">
        <v>12.5</v>
      </c>
      <c r="P27" s="161"/>
      <c r="Q27" s="162"/>
      <c r="R27" s="124"/>
      <c r="S27" s="124"/>
      <c r="T27" s="124"/>
      <c r="U27" s="124"/>
      <c r="V27" s="124"/>
      <c r="W27" s="124"/>
      <c r="X27" s="164">
        <f t="shared" ref="X27:X29" si="1">D27</f>
        <v>2.5</v>
      </c>
      <c r="Y27" s="164">
        <f t="shared" ref="Y27:Y29" si="2">G27</f>
        <v>5</v>
      </c>
      <c r="Z27" s="164">
        <f t="shared" ref="Z27:Z29" si="3">I27</f>
        <v>7.5</v>
      </c>
      <c r="AA27" s="164">
        <f t="shared" ref="AA27:AA29" si="4">L27</f>
        <v>10</v>
      </c>
      <c r="AB27" s="164">
        <f t="shared" ref="AB27:AB29" si="5">O27</f>
        <v>12.5</v>
      </c>
      <c r="AC27" s="124"/>
      <c r="AD27" s="124"/>
      <c r="AE27" s="124"/>
      <c r="AF27" s="124"/>
      <c r="AG27" s="124"/>
      <c r="AH27" s="124"/>
      <c r="AI27" s="124"/>
      <c r="AJ27" s="124"/>
      <c r="AK27" s="124"/>
      <c r="AL27" s="124"/>
      <c r="AM27" s="165"/>
    </row>
    <row r="28" ht="30.0" customHeight="1">
      <c r="A28" s="160" t="s">
        <v>7894</v>
      </c>
      <c r="B28" s="161"/>
      <c r="C28" s="162"/>
      <c r="D28" s="163">
        <v>2.5</v>
      </c>
      <c r="E28" s="161"/>
      <c r="F28" s="162"/>
      <c r="G28" s="163">
        <v>4.99</v>
      </c>
      <c r="H28" s="162"/>
      <c r="I28" s="163">
        <v>7.49</v>
      </c>
      <c r="J28" s="161"/>
      <c r="K28" s="162"/>
      <c r="L28" s="163">
        <v>10.0</v>
      </c>
      <c r="M28" s="161"/>
      <c r="N28" s="162"/>
      <c r="O28" s="163">
        <v>12.49</v>
      </c>
      <c r="P28" s="161"/>
      <c r="Q28" s="162"/>
      <c r="R28" s="124"/>
      <c r="S28" s="124"/>
      <c r="T28" s="124"/>
      <c r="U28" s="124"/>
      <c r="V28" s="124"/>
      <c r="W28" s="124"/>
      <c r="X28" s="164">
        <f t="shared" si="1"/>
        <v>2.5</v>
      </c>
      <c r="Y28" s="164">
        <f t="shared" si="2"/>
        <v>4.99</v>
      </c>
      <c r="Z28" s="164">
        <f t="shared" si="3"/>
        <v>7.49</v>
      </c>
      <c r="AA28" s="164">
        <f t="shared" si="4"/>
        <v>10</v>
      </c>
      <c r="AB28" s="164">
        <f t="shared" si="5"/>
        <v>12.49</v>
      </c>
      <c r="AC28" s="124"/>
      <c r="AD28" s="124"/>
      <c r="AE28" s="124"/>
      <c r="AF28" s="124"/>
      <c r="AG28" s="124"/>
      <c r="AH28" s="124"/>
      <c r="AI28" s="124"/>
      <c r="AJ28" s="124"/>
      <c r="AK28" s="124"/>
      <c r="AL28" s="124"/>
      <c r="AM28" s="165"/>
    </row>
    <row r="29" ht="30.0" customHeight="1">
      <c r="A29" s="160" t="s">
        <v>8389</v>
      </c>
      <c r="B29" s="161"/>
      <c r="C29" s="162"/>
      <c r="D29" s="163">
        <v>1.0</v>
      </c>
      <c r="E29" s="161"/>
      <c r="F29" s="162"/>
      <c r="G29" s="163">
        <v>2.0</v>
      </c>
      <c r="H29" s="162"/>
      <c r="I29" s="163">
        <v>3.0</v>
      </c>
      <c r="J29" s="161"/>
      <c r="K29" s="162"/>
      <c r="L29" s="163">
        <v>4.0</v>
      </c>
      <c r="M29" s="161"/>
      <c r="N29" s="162"/>
      <c r="O29" s="163">
        <v>5.0</v>
      </c>
      <c r="P29" s="161"/>
      <c r="Q29" s="162"/>
      <c r="R29" s="124"/>
      <c r="S29" s="124"/>
      <c r="T29" s="124"/>
      <c r="U29" s="124"/>
      <c r="V29" s="124"/>
      <c r="W29" s="124"/>
      <c r="X29" s="164">
        <f t="shared" si="1"/>
        <v>1</v>
      </c>
      <c r="Y29" s="164">
        <f t="shared" si="2"/>
        <v>2</v>
      </c>
      <c r="Z29" s="164">
        <f t="shared" si="3"/>
        <v>3</v>
      </c>
      <c r="AA29" s="164">
        <f t="shared" si="4"/>
        <v>4</v>
      </c>
      <c r="AB29" s="164">
        <f t="shared" si="5"/>
        <v>5</v>
      </c>
      <c r="AC29" s="124"/>
      <c r="AD29" s="124"/>
      <c r="AE29" s="124"/>
      <c r="AF29" s="124"/>
      <c r="AG29" s="124"/>
      <c r="AH29" s="124"/>
      <c r="AI29" s="124"/>
      <c r="AJ29" s="124"/>
      <c r="AK29" s="124"/>
      <c r="AL29" s="124"/>
      <c r="AM29" s="165"/>
    </row>
    <row r="30" ht="20.25" customHeight="1">
      <c r="A30" s="136"/>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8"/>
    </row>
    <row r="31" ht="24.75" customHeight="1">
      <c r="A31" s="166" t="s">
        <v>8390</v>
      </c>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67"/>
      <c r="AC31" s="168" t="s">
        <v>8391</v>
      </c>
      <c r="AD31" s="117"/>
      <c r="AE31" s="117"/>
      <c r="AF31" s="8"/>
      <c r="AG31" s="169" t="str">
        <f>IF(J34="","",COUNT(J34:Y35))</f>
        <v/>
      </c>
      <c r="AH31" s="117"/>
      <c r="AI31" s="170" t="s">
        <v>8392</v>
      </c>
      <c r="AJ31" s="117"/>
      <c r="AK31" s="8"/>
      <c r="AL31" s="171" t="str">
        <f>IF(AG31="","",AG31/4)</f>
        <v/>
      </c>
      <c r="AM31" s="106"/>
    </row>
    <row r="32" ht="22.5" customHeight="1">
      <c r="A32" s="172" t="s">
        <v>8393</v>
      </c>
      <c r="B32" s="173" t="s">
        <v>8394</v>
      </c>
      <c r="C32" s="117"/>
      <c r="D32" s="117"/>
      <c r="E32" s="117"/>
      <c r="F32" s="117"/>
      <c r="G32" s="117"/>
      <c r="H32" s="117"/>
      <c r="I32" s="8"/>
      <c r="J32" s="174" t="s">
        <v>8395</v>
      </c>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8"/>
      <c r="AJ32" s="175" t="s">
        <v>8396</v>
      </c>
      <c r="AK32" s="176"/>
      <c r="AL32" s="176"/>
      <c r="AM32" s="177"/>
    </row>
    <row r="33" ht="28.5" customHeight="1">
      <c r="A33" s="178"/>
      <c r="B33" s="173" t="s">
        <v>8397</v>
      </c>
      <c r="C33" s="117"/>
      <c r="D33" s="117"/>
      <c r="E33" s="8"/>
      <c r="F33" s="173" t="s">
        <v>137</v>
      </c>
      <c r="G33" s="8"/>
      <c r="H33" s="179" t="s">
        <v>8398</v>
      </c>
      <c r="I33" s="179" t="s">
        <v>8399</v>
      </c>
      <c r="J33" s="180">
        <v>1.0</v>
      </c>
      <c r="K33" s="180">
        <v>2.0</v>
      </c>
      <c r="L33" s="180">
        <v>3.0</v>
      </c>
      <c r="M33" s="180">
        <v>4.0</v>
      </c>
      <c r="N33" s="180">
        <v>5.0</v>
      </c>
      <c r="O33" s="180">
        <v>6.0</v>
      </c>
      <c r="P33" s="180">
        <v>7.0</v>
      </c>
      <c r="Q33" s="180">
        <v>8.0</v>
      </c>
      <c r="R33" s="180">
        <v>9.0</v>
      </c>
      <c r="S33" s="180">
        <v>10.0</v>
      </c>
      <c r="T33" s="180">
        <v>11.0</v>
      </c>
      <c r="U33" s="180">
        <v>12.0</v>
      </c>
      <c r="V33" s="180">
        <v>13.0</v>
      </c>
      <c r="W33" s="180">
        <v>14.0</v>
      </c>
      <c r="X33" s="180">
        <v>15.0</v>
      </c>
      <c r="Y33" s="180">
        <v>16.0</v>
      </c>
      <c r="Z33" s="174" t="s">
        <v>8400</v>
      </c>
      <c r="AA33" s="8"/>
      <c r="AB33" s="174" t="s">
        <v>8401</v>
      </c>
      <c r="AC33" s="8"/>
      <c r="AD33" s="174" t="s">
        <v>8402</v>
      </c>
      <c r="AE33" s="8"/>
      <c r="AF33" s="174" t="s">
        <v>8403</v>
      </c>
      <c r="AG33" s="8"/>
      <c r="AH33" s="173" t="s">
        <v>8404</v>
      </c>
      <c r="AI33" s="8"/>
      <c r="AJ33" s="181"/>
      <c r="AK33" s="114"/>
      <c r="AL33" s="114"/>
      <c r="AM33" s="115"/>
    </row>
    <row r="34" ht="19.5" customHeight="1">
      <c r="A34" s="182"/>
      <c r="B34" s="105"/>
      <c r="C34" s="117"/>
      <c r="D34" s="117"/>
      <c r="E34" s="8"/>
      <c r="F34" s="105"/>
      <c r="G34" s="8"/>
      <c r="H34" s="183"/>
      <c r="I34" s="183"/>
      <c r="J34" s="183"/>
      <c r="K34" s="183"/>
      <c r="L34" s="183"/>
      <c r="M34" s="183"/>
      <c r="N34" s="183"/>
      <c r="O34" s="183"/>
      <c r="P34" s="183"/>
      <c r="Q34" s="183"/>
      <c r="R34" s="183"/>
      <c r="S34" s="183"/>
      <c r="T34" s="183"/>
      <c r="U34" s="183"/>
      <c r="V34" s="183"/>
      <c r="W34" s="183"/>
      <c r="X34" s="183"/>
      <c r="Y34" s="183"/>
      <c r="Z34" s="184" t="str">
        <f t="shared" ref="Z34:Z35" si="6">IF(A34=0,"",FIXED(MAX(J34:Y34),3))</f>
        <v/>
      </c>
      <c r="AA34" s="8"/>
      <c r="AB34" s="184" t="str">
        <f t="shared" ref="AB34:AB35" si="7">IF(A34=0,"",MIN(J34:Y34))</f>
        <v/>
      </c>
      <c r="AC34" s="8"/>
      <c r="AD34" s="184" t="str">
        <f t="shared" ref="AD34:AD35" si="8">IF(A34=0,"",AVERAGE(J34:Y34))</f>
        <v/>
      </c>
      <c r="AE34" s="8"/>
      <c r="AF34" s="185" t="str">
        <f>IFERROR(MAX(0, 1-(AB34/I34)), "")</f>
        <v/>
      </c>
      <c r="AG34" s="117"/>
      <c r="AH34" s="185" t="str">
        <f>IFERROR(MAX(0, 1-(AB34/AD34)), "")</f>
        <v/>
      </c>
      <c r="AI34" s="117"/>
      <c r="AJ34" s="186"/>
      <c r="AK34" s="117"/>
      <c r="AL34" s="117"/>
      <c r="AM34" s="106"/>
    </row>
    <row r="35" ht="19.5" customHeight="1">
      <c r="A35" s="182"/>
      <c r="B35" s="105"/>
      <c r="C35" s="117"/>
      <c r="D35" s="117"/>
      <c r="E35" s="8"/>
      <c r="F35" s="105"/>
      <c r="G35" s="8"/>
      <c r="H35" s="183"/>
      <c r="I35" s="183"/>
      <c r="J35" s="183"/>
      <c r="K35" s="183"/>
      <c r="L35" s="183"/>
      <c r="M35" s="183"/>
      <c r="N35" s="183"/>
      <c r="O35" s="183"/>
      <c r="P35" s="183"/>
      <c r="Q35" s="183"/>
      <c r="R35" s="183"/>
      <c r="S35" s="183"/>
      <c r="T35" s="183"/>
      <c r="U35" s="183"/>
      <c r="V35" s="183"/>
      <c r="W35" s="183"/>
      <c r="X35" s="183"/>
      <c r="Y35" s="183"/>
      <c r="Z35" s="184" t="str">
        <f t="shared" si="6"/>
        <v/>
      </c>
      <c r="AA35" s="8"/>
      <c r="AB35" s="184" t="str">
        <f t="shared" si="7"/>
        <v/>
      </c>
      <c r="AC35" s="8"/>
      <c r="AD35" s="184" t="str">
        <f t="shared" si="8"/>
        <v/>
      </c>
      <c r="AE35" s="8"/>
      <c r="AF35" s="185" t="str">
        <f>IFERROR((1-(AB35/I35)),"")</f>
        <v/>
      </c>
      <c r="AG35" s="117"/>
      <c r="AH35" s="185" t="str">
        <f>IFERROR((1-(AB35/AD35)),"")</f>
        <v/>
      </c>
      <c r="AI35" s="117"/>
      <c r="AJ35" s="186"/>
      <c r="AK35" s="117"/>
      <c r="AL35" s="117"/>
      <c r="AM35" s="106"/>
    </row>
    <row r="36" ht="19.5" customHeight="1">
      <c r="A36" s="187" t="s">
        <v>8405</v>
      </c>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06"/>
    </row>
    <row r="37" ht="332.25" customHeight="1">
      <c r="A37" s="188"/>
      <c r="B37" s="117"/>
      <c r="C37" s="117"/>
      <c r="D37" s="117"/>
      <c r="E37" s="117"/>
      <c r="F37" s="117"/>
      <c r="G37" s="117"/>
      <c r="H37" s="117"/>
      <c r="I37" s="117"/>
      <c r="J37" s="117"/>
      <c r="K37" s="117"/>
      <c r="L37" s="117"/>
      <c r="M37" s="8"/>
      <c r="N37" s="189"/>
      <c r="O37" s="117"/>
      <c r="P37" s="117"/>
      <c r="Q37" s="117"/>
      <c r="R37" s="117"/>
      <c r="S37" s="117"/>
      <c r="T37" s="117"/>
      <c r="U37" s="117"/>
      <c r="V37" s="117"/>
      <c r="W37" s="117"/>
      <c r="X37" s="117"/>
      <c r="Y37" s="117"/>
      <c r="Z37" s="8"/>
      <c r="AA37" s="189"/>
      <c r="AB37" s="117"/>
      <c r="AC37" s="117"/>
      <c r="AD37" s="117"/>
      <c r="AE37" s="117"/>
      <c r="AF37" s="117"/>
      <c r="AG37" s="117"/>
      <c r="AH37" s="117"/>
      <c r="AI37" s="117"/>
      <c r="AJ37" s="117"/>
      <c r="AK37" s="117"/>
      <c r="AL37" s="117"/>
      <c r="AM37" s="106"/>
    </row>
    <row r="38" ht="19.5" customHeight="1">
      <c r="A38" s="188"/>
      <c r="B38" s="117"/>
      <c r="C38" s="117"/>
      <c r="D38" s="117"/>
      <c r="E38" s="117"/>
      <c r="F38" s="117"/>
      <c r="G38" s="117"/>
      <c r="H38" s="117"/>
      <c r="I38" s="117"/>
      <c r="J38" s="117"/>
      <c r="K38" s="117"/>
      <c r="L38" s="117"/>
      <c r="M38" s="8"/>
      <c r="N38" s="189"/>
      <c r="O38" s="117"/>
      <c r="P38" s="117"/>
      <c r="Q38" s="117"/>
      <c r="R38" s="117"/>
      <c r="S38" s="117"/>
      <c r="T38" s="117"/>
      <c r="U38" s="117"/>
      <c r="V38" s="117"/>
      <c r="W38" s="117"/>
      <c r="X38" s="117"/>
      <c r="Y38" s="117"/>
      <c r="Z38" s="8"/>
      <c r="AA38" s="189"/>
      <c r="AB38" s="117"/>
      <c r="AC38" s="117"/>
      <c r="AD38" s="117"/>
      <c r="AE38" s="117"/>
      <c r="AF38" s="117"/>
      <c r="AG38" s="117"/>
      <c r="AH38" s="117"/>
      <c r="AI38" s="117"/>
      <c r="AJ38" s="117"/>
      <c r="AK38" s="117"/>
      <c r="AL38" s="117"/>
      <c r="AM38" s="106"/>
    </row>
    <row r="39" ht="24.75" customHeight="1">
      <c r="A39" s="116" t="s">
        <v>8406</v>
      </c>
      <c r="B39" s="117"/>
      <c r="C39" s="117"/>
      <c r="D39" s="117"/>
      <c r="E39" s="117"/>
      <c r="F39" s="117"/>
      <c r="G39" s="117"/>
      <c r="H39" s="117"/>
      <c r="I39" s="117"/>
      <c r="J39" s="117"/>
      <c r="K39" s="117"/>
      <c r="L39" s="117"/>
      <c r="M39" s="8"/>
      <c r="N39" s="104" t="s">
        <v>8407</v>
      </c>
      <c r="O39" s="117"/>
      <c r="P39" s="117"/>
      <c r="Q39" s="117"/>
      <c r="R39" s="117"/>
      <c r="S39" s="117"/>
      <c r="T39" s="117"/>
      <c r="U39" s="117"/>
      <c r="V39" s="117"/>
      <c r="W39" s="117"/>
      <c r="X39" s="117"/>
      <c r="Y39" s="117"/>
      <c r="Z39" s="8"/>
      <c r="AA39" s="104" t="s">
        <v>8408</v>
      </c>
      <c r="AB39" s="117"/>
      <c r="AC39" s="117"/>
      <c r="AD39" s="117"/>
      <c r="AE39" s="117"/>
      <c r="AF39" s="117"/>
      <c r="AG39" s="117"/>
      <c r="AH39" s="117"/>
      <c r="AI39" s="117"/>
      <c r="AJ39" s="117"/>
      <c r="AK39" s="117"/>
      <c r="AL39" s="117"/>
      <c r="AM39" s="106"/>
    </row>
    <row r="40" ht="51.75" customHeight="1">
      <c r="A40" s="116" t="s">
        <v>8409</v>
      </c>
      <c r="B40" s="8"/>
      <c r="C40" s="112" t="str">
        <f t="shared" ref="C40:C42" si="9">U7</f>
        <v/>
      </c>
      <c r="D40" s="117"/>
      <c r="E40" s="117"/>
      <c r="F40" s="117"/>
      <c r="G40" s="117"/>
      <c r="H40" s="117"/>
      <c r="I40" s="117"/>
      <c r="J40" s="117"/>
      <c r="K40" s="117"/>
      <c r="L40" s="117"/>
      <c r="M40" s="8"/>
      <c r="N40" s="104" t="s">
        <v>8409</v>
      </c>
      <c r="O40" s="8"/>
      <c r="P40" s="112"/>
      <c r="Q40" s="117"/>
      <c r="R40" s="117"/>
      <c r="S40" s="117"/>
      <c r="T40" s="117"/>
      <c r="U40" s="117"/>
      <c r="V40" s="117"/>
      <c r="W40" s="117"/>
      <c r="X40" s="117"/>
      <c r="Y40" s="117"/>
      <c r="Z40" s="8"/>
      <c r="AA40" s="104" t="s">
        <v>8409</v>
      </c>
      <c r="AB40" s="8"/>
      <c r="AC40" s="112"/>
      <c r="AD40" s="117"/>
      <c r="AE40" s="117"/>
      <c r="AF40" s="117"/>
      <c r="AG40" s="117"/>
      <c r="AH40" s="117"/>
      <c r="AI40" s="117"/>
      <c r="AJ40" s="117"/>
      <c r="AK40" s="117"/>
      <c r="AL40" s="117"/>
      <c r="AM40" s="106"/>
    </row>
    <row r="41" ht="24.75" customHeight="1">
      <c r="A41" s="116" t="s">
        <v>8410</v>
      </c>
      <c r="B41" s="8"/>
      <c r="C41" s="112" t="str">
        <f t="shared" si="9"/>
        <v/>
      </c>
      <c r="D41" s="117"/>
      <c r="E41" s="117"/>
      <c r="F41" s="117"/>
      <c r="G41" s="117"/>
      <c r="H41" s="117"/>
      <c r="I41" s="117"/>
      <c r="J41" s="117"/>
      <c r="K41" s="117"/>
      <c r="L41" s="117"/>
      <c r="M41" s="8"/>
      <c r="N41" s="104" t="s">
        <v>8410</v>
      </c>
      <c r="O41" s="8"/>
      <c r="P41" s="112"/>
      <c r="Q41" s="117"/>
      <c r="R41" s="117"/>
      <c r="S41" s="117"/>
      <c r="T41" s="117"/>
      <c r="U41" s="117"/>
      <c r="V41" s="117"/>
      <c r="W41" s="117"/>
      <c r="X41" s="117"/>
      <c r="Y41" s="117"/>
      <c r="Z41" s="8"/>
      <c r="AA41" s="104" t="s">
        <v>8410</v>
      </c>
      <c r="AB41" s="8"/>
      <c r="AC41" s="112"/>
      <c r="AD41" s="117"/>
      <c r="AE41" s="117"/>
      <c r="AF41" s="117"/>
      <c r="AG41" s="117"/>
      <c r="AH41" s="117"/>
      <c r="AI41" s="117"/>
      <c r="AJ41" s="117"/>
      <c r="AK41" s="117"/>
      <c r="AL41" s="117"/>
      <c r="AM41" s="106"/>
    </row>
    <row r="42" ht="24.75" customHeight="1">
      <c r="A42" s="116" t="s">
        <v>8411</v>
      </c>
      <c r="B42" s="8"/>
      <c r="C42" s="112" t="str">
        <f t="shared" si="9"/>
        <v/>
      </c>
      <c r="D42" s="117"/>
      <c r="E42" s="117"/>
      <c r="F42" s="117"/>
      <c r="G42" s="117"/>
      <c r="H42" s="117"/>
      <c r="I42" s="117"/>
      <c r="J42" s="117"/>
      <c r="K42" s="117"/>
      <c r="L42" s="117"/>
      <c r="M42" s="8"/>
      <c r="N42" s="104" t="s">
        <v>8411</v>
      </c>
      <c r="O42" s="8"/>
      <c r="P42" s="112"/>
      <c r="Q42" s="117"/>
      <c r="R42" s="117"/>
      <c r="S42" s="117"/>
      <c r="T42" s="117"/>
      <c r="U42" s="117"/>
      <c r="V42" s="117"/>
      <c r="W42" s="117"/>
      <c r="X42" s="117"/>
      <c r="Y42" s="117"/>
      <c r="Z42" s="8"/>
      <c r="AA42" s="104" t="s">
        <v>8411</v>
      </c>
      <c r="AB42" s="8"/>
      <c r="AC42" s="112"/>
      <c r="AD42" s="117"/>
      <c r="AE42" s="117"/>
      <c r="AF42" s="117"/>
      <c r="AG42" s="117"/>
      <c r="AH42" s="117"/>
      <c r="AI42" s="117"/>
      <c r="AJ42" s="117"/>
      <c r="AK42" s="117"/>
      <c r="AL42" s="117"/>
      <c r="AM42" s="106"/>
    </row>
    <row r="43" ht="24.75" customHeight="1">
      <c r="A43" s="116" t="s">
        <v>8412</v>
      </c>
      <c r="B43" s="8"/>
      <c r="C43" s="190"/>
      <c r="D43" s="117"/>
      <c r="E43" s="117"/>
      <c r="F43" s="117"/>
      <c r="G43" s="117"/>
      <c r="H43" s="117"/>
      <c r="I43" s="117"/>
      <c r="J43" s="117"/>
      <c r="K43" s="117"/>
      <c r="L43" s="117"/>
      <c r="M43" s="8"/>
      <c r="N43" s="104" t="s">
        <v>8412</v>
      </c>
      <c r="O43" s="8"/>
      <c r="P43" s="112"/>
      <c r="Q43" s="117"/>
      <c r="R43" s="117"/>
      <c r="S43" s="117"/>
      <c r="T43" s="117"/>
      <c r="U43" s="117"/>
      <c r="V43" s="117"/>
      <c r="W43" s="117"/>
      <c r="X43" s="117"/>
      <c r="Y43" s="117"/>
      <c r="Z43" s="8"/>
      <c r="AA43" s="104" t="s">
        <v>8412</v>
      </c>
      <c r="AB43" s="8"/>
      <c r="AC43" s="112"/>
      <c r="AD43" s="117"/>
      <c r="AE43" s="117"/>
      <c r="AF43" s="117"/>
      <c r="AG43" s="117"/>
      <c r="AH43" s="117"/>
      <c r="AI43" s="117"/>
      <c r="AJ43" s="117"/>
      <c r="AK43" s="117"/>
      <c r="AL43" s="117"/>
      <c r="AM43" s="106"/>
    </row>
    <row r="44" ht="25.5" customHeight="1">
      <c r="A44" s="191" t="s">
        <v>8413</v>
      </c>
      <c r="B44" s="192"/>
      <c r="C44" s="193"/>
      <c r="D44" s="194"/>
      <c r="E44" s="194"/>
      <c r="F44" s="194"/>
      <c r="G44" s="194"/>
      <c r="H44" s="194"/>
      <c r="I44" s="194"/>
      <c r="J44" s="194"/>
      <c r="K44" s="194"/>
      <c r="L44" s="194"/>
      <c r="M44" s="192"/>
      <c r="N44" s="195" t="s">
        <v>8413</v>
      </c>
      <c r="O44" s="192"/>
      <c r="P44" s="196"/>
      <c r="Q44" s="194"/>
      <c r="R44" s="194"/>
      <c r="S44" s="194"/>
      <c r="T44" s="194"/>
      <c r="U44" s="194"/>
      <c r="V44" s="194"/>
      <c r="W44" s="194"/>
      <c r="X44" s="194"/>
      <c r="Y44" s="194"/>
      <c r="Z44" s="192"/>
      <c r="AA44" s="195" t="s">
        <v>8413</v>
      </c>
      <c r="AB44" s="192"/>
      <c r="AC44" s="196"/>
      <c r="AD44" s="194"/>
      <c r="AE44" s="194"/>
      <c r="AF44" s="194"/>
      <c r="AG44" s="194"/>
      <c r="AH44" s="194"/>
      <c r="AI44" s="194"/>
      <c r="AJ44" s="194"/>
      <c r="AK44" s="194"/>
      <c r="AL44" s="194"/>
      <c r="AM44" s="197"/>
    </row>
    <row r="45" ht="25.5" customHeight="1">
      <c r="A45" s="198"/>
      <c r="B45" s="198"/>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row>
    <row r="46" ht="25.5" customHeight="1">
      <c r="A46" s="198"/>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row>
    <row r="47" ht="25.5" customHeight="1">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row>
    <row r="48" ht="25.5" customHeight="1">
      <c r="A48" s="198"/>
      <c r="B48" s="198"/>
      <c r="C48" s="198"/>
      <c r="D48" s="198"/>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row>
    <row r="49" ht="25.5" customHeight="1">
      <c r="A49" s="198"/>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row>
    <row r="50" ht="25.5" customHeight="1">
      <c r="A50" s="198"/>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row>
    <row r="51" ht="25.5" customHeight="1">
      <c r="A51" s="198"/>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row>
    <row r="52" ht="25.5" customHeight="1">
      <c r="A52" s="198"/>
      <c r="B52" s="198"/>
      <c r="C52" s="198"/>
      <c r="D52" s="198"/>
      <c r="E52" s="198"/>
      <c r="F52" s="198"/>
      <c r="G52" s="198"/>
      <c r="H52" s="198"/>
      <c r="I52" s="198"/>
      <c r="J52" s="198"/>
      <c r="K52" s="198"/>
      <c r="L52" s="198"/>
      <c r="M52" s="198"/>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row>
    <row r="53" ht="25.5" customHeight="1">
      <c r="A53" s="198"/>
      <c r="B53" s="198"/>
      <c r="C53" s="198"/>
      <c r="D53" s="198"/>
      <c r="E53" s="198"/>
      <c r="F53" s="198"/>
      <c r="G53" s="198"/>
      <c r="H53" s="198"/>
      <c r="I53" s="198"/>
      <c r="J53" s="198"/>
      <c r="K53" s="198"/>
      <c r="L53" s="198"/>
      <c r="M53" s="198"/>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row>
    <row r="54" ht="12.0" customHeight="1">
      <c r="A54" s="198"/>
      <c r="B54" s="198"/>
      <c r="C54" s="198"/>
      <c r="D54" s="198"/>
      <c r="E54" s="198"/>
      <c r="F54" s="198"/>
      <c r="G54" s="198"/>
      <c r="H54" s="198"/>
      <c r="I54" s="198"/>
      <c r="J54" s="198"/>
      <c r="K54" s="198"/>
      <c r="L54" s="198"/>
      <c r="M54" s="198"/>
      <c r="N54" s="198"/>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row>
    <row r="55" ht="12.0" customHeight="1">
      <c r="A55" s="198"/>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row>
    <row r="56" ht="12.0" customHeight="1">
      <c r="A56" s="198"/>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row>
    <row r="57" ht="12.0" customHeight="1">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row>
    <row r="58" ht="12.0" customHeight="1">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row>
    <row r="59" ht="12.0" customHeight="1">
      <c r="A59" s="198"/>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row>
    <row r="60" ht="12.0" customHeight="1">
      <c r="A60" s="198"/>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c r="AC60" s="198"/>
      <c r="AD60" s="198"/>
      <c r="AE60" s="198"/>
      <c r="AF60" s="198"/>
      <c r="AG60" s="198"/>
      <c r="AH60" s="198"/>
      <c r="AI60" s="198"/>
      <c r="AJ60" s="198"/>
      <c r="AK60" s="198"/>
      <c r="AL60" s="198"/>
      <c r="AM60" s="198"/>
    </row>
    <row r="61" ht="12.0" customHeight="1">
      <c r="A61" s="198"/>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c r="AC61" s="198"/>
      <c r="AD61" s="198"/>
      <c r="AE61" s="198"/>
      <c r="AF61" s="198"/>
      <c r="AG61" s="198"/>
      <c r="AH61" s="198"/>
      <c r="AI61" s="198"/>
      <c r="AJ61" s="198"/>
      <c r="AK61" s="198"/>
      <c r="AL61" s="198"/>
      <c r="AM61" s="198"/>
    </row>
    <row r="62" ht="12.0" customHeight="1">
      <c r="A62" s="198"/>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row>
    <row r="63" ht="12.0" customHeight="1">
      <c r="A63" s="198"/>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c r="AC63" s="198"/>
      <c r="AD63" s="198"/>
      <c r="AE63" s="198"/>
      <c r="AF63" s="198"/>
      <c r="AG63" s="198"/>
      <c r="AH63" s="198"/>
      <c r="AI63" s="198"/>
      <c r="AJ63" s="198"/>
      <c r="AK63" s="198"/>
      <c r="AL63" s="198"/>
      <c r="AM63" s="198"/>
    </row>
    <row r="64" ht="12.0" customHeight="1">
      <c r="A64" s="198"/>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c r="AD64" s="198"/>
      <c r="AE64" s="198"/>
      <c r="AF64" s="198"/>
      <c r="AG64" s="198"/>
      <c r="AH64" s="198"/>
      <c r="AI64" s="198"/>
      <c r="AJ64" s="198"/>
      <c r="AK64" s="198"/>
      <c r="AL64" s="198"/>
      <c r="AM64" s="198"/>
    </row>
    <row r="65" ht="12.0" customHeight="1">
      <c r="A65" s="198"/>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c r="AA65" s="198"/>
      <c r="AB65" s="198"/>
      <c r="AC65" s="198"/>
      <c r="AD65" s="198"/>
      <c r="AE65" s="198"/>
      <c r="AF65" s="198"/>
      <c r="AG65" s="198"/>
      <c r="AH65" s="198"/>
      <c r="AI65" s="198"/>
      <c r="AJ65" s="198"/>
      <c r="AK65" s="198"/>
      <c r="AL65" s="198"/>
      <c r="AM65" s="198"/>
    </row>
    <row r="66" ht="12.0" customHeight="1">
      <c r="A66" s="198"/>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c r="AA66" s="198"/>
      <c r="AB66" s="198"/>
      <c r="AC66" s="198"/>
      <c r="AD66" s="198"/>
      <c r="AE66" s="198"/>
      <c r="AF66" s="198"/>
      <c r="AG66" s="198"/>
      <c r="AH66" s="198"/>
      <c r="AI66" s="198"/>
      <c r="AJ66" s="198"/>
      <c r="AK66" s="198"/>
      <c r="AL66" s="198"/>
      <c r="AM66" s="198"/>
    </row>
    <row r="67" ht="12.0" customHeight="1">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c r="AC67" s="198"/>
      <c r="AD67" s="198"/>
      <c r="AE67" s="198"/>
      <c r="AF67" s="198"/>
      <c r="AG67" s="198"/>
      <c r="AH67" s="198"/>
      <c r="AI67" s="198"/>
      <c r="AJ67" s="198"/>
      <c r="AK67" s="198"/>
      <c r="AL67" s="198"/>
      <c r="AM67" s="198"/>
    </row>
    <row r="68" ht="12.0" customHeight="1">
      <c r="A68" s="198"/>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c r="AA68" s="198"/>
      <c r="AB68" s="198"/>
      <c r="AC68" s="198"/>
      <c r="AD68" s="198"/>
      <c r="AE68" s="198"/>
      <c r="AF68" s="198"/>
      <c r="AG68" s="198"/>
      <c r="AH68" s="198"/>
      <c r="AI68" s="198"/>
      <c r="AJ68" s="198"/>
      <c r="AK68" s="198"/>
      <c r="AL68" s="198"/>
      <c r="AM68" s="198"/>
    </row>
    <row r="69" ht="12.0" customHeight="1">
      <c r="A69" s="198"/>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c r="AA69" s="198"/>
      <c r="AB69" s="198"/>
      <c r="AC69" s="198"/>
      <c r="AD69" s="198"/>
      <c r="AE69" s="198"/>
      <c r="AF69" s="198"/>
      <c r="AG69" s="198"/>
      <c r="AH69" s="198"/>
      <c r="AI69" s="198"/>
      <c r="AJ69" s="198"/>
      <c r="AK69" s="198"/>
      <c r="AL69" s="198"/>
      <c r="AM69" s="198"/>
    </row>
    <row r="70" ht="12.0" customHeight="1">
      <c r="A70" s="198"/>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c r="AA70" s="198"/>
      <c r="AB70" s="198"/>
      <c r="AC70" s="198"/>
      <c r="AD70" s="198"/>
      <c r="AE70" s="198"/>
      <c r="AF70" s="198"/>
      <c r="AG70" s="198"/>
      <c r="AH70" s="198"/>
      <c r="AI70" s="198"/>
      <c r="AJ70" s="198"/>
      <c r="AK70" s="198"/>
      <c r="AL70" s="198"/>
      <c r="AM70" s="198"/>
    </row>
    <row r="71" ht="12.0" customHeight="1">
      <c r="A71" s="198"/>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row>
    <row r="72" ht="12.0" customHeight="1">
      <c r="A72" s="198"/>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c r="AA72" s="198"/>
      <c r="AB72" s="198"/>
      <c r="AC72" s="198"/>
      <c r="AD72" s="198"/>
      <c r="AE72" s="198"/>
      <c r="AF72" s="198"/>
      <c r="AG72" s="198"/>
      <c r="AH72" s="198"/>
      <c r="AI72" s="198"/>
      <c r="AJ72" s="198"/>
      <c r="AK72" s="198"/>
      <c r="AL72" s="198"/>
      <c r="AM72" s="198"/>
    </row>
    <row r="73" ht="12.0" customHeight="1">
      <c r="A73" s="198"/>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8"/>
      <c r="AB73" s="198"/>
      <c r="AC73" s="198"/>
      <c r="AD73" s="198"/>
      <c r="AE73" s="198"/>
      <c r="AF73" s="198"/>
      <c r="AG73" s="198"/>
      <c r="AH73" s="198"/>
      <c r="AI73" s="198"/>
      <c r="AJ73" s="198"/>
      <c r="AK73" s="198"/>
      <c r="AL73" s="198"/>
      <c r="AM73" s="198"/>
    </row>
    <row r="74" ht="12.0" customHeight="1">
      <c r="A74" s="198"/>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c r="AA74" s="198"/>
      <c r="AB74" s="198"/>
      <c r="AC74" s="198"/>
      <c r="AD74" s="198"/>
      <c r="AE74" s="198"/>
      <c r="AF74" s="198"/>
      <c r="AG74" s="198"/>
      <c r="AH74" s="198"/>
      <c r="AI74" s="198"/>
      <c r="AJ74" s="198"/>
      <c r="AK74" s="198"/>
      <c r="AL74" s="198"/>
      <c r="AM74" s="198"/>
    </row>
    <row r="75" ht="12.0" customHeight="1">
      <c r="A75" s="198"/>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c r="AA75" s="198"/>
      <c r="AB75" s="198"/>
      <c r="AC75" s="198"/>
      <c r="AD75" s="198"/>
      <c r="AE75" s="198"/>
      <c r="AF75" s="198"/>
      <c r="AG75" s="198"/>
      <c r="AH75" s="198"/>
      <c r="AI75" s="198"/>
      <c r="AJ75" s="198"/>
      <c r="AK75" s="198"/>
      <c r="AL75" s="198"/>
      <c r="AM75" s="198"/>
    </row>
    <row r="76" ht="12.0" customHeight="1">
      <c r="A76" s="198"/>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c r="AA76" s="198"/>
      <c r="AB76" s="198"/>
      <c r="AC76" s="198"/>
      <c r="AD76" s="198"/>
      <c r="AE76" s="198"/>
      <c r="AF76" s="198"/>
      <c r="AG76" s="198"/>
      <c r="AH76" s="198"/>
      <c r="AI76" s="198"/>
      <c r="AJ76" s="198"/>
      <c r="AK76" s="198"/>
      <c r="AL76" s="198"/>
      <c r="AM76" s="198"/>
    </row>
    <row r="77" ht="12.0" customHeight="1">
      <c r="A77" s="198"/>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c r="AM77" s="198"/>
    </row>
    <row r="78" ht="12.0" customHeight="1">
      <c r="A78" s="198"/>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c r="AM78" s="198"/>
    </row>
    <row r="79" ht="12.75" customHeight="1">
      <c r="A79" s="198"/>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98"/>
    </row>
    <row r="80" ht="12.75" customHeight="1">
      <c r="A80" s="198"/>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c r="AM80" s="198"/>
    </row>
    <row r="81" ht="12.0" customHeight="1">
      <c r="A81" s="198"/>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row>
    <row r="82" ht="12.0" customHeight="1">
      <c r="A82" s="198"/>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8"/>
      <c r="AJ82" s="198"/>
      <c r="AK82" s="198"/>
      <c r="AL82" s="198"/>
      <c r="AM82" s="198"/>
    </row>
    <row r="83" ht="12.0" customHeight="1">
      <c r="A83" s="198"/>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c r="AD83" s="198"/>
      <c r="AE83" s="198"/>
      <c r="AF83" s="198"/>
      <c r="AG83" s="198"/>
      <c r="AH83" s="198"/>
      <c r="AI83" s="198"/>
      <c r="AJ83" s="198"/>
      <c r="AK83" s="198"/>
      <c r="AL83" s="198"/>
      <c r="AM83" s="198"/>
    </row>
    <row r="84" ht="12.0" customHeight="1">
      <c r="A84" s="198"/>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c r="AA84" s="198"/>
      <c r="AB84" s="198"/>
      <c r="AC84" s="198"/>
      <c r="AD84" s="198"/>
      <c r="AE84" s="198"/>
      <c r="AF84" s="198"/>
      <c r="AG84" s="198"/>
      <c r="AH84" s="198"/>
      <c r="AI84" s="198"/>
      <c r="AJ84" s="198"/>
      <c r="AK84" s="198"/>
      <c r="AL84" s="198"/>
      <c r="AM84" s="198"/>
    </row>
    <row r="85" ht="12.0" customHeight="1">
      <c r="A85" s="198"/>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c r="AA85" s="198"/>
      <c r="AB85" s="198"/>
      <c r="AC85" s="198"/>
      <c r="AD85" s="198"/>
      <c r="AE85" s="198"/>
      <c r="AF85" s="198"/>
      <c r="AG85" s="198"/>
      <c r="AH85" s="198"/>
      <c r="AI85" s="198"/>
      <c r="AJ85" s="198"/>
      <c r="AK85" s="198"/>
      <c r="AL85" s="198"/>
      <c r="AM85" s="198"/>
    </row>
    <row r="86" ht="12.0" customHeight="1">
      <c r="A86" s="198"/>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row>
    <row r="87" ht="12.0" customHeight="1">
      <c r="A87" s="198"/>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row>
    <row r="88" ht="12.0" customHeight="1">
      <c r="A88" s="198"/>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c r="AA88" s="198"/>
      <c r="AB88" s="198"/>
      <c r="AC88" s="198"/>
      <c r="AD88" s="198"/>
      <c r="AE88" s="198"/>
      <c r="AF88" s="198"/>
      <c r="AG88" s="198"/>
      <c r="AH88" s="198"/>
      <c r="AI88" s="198"/>
      <c r="AJ88" s="198"/>
      <c r="AK88" s="198"/>
      <c r="AL88" s="198"/>
      <c r="AM88" s="198"/>
    </row>
    <row r="89" ht="12.0" customHeight="1">
      <c r="A89" s="198"/>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c r="AA89" s="198"/>
      <c r="AB89" s="198"/>
      <c r="AC89" s="198"/>
      <c r="AD89" s="198"/>
      <c r="AE89" s="198"/>
      <c r="AF89" s="198"/>
      <c r="AG89" s="198"/>
      <c r="AH89" s="198"/>
      <c r="AI89" s="198"/>
      <c r="AJ89" s="198"/>
      <c r="AK89" s="198"/>
      <c r="AL89" s="198"/>
      <c r="AM89" s="198"/>
    </row>
    <row r="90" ht="12.0" customHeight="1">
      <c r="A90" s="198"/>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c r="AA90" s="198"/>
      <c r="AB90" s="198"/>
      <c r="AC90" s="198"/>
      <c r="AD90" s="198"/>
      <c r="AE90" s="198"/>
      <c r="AF90" s="198"/>
      <c r="AG90" s="198"/>
      <c r="AH90" s="198"/>
      <c r="AI90" s="198"/>
      <c r="AJ90" s="198"/>
      <c r="AK90" s="198"/>
      <c r="AL90" s="198"/>
      <c r="AM90" s="198"/>
    </row>
    <row r="91" ht="12.0" customHeight="1">
      <c r="A91" s="198"/>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c r="AA91" s="198"/>
      <c r="AB91" s="198"/>
      <c r="AC91" s="198"/>
      <c r="AD91" s="198"/>
      <c r="AE91" s="198"/>
      <c r="AF91" s="198"/>
      <c r="AG91" s="198"/>
      <c r="AH91" s="198"/>
      <c r="AI91" s="198"/>
      <c r="AJ91" s="198"/>
      <c r="AK91" s="198"/>
      <c r="AL91" s="198"/>
      <c r="AM91" s="198"/>
    </row>
    <row r="92" ht="12.0" customHeight="1">
      <c r="A92" s="198"/>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c r="AA92" s="198"/>
      <c r="AB92" s="198"/>
      <c r="AC92" s="198"/>
      <c r="AD92" s="198"/>
      <c r="AE92" s="198"/>
      <c r="AF92" s="198"/>
      <c r="AG92" s="198"/>
      <c r="AH92" s="198"/>
      <c r="AI92" s="198"/>
      <c r="AJ92" s="198"/>
      <c r="AK92" s="198"/>
      <c r="AL92" s="198"/>
      <c r="AM92" s="198"/>
    </row>
    <row r="93" ht="12.0" customHeight="1">
      <c r="A93" s="198"/>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c r="AA93" s="198"/>
      <c r="AB93" s="198"/>
      <c r="AC93" s="198"/>
      <c r="AD93" s="198"/>
      <c r="AE93" s="198"/>
      <c r="AF93" s="198"/>
      <c r="AG93" s="198"/>
      <c r="AH93" s="198"/>
      <c r="AI93" s="198"/>
      <c r="AJ93" s="198"/>
      <c r="AK93" s="198"/>
      <c r="AL93" s="198"/>
      <c r="AM93" s="198"/>
    </row>
    <row r="94" ht="12.0" customHeight="1">
      <c r="A94" s="198"/>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c r="AA94" s="198"/>
      <c r="AB94" s="198"/>
      <c r="AC94" s="198"/>
      <c r="AD94" s="198"/>
      <c r="AE94" s="198"/>
      <c r="AF94" s="198"/>
      <c r="AG94" s="198"/>
      <c r="AH94" s="198"/>
      <c r="AI94" s="198"/>
      <c r="AJ94" s="198"/>
      <c r="AK94" s="198"/>
      <c r="AL94" s="198"/>
      <c r="AM94" s="198"/>
    </row>
    <row r="95" ht="12.0" customHeight="1">
      <c r="A95" s="198"/>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c r="AA95" s="198"/>
      <c r="AB95" s="198"/>
      <c r="AC95" s="198"/>
      <c r="AD95" s="198"/>
      <c r="AE95" s="198"/>
      <c r="AF95" s="198"/>
      <c r="AG95" s="198"/>
      <c r="AH95" s="198"/>
      <c r="AI95" s="198"/>
      <c r="AJ95" s="198"/>
      <c r="AK95" s="198"/>
      <c r="AL95" s="198"/>
      <c r="AM95" s="198"/>
    </row>
    <row r="96" ht="12.0" customHeight="1">
      <c r="A96" s="198"/>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c r="AA96" s="198"/>
      <c r="AB96" s="198"/>
      <c r="AC96" s="198"/>
      <c r="AD96" s="198"/>
      <c r="AE96" s="198"/>
      <c r="AF96" s="198"/>
      <c r="AG96" s="198"/>
      <c r="AH96" s="198"/>
      <c r="AI96" s="198"/>
      <c r="AJ96" s="198"/>
      <c r="AK96" s="198"/>
      <c r="AL96" s="198"/>
      <c r="AM96" s="198"/>
    </row>
    <row r="97" ht="12.0" customHeight="1">
      <c r="A97" s="198"/>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8"/>
      <c r="AL97" s="198"/>
      <c r="AM97" s="198"/>
    </row>
    <row r="98" ht="12.0" customHeight="1">
      <c r="A98" s="198"/>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c r="AC98" s="198"/>
      <c r="AD98" s="198"/>
      <c r="AE98" s="198"/>
      <c r="AF98" s="198"/>
      <c r="AG98" s="198"/>
      <c r="AH98" s="198"/>
      <c r="AI98" s="198"/>
      <c r="AJ98" s="198"/>
      <c r="AK98" s="198"/>
      <c r="AL98" s="198"/>
      <c r="AM98" s="198"/>
    </row>
    <row r="99" ht="12.0" customHeight="1">
      <c r="A99" s="198"/>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row>
    <row r="100" ht="12.0" customHeight="1">
      <c r="A100" s="198"/>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c r="AA100" s="198"/>
      <c r="AB100" s="198"/>
      <c r="AC100" s="198"/>
      <c r="AD100" s="198"/>
      <c r="AE100" s="198"/>
      <c r="AF100" s="198"/>
      <c r="AG100" s="198"/>
      <c r="AH100" s="198"/>
      <c r="AI100" s="198"/>
      <c r="AJ100" s="198"/>
      <c r="AK100" s="198"/>
      <c r="AL100" s="198"/>
      <c r="AM100" s="198"/>
    </row>
    <row r="101" ht="12.0" customHeight="1">
      <c r="A101" s="198"/>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c r="AA101" s="198"/>
      <c r="AB101" s="198"/>
      <c r="AC101" s="198"/>
      <c r="AD101" s="198"/>
      <c r="AE101" s="198"/>
      <c r="AF101" s="198"/>
      <c r="AG101" s="198"/>
      <c r="AH101" s="198"/>
      <c r="AI101" s="198"/>
      <c r="AJ101" s="198"/>
      <c r="AK101" s="198"/>
      <c r="AL101" s="198"/>
      <c r="AM101" s="198"/>
    </row>
    <row r="102" ht="12.0" customHeight="1">
      <c r="A102" s="198"/>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8"/>
      <c r="AI102" s="198"/>
      <c r="AJ102" s="198"/>
      <c r="AK102" s="198"/>
      <c r="AL102" s="198"/>
      <c r="AM102" s="198"/>
    </row>
    <row r="103" ht="12.0" customHeight="1">
      <c r="A103" s="198"/>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c r="AA103" s="198"/>
      <c r="AB103" s="198"/>
      <c r="AC103" s="198"/>
      <c r="AD103" s="198"/>
      <c r="AE103" s="198"/>
      <c r="AF103" s="198"/>
      <c r="AG103" s="198"/>
      <c r="AH103" s="198"/>
      <c r="AI103" s="198"/>
      <c r="AJ103" s="198"/>
      <c r="AK103" s="198"/>
      <c r="AL103" s="198"/>
      <c r="AM103" s="198"/>
    </row>
    <row r="104" ht="12.0" customHeight="1">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c r="AH104" s="198"/>
      <c r="AI104" s="198"/>
      <c r="AJ104" s="198"/>
      <c r="AK104" s="198"/>
      <c r="AL104" s="198"/>
      <c r="AM104" s="198"/>
    </row>
    <row r="105" ht="12.0" customHeight="1">
      <c r="A105" s="198"/>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c r="AA105" s="198"/>
      <c r="AB105" s="198"/>
      <c r="AC105" s="198"/>
      <c r="AD105" s="198"/>
      <c r="AE105" s="198"/>
      <c r="AF105" s="198"/>
      <c r="AG105" s="198"/>
      <c r="AH105" s="198"/>
      <c r="AI105" s="198"/>
      <c r="AJ105" s="198"/>
      <c r="AK105" s="198"/>
      <c r="AL105" s="198"/>
      <c r="AM105" s="198"/>
    </row>
    <row r="106" ht="12.0" customHeight="1">
      <c r="A106" s="198"/>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c r="AA106" s="198"/>
      <c r="AB106" s="198"/>
      <c r="AC106" s="198"/>
      <c r="AD106" s="198"/>
      <c r="AE106" s="198"/>
      <c r="AF106" s="198"/>
      <c r="AG106" s="198"/>
      <c r="AH106" s="198"/>
      <c r="AI106" s="198"/>
      <c r="AJ106" s="198"/>
      <c r="AK106" s="198"/>
      <c r="AL106" s="198"/>
      <c r="AM106" s="198"/>
    </row>
    <row r="107" ht="12.0" customHeight="1">
      <c r="A107" s="198"/>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c r="AA107" s="198"/>
      <c r="AB107" s="198"/>
      <c r="AC107" s="198"/>
      <c r="AD107" s="198"/>
      <c r="AE107" s="198"/>
      <c r="AF107" s="198"/>
      <c r="AG107" s="198"/>
      <c r="AH107" s="198"/>
      <c r="AI107" s="198"/>
      <c r="AJ107" s="198"/>
      <c r="AK107" s="198"/>
      <c r="AL107" s="198"/>
      <c r="AM107" s="198"/>
    </row>
    <row r="108" ht="12.0" customHeight="1">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198"/>
    </row>
    <row r="109" ht="12.0" customHeight="1">
      <c r="A109" s="198"/>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c r="AA109" s="198"/>
      <c r="AB109" s="198"/>
      <c r="AC109" s="198"/>
      <c r="AD109" s="198"/>
      <c r="AE109" s="198"/>
      <c r="AF109" s="198"/>
      <c r="AG109" s="198"/>
      <c r="AH109" s="198"/>
      <c r="AI109" s="198"/>
      <c r="AJ109" s="198"/>
      <c r="AK109" s="198"/>
      <c r="AL109" s="198"/>
      <c r="AM109" s="198"/>
    </row>
    <row r="110" ht="12.0" customHeight="1">
      <c r="A110" s="198"/>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c r="AA110" s="198"/>
      <c r="AB110" s="198"/>
      <c r="AC110" s="198"/>
      <c r="AD110" s="198"/>
      <c r="AE110" s="198"/>
      <c r="AF110" s="198"/>
      <c r="AG110" s="198"/>
      <c r="AH110" s="198"/>
      <c r="AI110" s="198"/>
      <c r="AJ110" s="198"/>
      <c r="AK110" s="198"/>
      <c r="AL110" s="198"/>
      <c r="AM110" s="198"/>
    </row>
    <row r="111" ht="12.0" customHeight="1">
      <c r="A111" s="198"/>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c r="AA111" s="198"/>
      <c r="AB111" s="198"/>
      <c r="AC111" s="198"/>
      <c r="AD111" s="198"/>
      <c r="AE111" s="198"/>
      <c r="AF111" s="198"/>
      <c r="AG111" s="198"/>
      <c r="AH111" s="198"/>
      <c r="AI111" s="198"/>
      <c r="AJ111" s="198"/>
      <c r="AK111" s="198"/>
      <c r="AL111" s="198"/>
      <c r="AM111" s="198"/>
    </row>
    <row r="112" ht="12.0" customHeight="1">
      <c r="A112" s="198"/>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198"/>
    </row>
    <row r="113" ht="12.0" customHeight="1">
      <c r="A113" s="198"/>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c r="AA113" s="198"/>
      <c r="AB113" s="198"/>
      <c r="AC113" s="198"/>
      <c r="AD113" s="198"/>
      <c r="AE113" s="198"/>
      <c r="AF113" s="198"/>
      <c r="AG113" s="198"/>
      <c r="AH113" s="198"/>
      <c r="AI113" s="198"/>
      <c r="AJ113" s="198"/>
      <c r="AK113" s="198"/>
      <c r="AL113" s="198"/>
      <c r="AM113" s="198"/>
    </row>
    <row r="114" ht="12.0" customHeight="1">
      <c r="A114" s="198"/>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c r="AA114" s="198"/>
      <c r="AB114" s="198"/>
      <c r="AC114" s="198"/>
      <c r="AD114" s="198"/>
      <c r="AE114" s="198"/>
      <c r="AF114" s="198"/>
      <c r="AG114" s="198"/>
      <c r="AH114" s="198"/>
      <c r="AI114" s="198"/>
      <c r="AJ114" s="198"/>
      <c r="AK114" s="198"/>
      <c r="AL114" s="198"/>
      <c r="AM114" s="198"/>
    </row>
    <row r="115" ht="12.0" customHeight="1">
      <c r="A115" s="198"/>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c r="AA115" s="198"/>
      <c r="AB115" s="198"/>
      <c r="AC115" s="198"/>
      <c r="AD115" s="198"/>
      <c r="AE115" s="198"/>
      <c r="AF115" s="198"/>
      <c r="AG115" s="198"/>
      <c r="AH115" s="198"/>
      <c r="AI115" s="198"/>
      <c r="AJ115" s="198"/>
      <c r="AK115" s="198"/>
      <c r="AL115" s="198"/>
      <c r="AM115" s="198"/>
    </row>
    <row r="116" ht="12.0" customHeight="1">
      <c r="A116" s="198"/>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c r="AA116" s="198"/>
      <c r="AB116" s="198"/>
      <c r="AC116" s="198"/>
      <c r="AD116" s="198"/>
      <c r="AE116" s="198"/>
      <c r="AF116" s="198"/>
      <c r="AG116" s="198"/>
      <c r="AH116" s="198"/>
      <c r="AI116" s="198"/>
      <c r="AJ116" s="198"/>
      <c r="AK116" s="198"/>
      <c r="AL116" s="198"/>
      <c r="AM116" s="198"/>
    </row>
    <row r="117" ht="12.0" customHeight="1">
      <c r="A117" s="198"/>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c r="AA117" s="198"/>
      <c r="AB117" s="198"/>
      <c r="AC117" s="198"/>
      <c r="AD117" s="198"/>
      <c r="AE117" s="198"/>
      <c r="AF117" s="198"/>
      <c r="AG117" s="198"/>
      <c r="AH117" s="198"/>
      <c r="AI117" s="198"/>
      <c r="AJ117" s="198"/>
      <c r="AK117" s="198"/>
      <c r="AL117" s="198"/>
      <c r="AM117" s="198"/>
    </row>
    <row r="118" ht="12.0" customHeight="1">
      <c r="A118" s="198"/>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c r="AA118" s="198"/>
      <c r="AB118" s="198"/>
      <c r="AC118" s="198"/>
      <c r="AD118" s="198"/>
      <c r="AE118" s="198"/>
      <c r="AF118" s="198"/>
      <c r="AG118" s="198"/>
      <c r="AH118" s="198"/>
      <c r="AI118" s="198"/>
      <c r="AJ118" s="198"/>
      <c r="AK118" s="198"/>
      <c r="AL118" s="198"/>
      <c r="AM118" s="198"/>
    </row>
    <row r="119" ht="12.0" customHeight="1">
      <c r="A119" s="198"/>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c r="AA119" s="198"/>
      <c r="AB119" s="198"/>
      <c r="AC119" s="198"/>
      <c r="AD119" s="198"/>
      <c r="AE119" s="198"/>
      <c r="AF119" s="198"/>
      <c r="AG119" s="198"/>
      <c r="AH119" s="198"/>
      <c r="AI119" s="198"/>
      <c r="AJ119" s="198"/>
      <c r="AK119" s="198"/>
      <c r="AL119" s="198"/>
      <c r="AM119" s="198"/>
    </row>
    <row r="120" ht="12.0" customHeight="1">
      <c r="A120" s="198"/>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c r="AJ120" s="198"/>
      <c r="AK120" s="198"/>
      <c r="AL120" s="198"/>
      <c r="AM120" s="198"/>
    </row>
    <row r="121" ht="12.0" customHeight="1">
      <c r="A121" s="198"/>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c r="AA121" s="198"/>
      <c r="AB121" s="198"/>
      <c r="AC121" s="198"/>
      <c r="AD121" s="198"/>
      <c r="AE121" s="198"/>
      <c r="AF121" s="198"/>
      <c r="AG121" s="198"/>
      <c r="AH121" s="198"/>
      <c r="AI121" s="198"/>
      <c r="AJ121" s="198"/>
      <c r="AK121" s="198"/>
      <c r="AL121" s="198"/>
      <c r="AM121" s="198"/>
    </row>
    <row r="122" ht="12.0" customHeight="1">
      <c r="A122" s="198"/>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98"/>
      <c r="AI122" s="198"/>
      <c r="AJ122" s="198"/>
      <c r="AK122" s="198"/>
      <c r="AL122" s="198"/>
      <c r="AM122" s="198"/>
    </row>
    <row r="123" ht="12.0" customHeight="1">
      <c r="A123" s="198"/>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198"/>
      <c r="AI123" s="198"/>
      <c r="AJ123" s="198"/>
      <c r="AK123" s="198"/>
      <c r="AL123" s="198"/>
      <c r="AM123" s="198"/>
    </row>
    <row r="124" ht="12.0" customHeight="1">
      <c r="A124" s="198"/>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198"/>
      <c r="AI124" s="198"/>
      <c r="AJ124" s="198"/>
      <c r="AK124" s="198"/>
      <c r="AL124" s="198"/>
      <c r="AM124" s="198"/>
    </row>
    <row r="125" ht="12.0" customHeight="1">
      <c r="A125" s="198"/>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198"/>
      <c r="AI125" s="198"/>
      <c r="AJ125" s="198"/>
      <c r="AK125" s="198"/>
      <c r="AL125" s="198"/>
      <c r="AM125" s="198"/>
    </row>
    <row r="126" ht="12.0" customHeight="1">
      <c r="A126" s="198"/>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198"/>
      <c r="AI126" s="198"/>
      <c r="AJ126" s="198"/>
      <c r="AK126" s="198"/>
      <c r="AL126" s="198"/>
      <c r="AM126" s="198"/>
    </row>
    <row r="127" ht="12.0" customHeight="1">
      <c r="A127" s="198"/>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c r="AJ127" s="198"/>
      <c r="AK127" s="198"/>
      <c r="AL127" s="198"/>
      <c r="AM127" s="198"/>
    </row>
    <row r="128" ht="12.0" customHeight="1">
      <c r="A128" s="198"/>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198"/>
      <c r="AI128" s="198"/>
      <c r="AJ128" s="198"/>
      <c r="AK128" s="198"/>
      <c r="AL128" s="198"/>
      <c r="AM128" s="198"/>
    </row>
    <row r="129" ht="12.0" customHeight="1">
      <c r="A129" s="198"/>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198"/>
      <c r="AI129" s="198"/>
      <c r="AJ129" s="198"/>
      <c r="AK129" s="198"/>
      <c r="AL129" s="198"/>
      <c r="AM129" s="198"/>
    </row>
    <row r="130" ht="12.0" customHeight="1">
      <c r="A130" s="198"/>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198"/>
      <c r="AI130" s="198"/>
      <c r="AJ130" s="198"/>
      <c r="AK130" s="198"/>
      <c r="AL130" s="198"/>
      <c r="AM130" s="198"/>
    </row>
    <row r="131" ht="12.0" customHeight="1">
      <c r="A131" s="198"/>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198"/>
      <c r="AI131" s="198"/>
      <c r="AJ131" s="198"/>
      <c r="AK131" s="198"/>
      <c r="AL131" s="198"/>
      <c r="AM131" s="198"/>
    </row>
    <row r="132" ht="12.0" customHeight="1">
      <c r="A132" s="198"/>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198"/>
      <c r="AI132" s="198"/>
      <c r="AJ132" s="198"/>
      <c r="AK132" s="198"/>
      <c r="AL132" s="198"/>
      <c r="AM132" s="198"/>
    </row>
    <row r="133" ht="12.0" customHeight="1">
      <c r="A133" s="198"/>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198"/>
      <c r="AI133" s="198"/>
      <c r="AJ133" s="198"/>
      <c r="AK133" s="198"/>
      <c r="AL133" s="198"/>
      <c r="AM133" s="198"/>
    </row>
    <row r="134" ht="12.0" customHeight="1">
      <c r="A134" s="198"/>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198"/>
      <c r="AI134" s="198"/>
      <c r="AJ134" s="198"/>
      <c r="AK134" s="198"/>
      <c r="AL134" s="198"/>
      <c r="AM134" s="198"/>
    </row>
    <row r="135" ht="12.0" customHeight="1">
      <c r="A135" s="198"/>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198"/>
      <c r="AI135" s="198"/>
      <c r="AJ135" s="198"/>
      <c r="AK135" s="198"/>
      <c r="AL135" s="198"/>
      <c r="AM135" s="198"/>
    </row>
    <row r="136" ht="12.0" customHeight="1">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row>
    <row r="137" ht="12.0" customHeight="1">
      <c r="A137" s="198"/>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198"/>
      <c r="AI137" s="198"/>
      <c r="AJ137" s="198"/>
      <c r="AK137" s="198"/>
      <c r="AL137" s="198"/>
      <c r="AM137" s="198"/>
    </row>
    <row r="138" ht="12.0" customHeight="1">
      <c r="A138" s="198"/>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198"/>
      <c r="AI138" s="198"/>
      <c r="AJ138" s="198"/>
      <c r="AK138" s="198"/>
      <c r="AL138" s="198"/>
      <c r="AM138" s="198"/>
    </row>
    <row r="139" ht="12.0" customHeight="1">
      <c r="A139" s="198"/>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198"/>
      <c r="AI139" s="198"/>
      <c r="AJ139" s="198"/>
      <c r="AK139" s="198"/>
      <c r="AL139" s="198"/>
      <c r="AM139" s="198"/>
    </row>
    <row r="140" ht="12.0" customHeight="1">
      <c r="A140" s="198"/>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198"/>
      <c r="AI140" s="198"/>
      <c r="AJ140" s="198"/>
      <c r="AK140" s="198"/>
      <c r="AL140" s="198"/>
      <c r="AM140" s="198"/>
    </row>
    <row r="141" ht="12.0" customHeight="1">
      <c r="A141" s="198"/>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198"/>
      <c r="AI141" s="198"/>
      <c r="AJ141" s="198"/>
      <c r="AK141" s="198"/>
      <c r="AL141" s="198"/>
      <c r="AM141" s="198"/>
    </row>
    <row r="142" ht="12.0" customHeight="1">
      <c r="A142" s="198"/>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98"/>
      <c r="AI142" s="198"/>
      <c r="AJ142" s="198"/>
      <c r="AK142" s="198"/>
      <c r="AL142" s="198"/>
      <c r="AM142" s="198"/>
    </row>
    <row r="143" ht="12.0" customHeight="1">
      <c r="A143" s="198"/>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c r="AJ143" s="198"/>
      <c r="AK143" s="198"/>
      <c r="AL143" s="198"/>
      <c r="AM143" s="198"/>
    </row>
    <row r="144" ht="12.0" customHeight="1">
      <c r="A144" s="198"/>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198"/>
      <c r="AI144" s="198"/>
      <c r="AJ144" s="198"/>
      <c r="AK144" s="198"/>
      <c r="AL144" s="198"/>
      <c r="AM144" s="198"/>
    </row>
    <row r="145" ht="12.0" customHeight="1">
      <c r="A145" s="198"/>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198"/>
      <c r="AI145" s="198"/>
      <c r="AJ145" s="198"/>
      <c r="AK145" s="198"/>
      <c r="AL145" s="198"/>
      <c r="AM145" s="198"/>
    </row>
    <row r="146" ht="12.0" customHeight="1">
      <c r="A146" s="198"/>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198"/>
      <c r="AI146" s="198"/>
      <c r="AJ146" s="198"/>
      <c r="AK146" s="198"/>
      <c r="AL146" s="198"/>
      <c r="AM146" s="198"/>
    </row>
    <row r="147" ht="12.0" customHeight="1">
      <c r="A147" s="198"/>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row>
    <row r="148" ht="12.0" customHeight="1">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c r="AJ148" s="198"/>
      <c r="AK148" s="198"/>
      <c r="AL148" s="198"/>
      <c r="AM148" s="198"/>
    </row>
    <row r="149" ht="12.0" customHeight="1">
      <c r="A149" s="198"/>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198"/>
      <c r="AI149" s="198"/>
      <c r="AJ149" s="198"/>
      <c r="AK149" s="198"/>
      <c r="AL149" s="198"/>
      <c r="AM149" s="198"/>
    </row>
    <row r="150" ht="12.0" customHeight="1">
      <c r="A150" s="198"/>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198"/>
      <c r="AI150" s="198"/>
      <c r="AJ150" s="198"/>
      <c r="AK150" s="198"/>
      <c r="AL150" s="198"/>
      <c r="AM150" s="198"/>
    </row>
    <row r="151" ht="12.0" customHeight="1">
      <c r="A151" s="198"/>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198"/>
      <c r="AI151" s="198"/>
      <c r="AJ151" s="198"/>
      <c r="AK151" s="198"/>
      <c r="AL151" s="198"/>
      <c r="AM151" s="198"/>
    </row>
    <row r="152" ht="12.0" customHeight="1">
      <c r="A152" s="198"/>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198"/>
    </row>
    <row r="153" ht="12.0" customHeight="1">
      <c r="A153" s="198"/>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row>
    <row r="154" ht="12.0" customHeight="1">
      <c r="A154" s="198"/>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c r="AJ154" s="198"/>
      <c r="AK154" s="198"/>
      <c r="AL154" s="198"/>
      <c r="AM154" s="198"/>
    </row>
    <row r="155" ht="12.0" customHeight="1">
      <c r="A155" s="198"/>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c r="AJ155" s="198"/>
      <c r="AK155" s="198"/>
      <c r="AL155" s="198"/>
      <c r="AM155" s="198"/>
    </row>
    <row r="156" ht="12.0" customHeight="1">
      <c r="A156" s="198"/>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row>
    <row r="157" ht="12.0" customHeight="1">
      <c r="A157" s="198"/>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c r="AJ157" s="198"/>
      <c r="AK157" s="198"/>
      <c r="AL157" s="198"/>
      <c r="AM157" s="198"/>
    </row>
    <row r="158" ht="12.0" customHeight="1">
      <c r="A158" s="198"/>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198"/>
      <c r="AI158" s="198"/>
      <c r="AJ158" s="198"/>
      <c r="AK158" s="198"/>
      <c r="AL158" s="198"/>
      <c r="AM158" s="198"/>
    </row>
    <row r="159" ht="12.0" customHeight="1">
      <c r="A159" s="198"/>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198"/>
      <c r="AI159" s="198"/>
      <c r="AJ159" s="198"/>
      <c r="AK159" s="198"/>
      <c r="AL159" s="198"/>
      <c r="AM159" s="198"/>
    </row>
    <row r="160" ht="12.0" customHeight="1">
      <c r="A160" s="198"/>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198"/>
      <c r="AI160" s="198"/>
      <c r="AJ160" s="198"/>
      <c r="AK160" s="198"/>
      <c r="AL160" s="198"/>
      <c r="AM160" s="198"/>
    </row>
    <row r="161" ht="12.0" customHeight="1">
      <c r="A161" s="198"/>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198"/>
      <c r="AI161" s="198"/>
      <c r="AJ161" s="198"/>
      <c r="AK161" s="198"/>
      <c r="AL161" s="198"/>
      <c r="AM161" s="198"/>
    </row>
    <row r="162" ht="12.0" customHeight="1">
      <c r="A162" s="198"/>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198"/>
      <c r="AI162" s="198"/>
      <c r="AJ162" s="198"/>
      <c r="AK162" s="198"/>
      <c r="AL162" s="198"/>
      <c r="AM162" s="198"/>
    </row>
    <row r="163" ht="12.0" customHeight="1">
      <c r="A163" s="198"/>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row>
    <row r="164" ht="12.0" customHeight="1">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row>
    <row r="165" ht="12.0" customHeight="1">
      <c r="A165" s="198"/>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row>
    <row r="166" ht="12.0" customHeight="1">
      <c r="A166" s="198"/>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row>
    <row r="167" ht="12.0" customHeight="1">
      <c r="A167" s="198"/>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row>
    <row r="168" ht="12.0" customHeight="1">
      <c r="A168" s="198"/>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198"/>
      <c r="AI168" s="198"/>
      <c r="AJ168" s="198"/>
      <c r="AK168" s="198"/>
      <c r="AL168" s="198"/>
      <c r="AM168" s="198"/>
    </row>
    <row r="169" ht="12.0" customHeight="1">
      <c r="A169" s="198"/>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198"/>
      <c r="AI169" s="198"/>
      <c r="AJ169" s="198"/>
      <c r="AK169" s="198"/>
      <c r="AL169" s="198"/>
      <c r="AM169" s="198"/>
    </row>
    <row r="170" ht="12.0" customHeight="1">
      <c r="A170" s="198"/>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row>
    <row r="171" ht="12.0" customHeight="1">
      <c r="A171" s="198"/>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row>
    <row r="172" ht="12.0" customHeight="1">
      <c r="A172" s="198"/>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c r="AJ172" s="198"/>
      <c r="AK172" s="198"/>
      <c r="AL172" s="198"/>
      <c r="AM172" s="198"/>
    </row>
    <row r="173" ht="12.0" customHeight="1">
      <c r="A173" s="198"/>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c r="AJ173" s="198"/>
      <c r="AK173" s="198"/>
      <c r="AL173" s="198"/>
      <c r="AM173" s="198"/>
    </row>
    <row r="174" ht="12.0" customHeight="1">
      <c r="A174" s="198"/>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198"/>
      <c r="AI174" s="198"/>
      <c r="AJ174" s="198"/>
      <c r="AK174" s="198"/>
      <c r="AL174" s="198"/>
      <c r="AM174" s="198"/>
    </row>
    <row r="175" ht="12.0" customHeight="1">
      <c r="A175" s="198"/>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198"/>
      <c r="AI175" s="198"/>
      <c r="AJ175" s="198"/>
      <c r="AK175" s="198"/>
      <c r="AL175" s="198"/>
      <c r="AM175" s="198"/>
    </row>
    <row r="176" ht="12.0" customHeight="1">
      <c r="A176" s="198"/>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row>
    <row r="177" ht="12.0" customHeight="1">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198"/>
      <c r="AI177" s="198"/>
      <c r="AJ177" s="198"/>
      <c r="AK177" s="198"/>
      <c r="AL177" s="198"/>
      <c r="AM177" s="198"/>
    </row>
    <row r="178" ht="12.0" customHeight="1">
      <c r="A178" s="198"/>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c r="AJ178" s="198"/>
      <c r="AK178" s="198"/>
      <c r="AL178" s="198"/>
      <c r="AM178" s="198"/>
    </row>
    <row r="179" ht="12.0" customHeight="1">
      <c r="A179" s="198"/>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c r="AI179" s="198"/>
      <c r="AJ179" s="198"/>
      <c r="AK179" s="198"/>
      <c r="AL179" s="198"/>
      <c r="AM179" s="198"/>
    </row>
    <row r="180" ht="12.0" customHeight="1">
      <c r="A180" s="198"/>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198"/>
      <c r="AI180" s="198"/>
      <c r="AJ180" s="198"/>
      <c r="AK180" s="198"/>
      <c r="AL180" s="198"/>
      <c r="AM180" s="198"/>
    </row>
    <row r="181" ht="12.0" customHeight="1">
      <c r="A181" s="198"/>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198"/>
      <c r="AI181" s="198"/>
      <c r="AJ181" s="198"/>
      <c r="AK181" s="198"/>
      <c r="AL181" s="198"/>
      <c r="AM181" s="198"/>
    </row>
    <row r="182" ht="12.0" customHeight="1">
      <c r="A182" s="198"/>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198"/>
      <c r="AI182" s="198"/>
      <c r="AJ182" s="198"/>
      <c r="AK182" s="198"/>
      <c r="AL182" s="198"/>
      <c r="AM182" s="198"/>
    </row>
    <row r="183" ht="12.0" customHeight="1">
      <c r="A183" s="198"/>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198"/>
      <c r="AI183" s="198"/>
      <c r="AJ183" s="198"/>
      <c r="AK183" s="198"/>
      <c r="AL183" s="198"/>
      <c r="AM183" s="198"/>
    </row>
    <row r="184" ht="12.0" customHeight="1">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198"/>
      <c r="AI184" s="198"/>
      <c r="AJ184" s="198"/>
      <c r="AK184" s="198"/>
      <c r="AL184" s="198"/>
      <c r="AM184" s="198"/>
    </row>
    <row r="185" ht="12.0" customHeight="1">
      <c r="A185" s="198"/>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198"/>
      <c r="AI185" s="198"/>
      <c r="AJ185" s="198"/>
      <c r="AK185" s="198"/>
      <c r="AL185" s="198"/>
      <c r="AM185" s="198"/>
    </row>
    <row r="186" ht="12.0" customHeight="1">
      <c r="A186" s="198"/>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198"/>
      <c r="AI186" s="198"/>
      <c r="AJ186" s="198"/>
      <c r="AK186" s="198"/>
      <c r="AL186" s="198"/>
      <c r="AM186" s="198"/>
    </row>
    <row r="187" ht="12.0" customHeight="1">
      <c r="A187" s="198"/>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198"/>
      <c r="AI187" s="198"/>
      <c r="AJ187" s="198"/>
      <c r="AK187" s="198"/>
      <c r="AL187" s="198"/>
      <c r="AM187" s="198"/>
    </row>
    <row r="188" ht="12.0" customHeight="1">
      <c r="A188" s="198"/>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c r="AI188" s="198"/>
      <c r="AJ188" s="198"/>
      <c r="AK188" s="198"/>
      <c r="AL188" s="198"/>
      <c r="AM188" s="198"/>
    </row>
    <row r="189" ht="12.0" customHeight="1">
      <c r="A189" s="198"/>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198"/>
      <c r="AI189" s="198"/>
      <c r="AJ189" s="198"/>
      <c r="AK189" s="198"/>
      <c r="AL189" s="198"/>
      <c r="AM189" s="198"/>
    </row>
    <row r="190" ht="12.0" customHeight="1">
      <c r="A190" s="198"/>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c r="AJ190" s="198"/>
      <c r="AK190" s="198"/>
      <c r="AL190" s="198"/>
      <c r="AM190" s="198"/>
    </row>
    <row r="191" ht="12.0" customHeight="1">
      <c r="A191" s="198"/>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198"/>
      <c r="AI191" s="198"/>
      <c r="AJ191" s="198"/>
      <c r="AK191" s="198"/>
      <c r="AL191" s="198"/>
      <c r="AM191" s="198"/>
    </row>
    <row r="192" ht="12.0" customHeight="1">
      <c r="A192" s="198"/>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198"/>
      <c r="AI192" s="198"/>
      <c r="AJ192" s="198"/>
      <c r="AK192" s="198"/>
      <c r="AL192" s="198"/>
      <c r="AM192" s="198"/>
    </row>
    <row r="193" ht="12.0" customHeight="1">
      <c r="A193" s="198"/>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c r="AJ193" s="198"/>
      <c r="AK193" s="198"/>
      <c r="AL193" s="198"/>
      <c r="AM193" s="198"/>
    </row>
    <row r="194" ht="12.0" customHeight="1">
      <c r="A194" s="198"/>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198"/>
      <c r="AI194" s="198"/>
      <c r="AJ194" s="198"/>
      <c r="AK194" s="198"/>
      <c r="AL194" s="198"/>
      <c r="AM194" s="198"/>
    </row>
    <row r="195" ht="12.0" customHeight="1">
      <c r="A195" s="198"/>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row>
    <row r="196" ht="12.0" customHeight="1">
      <c r="A196" s="198"/>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198"/>
      <c r="AI196" s="198"/>
      <c r="AJ196" s="198"/>
      <c r="AK196" s="198"/>
      <c r="AL196" s="198"/>
      <c r="AM196" s="198"/>
    </row>
    <row r="197" ht="12.0" customHeight="1">
      <c r="A197" s="198"/>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198"/>
      <c r="AI197" s="198"/>
      <c r="AJ197" s="198"/>
      <c r="AK197" s="198"/>
      <c r="AL197" s="198"/>
      <c r="AM197" s="198"/>
    </row>
    <row r="198" ht="12.0" customHeight="1">
      <c r="A198" s="198"/>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c r="AD198" s="198"/>
      <c r="AE198" s="198"/>
      <c r="AF198" s="198"/>
      <c r="AG198" s="198"/>
      <c r="AH198" s="198"/>
      <c r="AI198" s="198"/>
      <c r="AJ198" s="198"/>
      <c r="AK198" s="198"/>
      <c r="AL198" s="198"/>
      <c r="AM198" s="198"/>
    </row>
    <row r="199" ht="12.0" customHeight="1">
      <c r="A199" s="198"/>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row>
    <row r="200" ht="12.0" customHeight="1">
      <c r="A200" s="198"/>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row>
    <row r="201" ht="12.0" customHeight="1">
      <c r="A201" s="198"/>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row>
    <row r="202" ht="12.0" customHeight="1">
      <c r="A202" s="198"/>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198"/>
      <c r="AI202" s="198"/>
      <c r="AJ202" s="198"/>
      <c r="AK202" s="198"/>
      <c r="AL202" s="198"/>
      <c r="AM202" s="198"/>
    </row>
    <row r="203" ht="12.0" customHeight="1">
      <c r="A203" s="198"/>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198"/>
      <c r="AI203" s="198"/>
      <c r="AJ203" s="198"/>
      <c r="AK203" s="198"/>
      <c r="AL203" s="198"/>
      <c r="AM203" s="198"/>
    </row>
    <row r="204" ht="12.0" customHeight="1">
      <c r="A204" s="198"/>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row>
    <row r="205" ht="12.0" customHeight="1">
      <c r="A205" s="198"/>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row>
    <row r="206" ht="12.0" customHeight="1">
      <c r="A206" s="198"/>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row>
    <row r="207" ht="12.0" customHeight="1">
      <c r="A207" s="198"/>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row>
    <row r="208" ht="12.0" customHeight="1">
      <c r="A208" s="198"/>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row>
    <row r="209" ht="12.0" customHeight="1">
      <c r="A209" s="198"/>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198"/>
      <c r="AI209" s="198"/>
      <c r="AJ209" s="198"/>
      <c r="AK209" s="198"/>
      <c r="AL209" s="198"/>
      <c r="AM209" s="198"/>
    </row>
    <row r="210" ht="12.0" customHeight="1">
      <c r="A210" s="198"/>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c r="AJ210" s="198"/>
      <c r="AK210" s="198"/>
      <c r="AL210" s="198"/>
      <c r="AM210" s="198"/>
    </row>
    <row r="211" ht="12.0" customHeight="1">
      <c r="A211" s="198"/>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c r="AJ211" s="198"/>
      <c r="AK211" s="198"/>
      <c r="AL211" s="198"/>
      <c r="AM211" s="198"/>
    </row>
    <row r="212" ht="12.0" customHeight="1">
      <c r="A212" s="198"/>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198"/>
      <c r="AI212" s="198"/>
      <c r="AJ212" s="198"/>
      <c r="AK212" s="198"/>
      <c r="AL212" s="198"/>
      <c r="AM212" s="198"/>
    </row>
    <row r="213" ht="12.0" customHeight="1">
      <c r="A213" s="198"/>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198"/>
      <c r="AI213" s="198"/>
      <c r="AJ213" s="198"/>
      <c r="AK213" s="198"/>
      <c r="AL213" s="198"/>
      <c r="AM213" s="198"/>
    </row>
    <row r="214" ht="12.0" customHeight="1">
      <c r="A214" s="198"/>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c r="AJ214" s="198"/>
      <c r="AK214" s="198"/>
      <c r="AL214" s="198"/>
      <c r="AM214" s="198"/>
    </row>
    <row r="215" ht="12.0" customHeight="1">
      <c r="A215" s="198"/>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198"/>
      <c r="AI215" s="198"/>
      <c r="AJ215" s="198"/>
      <c r="AK215" s="198"/>
      <c r="AL215" s="198"/>
      <c r="AM215" s="198"/>
    </row>
    <row r="216" ht="12.0" customHeight="1">
      <c r="A216" s="198"/>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198"/>
      <c r="AI216" s="198"/>
      <c r="AJ216" s="198"/>
      <c r="AK216" s="198"/>
      <c r="AL216" s="198"/>
      <c r="AM216" s="198"/>
    </row>
    <row r="217" ht="12.0" customHeight="1">
      <c r="A217" s="198"/>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198"/>
      <c r="AI217" s="198"/>
      <c r="AJ217" s="198"/>
      <c r="AK217" s="198"/>
      <c r="AL217" s="198"/>
      <c r="AM217" s="198"/>
    </row>
    <row r="218" ht="12.0" customHeight="1">
      <c r="A218" s="198"/>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198"/>
      <c r="AI218" s="198"/>
      <c r="AJ218" s="198"/>
      <c r="AK218" s="198"/>
      <c r="AL218" s="198"/>
      <c r="AM218" s="198"/>
    </row>
    <row r="219" ht="12.0" customHeight="1">
      <c r="A219" s="198"/>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198"/>
      <c r="AI219" s="198"/>
      <c r="AJ219" s="198"/>
      <c r="AK219" s="198"/>
      <c r="AL219" s="198"/>
      <c r="AM219" s="198"/>
    </row>
    <row r="220" ht="12.0" customHeight="1">
      <c r="A220" s="198"/>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c r="AD220" s="198"/>
      <c r="AE220" s="198"/>
      <c r="AF220" s="198"/>
      <c r="AG220" s="198"/>
      <c r="AH220" s="198"/>
      <c r="AI220" s="198"/>
      <c r="AJ220" s="198"/>
      <c r="AK220" s="198"/>
      <c r="AL220" s="198"/>
      <c r="AM220" s="198"/>
    </row>
    <row r="221" ht="12.0" customHeight="1">
      <c r="A221" s="198"/>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c r="AD221" s="198"/>
      <c r="AE221" s="198"/>
      <c r="AF221" s="198"/>
      <c r="AG221" s="198"/>
      <c r="AH221" s="198"/>
      <c r="AI221" s="198"/>
      <c r="AJ221" s="198"/>
      <c r="AK221" s="198"/>
      <c r="AL221" s="198"/>
      <c r="AM221" s="198"/>
    </row>
    <row r="222" ht="12.0" customHeight="1">
      <c r="A222" s="198"/>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c r="AD222" s="198"/>
      <c r="AE222" s="198"/>
      <c r="AF222" s="198"/>
      <c r="AG222" s="198"/>
      <c r="AH222" s="198"/>
      <c r="AI222" s="198"/>
      <c r="AJ222" s="198"/>
      <c r="AK222" s="198"/>
      <c r="AL222" s="198"/>
      <c r="AM222" s="198"/>
    </row>
    <row r="223" ht="12.0" customHeight="1">
      <c r="A223" s="198"/>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c r="AD223" s="198"/>
      <c r="AE223" s="198"/>
      <c r="AF223" s="198"/>
      <c r="AG223" s="198"/>
      <c r="AH223" s="198"/>
      <c r="AI223" s="198"/>
      <c r="AJ223" s="198"/>
      <c r="AK223" s="198"/>
      <c r="AL223" s="198"/>
      <c r="AM223" s="198"/>
    </row>
    <row r="224" ht="12.0" customHeight="1">
      <c r="A224" s="198"/>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c r="AD224" s="198"/>
      <c r="AE224" s="198"/>
      <c r="AF224" s="198"/>
      <c r="AG224" s="198"/>
      <c r="AH224" s="198"/>
      <c r="AI224" s="198"/>
      <c r="AJ224" s="198"/>
      <c r="AK224" s="198"/>
      <c r="AL224" s="198"/>
      <c r="AM224" s="198"/>
    </row>
    <row r="225" ht="12.0" customHeight="1">
      <c r="A225" s="198"/>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c r="AD225" s="198"/>
      <c r="AE225" s="198"/>
      <c r="AF225" s="198"/>
      <c r="AG225" s="198"/>
      <c r="AH225" s="198"/>
      <c r="AI225" s="198"/>
      <c r="AJ225" s="198"/>
      <c r="AK225" s="198"/>
      <c r="AL225" s="198"/>
      <c r="AM225" s="198"/>
    </row>
    <row r="226" ht="12.0" customHeight="1">
      <c r="A226" s="198"/>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c r="AA226" s="198"/>
      <c r="AB226" s="198"/>
      <c r="AC226" s="198"/>
      <c r="AD226" s="198"/>
      <c r="AE226" s="198"/>
      <c r="AF226" s="198"/>
      <c r="AG226" s="198"/>
      <c r="AH226" s="198"/>
      <c r="AI226" s="198"/>
      <c r="AJ226" s="198"/>
      <c r="AK226" s="198"/>
      <c r="AL226" s="198"/>
      <c r="AM226" s="198"/>
    </row>
    <row r="227" ht="12.0" customHeight="1">
      <c r="A227" s="198"/>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c r="AA227" s="198"/>
      <c r="AB227" s="198"/>
      <c r="AC227" s="198"/>
      <c r="AD227" s="198"/>
      <c r="AE227" s="198"/>
      <c r="AF227" s="198"/>
      <c r="AG227" s="198"/>
      <c r="AH227" s="198"/>
      <c r="AI227" s="198"/>
      <c r="AJ227" s="198"/>
      <c r="AK227" s="198"/>
      <c r="AL227" s="198"/>
      <c r="AM227" s="198"/>
    </row>
    <row r="228" ht="12.0" customHeight="1">
      <c r="A228" s="198"/>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c r="AA228" s="198"/>
      <c r="AB228" s="198"/>
      <c r="AC228" s="198"/>
      <c r="AD228" s="198"/>
      <c r="AE228" s="198"/>
      <c r="AF228" s="198"/>
      <c r="AG228" s="198"/>
      <c r="AH228" s="198"/>
      <c r="AI228" s="198"/>
      <c r="AJ228" s="198"/>
      <c r="AK228" s="198"/>
      <c r="AL228" s="198"/>
      <c r="AM228" s="198"/>
    </row>
    <row r="229" ht="12.0" customHeight="1">
      <c r="A229" s="198"/>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c r="AA229" s="198"/>
      <c r="AB229" s="198"/>
      <c r="AC229" s="198"/>
      <c r="AD229" s="198"/>
      <c r="AE229" s="198"/>
      <c r="AF229" s="198"/>
      <c r="AG229" s="198"/>
      <c r="AH229" s="198"/>
      <c r="AI229" s="198"/>
      <c r="AJ229" s="198"/>
      <c r="AK229" s="198"/>
      <c r="AL229" s="198"/>
      <c r="AM229" s="198"/>
    </row>
    <row r="230" ht="12.0" customHeight="1">
      <c r="A230" s="198"/>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c r="AA230" s="198"/>
      <c r="AB230" s="198"/>
      <c r="AC230" s="198"/>
      <c r="AD230" s="198"/>
      <c r="AE230" s="198"/>
      <c r="AF230" s="198"/>
      <c r="AG230" s="198"/>
      <c r="AH230" s="198"/>
      <c r="AI230" s="198"/>
      <c r="AJ230" s="198"/>
      <c r="AK230" s="198"/>
      <c r="AL230" s="198"/>
      <c r="AM230" s="198"/>
    </row>
    <row r="231" ht="12.0" customHeight="1">
      <c r="A231" s="198"/>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c r="AA231" s="198"/>
      <c r="AB231" s="198"/>
      <c r="AC231" s="198"/>
      <c r="AD231" s="198"/>
      <c r="AE231" s="198"/>
      <c r="AF231" s="198"/>
      <c r="AG231" s="198"/>
      <c r="AH231" s="198"/>
      <c r="AI231" s="198"/>
      <c r="AJ231" s="198"/>
      <c r="AK231" s="198"/>
      <c r="AL231" s="198"/>
      <c r="AM231" s="198"/>
    </row>
    <row r="232" ht="12.0" customHeight="1">
      <c r="A232" s="198"/>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c r="AA232" s="198"/>
      <c r="AB232" s="198"/>
      <c r="AC232" s="198"/>
      <c r="AD232" s="198"/>
      <c r="AE232" s="198"/>
      <c r="AF232" s="198"/>
      <c r="AG232" s="198"/>
      <c r="AH232" s="198"/>
      <c r="AI232" s="198"/>
      <c r="AJ232" s="198"/>
      <c r="AK232" s="198"/>
      <c r="AL232" s="198"/>
      <c r="AM232" s="198"/>
    </row>
    <row r="233" ht="12.0" customHeight="1">
      <c r="A233" s="198"/>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c r="AA233" s="198"/>
      <c r="AB233" s="198"/>
      <c r="AC233" s="198"/>
      <c r="AD233" s="198"/>
      <c r="AE233" s="198"/>
      <c r="AF233" s="198"/>
      <c r="AG233" s="198"/>
      <c r="AH233" s="198"/>
      <c r="AI233" s="198"/>
      <c r="AJ233" s="198"/>
      <c r="AK233" s="198"/>
      <c r="AL233" s="198"/>
      <c r="AM233" s="198"/>
    </row>
    <row r="234" ht="12.0" customHeight="1">
      <c r="A234" s="198"/>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c r="AA234" s="198"/>
      <c r="AB234" s="198"/>
      <c r="AC234" s="198"/>
      <c r="AD234" s="198"/>
      <c r="AE234" s="198"/>
      <c r="AF234" s="198"/>
      <c r="AG234" s="198"/>
      <c r="AH234" s="198"/>
      <c r="AI234" s="198"/>
      <c r="AJ234" s="198"/>
      <c r="AK234" s="198"/>
      <c r="AL234" s="198"/>
      <c r="AM234" s="198"/>
    </row>
    <row r="235" ht="12.0" customHeight="1">
      <c r="A235" s="198"/>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c r="AA235" s="198"/>
      <c r="AB235" s="198"/>
      <c r="AC235" s="198"/>
      <c r="AD235" s="198"/>
      <c r="AE235" s="198"/>
      <c r="AF235" s="198"/>
      <c r="AG235" s="198"/>
      <c r="AH235" s="198"/>
      <c r="AI235" s="198"/>
      <c r="AJ235" s="198"/>
      <c r="AK235" s="198"/>
      <c r="AL235" s="198"/>
      <c r="AM235" s="198"/>
    </row>
    <row r="236" ht="12.0" customHeight="1">
      <c r="A236" s="198"/>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c r="AH236" s="198"/>
      <c r="AI236" s="198"/>
      <c r="AJ236" s="198"/>
      <c r="AK236" s="198"/>
      <c r="AL236" s="198"/>
      <c r="AM236" s="198"/>
    </row>
    <row r="237" ht="12.0" customHeight="1">
      <c r="A237" s="198"/>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c r="AA237" s="198"/>
      <c r="AB237" s="198"/>
      <c r="AC237" s="198"/>
      <c r="AD237" s="198"/>
      <c r="AE237" s="198"/>
      <c r="AF237" s="198"/>
      <c r="AG237" s="198"/>
      <c r="AH237" s="198"/>
      <c r="AI237" s="198"/>
      <c r="AJ237" s="198"/>
      <c r="AK237" s="198"/>
      <c r="AL237" s="198"/>
      <c r="AM237" s="198"/>
    </row>
    <row r="238" ht="12.0" customHeight="1">
      <c r="A238" s="198"/>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c r="AA238" s="198"/>
      <c r="AB238" s="198"/>
      <c r="AC238" s="198"/>
      <c r="AD238" s="198"/>
      <c r="AE238" s="198"/>
      <c r="AF238" s="198"/>
      <c r="AG238" s="198"/>
      <c r="AH238" s="198"/>
      <c r="AI238" s="198"/>
      <c r="AJ238" s="198"/>
      <c r="AK238" s="198"/>
      <c r="AL238" s="198"/>
      <c r="AM238" s="198"/>
    </row>
    <row r="239" ht="12.0" customHeight="1">
      <c r="A239" s="198"/>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c r="AA239" s="198"/>
      <c r="AB239" s="198"/>
      <c r="AC239" s="198"/>
      <c r="AD239" s="198"/>
      <c r="AE239" s="198"/>
      <c r="AF239" s="198"/>
      <c r="AG239" s="198"/>
      <c r="AH239" s="198"/>
      <c r="AI239" s="198"/>
      <c r="AJ239" s="198"/>
      <c r="AK239" s="198"/>
      <c r="AL239" s="198"/>
      <c r="AM239" s="198"/>
    </row>
    <row r="240" ht="12.0" customHeight="1">
      <c r="A240" s="198"/>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c r="AA240" s="198"/>
      <c r="AB240" s="198"/>
      <c r="AC240" s="198"/>
      <c r="AD240" s="198"/>
      <c r="AE240" s="198"/>
      <c r="AF240" s="198"/>
      <c r="AG240" s="198"/>
      <c r="AH240" s="198"/>
      <c r="AI240" s="198"/>
      <c r="AJ240" s="198"/>
      <c r="AK240" s="198"/>
      <c r="AL240" s="198"/>
      <c r="AM240" s="198"/>
    </row>
    <row r="241" ht="12.0" customHeight="1">
      <c r="A241" s="198"/>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c r="AH241" s="198"/>
      <c r="AI241" s="198"/>
      <c r="AJ241" s="198"/>
      <c r="AK241" s="198"/>
      <c r="AL241" s="198"/>
      <c r="AM241" s="198"/>
    </row>
    <row r="242" ht="12.0" customHeight="1">
      <c r="A242" s="198"/>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c r="AA242" s="198"/>
      <c r="AB242" s="198"/>
      <c r="AC242" s="198"/>
      <c r="AD242" s="198"/>
      <c r="AE242" s="198"/>
      <c r="AF242" s="198"/>
      <c r="AG242" s="198"/>
      <c r="AH242" s="198"/>
      <c r="AI242" s="198"/>
      <c r="AJ242" s="198"/>
      <c r="AK242" s="198"/>
      <c r="AL242" s="198"/>
      <c r="AM242" s="198"/>
    </row>
    <row r="243" ht="12.0" customHeight="1">
      <c r="A243" s="198"/>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row>
    <row r="244" ht="12.0" customHeight="1">
      <c r="A244" s="198"/>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c r="AA244" s="198"/>
      <c r="AB244" s="198"/>
      <c r="AC244" s="198"/>
      <c r="AD244" s="198"/>
      <c r="AE244" s="198"/>
      <c r="AF244" s="198"/>
      <c r="AG244" s="198"/>
      <c r="AH244" s="198"/>
      <c r="AI244" s="198"/>
      <c r="AJ244" s="198"/>
      <c r="AK244" s="198"/>
      <c r="AL244" s="198"/>
      <c r="AM244" s="198"/>
    </row>
    <row r="245" ht="12.0" customHeight="1">
      <c r="A245" s="198"/>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c r="AA245" s="198"/>
      <c r="AB245" s="198"/>
      <c r="AC245" s="198"/>
      <c r="AD245" s="198"/>
      <c r="AE245" s="198"/>
      <c r="AF245" s="198"/>
      <c r="AG245" s="198"/>
      <c r="AH245" s="198"/>
      <c r="AI245" s="198"/>
      <c r="AJ245" s="198"/>
      <c r="AK245" s="198"/>
      <c r="AL245" s="198"/>
      <c r="AM245" s="198"/>
    </row>
    <row r="246" ht="12.0" customHeight="1">
      <c r="A246" s="198"/>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c r="AA246" s="198"/>
      <c r="AB246" s="198"/>
      <c r="AC246" s="198"/>
      <c r="AD246" s="198"/>
      <c r="AE246" s="198"/>
      <c r="AF246" s="198"/>
      <c r="AG246" s="198"/>
      <c r="AH246" s="198"/>
      <c r="AI246" s="198"/>
      <c r="AJ246" s="198"/>
      <c r="AK246" s="198"/>
      <c r="AL246" s="198"/>
      <c r="AM246" s="198"/>
    </row>
    <row r="247" ht="12.0" customHeight="1">
      <c r="A247" s="198"/>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c r="AA247" s="198"/>
      <c r="AB247" s="198"/>
      <c r="AC247" s="198"/>
      <c r="AD247" s="198"/>
      <c r="AE247" s="198"/>
      <c r="AF247" s="198"/>
      <c r="AG247" s="198"/>
      <c r="AH247" s="198"/>
      <c r="AI247" s="198"/>
      <c r="AJ247" s="198"/>
      <c r="AK247" s="198"/>
      <c r="AL247" s="198"/>
      <c r="AM247" s="198"/>
    </row>
    <row r="248" ht="12.0" customHeight="1">
      <c r="A248" s="198"/>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c r="AD248" s="198"/>
      <c r="AE248" s="198"/>
      <c r="AF248" s="198"/>
      <c r="AG248" s="198"/>
      <c r="AH248" s="198"/>
      <c r="AI248" s="198"/>
      <c r="AJ248" s="198"/>
      <c r="AK248" s="198"/>
      <c r="AL248" s="198"/>
      <c r="AM248" s="198"/>
    </row>
    <row r="249" ht="12.0" customHeight="1">
      <c r="A249" s="198"/>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c r="AA249" s="198"/>
      <c r="AB249" s="198"/>
      <c r="AC249" s="198"/>
      <c r="AD249" s="198"/>
      <c r="AE249" s="198"/>
      <c r="AF249" s="198"/>
      <c r="AG249" s="198"/>
      <c r="AH249" s="198"/>
      <c r="AI249" s="198"/>
      <c r="AJ249" s="198"/>
      <c r="AK249" s="198"/>
      <c r="AL249" s="198"/>
      <c r="AM249" s="198"/>
    </row>
    <row r="250" ht="12.0" customHeight="1">
      <c r="A250" s="198"/>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c r="AA250" s="198"/>
      <c r="AB250" s="198"/>
      <c r="AC250" s="198"/>
      <c r="AD250" s="198"/>
      <c r="AE250" s="198"/>
      <c r="AF250" s="198"/>
      <c r="AG250" s="198"/>
      <c r="AH250" s="198"/>
      <c r="AI250" s="198"/>
      <c r="AJ250" s="198"/>
      <c r="AK250" s="198"/>
      <c r="AL250" s="198"/>
      <c r="AM250" s="198"/>
    </row>
    <row r="251" ht="12.0" customHeight="1">
      <c r="A251" s="198"/>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c r="AA251" s="198"/>
      <c r="AB251" s="198"/>
      <c r="AC251" s="198"/>
      <c r="AD251" s="198"/>
      <c r="AE251" s="198"/>
      <c r="AF251" s="198"/>
      <c r="AG251" s="198"/>
      <c r="AH251" s="198"/>
      <c r="AI251" s="198"/>
      <c r="AJ251" s="198"/>
      <c r="AK251" s="198"/>
      <c r="AL251" s="198"/>
      <c r="AM251" s="198"/>
    </row>
    <row r="252" ht="12.0" customHeight="1">
      <c r="A252" s="198"/>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c r="AA252" s="198"/>
      <c r="AB252" s="198"/>
      <c r="AC252" s="198"/>
      <c r="AD252" s="198"/>
      <c r="AE252" s="198"/>
      <c r="AF252" s="198"/>
      <c r="AG252" s="198"/>
      <c r="AH252" s="198"/>
      <c r="AI252" s="198"/>
      <c r="AJ252" s="198"/>
      <c r="AK252" s="198"/>
      <c r="AL252" s="198"/>
      <c r="AM252" s="198"/>
    </row>
    <row r="253" ht="12.0" customHeight="1">
      <c r="A253" s="198"/>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c r="AA253" s="198"/>
      <c r="AB253" s="198"/>
      <c r="AC253" s="198"/>
      <c r="AD253" s="198"/>
      <c r="AE253" s="198"/>
      <c r="AF253" s="198"/>
      <c r="AG253" s="198"/>
      <c r="AH253" s="198"/>
      <c r="AI253" s="198"/>
      <c r="AJ253" s="198"/>
      <c r="AK253" s="198"/>
      <c r="AL253" s="198"/>
      <c r="AM253" s="198"/>
    </row>
    <row r="254" ht="12.0" customHeight="1">
      <c r="A254" s="198"/>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c r="AA254" s="198"/>
      <c r="AB254" s="198"/>
      <c r="AC254" s="198"/>
      <c r="AD254" s="198"/>
      <c r="AE254" s="198"/>
      <c r="AF254" s="198"/>
      <c r="AG254" s="198"/>
      <c r="AH254" s="198"/>
      <c r="AI254" s="198"/>
      <c r="AJ254" s="198"/>
      <c r="AK254" s="198"/>
      <c r="AL254" s="198"/>
      <c r="AM254" s="198"/>
    </row>
    <row r="255" ht="12.0" customHeight="1">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c r="AA255" s="198"/>
      <c r="AB255" s="198"/>
      <c r="AC255" s="198"/>
      <c r="AD255" s="198"/>
      <c r="AE255" s="198"/>
      <c r="AF255" s="198"/>
      <c r="AG255" s="198"/>
      <c r="AH255" s="198"/>
      <c r="AI255" s="198"/>
      <c r="AJ255" s="198"/>
      <c r="AK255" s="198"/>
      <c r="AL255" s="198"/>
      <c r="AM255" s="198"/>
    </row>
    <row r="256" ht="12.0" customHeight="1">
      <c r="A256" s="198"/>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c r="AA256" s="198"/>
      <c r="AB256" s="198"/>
      <c r="AC256" s="198"/>
      <c r="AD256" s="198"/>
      <c r="AE256" s="198"/>
      <c r="AF256" s="198"/>
      <c r="AG256" s="198"/>
      <c r="AH256" s="198"/>
      <c r="AI256" s="198"/>
      <c r="AJ256" s="198"/>
      <c r="AK256" s="198"/>
      <c r="AL256" s="198"/>
      <c r="AM256" s="198"/>
    </row>
    <row r="257" ht="12.0" customHeight="1">
      <c r="A257" s="198"/>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c r="AA257" s="198"/>
      <c r="AB257" s="198"/>
      <c r="AC257" s="198"/>
      <c r="AD257" s="198"/>
      <c r="AE257" s="198"/>
      <c r="AF257" s="198"/>
      <c r="AG257" s="198"/>
      <c r="AH257" s="198"/>
      <c r="AI257" s="198"/>
      <c r="AJ257" s="198"/>
      <c r="AK257" s="198"/>
      <c r="AL257" s="198"/>
      <c r="AM257" s="198"/>
    </row>
    <row r="258" ht="12.0" customHeight="1">
      <c r="A258" s="198"/>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c r="AA258" s="198"/>
      <c r="AB258" s="198"/>
      <c r="AC258" s="198"/>
      <c r="AD258" s="198"/>
      <c r="AE258" s="198"/>
      <c r="AF258" s="198"/>
      <c r="AG258" s="198"/>
      <c r="AH258" s="198"/>
      <c r="AI258" s="198"/>
      <c r="AJ258" s="198"/>
      <c r="AK258" s="198"/>
      <c r="AL258" s="198"/>
      <c r="AM258" s="198"/>
    </row>
    <row r="259" ht="12.0" customHeight="1">
      <c r="A259" s="198"/>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c r="AA259" s="198"/>
      <c r="AB259" s="198"/>
      <c r="AC259" s="198"/>
      <c r="AD259" s="198"/>
      <c r="AE259" s="198"/>
      <c r="AF259" s="198"/>
      <c r="AG259" s="198"/>
      <c r="AH259" s="198"/>
      <c r="AI259" s="198"/>
      <c r="AJ259" s="198"/>
      <c r="AK259" s="198"/>
      <c r="AL259" s="198"/>
      <c r="AM259" s="198"/>
    </row>
    <row r="260" ht="12.0" customHeight="1">
      <c r="A260" s="198"/>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c r="AA260" s="198"/>
      <c r="AB260" s="198"/>
      <c r="AC260" s="198"/>
      <c r="AD260" s="198"/>
      <c r="AE260" s="198"/>
      <c r="AF260" s="198"/>
      <c r="AG260" s="198"/>
      <c r="AH260" s="198"/>
      <c r="AI260" s="198"/>
      <c r="AJ260" s="198"/>
      <c r="AK260" s="198"/>
      <c r="AL260" s="198"/>
      <c r="AM260" s="198"/>
    </row>
    <row r="261" ht="12.0" customHeight="1">
      <c r="A261" s="198"/>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c r="AA261" s="198"/>
      <c r="AB261" s="198"/>
      <c r="AC261" s="198"/>
      <c r="AD261" s="198"/>
      <c r="AE261" s="198"/>
      <c r="AF261" s="198"/>
      <c r="AG261" s="198"/>
      <c r="AH261" s="198"/>
      <c r="AI261" s="198"/>
      <c r="AJ261" s="198"/>
      <c r="AK261" s="198"/>
      <c r="AL261" s="198"/>
      <c r="AM261" s="198"/>
    </row>
    <row r="262" ht="12.0" customHeight="1">
      <c r="A262" s="198"/>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c r="AA262" s="198"/>
      <c r="AB262" s="198"/>
      <c r="AC262" s="198"/>
      <c r="AD262" s="198"/>
      <c r="AE262" s="198"/>
      <c r="AF262" s="198"/>
      <c r="AG262" s="198"/>
      <c r="AH262" s="198"/>
      <c r="AI262" s="198"/>
      <c r="AJ262" s="198"/>
      <c r="AK262" s="198"/>
      <c r="AL262" s="198"/>
      <c r="AM262" s="198"/>
    </row>
    <row r="263" ht="12.0" customHeight="1">
      <c r="A263" s="198"/>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c r="AA263" s="198"/>
      <c r="AB263" s="198"/>
      <c r="AC263" s="198"/>
      <c r="AD263" s="198"/>
      <c r="AE263" s="198"/>
      <c r="AF263" s="198"/>
      <c r="AG263" s="198"/>
      <c r="AH263" s="198"/>
      <c r="AI263" s="198"/>
      <c r="AJ263" s="198"/>
      <c r="AK263" s="198"/>
      <c r="AL263" s="198"/>
      <c r="AM263" s="198"/>
    </row>
    <row r="264" ht="12.0" customHeight="1">
      <c r="A264" s="198"/>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c r="AA264" s="198"/>
      <c r="AB264" s="198"/>
      <c r="AC264" s="198"/>
      <c r="AD264" s="198"/>
      <c r="AE264" s="198"/>
      <c r="AF264" s="198"/>
      <c r="AG264" s="198"/>
      <c r="AH264" s="198"/>
      <c r="AI264" s="198"/>
      <c r="AJ264" s="198"/>
      <c r="AK264" s="198"/>
      <c r="AL264" s="198"/>
      <c r="AM264" s="198"/>
    </row>
    <row r="265" ht="12.0" customHeight="1">
      <c r="A265" s="198"/>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c r="AA265" s="198"/>
      <c r="AB265" s="198"/>
      <c r="AC265" s="198"/>
      <c r="AD265" s="198"/>
      <c r="AE265" s="198"/>
      <c r="AF265" s="198"/>
      <c r="AG265" s="198"/>
      <c r="AH265" s="198"/>
      <c r="AI265" s="198"/>
      <c r="AJ265" s="198"/>
      <c r="AK265" s="198"/>
      <c r="AL265" s="198"/>
      <c r="AM265" s="198"/>
    </row>
    <row r="266" ht="12.0" customHeight="1">
      <c r="A266" s="198"/>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c r="AA266" s="198"/>
      <c r="AB266" s="198"/>
      <c r="AC266" s="198"/>
      <c r="AD266" s="198"/>
      <c r="AE266" s="198"/>
      <c r="AF266" s="198"/>
      <c r="AG266" s="198"/>
      <c r="AH266" s="198"/>
      <c r="AI266" s="198"/>
      <c r="AJ266" s="198"/>
      <c r="AK266" s="198"/>
      <c r="AL266" s="198"/>
      <c r="AM266" s="198"/>
    </row>
    <row r="267" ht="12.0" customHeight="1">
      <c r="A267" s="198"/>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c r="AA267" s="198"/>
      <c r="AB267" s="198"/>
      <c r="AC267" s="198"/>
      <c r="AD267" s="198"/>
      <c r="AE267" s="198"/>
      <c r="AF267" s="198"/>
      <c r="AG267" s="198"/>
      <c r="AH267" s="198"/>
      <c r="AI267" s="198"/>
      <c r="AJ267" s="198"/>
      <c r="AK267" s="198"/>
      <c r="AL267" s="198"/>
      <c r="AM267" s="198"/>
    </row>
    <row r="268" ht="12.0" customHeight="1">
      <c r="A268" s="198"/>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c r="AA268" s="198"/>
      <c r="AB268" s="198"/>
      <c r="AC268" s="198"/>
      <c r="AD268" s="198"/>
      <c r="AE268" s="198"/>
      <c r="AF268" s="198"/>
      <c r="AG268" s="198"/>
      <c r="AH268" s="198"/>
      <c r="AI268" s="198"/>
      <c r="AJ268" s="198"/>
      <c r="AK268" s="198"/>
      <c r="AL268" s="198"/>
      <c r="AM268" s="198"/>
    </row>
    <row r="269" ht="12.0" customHeight="1">
      <c r="A269" s="198"/>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c r="AA269" s="198"/>
      <c r="AB269" s="198"/>
      <c r="AC269" s="198"/>
      <c r="AD269" s="198"/>
      <c r="AE269" s="198"/>
      <c r="AF269" s="198"/>
      <c r="AG269" s="198"/>
      <c r="AH269" s="198"/>
      <c r="AI269" s="198"/>
      <c r="AJ269" s="198"/>
      <c r="AK269" s="198"/>
      <c r="AL269" s="198"/>
      <c r="AM269" s="198"/>
    </row>
    <row r="270" ht="12.0" customHeight="1">
      <c r="A270" s="198"/>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c r="AA270" s="198"/>
      <c r="AB270" s="198"/>
      <c r="AC270" s="198"/>
      <c r="AD270" s="198"/>
      <c r="AE270" s="198"/>
      <c r="AF270" s="198"/>
      <c r="AG270" s="198"/>
      <c r="AH270" s="198"/>
      <c r="AI270" s="198"/>
      <c r="AJ270" s="198"/>
      <c r="AK270" s="198"/>
      <c r="AL270" s="198"/>
      <c r="AM270" s="198"/>
    </row>
    <row r="271" ht="12.0" customHeight="1">
      <c r="A271" s="198"/>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c r="AA271" s="198"/>
      <c r="AB271" s="198"/>
      <c r="AC271" s="198"/>
      <c r="AD271" s="198"/>
      <c r="AE271" s="198"/>
      <c r="AF271" s="198"/>
      <c r="AG271" s="198"/>
      <c r="AH271" s="198"/>
      <c r="AI271" s="198"/>
      <c r="AJ271" s="198"/>
      <c r="AK271" s="198"/>
      <c r="AL271" s="198"/>
      <c r="AM271" s="198"/>
    </row>
    <row r="272" ht="12.0" customHeight="1">
      <c r="A272" s="198"/>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c r="AA272" s="198"/>
      <c r="AB272" s="198"/>
      <c r="AC272" s="198"/>
      <c r="AD272" s="198"/>
      <c r="AE272" s="198"/>
      <c r="AF272" s="198"/>
      <c r="AG272" s="198"/>
      <c r="AH272" s="198"/>
      <c r="AI272" s="198"/>
      <c r="AJ272" s="198"/>
      <c r="AK272" s="198"/>
      <c r="AL272" s="198"/>
      <c r="AM272" s="198"/>
    </row>
    <row r="273" ht="12.0" customHeight="1">
      <c r="A273" s="198"/>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c r="AA273" s="198"/>
      <c r="AB273" s="198"/>
      <c r="AC273" s="198"/>
      <c r="AD273" s="198"/>
      <c r="AE273" s="198"/>
      <c r="AF273" s="198"/>
      <c r="AG273" s="198"/>
      <c r="AH273" s="198"/>
      <c r="AI273" s="198"/>
      <c r="AJ273" s="198"/>
      <c r="AK273" s="198"/>
      <c r="AL273" s="198"/>
      <c r="AM273" s="198"/>
    </row>
    <row r="274" ht="12.0" customHeight="1">
      <c r="A274" s="198"/>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c r="AA274" s="198"/>
      <c r="AB274" s="198"/>
      <c r="AC274" s="198"/>
      <c r="AD274" s="198"/>
      <c r="AE274" s="198"/>
      <c r="AF274" s="198"/>
      <c r="AG274" s="198"/>
      <c r="AH274" s="198"/>
      <c r="AI274" s="198"/>
      <c r="AJ274" s="198"/>
      <c r="AK274" s="198"/>
      <c r="AL274" s="198"/>
      <c r="AM274" s="198"/>
    </row>
    <row r="275" ht="12.0" customHeight="1">
      <c r="A275" s="198"/>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c r="AA275" s="198"/>
      <c r="AB275" s="198"/>
      <c r="AC275" s="198"/>
      <c r="AD275" s="198"/>
      <c r="AE275" s="198"/>
      <c r="AF275" s="198"/>
      <c r="AG275" s="198"/>
      <c r="AH275" s="198"/>
      <c r="AI275" s="198"/>
      <c r="AJ275" s="198"/>
      <c r="AK275" s="198"/>
      <c r="AL275" s="198"/>
      <c r="AM275" s="198"/>
    </row>
    <row r="276" ht="12.0" customHeight="1">
      <c r="A276" s="198"/>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c r="AA276" s="198"/>
      <c r="AB276" s="198"/>
      <c r="AC276" s="198"/>
      <c r="AD276" s="198"/>
      <c r="AE276" s="198"/>
      <c r="AF276" s="198"/>
      <c r="AG276" s="198"/>
      <c r="AH276" s="198"/>
      <c r="AI276" s="198"/>
      <c r="AJ276" s="198"/>
      <c r="AK276" s="198"/>
      <c r="AL276" s="198"/>
      <c r="AM276" s="198"/>
    </row>
    <row r="277" ht="12.0" customHeight="1">
      <c r="A277" s="198"/>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c r="AA277" s="198"/>
      <c r="AB277" s="198"/>
      <c r="AC277" s="198"/>
      <c r="AD277" s="198"/>
      <c r="AE277" s="198"/>
      <c r="AF277" s="198"/>
      <c r="AG277" s="198"/>
      <c r="AH277" s="198"/>
      <c r="AI277" s="198"/>
      <c r="AJ277" s="198"/>
      <c r="AK277" s="198"/>
      <c r="AL277" s="198"/>
      <c r="AM277" s="198"/>
    </row>
    <row r="278" ht="12.0" customHeight="1">
      <c r="A278" s="198"/>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c r="AA278" s="198"/>
      <c r="AB278" s="198"/>
      <c r="AC278" s="198"/>
      <c r="AD278" s="198"/>
      <c r="AE278" s="198"/>
      <c r="AF278" s="198"/>
      <c r="AG278" s="198"/>
      <c r="AH278" s="198"/>
      <c r="AI278" s="198"/>
      <c r="AJ278" s="198"/>
      <c r="AK278" s="198"/>
      <c r="AL278" s="198"/>
      <c r="AM278" s="198"/>
    </row>
    <row r="279" ht="12.0" customHeight="1">
      <c r="A279" s="198"/>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c r="AA279" s="198"/>
      <c r="AB279" s="198"/>
      <c r="AC279" s="198"/>
      <c r="AD279" s="198"/>
      <c r="AE279" s="198"/>
      <c r="AF279" s="198"/>
      <c r="AG279" s="198"/>
      <c r="AH279" s="198"/>
      <c r="AI279" s="198"/>
      <c r="AJ279" s="198"/>
      <c r="AK279" s="198"/>
      <c r="AL279" s="198"/>
      <c r="AM279" s="198"/>
    </row>
    <row r="280" ht="12.0" customHeight="1">
      <c r="A280" s="198"/>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c r="AA280" s="198"/>
      <c r="AB280" s="198"/>
      <c r="AC280" s="198"/>
      <c r="AD280" s="198"/>
      <c r="AE280" s="198"/>
      <c r="AF280" s="198"/>
      <c r="AG280" s="198"/>
      <c r="AH280" s="198"/>
      <c r="AI280" s="198"/>
      <c r="AJ280" s="198"/>
      <c r="AK280" s="198"/>
      <c r="AL280" s="198"/>
      <c r="AM280" s="198"/>
    </row>
    <row r="281" ht="12.0" customHeight="1">
      <c r="A281" s="198"/>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c r="AA281" s="198"/>
      <c r="AB281" s="198"/>
      <c r="AC281" s="198"/>
      <c r="AD281" s="198"/>
      <c r="AE281" s="198"/>
      <c r="AF281" s="198"/>
      <c r="AG281" s="198"/>
      <c r="AH281" s="198"/>
      <c r="AI281" s="198"/>
      <c r="AJ281" s="198"/>
      <c r="AK281" s="198"/>
      <c r="AL281" s="198"/>
      <c r="AM281" s="198"/>
    </row>
    <row r="282" ht="12.0" customHeight="1">
      <c r="A282" s="198"/>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c r="AA282" s="198"/>
      <c r="AB282" s="198"/>
      <c r="AC282" s="198"/>
      <c r="AD282" s="198"/>
      <c r="AE282" s="198"/>
      <c r="AF282" s="198"/>
      <c r="AG282" s="198"/>
      <c r="AH282" s="198"/>
      <c r="AI282" s="198"/>
      <c r="AJ282" s="198"/>
      <c r="AK282" s="198"/>
      <c r="AL282" s="198"/>
      <c r="AM282" s="198"/>
    </row>
    <row r="283" ht="12.0" customHeight="1">
      <c r="A283" s="198"/>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c r="AA283" s="198"/>
      <c r="AB283" s="198"/>
      <c r="AC283" s="198"/>
      <c r="AD283" s="198"/>
      <c r="AE283" s="198"/>
      <c r="AF283" s="198"/>
      <c r="AG283" s="198"/>
      <c r="AH283" s="198"/>
      <c r="AI283" s="198"/>
      <c r="AJ283" s="198"/>
      <c r="AK283" s="198"/>
      <c r="AL283" s="198"/>
      <c r="AM283" s="198"/>
    </row>
    <row r="284" ht="12.0" customHeight="1">
      <c r="A284" s="198"/>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c r="AA284" s="198"/>
      <c r="AB284" s="198"/>
      <c r="AC284" s="198"/>
      <c r="AD284" s="198"/>
      <c r="AE284" s="198"/>
      <c r="AF284" s="198"/>
      <c r="AG284" s="198"/>
      <c r="AH284" s="198"/>
      <c r="AI284" s="198"/>
      <c r="AJ284" s="198"/>
      <c r="AK284" s="198"/>
      <c r="AL284" s="198"/>
      <c r="AM284" s="198"/>
    </row>
    <row r="285" ht="12.0" customHeight="1">
      <c r="A285" s="198"/>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c r="AA285" s="198"/>
      <c r="AB285" s="198"/>
      <c r="AC285" s="198"/>
      <c r="AD285" s="198"/>
      <c r="AE285" s="198"/>
      <c r="AF285" s="198"/>
      <c r="AG285" s="198"/>
      <c r="AH285" s="198"/>
      <c r="AI285" s="198"/>
      <c r="AJ285" s="198"/>
      <c r="AK285" s="198"/>
      <c r="AL285" s="198"/>
      <c r="AM285" s="198"/>
    </row>
    <row r="286" ht="12.0" customHeight="1">
      <c r="A286" s="198"/>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c r="AA286" s="198"/>
      <c r="AB286" s="198"/>
      <c r="AC286" s="198"/>
      <c r="AD286" s="198"/>
      <c r="AE286" s="198"/>
      <c r="AF286" s="198"/>
      <c r="AG286" s="198"/>
      <c r="AH286" s="198"/>
      <c r="AI286" s="198"/>
      <c r="AJ286" s="198"/>
      <c r="AK286" s="198"/>
      <c r="AL286" s="198"/>
      <c r="AM286" s="198"/>
    </row>
    <row r="287" ht="12.0" customHeight="1">
      <c r="A287" s="198"/>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c r="AA287" s="198"/>
      <c r="AB287" s="198"/>
      <c r="AC287" s="198"/>
      <c r="AD287" s="198"/>
      <c r="AE287" s="198"/>
      <c r="AF287" s="198"/>
      <c r="AG287" s="198"/>
      <c r="AH287" s="198"/>
      <c r="AI287" s="198"/>
      <c r="AJ287" s="198"/>
      <c r="AK287" s="198"/>
      <c r="AL287" s="198"/>
      <c r="AM287" s="198"/>
    </row>
    <row r="288" ht="12.0" customHeight="1">
      <c r="A288" s="198"/>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c r="AA288" s="198"/>
      <c r="AB288" s="198"/>
      <c r="AC288" s="198"/>
      <c r="AD288" s="198"/>
      <c r="AE288" s="198"/>
      <c r="AF288" s="198"/>
      <c r="AG288" s="198"/>
      <c r="AH288" s="198"/>
      <c r="AI288" s="198"/>
      <c r="AJ288" s="198"/>
      <c r="AK288" s="198"/>
      <c r="AL288" s="198"/>
      <c r="AM288" s="198"/>
    </row>
    <row r="289" ht="12.0" customHeight="1">
      <c r="A289" s="198"/>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c r="AA289" s="198"/>
      <c r="AB289" s="198"/>
      <c r="AC289" s="198"/>
      <c r="AD289" s="198"/>
      <c r="AE289" s="198"/>
      <c r="AF289" s="198"/>
      <c r="AG289" s="198"/>
      <c r="AH289" s="198"/>
      <c r="AI289" s="198"/>
      <c r="AJ289" s="198"/>
      <c r="AK289" s="198"/>
      <c r="AL289" s="198"/>
      <c r="AM289" s="198"/>
    </row>
    <row r="290" ht="12.0" customHeight="1">
      <c r="A290" s="198"/>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c r="AA290" s="198"/>
      <c r="AB290" s="198"/>
      <c r="AC290" s="198"/>
      <c r="AD290" s="198"/>
      <c r="AE290" s="198"/>
      <c r="AF290" s="198"/>
      <c r="AG290" s="198"/>
      <c r="AH290" s="198"/>
      <c r="AI290" s="198"/>
      <c r="AJ290" s="198"/>
      <c r="AK290" s="198"/>
      <c r="AL290" s="198"/>
      <c r="AM290" s="198"/>
    </row>
    <row r="291" ht="12.0" customHeight="1">
      <c r="A291" s="198"/>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c r="AC291" s="198"/>
      <c r="AD291" s="198"/>
      <c r="AE291" s="198"/>
      <c r="AF291" s="198"/>
      <c r="AG291" s="198"/>
      <c r="AH291" s="198"/>
      <c r="AI291" s="198"/>
      <c r="AJ291" s="198"/>
      <c r="AK291" s="198"/>
      <c r="AL291" s="198"/>
      <c r="AM291" s="198"/>
    </row>
    <row r="292" ht="12.0" customHeight="1">
      <c r="A292" s="198"/>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c r="AA292" s="198"/>
      <c r="AB292" s="198"/>
      <c r="AC292" s="198"/>
      <c r="AD292" s="198"/>
      <c r="AE292" s="198"/>
      <c r="AF292" s="198"/>
      <c r="AG292" s="198"/>
      <c r="AH292" s="198"/>
      <c r="AI292" s="198"/>
      <c r="AJ292" s="198"/>
      <c r="AK292" s="198"/>
      <c r="AL292" s="198"/>
      <c r="AM292" s="198"/>
    </row>
    <row r="293" ht="12.0" customHeight="1">
      <c r="A293" s="198"/>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c r="AA293" s="198"/>
      <c r="AB293" s="198"/>
      <c r="AC293" s="198"/>
      <c r="AD293" s="198"/>
      <c r="AE293" s="198"/>
      <c r="AF293" s="198"/>
      <c r="AG293" s="198"/>
      <c r="AH293" s="198"/>
      <c r="AI293" s="198"/>
      <c r="AJ293" s="198"/>
      <c r="AK293" s="198"/>
      <c r="AL293" s="198"/>
      <c r="AM293" s="198"/>
    </row>
    <row r="294" ht="12.0" customHeight="1">
      <c r="A294" s="198"/>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c r="AA294" s="198"/>
      <c r="AB294" s="198"/>
      <c r="AC294" s="198"/>
      <c r="AD294" s="198"/>
      <c r="AE294" s="198"/>
      <c r="AF294" s="198"/>
      <c r="AG294" s="198"/>
      <c r="AH294" s="198"/>
      <c r="AI294" s="198"/>
      <c r="AJ294" s="198"/>
      <c r="AK294" s="198"/>
      <c r="AL294" s="198"/>
      <c r="AM294" s="198"/>
    </row>
    <row r="295" ht="12.0" customHeight="1">
      <c r="A295" s="198"/>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c r="AA295" s="198"/>
      <c r="AB295" s="198"/>
      <c r="AC295" s="198"/>
      <c r="AD295" s="198"/>
      <c r="AE295" s="198"/>
      <c r="AF295" s="198"/>
      <c r="AG295" s="198"/>
      <c r="AH295" s="198"/>
      <c r="AI295" s="198"/>
      <c r="AJ295" s="198"/>
      <c r="AK295" s="198"/>
      <c r="AL295" s="198"/>
      <c r="AM295" s="198"/>
    </row>
    <row r="296" ht="12.0" customHeight="1">
      <c r="A296" s="198"/>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c r="AA296" s="198"/>
      <c r="AB296" s="198"/>
      <c r="AC296" s="198"/>
      <c r="AD296" s="198"/>
      <c r="AE296" s="198"/>
      <c r="AF296" s="198"/>
      <c r="AG296" s="198"/>
      <c r="AH296" s="198"/>
      <c r="AI296" s="198"/>
      <c r="AJ296" s="198"/>
      <c r="AK296" s="198"/>
      <c r="AL296" s="198"/>
      <c r="AM296" s="198"/>
    </row>
    <row r="297" ht="12.0" customHeight="1">
      <c r="A297" s="198"/>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c r="AA297" s="198"/>
      <c r="AB297" s="198"/>
      <c r="AC297" s="198"/>
      <c r="AD297" s="198"/>
      <c r="AE297" s="198"/>
      <c r="AF297" s="198"/>
      <c r="AG297" s="198"/>
      <c r="AH297" s="198"/>
      <c r="AI297" s="198"/>
      <c r="AJ297" s="198"/>
      <c r="AK297" s="198"/>
      <c r="AL297" s="198"/>
      <c r="AM297" s="198"/>
    </row>
    <row r="298" ht="12.0" customHeight="1">
      <c r="A298" s="198"/>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c r="AA298" s="198"/>
      <c r="AB298" s="198"/>
      <c r="AC298" s="198"/>
      <c r="AD298" s="198"/>
      <c r="AE298" s="198"/>
      <c r="AF298" s="198"/>
      <c r="AG298" s="198"/>
      <c r="AH298" s="198"/>
      <c r="AI298" s="198"/>
      <c r="AJ298" s="198"/>
      <c r="AK298" s="198"/>
      <c r="AL298" s="198"/>
      <c r="AM298" s="198"/>
    </row>
    <row r="299" ht="12.0" customHeight="1">
      <c r="A299" s="198"/>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c r="AA299" s="198"/>
      <c r="AB299" s="198"/>
      <c r="AC299" s="198"/>
      <c r="AD299" s="198"/>
      <c r="AE299" s="198"/>
      <c r="AF299" s="198"/>
      <c r="AG299" s="198"/>
      <c r="AH299" s="198"/>
      <c r="AI299" s="198"/>
      <c r="AJ299" s="198"/>
      <c r="AK299" s="198"/>
      <c r="AL299" s="198"/>
      <c r="AM299" s="198"/>
    </row>
    <row r="300" ht="12.0" customHeight="1">
      <c r="A300" s="198"/>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c r="AA300" s="198"/>
      <c r="AB300" s="198"/>
      <c r="AC300" s="198"/>
      <c r="AD300" s="198"/>
      <c r="AE300" s="198"/>
      <c r="AF300" s="198"/>
      <c r="AG300" s="198"/>
      <c r="AH300" s="198"/>
      <c r="AI300" s="198"/>
      <c r="AJ300" s="198"/>
      <c r="AK300" s="198"/>
      <c r="AL300" s="198"/>
      <c r="AM300" s="198"/>
    </row>
    <row r="301" ht="12.0" customHeight="1">
      <c r="A301" s="198"/>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c r="AA301" s="198"/>
      <c r="AB301" s="198"/>
      <c r="AC301" s="198"/>
      <c r="AD301" s="198"/>
      <c r="AE301" s="198"/>
      <c r="AF301" s="198"/>
      <c r="AG301" s="198"/>
      <c r="AH301" s="198"/>
      <c r="AI301" s="198"/>
      <c r="AJ301" s="198"/>
      <c r="AK301" s="198"/>
      <c r="AL301" s="198"/>
      <c r="AM301" s="198"/>
    </row>
    <row r="302" ht="12.0" customHeight="1">
      <c r="A302" s="198"/>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c r="AA302" s="198"/>
      <c r="AB302" s="198"/>
      <c r="AC302" s="198"/>
      <c r="AD302" s="198"/>
      <c r="AE302" s="198"/>
      <c r="AF302" s="198"/>
      <c r="AG302" s="198"/>
      <c r="AH302" s="198"/>
      <c r="AI302" s="198"/>
      <c r="AJ302" s="198"/>
      <c r="AK302" s="198"/>
      <c r="AL302" s="198"/>
      <c r="AM302" s="198"/>
    </row>
    <row r="303" ht="12.0" customHeight="1">
      <c r="A303" s="198"/>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c r="AA303" s="198"/>
      <c r="AB303" s="198"/>
      <c r="AC303" s="198"/>
      <c r="AD303" s="198"/>
      <c r="AE303" s="198"/>
      <c r="AF303" s="198"/>
      <c r="AG303" s="198"/>
      <c r="AH303" s="198"/>
      <c r="AI303" s="198"/>
      <c r="AJ303" s="198"/>
      <c r="AK303" s="198"/>
      <c r="AL303" s="198"/>
      <c r="AM303" s="198"/>
    </row>
    <row r="304" ht="12.0" customHeight="1">
      <c r="A304" s="198"/>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c r="AA304" s="198"/>
      <c r="AB304" s="198"/>
      <c r="AC304" s="198"/>
      <c r="AD304" s="198"/>
      <c r="AE304" s="198"/>
      <c r="AF304" s="198"/>
      <c r="AG304" s="198"/>
      <c r="AH304" s="198"/>
      <c r="AI304" s="198"/>
      <c r="AJ304" s="198"/>
      <c r="AK304" s="198"/>
      <c r="AL304" s="198"/>
      <c r="AM304" s="198"/>
    </row>
    <row r="305" ht="12.0" customHeight="1">
      <c r="A305" s="198"/>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c r="AA305" s="198"/>
      <c r="AB305" s="198"/>
      <c r="AC305" s="198"/>
      <c r="AD305" s="198"/>
      <c r="AE305" s="198"/>
      <c r="AF305" s="198"/>
      <c r="AG305" s="198"/>
      <c r="AH305" s="198"/>
      <c r="AI305" s="198"/>
      <c r="AJ305" s="198"/>
      <c r="AK305" s="198"/>
      <c r="AL305" s="198"/>
      <c r="AM305" s="198"/>
    </row>
    <row r="306" ht="12.0" customHeight="1">
      <c r="A306" s="198"/>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c r="AA306" s="198"/>
      <c r="AB306" s="198"/>
      <c r="AC306" s="198"/>
      <c r="AD306" s="198"/>
      <c r="AE306" s="198"/>
      <c r="AF306" s="198"/>
      <c r="AG306" s="198"/>
      <c r="AH306" s="198"/>
      <c r="AI306" s="198"/>
      <c r="AJ306" s="198"/>
      <c r="AK306" s="198"/>
      <c r="AL306" s="198"/>
      <c r="AM306" s="198"/>
    </row>
    <row r="307" ht="12.0" customHeight="1">
      <c r="A307" s="198"/>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c r="AA307" s="198"/>
      <c r="AB307" s="198"/>
      <c r="AC307" s="198"/>
      <c r="AD307" s="198"/>
      <c r="AE307" s="198"/>
      <c r="AF307" s="198"/>
      <c r="AG307" s="198"/>
      <c r="AH307" s="198"/>
      <c r="AI307" s="198"/>
      <c r="AJ307" s="198"/>
      <c r="AK307" s="198"/>
      <c r="AL307" s="198"/>
      <c r="AM307" s="198"/>
    </row>
    <row r="308" ht="12.0" customHeight="1">
      <c r="A308" s="198"/>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c r="AA308" s="198"/>
      <c r="AB308" s="198"/>
      <c r="AC308" s="198"/>
      <c r="AD308" s="198"/>
      <c r="AE308" s="198"/>
      <c r="AF308" s="198"/>
      <c r="AG308" s="198"/>
      <c r="AH308" s="198"/>
      <c r="AI308" s="198"/>
      <c r="AJ308" s="198"/>
      <c r="AK308" s="198"/>
      <c r="AL308" s="198"/>
      <c r="AM308" s="198"/>
    </row>
    <row r="309" ht="12.0" customHeight="1">
      <c r="A309" s="198"/>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c r="AA309" s="198"/>
      <c r="AB309" s="198"/>
      <c r="AC309" s="198"/>
      <c r="AD309" s="198"/>
      <c r="AE309" s="198"/>
      <c r="AF309" s="198"/>
      <c r="AG309" s="198"/>
      <c r="AH309" s="198"/>
      <c r="AI309" s="198"/>
      <c r="AJ309" s="198"/>
      <c r="AK309" s="198"/>
      <c r="AL309" s="198"/>
      <c r="AM309" s="198"/>
    </row>
    <row r="310" ht="12.0" customHeight="1">
      <c r="A310" s="198"/>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c r="AA310" s="198"/>
      <c r="AB310" s="198"/>
      <c r="AC310" s="198"/>
      <c r="AD310" s="198"/>
      <c r="AE310" s="198"/>
      <c r="AF310" s="198"/>
      <c r="AG310" s="198"/>
      <c r="AH310" s="198"/>
      <c r="AI310" s="198"/>
      <c r="AJ310" s="198"/>
      <c r="AK310" s="198"/>
      <c r="AL310" s="198"/>
      <c r="AM310" s="198"/>
    </row>
    <row r="311" ht="12.0" customHeight="1">
      <c r="A311" s="198"/>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c r="AA311" s="198"/>
      <c r="AB311" s="198"/>
      <c r="AC311" s="198"/>
      <c r="AD311" s="198"/>
      <c r="AE311" s="198"/>
      <c r="AF311" s="198"/>
      <c r="AG311" s="198"/>
      <c r="AH311" s="198"/>
      <c r="AI311" s="198"/>
      <c r="AJ311" s="198"/>
      <c r="AK311" s="198"/>
      <c r="AL311" s="198"/>
      <c r="AM311" s="198"/>
    </row>
    <row r="312" ht="12.0" customHeight="1">
      <c r="A312" s="198"/>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c r="AA312" s="198"/>
      <c r="AB312" s="198"/>
      <c r="AC312" s="198"/>
      <c r="AD312" s="198"/>
      <c r="AE312" s="198"/>
      <c r="AF312" s="198"/>
      <c r="AG312" s="198"/>
      <c r="AH312" s="198"/>
      <c r="AI312" s="198"/>
      <c r="AJ312" s="198"/>
      <c r="AK312" s="198"/>
      <c r="AL312" s="198"/>
      <c r="AM312" s="198"/>
    </row>
    <row r="313" ht="12.0" customHeight="1">
      <c r="A313" s="198"/>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c r="AA313" s="198"/>
      <c r="AB313" s="198"/>
      <c r="AC313" s="198"/>
      <c r="AD313" s="198"/>
      <c r="AE313" s="198"/>
      <c r="AF313" s="198"/>
      <c r="AG313" s="198"/>
      <c r="AH313" s="198"/>
      <c r="AI313" s="198"/>
      <c r="AJ313" s="198"/>
      <c r="AK313" s="198"/>
      <c r="AL313" s="198"/>
      <c r="AM313" s="198"/>
    </row>
    <row r="314" ht="12.0" customHeight="1">
      <c r="A314" s="198"/>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c r="AA314" s="198"/>
      <c r="AB314" s="198"/>
      <c r="AC314" s="198"/>
      <c r="AD314" s="198"/>
      <c r="AE314" s="198"/>
      <c r="AF314" s="198"/>
      <c r="AG314" s="198"/>
      <c r="AH314" s="198"/>
      <c r="AI314" s="198"/>
      <c r="AJ314" s="198"/>
      <c r="AK314" s="198"/>
      <c r="AL314" s="198"/>
      <c r="AM314" s="198"/>
    </row>
    <row r="315" ht="12.0" customHeight="1">
      <c r="A315" s="198"/>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c r="AA315" s="198"/>
      <c r="AB315" s="198"/>
      <c r="AC315" s="198"/>
      <c r="AD315" s="198"/>
      <c r="AE315" s="198"/>
      <c r="AF315" s="198"/>
      <c r="AG315" s="198"/>
      <c r="AH315" s="198"/>
      <c r="AI315" s="198"/>
      <c r="AJ315" s="198"/>
      <c r="AK315" s="198"/>
      <c r="AL315" s="198"/>
      <c r="AM315" s="198"/>
    </row>
    <row r="316" ht="12.0" customHeight="1">
      <c r="A316" s="198"/>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c r="AA316" s="198"/>
      <c r="AB316" s="198"/>
      <c r="AC316" s="198"/>
      <c r="AD316" s="198"/>
      <c r="AE316" s="198"/>
      <c r="AF316" s="198"/>
      <c r="AG316" s="198"/>
      <c r="AH316" s="198"/>
      <c r="AI316" s="198"/>
      <c r="AJ316" s="198"/>
      <c r="AK316" s="198"/>
      <c r="AL316" s="198"/>
      <c r="AM316" s="198"/>
    </row>
    <row r="317" ht="12.0" customHeight="1">
      <c r="A317" s="198"/>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c r="AA317" s="198"/>
      <c r="AB317" s="198"/>
      <c r="AC317" s="198"/>
      <c r="AD317" s="198"/>
      <c r="AE317" s="198"/>
      <c r="AF317" s="198"/>
      <c r="AG317" s="198"/>
      <c r="AH317" s="198"/>
      <c r="AI317" s="198"/>
      <c r="AJ317" s="198"/>
      <c r="AK317" s="198"/>
      <c r="AL317" s="198"/>
      <c r="AM317" s="198"/>
    </row>
    <row r="318" ht="12.0" customHeight="1">
      <c r="A318" s="198"/>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c r="AA318" s="198"/>
      <c r="AB318" s="198"/>
      <c r="AC318" s="198"/>
      <c r="AD318" s="198"/>
      <c r="AE318" s="198"/>
      <c r="AF318" s="198"/>
      <c r="AG318" s="198"/>
      <c r="AH318" s="198"/>
      <c r="AI318" s="198"/>
      <c r="AJ318" s="198"/>
      <c r="AK318" s="198"/>
      <c r="AL318" s="198"/>
      <c r="AM318" s="198"/>
    </row>
    <row r="319" ht="12.0" customHeight="1">
      <c r="A319" s="198"/>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c r="AA319" s="198"/>
      <c r="AB319" s="198"/>
      <c r="AC319" s="198"/>
      <c r="AD319" s="198"/>
      <c r="AE319" s="198"/>
      <c r="AF319" s="198"/>
      <c r="AG319" s="198"/>
      <c r="AH319" s="198"/>
      <c r="AI319" s="198"/>
      <c r="AJ319" s="198"/>
      <c r="AK319" s="198"/>
      <c r="AL319" s="198"/>
      <c r="AM319" s="198"/>
    </row>
    <row r="320" ht="12.0" customHeight="1">
      <c r="A320" s="198"/>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c r="AA320" s="198"/>
      <c r="AB320" s="198"/>
      <c r="AC320" s="198"/>
      <c r="AD320" s="198"/>
      <c r="AE320" s="198"/>
      <c r="AF320" s="198"/>
      <c r="AG320" s="198"/>
      <c r="AH320" s="198"/>
      <c r="AI320" s="198"/>
      <c r="AJ320" s="198"/>
      <c r="AK320" s="198"/>
      <c r="AL320" s="198"/>
      <c r="AM320" s="198"/>
    </row>
    <row r="321" ht="12.0" customHeight="1">
      <c r="A321" s="198"/>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c r="AA321" s="198"/>
      <c r="AB321" s="198"/>
      <c r="AC321" s="198"/>
      <c r="AD321" s="198"/>
      <c r="AE321" s="198"/>
      <c r="AF321" s="198"/>
      <c r="AG321" s="198"/>
      <c r="AH321" s="198"/>
      <c r="AI321" s="198"/>
      <c r="AJ321" s="198"/>
      <c r="AK321" s="198"/>
      <c r="AL321" s="198"/>
      <c r="AM321" s="198"/>
    </row>
    <row r="322" ht="12.0" customHeight="1">
      <c r="A322" s="198"/>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c r="AA322" s="198"/>
      <c r="AB322" s="198"/>
      <c r="AC322" s="198"/>
      <c r="AD322" s="198"/>
      <c r="AE322" s="198"/>
      <c r="AF322" s="198"/>
      <c r="AG322" s="198"/>
      <c r="AH322" s="198"/>
      <c r="AI322" s="198"/>
      <c r="AJ322" s="198"/>
      <c r="AK322" s="198"/>
      <c r="AL322" s="198"/>
      <c r="AM322" s="198"/>
    </row>
    <row r="323" ht="12.0" customHeight="1">
      <c r="A323" s="198"/>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c r="AA323" s="198"/>
      <c r="AB323" s="198"/>
      <c r="AC323" s="198"/>
      <c r="AD323" s="198"/>
      <c r="AE323" s="198"/>
      <c r="AF323" s="198"/>
      <c r="AG323" s="198"/>
      <c r="AH323" s="198"/>
      <c r="AI323" s="198"/>
      <c r="AJ323" s="198"/>
      <c r="AK323" s="198"/>
      <c r="AL323" s="198"/>
      <c r="AM323" s="198"/>
    </row>
    <row r="324" ht="12.0" customHeight="1">
      <c r="A324" s="198"/>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c r="AA324" s="198"/>
      <c r="AB324" s="198"/>
      <c r="AC324" s="198"/>
      <c r="AD324" s="198"/>
      <c r="AE324" s="198"/>
      <c r="AF324" s="198"/>
      <c r="AG324" s="198"/>
      <c r="AH324" s="198"/>
      <c r="AI324" s="198"/>
      <c r="AJ324" s="198"/>
      <c r="AK324" s="198"/>
      <c r="AL324" s="198"/>
      <c r="AM324" s="198"/>
    </row>
    <row r="325" ht="12.0" customHeight="1">
      <c r="A325" s="198"/>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c r="AA325" s="198"/>
      <c r="AB325" s="198"/>
      <c r="AC325" s="198"/>
      <c r="AD325" s="198"/>
      <c r="AE325" s="198"/>
      <c r="AF325" s="198"/>
      <c r="AG325" s="198"/>
      <c r="AH325" s="198"/>
      <c r="AI325" s="198"/>
      <c r="AJ325" s="198"/>
      <c r="AK325" s="198"/>
      <c r="AL325" s="198"/>
      <c r="AM325" s="198"/>
    </row>
    <row r="326" ht="12.0" customHeight="1">
      <c r="A326" s="198"/>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c r="AA326" s="198"/>
      <c r="AB326" s="198"/>
      <c r="AC326" s="198"/>
      <c r="AD326" s="198"/>
      <c r="AE326" s="198"/>
      <c r="AF326" s="198"/>
      <c r="AG326" s="198"/>
      <c r="AH326" s="198"/>
      <c r="AI326" s="198"/>
      <c r="AJ326" s="198"/>
      <c r="AK326" s="198"/>
      <c r="AL326" s="198"/>
      <c r="AM326" s="198"/>
    </row>
    <row r="327" ht="12.0" customHeight="1">
      <c r="A327" s="198"/>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c r="AA327" s="198"/>
      <c r="AB327" s="198"/>
      <c r="AC327" s="198"/>
      <c r="AD327" s="198"/>
      <c r="AE327" s="198"/>
      <c r="AF327" s="198"/>
      <c r="AG327" s="198"/>
      <c r="AH327" s="198"/>
      <c r="AI327" s="198"/>
      <c r="AJ327" s="198"/>
      <c r="AK327" s="198"/>
      <c r="AL327" s="198"/>
      <c r="AM327" s="198"/>
    </row>
    <row r="328" ht="12.0" customHeight="1">
      <c r="A328" s="198"/>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c r="AC328" s="198"/>
      <c r="AD328" s="198"/>
      <c r="AE328" s="198"/>
      <c r="AF328" s="198"/>
      <c r="AG328" s="198"/>
      <c r="AH328" s="198"/>
      <c r="AI328" s="198"/>
      <c r="AJ328" s="198"/>
      <c r="AK328" s="198"/>
      <c r="AL328" s="198"/>
      <c r="AM328" s="198"/>
    </row>
    <row r="329" ht="12.0" customHeight="1">
      <c r="A329" s="198"/>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c r="AC329" s="198"/>
      <c r="AD329" s="198"/>
      <c r="AE329" s="198"/>
      <c r="AF329" s="198"/>
      <c r="AG329" s="198"/>
      <c r="AH329" s="198"/>
      <c r="AI329" s="198"/>
      <c r="AJ329" s="198"/>
      <c r="AK329" s="198"/>
      <c r="AL329" s="198"/>
      <c r="AM329" s="198"/>
    </row>
    <row r="330" ht="12.0" customHeight="1">
      <c r="A330" s="198"/>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c r="AC330" s="198"/>
      <c r="AD330" s="198"/>
      <c r="AE330" s="198"/>
      <c r="AF330" s="198"/>
      <c r="AG330" s="198"/>
      <c r="AH330" s="198"/>
      <c r="AI330" s="198"/>
      <c r="AJ330" s="198"/>
      <c r="AK330" s="198"/>
      <c r="AL330" s="198"/>
      <c r="AM330" s="198"/>
    </row>
    <row r="331" ht="12.0" customHeight="1">
      <c r="A331" s="198"/>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c r="AC331" s="198"/>
      <c r="AD331" s="198"/>
      <c r="AE331" s="198"/>
      <c r="AF331" s="198"/>
      <c r="AG331" s="198"/>
      <c r="AH331" s="198"/>
      <c r="AI331" s="198"/>
      <c r="AJ331" s="198"/>
      <c r="AK331" s="198"/>
      <c r="AL331" s="198"/>
      <c r="AM331" s="198"/>
    </row>
    <row r="332" ht="12.0" customHeight="1">
      <c r="A332" s="198"/>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c r="AC332" s="198"/>
      <c r="AD332" s="198"/>
      <c r="AE332" s="198"/>
      <c r="AF332" s="198"/>
      <c r="AG332" s="198"/>
      <c r="AH332" s="198"/>
      <c r="AI332" s="198"/>
      <c r="AJ332" s="198"/>
      <c r="AK332" s="198"/>
      <c r="AL332" s="198"/>
      <c r="AM332" s="198"/>
    </row>
    <row r="333" ht="12.0" customHeight="1">
      <c r="A333" s="198"/>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c r="AA333" s="198"/>
      <c r="AB333" s="198"/>
      <c r="AC333" s="198"/>
      <c r="AD333" s="198"/>
      <c r="AE333" s="198"/>
      <c r="AF333" s="198"/>
      <c r="AG333" s="198"/>
      <c r="AH333" s="198"/>
      <c r="AI333" s="198"/>
      <c r="AJ333" s="198"/>
      <c r="AK333" s="198"/>
      <c r="AL333" s="198"/>
      <c r="AM333" s="198"/>
    </row>
    <row r="334" ht="12.0" customHeight="1">
      <c r="A334" s="198"/>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c r="AA334" s="198"/>
      <c r="AB334" s="198"/>
      <c r="AC334" s="198"/>
      <c r="AD334" s="198"/>
      <c r="AE334" s="198"/>
      <c r="AF334" s="198"/>
      <c r="AG334" s="198"/>
      <c r="AH334" s="198"/>
      <c r="AI334" s="198"/>
      <c r="AJ334" s="198"/>
      <c r="AK334" s="198"/>
      <c r="AL334" s="198"/>
      <c r="AM334" s="198"/>
    </row>
    <row r="335" ht="12.0" customHeight="1">
      <c r="A335" s="198"/>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c r="AA335" s="198"/>
      <c r="AB335" s="198"/>
      <c r="AC335" s="198"/>
      <c r="AD335" s="198"/>
      <c r="AE335" s="198"/>
      <c r="AF335" s="198"/>
      <c r="AG335" s="198"/>
      <c r="AH335" s="198"/>
      <c r="AI335" s="198"/>
      <c r="AJ335" s="198"/>
      <c r="AK335" s="198"/>
      <c r="AL335" s="198"/>
      <c r="AM335" s="198"/>
    </row>
    <row r="336" ht="12.0" customHeight="1">
      <c r="A336" s="198"/>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c r="AA336" s="198"/>
      <c r="AB336" s="198"/>
      <c r="AC336" s="198"/>
      <c r="AD336" s="198"/>
      <c r="AE336" s="198"/>
      <c r="AF336" s="198"/>
      <c r="AG336" s="198"/>
      <c r="AH336" s="198"/>
      <c r="AI336" s="198"/>
      <c r="AJ336" s="198"/>
      <c r="AK336" s="198"/>
      <c r="AL336" s="198"/>
      <c r="AM336" s="198"/>
    </row>
    <row r="337" ht="12.0" customHeight="1">
      <c r="A337" s="198"/>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c r="AA337" s="198"/>
      <c r="AB337" s="198"/>
      <c r="AC337" s="198"/>
      <c r="AD337" s="198"/>
      <c r="AE337" s="198"/>
      <c r="AF337" s="198"/>
      <c r="AG337" s="198"/>
      <c r="AH337" s="198"/>
      <c r="AI337" s="198"/>
      <c r="AJ337" s="198"/>
      <c r="AK337" s="198"/>
      <c r="AL337" s="198"/>
      <c r="AM337" s="198"/>
    </row>
    <row r="338" ht="12.0" customHeight="1">
      <c r="A338" s="198"/>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c r="AA338" s="198"/>
      <c r="AB338" s="198"/>
      <c r="AC338" s="198"/>
      <c r="AD338" s="198"/>
      <c r="AE338" s="198"/>
      <c r="AF338" s="198"/>
      <c r="AG338" s="198"/>
      <c r="AH338" s="198"/>
      <c r="AI338" s="198"/>
      <c r="AJ338" s="198"/>
      <c r="AK338" s="198"/>
      <c r="AL338" s="198"/>
      <c r="AM338" s="198"/>
    </row>
    <row r="339" ht="12.0" customHeight="1">
      <c r="A339" s="198"/>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c r="AA339" s="198"/>
      <c r="AB339" s="198"/>
      <c r="AC339" s="198"/>
      <c r="AD339" s="198"/>
      <c r="AE339" s="198"/>
      <c r="AF339" s="198"/>
      <c r="AG339" s="198"/>
      <c r="AH339" s="198"/>
      <c r="AI339" s="198"/>
      <c r="AJ339" s="198"/>
      <c r="AK339" s="198"/>
      <c r="AL339" s="198"/>
      <c r="AM339" s="198"/>
    </row>
    <row r="340" ht="12.0" customHeight="1">
      <c r="A340" s="198"/>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c r="AA340" s="198"/>
      <c r="AB340" s="198"/>
      <c r="AC340" s="198"/>
      <c r="AD340" s="198"/>
      <c r="AE340" s="198"/>
      <c r="AF340" s="198"/>
      <c r="AG340" s="198"/>
      <c r="AH340" s="198"/>
      <c r="AI340" s="198"/>
      <c r="AJ340" s="198"/>
      <c r="AK340" s="198"/>
      <c r="AL340" s="198"/>
      <c r="AM340" s="198"/>
    </row>
    <row r="341" ht="12.0" customHeight="1">
      <c r="A341" s="198"/>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c r="AA341" s="198"/>
      <c r="AB341" s="198"/>
      <c r="AC341" s="198"/>
      <c r="AD341" s="198"/>
      <c r="AE341" s="198"/>
      <c r="AF341" s="198"/>
      <c r="AG341" s="198"/>
      <c r="AH341" s="198"/>
      <c r="AI341" s="198"/>
      <c r="AJ341" s="198"/>
      <c r="AK341" s="198"/>
      <c r="AL341" s="198"/>
      <c r="AM341" s="198"/>
    </row>
    <row r="342" ht="12.0" customHeight="1">
      <c r="A342" s="198"/>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c r="AA342" s="198"/>
      <c r="AB342" s="198"/>
      <c r="AC342" s="198"/>
      <c r="AD342" s="198"/>
      <c r="AE342" s="198"/>
      <c r="AF342" s="198"/>
      <c r="AG342" s="198"/>
      <c r="AH342" s="198"/>
      <c r="AI342" s="198"/>
      <c r="AJ342" s="198"/>
      <c r="AK342" s="198"/>
      <c r="AL342" s="198"/>
      <c r="AM342" s="198"/>
    </row>
    <row r="343" ht="12.0" customHeight="1">
      <c r="A343" s="198"/>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c r="AA343" s="198"/>
      <c r="AB343" s="198"/>
      <c r="AC343" s="198"/>
      <c r="AD343" s="198"/>
      <c r="AE343" s="198"/>
      <c r="AF343" s="198"/>
      <c r="AG343" s="198"/>
      <c r="AH343" s="198"/>
      <c r="AI343" s="198"/>
      <c r="AJ343" s="198"/>
      <c r="AK343" s="198"/>
      <c r="AL343" s="198"/>
      <c r="AM343" s="198"/>
    </row>
    <row r="344" ht="12.0" customHeight="1">
      <c r="A344" s="198"/>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c r="AA344" s="198"/>
      <c r="AB344" s="198"/>
      <c r="AC344" s="198"/>
      <c r="AD344" s="198"/>
      <c r="AE344" s="198"/>
      <c r="AF344" s="198"/>
      <c r="AG344" s="198"/>
      <c r="AH344" s="198"/>
      <c r="AI344" s="198"/>
      <c r="AJ344" s="198"/>
      <c r="AK344" s="198"/>
      <c r="AL344" s="198"/>
      <c r="AM344" s="198"/>
    </row>
    <row r="345" ht="12.0" customHeight="1">
      <c r="A345" s="198"/>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c r="AA345" s="198"/>
      <c r="AB345" s="198"/>
      <c r="AC345" s="198"/>
      <c r="AD345" s="198"/>
      <c r="AE345" s="198"/>
      <c r="AF345" s="198"/>
      <c r="AG345" s="198"/>
      <c r="AH345" s="198"/>
      <c r="AI345" s="198"/>
      <c r="AJ345" s="198"/>
      <c r="AK345" s="198"/>
      <c r="AL345" s="198"/>
      <c r="AM345" s="198"/>
    </row>
    <row r="346" ht="12.0" customHeight="1">
      <c r="A346" s="198"/>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c r="AA346" s="198"/>
      <c r="AB346" s="198"/>
      <c r="AC346" s="198"/>
      <c r="AD346" s="198"/>
      <c r="AE346" s="198"/>
      <c r="AF346" s="198"/>
      <c r="AG346" s="198"/>
      <c r="AH346" s="198"/>
      <c r="AI346" s="198"/>
      <c r="AJ346" s="198"/>
      <c r="AK346" s="198"/>
      <c r="AL346" s="198"/>
      <c r="AM346" s="198"/>
    </row>
    <row r="347" ht="12.0" customHeight="1">
      <c r="A347" s="198"/>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c r="AA347" s="198"/>
      <c r="AB347" s="198"/>
      <c r="AC347" s="198"/>
      <c r="AD347" s="198"/>
      <c r="AE347" s="198"/>
      <c r="AF347" s="198"/>
      <c r="AG347" s="198"/>
      <c r="AH347" s="198"/>
      <c r="AI347" s="198"/>
      <c r="AJ347" s="198"/>
      <c r="AK347" s="198"/>
      <c r="AL347" s="198"/>
      <c r="AM347" s="198"/>
    </row>
    <row r="348" ht="12.0" customHeight="1">
      <c r="A348" s="198"/>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c r="AA348" s="198"/>
      <c r="AB348" s="198"/>
      <c r="AC348" s="198"/>
      <c r="AD348" s="198"/>
      <c r="AE348" s="198"/>
      <c r="AF348" s="198"/>
      <c r="AG348" s="198"/>
      <c r="AH348" s="198"/>
      <c r="AI348" s="198"/>
      <c r="AJ348" s="198"/>
      <c r="AK348" s="198"/>
      <c r="AL348" s="198"/>
      <c r="AM348" s="198"/>
    </row>
    <row r="349" ht="12.0" customHeight="1">
      <c r="A349" s="198"/>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c r="AA349" s="198"/>
      <c r="AB349" s="198"/>
      <c r="AC349" s="198"/>
      <c r="AD349" s="198"/>
      <c r="AE349" s="198"/>
      <c r="AF349" s="198"/>
      <c r="AG349" s="198"/>
      <c r="AH349" s="198"/>
      <c r="AI349" s="198"/>
      <c r="AJ349" s="198"/>
      <c r="AK349" s="198"/>
      <c r="AL349" s="198"/>
      <c r="AM349" s="198"/>
    </row>
    <row r="350" ht="12.0" customHeight="1">
      <c r="A350" s="198"/>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c r="AA350" s="198"/>
      <c r="AB350" s="198"/>
      <c r="AC350" s="198"/>
      <c r="AD350" s="198"/>
      <c r="AE350" s="198"/>
      <c r="AF350" s="198"/>
      <c r="AG350" s="198"/>
      <c r="AH350" s="198"/>
      <c r="AI350" s="198"/>
      <c r="AJ350" s="198"/>
      <c r="AK350" s="198"/>
      <c r="AL350" s="198"/>
      <c r="AM350" s="198"/>
    </row>
    <row r="351" ht="12.0" customHeight="1">
      <c r="A351" s="198"/>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c r="AA351" s="198"/>
      <c r="AB351" s="198"/>
      <c r="AC351" s="198"/>
      <c r="AD351" s="198"/>
      <c r="AE351" s="198"/>
      <c r="AF351" s="198"/>
      <c r="AG351" s="198"/>
      <c r="AH351" s="198"/>
      <c r="AI351" s="198"/>
      <c r="AJ351" s="198"/>
      <c r="AK351" s="198"/>
      <c r="AL351" s="198"/>
      <c r="AM351" s="198"/>
    </row>
    <row r="352" ht="12.0" customHeight="1">
      <c r="A352" s="198"/>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c r="AA352" s="198"/>
      <c r="AB352" s="198"/>
      <c r="AC352" s="198"/>
      <c r="AD352" s="198"/>
      <c r="AE352" s="198"/>
      <c r="AF352" s="198"/>
      <c r="AG352" s="198"/>
      <c r="AH352" s="198"/>
      <c r="AI352" s="198"/>
      <c r="AJ352" s="198"/>
      <c r="AK352" s="198"/>
      <c r="AL352" s="198"/>
      <c r="AM352" s="198"/>
    </row>
    <row r="353" ht="12.0" customHeight="1">
      <c r="A353" s="198"/>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c r="AA353" s="198"/>
      <c r="AB353" s="198"/>
      <c r="AC353" s="198"/>
      <c r="AD353" s="198"/>
      <c r="AE353" s="198"/>
      <c r="AF353" s="198"/>
      <c r="AG353" s="198"/>
      <c r="AH353" s="198"/>
      <c r="AI353" s="198"/>
      <c r="AJ353" s="198"/>
      <c r="AK353" s="198"/>
      <c r="AL353" s="198"/>
      <c r="AM353" s="198"/>
    </row>
    <row r="354" ht="12.0" customHeight="1">
      <c r="A354" s="198"/>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c r="AA354" s="198"/>
      <c r="AB354" s="198"/>
      <c r="AC354" s="198"/>
      <c r="AD354" s="198"/>
      <c r="AE354" s="198"/>
      <c r="AF354" s="198"/>
      <c r="AG354" s="198"/>
      <c r="AH354" s="198"/>
      <c r="AI354" s="198"/>
      <c r="AJ354" s="198"/>
      <c r="AK354" s="198"/>
      <c r="AL354" s="198"/>
      <c r="AM354" s="198"/>
    </row>
    <row r="355" ht="12.0" customHeight="1">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c r="AA355" s="198"/>
      <c r="AB355" s="198"/>
      <c r="AC355" s="198"/>
      <c r="AD355" s="198"/>
      <c r="AE355" s="198"/>
      <c r="AF355" s="198"/>
      <c r="AG355" s="198"/>
      <c r="AH355" s="198"/>
      <c r="AI355" s="198"/>
      <c r="AJ355" s="198"/>
      <c r="AK355" s="198"/>
      <c r="AL355" s="198"/>
      <c r="AM355" s="198"/>
    </row>
    <row r="356" ht="12.0" customHeight="1">
      <c r="A356" s="198"/>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c r="AA356" s="198"/>
      <c r="AB356" s="198"/>
      <c r="AC356" s="198"/>
      <c r="AD356" s="198"/>
      <c r="AE356" s="198"/>
      <c r="AF356" s="198"/>
      <c r="AG356" s="198"/>
      <c r="AH356" s="198"/>
      <c r="AI356" s="198"/>
      <c r="AJ356" s="198"/>
      <c r="AK356" s="198"/>
      <c r="AL356" s="198"/>
      <c r="AM356" s="198"/>
    </row>
    <row r="357" ht="12.0" customHeight="1">
      <c r="A357" s="198"/>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c r="AA357" s="198"/>
      <c r="AB357" s="198"/>
      <c r="AC357" s="198"/>
      <c r="AD357" s="198"/>
      <c r="AE357" s="198"/>
      <c r="AF357" s="198"/>
      <c r="AG357" s="198"/>
      <c r="AH357" s="198"/>
      <c r="AI357" s="198"/>
      <c r="AJ357" s="198"/>
      <c r="AK357" s="198"/>
      <c r="AL357" s="198"/>
      <c r="AM357" s="198"/>
    </row>
    <row r="358" ht="12.0" customHeight="1">
      <c r="A358" s="198"/>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c r="AA358" s="198"/>
      <c r="AB358" s="198"/>
      <c r="AC358" s="198"/>
      <c r="AD358" s="198"/>
      <c r="AE358" s="198"/>
      <c r="AF358" s="198"/>
      <c r="AG358" s="198"/>
      <c r="AH358" s="198"/>
      <c r="AI358" s="198"/>
      <c r="AJ358" s="198"/>
      <c r="AK358" s="198"/>
      <c r="AL358" s="198"/>
      <c r="AM358" s="198"/>
    </row>
    <row r="359" ht="12.0" customHeight="1">
      <c r="A359" s="198"/>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c r="AA359" s="198"/>
      <c r="AB359" s="198"/>
      <c r="AC359" s="198"/>
      <c r="AD359" s="198"/>
      <c r="AE359" s="198"/>
      <c r="AF359" s="198"/>
      <c r="AG359" s="198"/>
      <c r="AH359" s="198"/>
      <c r="AI359" s="198"/>
      <c r="AJ359" s="198"/>
      <c r="AK359" s="198"/>
      <c r="AL359" s="198"/>
      <c r="AM359" s="198"/>
    </row>
    <row r="360" ht="12.0" customHeight="1">
      <c r="A360" s="198"/>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c r="AA360" s="198"/>
      <c r="AB360" s="198"/>
      <c r="AC360" s="198"/>
      <c r="AD360" s="198"/>
      <c r="AE360" s="198"/>
      <c r="AF360" s="198"/>
      <c r="AG360" s="198"/>
      <c r="AH360" s="198"/>
      <c r="AI360" s="198"/>
      <c r="AJ360" s="198"/>
      <c r="AK360" s="198"/>
      <c r="AL360" s="198"/>
      <c r="AM360" s="198"/>
    </row>
    <row r="361" ht="12.0" customHeight="1">
      <c r="A361" s="198"/>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c r="AA361" s="198"/>
      <c r="AB361" s="198"/>
      <c r="AC361" s="198"/>
      <c r="AD361" s="198"/>
      <c r="AE361" s="198"/>
      <c r="AF361" s="198"/>
      <c r="AG361" s="198"/>
      <c r="AH361" s="198"/>
      <c r="AI361" s="198"/>
      <c r="AJ361" s="198"/>
      <c r="AK361" s="198"/>
      <c r="AL361" s="198"/>
      <c r="AM361" s="198"/>
    </row>
    <row r="362" ht="12.0" customHeight="1">
      <c r="A362" s="198"/>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c r="AA362" s="198"/>
      <c r="AB362" s="198"/>
      <c r="AC362" s="198"/>
      <c r="AD362" s="198"/>
      <c r="AE362" s="198"/>
      <c r="AF362" s="198"/>
      <c r="AG362" s="198"/>
      <c r="AH362" s="198"/>
      <c r="AI362" s="198"/>
      <c r="AJ362" s="198"/>
      <c r="AK362" s="198"/>
      <c r="AL362" s="198"/>
      <c r="AM362" s="198"/>
    </row>
    <row r="363" ht="12.0" customHeight="1">
      <c r="A363" s="198"/>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c r="AA363" s="198"/>
      <c r="AB363" s="198"/>
      <c r="AC363" s="198"/>
      <c r="AD363" s="198"/>
      <c r="AE363" s="198"/>
      <c r="AF363" s="198"/>
      <c r="AG363" s="198"/>
      <c r="AH363" s="198"/>
      <c r="AI363" s="198"/>
      <c r="AJ363" s="198"/>
      <c r="AK363" s="198"/>
      <c r="AL363" s="198"/>
      <c r="AM363" s="198"/>
    </row>
    <row r="364" ht="12.0" customHeight="1">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c r="AA364" s="198"/>
      <c r="AB364" s="198"/>
      <c r="AC364" s="198"/>
      <c r="AD364" s="198"/>
      <c r="AE364" s="198"/>
      <c r="AF364" s="198"/>
      <c r="AG364" s="198"/>
      <c r="AH364" s="198"/>
      <c r="AI364" s="198"/>
      <c r="AJ364" s="198"/>
      <c r="AK364" s="198"/>
      <c r="AL364" s="198"/>
      <c r="AM364" s="198"/>
    </row>
    <row r="365" ht="12.0" customHeight="1">
      <c r="A365" s="198"/>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c r="AA365" s="198"/>
      <c r="AB365" s="198"/>
      <c r="AC365" s="198"/>
      <c r="AD365" s="198"/>
      <c r="AE365" s="198"/>
      <c r="AF365" s="198"/>
      <c r="AG365" s="198"/>
      <c r="AH365" s="198"/>
      <c r="AI365" s="198"/>
      <c r="AJ365" s="198"/>
      <c r="AK365" s="198"/>
      <c r="AL365" s="198"/>
      <c r="AM365" s="198"/>
    </row>
    <row r="366" ht="12.0" customHeight="1">
      <c r="A366" s="198"/>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c r="AA366" s="198"/>
      <c r="AB366" s="198"/>
      <c r="AC366" s="198"/>
      <c r="AD366" s="198"/>
      <c r="AE366" s="198"/>
      <c r="AF366" s="198"/>
      <c r="AG366" s="198"/>
      <c r="AH366" s="198"/>
      <c r="AI366" s="198"/>
      <c r="AJ366" s="198"/>
      <c r="AK366" s="198"/>
      <c r="AL366" s="198"/>
      <c r="AM366" s="198"/>
    </row>
    <row r="367" ht="12.0" customHeight="1">
      <c r="A367" s="198"/>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c r="AA367" s="198"/>
      <c r="AB367" s="198"/>
      <c r="AC367" s="198"/>
      <c r="AD367" s="198"/>
      <c r="AE367" s="198"/>
      <c r="AF367" s="198"/>
      <c r="AG367" s="198"/>
      <c r="AH367" s="198"/>
      <c r="AI367" s="198"/>
      <c r="AJ367" s="198"/>
      <c r="AK367" s="198"/>
      <c r="AL367" s="198"/>
      <c r="AM367" s="198"/>
    </row>
    <row r="368" ht="12.0" customHeight="1">
      <c r="A368" s="198"/>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c r="AA368" s="198"/>
      <c r="AB368" s="198"/>
      <c r="AC368" s="198"/>
      <c r="AD368" s="198"/>
      <c r="AE368" s="198"/>
      <c r="AF368" s="198"/>
      <c r="AG368" s="198"/>
      <c r="AH368" s="198"/>
      <c r="AI368" s="198"/>
      <c r="AJ368" s="198"/>
      <c r="AK368" s="198"/>
      <c r="AL368" s="198"/>
      <c r="AM368" s="198"/>
    </row>
    <row r="369" ht="12.0" customHeight="1">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c r="AA369" s="198"/>
      <c r="AB369" s="198"/>
      <c r="AC369" s="198"/>
      <c r="AD369" s="198"/>
      <c r="AE369" s="198"/>
      <c r="AF369" s="198"/>
      <c r="AG369" s="198"/>
      <c r="AH369" s="198"/>
      <c r="AI369" s="198"/>
      <c r="AJ369" s="198"/>
      <c r="AK369" s="198"/>
      <c r="AL369" s="198"/>
      <c r="AM369" s="198"/>
    </row>
    <row r="370" ht="12.0" customHeight="1">
      <c r="A370" s="198"/>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c r="AA370" s="198"/>
      <c r="AB370" s="198"/>
      <c r="AC370" s="198"/>
      <c r="AD370" s="198"/>
      <c r="AE370" s="198"/>
      <c r="AF370" s="198"/>
      <c r="AG370" s="198"/>
      <c r="AH370" s="198"/>
      <c r="AI370" s="198"/>
      <c r="AJ370" s="198"/>
      <c r="AK370" s="198"/>
      <c r="AL370" s="198"/>
      <c r="AM370" s="198"/>
    </row>
    <row r="371" ht="12.0" customHeight="1">
      <c r="A371" s="198"/>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c r="AA371" s="198"/>
      <c r="AB371" s="198"/>
      <c r="AC371" s="198"/>
      <c r="AD371" s="198"/>
      <c r="AE371" s="198"/>
      <c r="AF371" s="198"/>
      <c r="AG371" s="198"/>
      <c r="AH371" s="198"/>
      <c r="AI371" s="198"/>
      <c r="AJ371" s="198"/>
      <c r="AK371" s="198"/>
      <c r="AL371" s="198"/>
      <c r="AM371" s="198"/>
    </row>
    <row r="372" ht="12.0" customHeight="1">
      <c r="A372" s="198"/>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c r="AA372" s="198"/>
      <c r="AB372" s="198"/>
      <c r="AC372" s="198"/>
      <c r="AD372" s="198"/>
      <c r="AE372" s="198"/>
      <c r="AF372" s="198"/>
      <c r="AG372" s="198"/>
      <c r="AH372" s="198"/>
      <c r="AI372" s="198"/>
      <c r="AJ372" s="198"/>
      <c r="AK372" s="198"/>
      <c r="AL372" s="198"/>
      <c r="AM372" s="198"/>
    </row>
    <row r="373" ht="12.0" customHeight="1">
      <c r="A373" s="198"/>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c r="AA373" s="198"/>
      <c r="AB373" s="198"/>
      <c r="AC373" s="198"/>
      <c r="AD373" s="198"/>
      <c r="AE373" s="198"/>
      <c r="AF373" s="198"/>
      <c r="AG373" s="198"/>
      <c r="AH373" s="198"/>
      <c r="AI373" s="198"/>
      <c r="AJ373" s="198"/>
      <c r="AK373" s="198"/>
      <c r="AL373" s="198"/>
      <c r="AM373" s="198"/>
    </row>
    <row r="374" ht="12.0" customHeight="1">
      <c r="A374" s="198"/>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c r="AA374" s="198"/>
      <c r="AB374" s="198"/>
      <c r="AC374" s="198"/>
      <c r="AD374" s="198"/>
      <c r="AE374" s="198"/>
      <c r="AF374" s="198"/>
      <c r="AG374" s="198"/>
      <c r="AH374" s="198"/>
      <c r="AI374" s="198"/>
      <c r="AJ374" s="198"/>
      <c r="AK374" s="198"/>
      <c r="AL374" s="198"/>
      <c r="AM374" s="198"/>
    </row>
    <row r="375" ht="12.0" customHeight="1">
      <c r="A375" s="198"/>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c r="AA375" s="198"/>
      <c r="AB375" s="198"/>
      <c r="AC375" s="198"/>
      <c r="AD375" s="198"/>
      <c r="AE375" s="198"/>
      <c r="AF375" s="198"/>
      <c r="AG375" s="198"/>
      <c r="AH375" s="198"/>
      <c r="AI375" s="198"/>
      <c r="AJ375" s="198"/>
      <c r="AK375" s="198"/>
      <c r="AL375" s="198"/>
      <c r="AM375" s="198"/>
    </row>
    <row r="376" ht="12.0" customHeight="1">
      <c r="A376" s="198"/>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c r="AA376" s="198"/>
      <c r="AB376" s="198"/>
      <c r="AC376" s="198"/>
      <c r="AD376" s="198"/>
      <c r="AE376" s="198"/>
      <c r="AF376" s="198"/>
      <c r="AG376" s="198"/>
      <c r="AH376" s="198"/>
      <c r="AI376" s="198"/>
      <c r="AJ376" s="198"/>
      <c r="AK376" s="198"/>
      <c r="AL376" s="198"/>
      <c r="AM376" s="198"/>
    </row>
    <row r="377" ht="12.0" customHeight="1">
      <c r="A377" s="198"/>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c r="AA377" s="198"/>
      <c r="AB377" s="198"/>
      <c r="AC377" s="198"/>
      <c r="AD377" s="198"/>
      <c r="AE377" s="198"/>
      <c r="AF377" s="198"/>
      <c r="AG377" s="198"/>
      <c r="AH377" s="198"/>
      <c r="AI377" s="198"/>
      <c r="AJ377" s="198"/>
      <c r="AK377" s="198"/>
      <c r="AL377" s="198"/>
      <c r="AM377" s="198"/>
    </row>
    <row r="378" ht="12.0" customHeight="1">
      <c r="A378" s="198"/>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c r="AA378" s="198"/>
      <c r="AB378" s="198"/>
      <c r="AC378" s="198"/>
      <c r="AD378" s="198"/>
      <c r="AE378" s="198"/>
      <c r="AF378" s="198"/>
      <c r="AG378" s="198"/>
      <c r="AH378" s="198"/>
      <c r="AI378" s="198"/>
      <c r="AJ378" s="198"/>
      <c r="AK378" s="198"/>
      <c r="AL378" s="198"/>
      <c r="AM378" s="198"/>
    </row>
    <row r="379" ht="12.0" customHeight="1">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c r="AA379" s="198"/>
      <c r="AB379" s="198"/>
      <c r="AC379" s="198"/>
      <c r="AD379" s="198"/>
      <c r="AE379" s="198"/>
      <c r="AF379" s="198"/>
      <c r="AG379" s="198"/>
      <c r="AH379" s="198"/>
      <c r="AI379" s="198"/>
      <c r="AJ379" s="198"/>
      <c r="AK379" s="198"/>
      <c r="AL379" s="198"/>
      <c r="AM379" s="198"/>
    </row>
    <row r="380" ht="12.0" customHeight="1">
      <c r="A380" s="198"/>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c r="AA380" s="198"/>
      <c r="AB380" s="198"/>
      <c r="AC380" s="198"/>
      <c r="AD380" s="198"/>
      <c r="AE380" s="198"/>
      <c r="AF380" s="198"/>
      <c r="AG380" s="198"/>
      <c r="AH380" s="198"/>
      <c r="AI380" s="198"/>
      <c r="AJ380" s="198"/>
      <c r="AK380" s="198"/>
      <c r="AL380" s="198"/>
      <c r="AM380" s="198"/>
    </row>
    <row r="381" ht="12.0" customHeight="1">
      <c r="A381" s="198"/>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c r="AA381" s="198"/>
      <c r="AB381" s="198"/>
      <c r="AC381" s="198"/>
      <c r="AD381" s="198"/>
      <c r="AE381" s="198"/>
      <c r="AF381" s="198"/>
      <c r="AG381" s="198"/>
      <c r="AH381" s="198"/>
      <c r="AI381" s="198"/>
      <c r="AJ381" s="198"/>
      <c r="AK381" s="198"/>
      <c r="AL381" s="198"/>
      <c r="AM381" s="198"/>
    </row>
    <row r="382" ht="12.0" customHeight="1">
      <c r="A382" s="198"/>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c r="AA382" s="198"/>
      <c r="AB382" s="198"/>
      <c r="AC382" s="198"/>
      <c r="AD382" s="198"/>
      <c r="AE382" s="198"/>
      <c r="AF382" s="198"/>
      <c r="AG382" s="198"/>
      <c r="AH382" s="198"/>
      <c r="AI382" s="198"/>
      <c r="AJ382" s="198"/>
      <c r="AK382" s="198"/>
      <c r="AL382" s="198"/>
      <c r="AM382" s="198"/>
    </row>
    <row r="383" ht="12.0" customHeight="1">
      <c r="A383" s="198"/>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c r="AA383" s="198"/>
      <c r="AB383" s="198"/>
      <c r="AC383" s="198"/>
      <c r="AD383" s="198"/>
      <c r="AE383" s="198"/>
      <c r="AF383" s="198"/>
      <c r="AG383" s="198"/>
      <c r="AH383" s="198"/>
      <c r="AI383" s="198"/>
      <c r="AJ383" s="198"/>
      <c r="AK383" s="198"/>
      <c r="AL383" s="198"/>
      <c r="AM383" s="198"/>
    </row>
    <row r="384" ht="12.0" customHeight="1">
      <c r="A384" s="198"/>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c r="AA384" s="198"/>
      <c r="AB384" s="198"/>
      <c r="AC384" s="198"/>
      <c r="AD384" s="198"/>
      <c r="AE384" s="198"/>
      <c r="AF384" s="198"/>
      <c r="AG384" s="198"/>
      <c r="AH384" s="198"/>
      <c r="AI384" s="198"/>
      <c r="AJ384" s="198"/>
      <c r="AK384" s="198"/>
      <c r="AL384" s="198"/>
      <c r="AM384" s="198"/>
    </row>
    <row r="385" ht="12.0" customHeight="1">
      <c r="A385" s="198"/>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c r="AA385" s="198"/>
      <c r="AB385" s="198"/>
      <c r="AC385" s="198"/>
      <c r="AD385" s="198"/>
      <c r="AE385" s="198"/>
      <c r="AF385" s="198"/>
      <c r="AG385" s="198"/>
      <c r="AH385" s="198"/>
      <c r="AI385" s="198"/>
      <c r="AJ385" s="198"/>
      <c r="AK385" s="198"/>
      <c r="AL385" s="198"/>
      <c r="AM385" s="198"/>
    </row>
    <row r="386" ht="12.0" customHeight="1">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c r="AA386" s="198"/>
      <c r="AB386" s="198"/>
      <c r="AC386" s="198"/>
      <c r="AD386" s="198"/>
      <c r="AE386" s="198"/>
      <c r="AF386" s="198"/>
      <c r="AG386" s="198"/>
      <c r="AH386" s="198"/>
      <c r="AI386" s="198"/>
      <c r="AJ386" s="198"/>
      <c r="AK386" s="198"/>
      <c r="AL386" s="198"/>
      <c r="AM386" s="198"/>
    </row>
    <row r="387" ht="12.0" customHeight="1">
      <c r="A387" s="198"/>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c r="AA387" s="198"/>
      <c r="AB387" s="198"/>
      <c r="AC387" s="198"/>
      <c r="AD387" s="198"/>
      <c r="AE387" s="198"/>
      <c r="AF387" s="198"/>
      <c r="AG387" s="198"/>
      <c r="AH387" s="198"/>
      <c r="AI387" s="198"/>
      <c r="AJ387" s="198"/>
      <c r="AK387" s="198"/>
      <c r="AL387" s="198"/>
      <c r="AM387" s="198"/>
    </row>
    <row r="388" ht="12.0" customHeight="1">
      <c r="A388" s="198"/>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c r="AA388" s="198"/>
      <c r="AB388" s="198"/>
      <c r="AC388" s="198"/>
      <c r="AD388" s="198"/>
      <c r="AE388" s="198"/>
      <c r="AF388" s="198"/>
      <c r="AG388" s="198"/>
      <c r="AH388" s="198"/>
      <c r="AI388" s="198"/>
      <c r="AJ388" s="198"/>
      <c r="AK388" s="198"/>
      <c r="AL388" s="198"/>
      <c r="AM388" s="198"/>
    </row>
    <row r="389" ht="12.0" customHeight="1">
      <c r="A389" s="198"/>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c r="AA389" s="198"/>
      <c r="AB389" s="198"/>
      <c r="AC389" s="198"/>
      <c r="AD389" s="198"/>
      <c r="AE389" s="198"/>
      <c r="AF389" s="198"/>
      <c r="AG389" s="198"/>
      <c r="AH389" s="198"/>
      <c r="AI389" s="198"/>
      <c r="AJ389" s="198"/>
      <c r="AK389" s="198"/>
      <c r="AL389" s="198"/>
      <c r="AM389" s="198"/>
    </row>
    <row r="390" ht="12.0" customHeight="1">
      <c r="A390" s="198"/>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c r="AA390" s="198"/>
      <c r="AB390" s="198"/>
      <c r="AC390" s="198"/>
      <c r="AD390" s="198"/>
      <c r="AE390" s="198"/>
      <c r="AF390" s="198"/>
      <c r="AG390" s="198"/>
      <c r="AH390" s="198"/>
      <c r="AI390" s="198"/>
      <c r="AJ390" s="198"/>
      <c r="AK390" s="198"/>
      <c r="AL390" s="198"/>
      <c r="AM390" s="198"/>
    </row>
    <row r="391" ht="12.0" customHeight="1">
      <c r="A391" s="198"/>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c r="AA391" s="198"/>
      <c r="AB391" s="198"/>
      <c r="AC391" s="198"/>
      <c r="AD391" s="198"/>
      <c r="AE391" s="198"/>
      <c r="AF391" s="198"/>
      <c r="AG391" s="198"/>
      <c r="AH391" s="198"/>
      <c r="AI391" s="198"/>
      <c r="AJ391" s="198"/>
      <c r="AK391" s="198"/>
      <c r="AL391" s="198"/>
      <c r="AM391" s="198"/>
    </row>
    <row r="392" ht="12.0" customHeight="1">
      <c r="A392" s="198"/>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c r="AA392" s="198"/>
      <c r="AB392" s="198"/>
      <c r="AC392" s="198"/>
      <c r="AD392" s="198"/>
      <c r="AE392" s="198"/>
      <c r="AF392" s="198"/>
      <c r="AG392" s="198"/>
      <c r="AH392" s="198"/>
      <c r="AI392" s="198"/>
      <c r="AJ392" s="198"/>
      <c r="AK392" s="198"/>
      <c r="AL392" s="198"/>
      <c r="AM392" s="198"/>
    </row>
    <row r="393" ht="12.0" customHeight="1">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c r="AA393" s="198"/>
      <c r="AB393" s="198"/>
      <c r="AC393" s="198"/>
      <c r="AD393" s="198"/>
      <c r="AE393" s="198"/>
      <c r="AF393" s="198"/>
      <c r="AG393" s="198"/>
      <c r="AH393" s="198"/>
      <c r="AI393" s="198"/>
      <c r="AJ393" s="198"/>
      <c r="AK393" s="198"/>
      <c r="AL393" s="198"/>
      <c r="AM393" s="198"/>
    </row>
    <row r="394" ht="12.0" customHeight="1">
      <c r="A394" s="198"/>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c r="AA394" s="198"/>
      <c r="AB394" s="198"/>
      <c r="AC394" s="198"/>
      <c r="AD394" s="198"/>
      <c r="AE394" s="198"/>
      <c r="AF394" s="198"/>
      <c r="AG394" s="198"/>
      <c r="AH394" s="198"/>
      <c r="AI394" s="198"/>
      <c r="AJ394" s="198"/>
      <c r="AK394" s="198"/>
      <c r="AL394" s="198"/>
      <c r="AM394" s="198"/>
    </row>
    <row r="395" ht="12.0" customHeight="1">
      <c r="A395" s="198"/>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c r="AA395" s="198"/>
      <c r="AB395" s="198"/>
      <c r="AC395" s="198"/>
      <c r="AD395" s="198"/>
      <c r="AE395" s="198"/>
      <c r="AF395" s="198"/>
      <c r="AG395" s="198"/>
      <c r="AH395" s="198"/>
      <c r="AI395" s="198"/>
      <c r="AJ395" s="198"/>
      <c r="AK395" s="198"/>
      <c r="AL395" s="198"/>
      <c r="AM395" s="198"/>
    </row>
    <row r="396" ht="12.0" customHeight="1">
      <c r="A396" s="198"/>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c r="AA396" s="198"/>
      <c r="AB396" s="198"/>
      <c r="AC396" s="198"/>
      <c r="AD396" s="198"/>
      <c r="AE396" s="198"/>
      <c r="AF396" s="198"/>
      <c r="AG396" s="198"/>
      <c r="AH396" s="198"/>
      <c r="AI396" s="198"/>
      <c r="AJ396" s="198"/>
      <c r="AK396" s="198"/>
      <c r="AL396" s="198"/>
      <c r="AM396" s="198"/>
    </row>
    <row r="397" ht="12.0" customHeight="1">
      <c r="A397" s="198"/>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c r="AA397" s="198"/>
      <c r="AB397" s="198"/>
      <c r="AC397" s="198"/>
      <c r="AD397" s="198"/>
      <c r="AE397" s="198"/>
      <c r="AF397" s="198"/>
      <c r="AG397" s="198"/>
      <c r="AH397" s="198"/>
      <c r="AI397" s="198"/>
      <c r="AJ397" s="198"/>
      <c r="AK397" s="198"/>
      <c r="AL397" s="198"/>
      <c r="AM397" s="198"/>
    </row>
    <row r="398" ht="12.0" customHeight="1">
      <c r="A398" s="198"/>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c r="AA398" s="198"/>
      <c r="AB398" s="198"/>
      <c r="AC398" s="198"/>
      <c r="AD398" s="198"/>
      <c r="AE398" s="198"/>
      <c r="AF398" s="198"/>
      <c r="AG398" s="198"/>
      <c r="AH398" s="198"/>
      <c r="AI398" s="198"/>
      <c r="AJ398" s="198"/>
      <c r="AK398" s="198"/>
      <c r="AL398" s="198"/>
      <c r="AM398" s="198"/>
    </row>
    <row r="399" ht="12.0" customHeight="1">
      <c r="A399" s="198"/>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c r="AA399" s="198"/>
      <c r="AB399" s="198"/>
      <c r="AC399" s="198"/>
      <c r="AD399" s="198"/>
      <c r="AE399" s="198"/>
      <c r="AF399" s="198"/>
      <c r="AG399" s="198"/>
      <c r="AH399" s="198"/>
      <c r="AI399" s="198"/>
      <c r="AJ399" s="198"/>
      <c r="AK399" s="198"/>
      <c r="AL399" s="198"/>
      <c r="AM399" s="198"/>
    </row>
    <row r="400" ht="12.0" customHeight="1">
      <c r="A400" s="198"/>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c r="AA400" s="198"/>
      <c r="AB400" s="198"/>
      <c r="AC400" s="198"/>
      <c r="AD400" s="198"/>
      <c r="AE400" s="198"/>
      <c r="AF400" s="198"/>
      <c r="AG400" s="198"/>
      <c r="AH400" s="198"/>
      <c r="AI400" s="198"/>
      <c r="AJ400" s="198"/>
      <c r="AK400" s="198"/>
      <c r="AL400" s="198"/>
      <c r="AM400" s="198"/>
    </row>
    <row r="401" ht="12.0" customHeight="1">
      <c r="A401" s="198"/>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c r="AA401" s="198"/>
      <c r="AB401" s="198"/>
      <c r="AC401" s="198"/>
      <c r="AD401" s="198"/>
      <c r="AE401" s="198"/>
      <c r="AF401" s="198"/>
      <c r="AG401" s="198"/>
      <c r="AH401" s="198"/>
      <c r="AI401" s="198"/>
      <c r="AJ401" s="198"/>
      <c r="AK401" s="198"/>
      <c r="AL401" s="198"/>
      <c r="AM401" s="198"/>
    </row>
    <row r="402" ht="12.0" customHeight="1">
      <c r="A402" s="198"/>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c r="AA402" s="198"/>
      <c r="AB402" s="198"/>
      <c r="AC402" s="198"/>
      <c r="AD402" s="198"/>
      <c r="AE402" s="198"/>
      <c r="AF402" s="198"/>
      <c r="AG402" s="198"/>
      <c r="AH402" s="198"/>
      <c r="AI402" s="198"/>
      <c r="AJ402" s="198"/>
      <c r="AK402" s="198"/>
      <c r="AL402" s="198"/>
      <c r="AM402" s="198"/>
    </row>
    <row r="403" ht="12.0" customHeight="1">
      <c r="A403" s="198"/>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c r="AA403" s="198"/>
      <c r="AB403" s="198"/>
      <c r="AC403" s="198"/>
      <c r="AD403" s="198"/>
      <c r="AE403" s="198"/>
      <c r="AF403" s="198"/>
      <c r="AG403" s="198"/>
      <c r="AH403" s="198"/>
      <c r="AI403" s="198"/>
      <c r="AJ403" s="198"/>
      <c r="AK403" s="198"/>
      <c r="AL403" s="198"/>
      <c r="AM403" s="198"/>
    </row>
    <row r="404" ht="12.0" customHeight="1">
      <c r="A404" s="198"/>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c r="AA404" s="198"/>
      <c r="AB404" s="198"/>
      <c r="AC404" s="198"/>
      <c r="AD404" s="198"/>
      <c r="AE404" s="198"/>
      <c r="AF404" s="198"/>
      <c r="AG404" s="198"/>
      <c r="AH404" s="198"/>
      <c r="AI404" s="198"/>
      <c r="AJ404" s="198"/>
      <c r="AK404" s="198"/>
      <c r="AL404" s="198"/>
      <c r="AM404" s="198"/>
    </row>
    <row r="405" ht="12.0" customHeight="1">
      <c r="A405" s="198"/>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c r="AA405" s="198"/>
      <c r="AB405" s="198"/>
      <c r="AC405" s="198"/>
      <c r="AD405" s="198"/>
      <c r="AE405" s="198"/>
      <c r="AF405" s="198"/>
      <c r="AG405" s="198"/>
      <c r="AH405" s="198"/>
      <c r="AI405" s="198"/>
      <c r="AJ405" s="198"/>
      <c r="AK405" s="198"/>
      <c r="AL405" s="198"/>
      <c r="AM405" s="198"/>
    </row>
    <row r="406" ht="12.0" customHeight="1">
      <c r="A406" s="198"/>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c r="AA406" s="198"/>
      <c r="AB406" s="198"/>
      <c r="AC406" s="198"/>
      <c r="AD406" s="198"/>
      <c r="AE406" s="198"/>
      <c r="AF406" s="198"/>
      <c r="AG406" s="198"/>
      <c r="AH406" s="198"/>
      <c r="AI406" s="198"/>
      <c r="AJ406" s="198"/>
      <c r="AK406" s="198"/>
      <c r="AL406" s="198"/>
      <c r="AM406" s="198"/>
    </row>
    <row r="407" ht="12.0" customHeight="1">
      <c r="A407" s="198"/>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c r="AA407" s="198"/>
      <c r="AB407" s="198"/>
      <c r="AC407" s="198"/>
      <c r="AD407" s="198"/>
      <c r="AE407" s="198"/>
      <c r="AF407" s="198"/>
      <c r="AG407" s="198"/>
      <c r="AH407" s="198"/>
      <c r="AI407" s="198"/>
      <c r="AJ407" s="198"/>
      <c r="AK407" s="198"/>
      <c r="AL407" s="198"/>
      <c r="AM407" s="198"/>
    </row>
    <row r="408" ht="12.0" customHeight="1">
      <c r="A408" s="198"/>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c r="AA408" s="198"/>
      <c r="AB408" s="198"/>
      <c r="AC408" s="198"/>
      <c r="AD408" s="198"/>
      <c r="AE408" s="198"/>
      <c r="AF408" s="198"/>
      <c r="AG408" s="198"/>
      <c r="AH408" s="198"/>
      <c r="AI408" s="198"/>
      <c r="AJ408" s="198"/>
      <c r="AK408" s="198"/>
      <c r="AL408" s="198"/>
      <c r="AM408" s="198"/>
    </row>
    <row r="409" ht="12.0" customHeight="1">
      <c r="A409" s="198"/>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c r="AA409" s="198"/>
      <c r="AB409" s="198"/>
      <c r="AC409" s="198"/>
      <c r="AD409" s="198"/>
      <c r="AE409" s="198"/>
      <c r="AF409" s="198"/>
      <c r="AG409" s="198"/>
      <c r="AH409" s="198"/>
      <c r="AI409" s="198"/>
      <c r="AJ409" s="198"/>
      <c r="AK409" s="198"/>
      <c r="AL409" s="198"/>
      <c r="AM409" s="198"/>
    </row>
    <row r="410" ht="12.0" customHeight="1">
      <c r="A410" s="198"/>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c r="AA410" s="198"/>
      <c r="AB410" s="198"/>
      <c r="AC410" s="198"/>
      <c r="AD410" s="198"/>
      <c r="AE410" s="198"/>
      <c r="AF410" s="198"/>
      <c r="AG410" s="198"/>
      <c r="AH410" s="198"/>
      <c r="AI410" s="198"/>
      <c r="AJ410" s="198"/>
      <c r="AK410" s="198"/>
      <c r="AL410" s="198"/>
      <c r="AM410" s="198"/>
    </row>
    <row r="411" ht="12.0" customHeight="1">
      <c r="A411" s="198"/>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c r="AA411" s="198"/>
      <c r="AB411" s="198"/>
      <c r="AC411" s="198"/>
      <c r="AD411" s="198"/>
      <c r="AE411" s="198"/>
      <c r="AF411" s="198"/>
      <c r="AG411" s="198"/>
      <c r="AH411" s="198"/>
      <c r="AI411" s="198"/>
      <c r="AJ411" s="198"/>
      <c r="AK411" s="198"/>
      <c r="AL411" s="198"/>
      <c r="AM411" s="198"/>
    </row>
    <row r="412" ht="12.0" customHeight="1">
      <c r="A412" s="198"/>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c r="AA412" s="198"/>
      <c r="AB412" s="198"/>
      <c r="AC412" s="198"/>
      <c r="AD412" s="198"/>
      <c r="AE412" s="198"/>
      <c r="AF412" s="198"/>
      <c r="AG412" s="198"/>
      <c r="AH412" s="198"/>
      <c r="AI412" s="198"/>
      <c r="AJ412" s="198"/>
      <c r="AK412" s="198"/>
      <c r="AL412" s="198"/>
      <c r="AM412" s="198"/>
    </row>
    <row r="413" ht="12.0" customHeight="1">
      <c r="A413" s="198"/>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c r="AA413" s="198"/>
      <c r="AB413" s="198"/>
      <c r="AC413" s="198"/>
      <c r="AD413" s="198"/>
      <c r="AE413" s="198"/>
      <c r="AF413" s="198"/>
      <c r="AG413" s="198"/>
      <c r="AH413" s="198"/>
      <c r="AI413" s="198"/>
      <c r="AJ413" s="198"/>
      <c r="AK413" s="198"/>
      <c r="AL413" s="198"/>
      <c r="AM413" s="198"/>
    </row>
    <row r="414" ht="12.0" customHeight="1">
      <c r="A414" s="198"/>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c r="AA414" s="198"/>
      <c r="AB414" s="198"/>
      <c r="AC414" s="198"/>
      <c r="AD414" s="198"/>
      <c r="AE414" s="198"/>
      <c r="AF414" s="198"/>
      <c r="AG414" s="198"/>
      <c r="AH414" s="198"/>
      <c r="AI414" s="198"/>
      <c r="AJ414" s="198"/>
      <c r="AK414" s="198"/>
      <c r="AL414" s="198"/>
      <c r="AM414" s="198"/>
    </row>
    <row r="415" ht="12.0" customHeight="1">
      <c r="A415" s="198"/>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c r="AA415" s="198"/>
      <c r="AB415" s="198"/>
      <c r="AC415" s="198"/>
      <c r="AD415" s="198"/>
      <c r="AE415" s="198"/>
      <c r="AF415" s="198"/>
      <c r="AG415" s="198"/>
      <c r="AH415" s="198"/>
      <c r="AI415" s="198"/>
      <c r="AJ415" s="198"/>
      <c r="AK415" s="198"/>
      <c r="AL415" s="198"/>
      <c r="AM415" s="198"/>
    </row>
    <row r="416" ht="12.0" customHeight="1">
      <c r="A416" s="198"/>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c r="AA416" s="198"/>
      <c r="AB416" s="198"/>
      <c r="AC416" s="198"/>
      <c r="AD416" s="198"/>
      <c r="AE416" s="198"/>
      <c r="AF416" s="198"/>
      <c r="AG416" s="198"/>
      <c r="AH416" s="198"/>
      <c r="AI416" s="198"/>
      <c r="AJ416" s="198"/>
      <c r="AK416" s="198"/>
      <c r="AL416" s="198"/>
      <c r="AM416" s="198"/>
    </row>
    <row r="417" ht="12.0" customHeight="1">
      <c r="A417" s="198"/>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c r="AA417" s="198"/>
      <c r="AB417" s="198"/>
      <c r="AC417" s="198"/>
      <c r="AD417" s="198"/>
      <c r="AE417" s="198"/>
      <c r="AF417" s="198"/>
      <c r="AG417" s="198"/>
      <c r="AH417" s="198"/>
      <c r="AI417" s="198"/>
      <c r="AJ417" s="198"/>
      <c r="AK417" s="198"/>
      <c r="AL417" s="198"/>
      <c r="AM417" s="198"/>
    </row>
    <row r="418" ht="12.0" customHeight="1">
      <c r="A418" s="198"/>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c r="AA418" s="198"/>
      <c r="AB418" s="198"/>
      <c r="AC418" s="198"/>
      <c r="AD418" s="198"/>
      <c r="AE418" s="198"/>
      <c r="AF418" s="198"/>
      <c r="AG418" s="198"/>
      <c r="AH418" s="198"/>
      <c r="AI418" s="198"/>
      <c r="AJ418" s="198"/>
      <c r="AK418" s="198"/>
      <c r="AL418" s="198"/>
      <c r="AM418" s="198"/>
    </row>
    <row r="419" ht="12.0" customHeight="1">
      <c r="A419" s="198"/>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c r="AA419" s="198"/>
      <c r="AB419" s="198"/>
      <c r="AC419" s="198"/>
      <c r="AD419" s="198"/>
      <c r="AE419" s="198"/>
      <c r="AF419" s="198"/>
      <c r="AG419" s="198"/>
      <c r="AH419" s="198"/>
      <c r="AI419" s="198"/>
      <c r="AJ419" s="198"/>
      <c r="AK419" s="198"/>
      <c r="AL419" s="198"/>
      <c r="AM419" s="198"/>
    </row>
    <row r="420" ht="12.0" customHeight="1">
      <c r="A420" s="198"/>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c r="AA420" s="198"/>
      <c r="AB420" s="198"/>
      <c r="AC420" s="198"/>
      <c r="AD420" s="198"/>
      <c r="AE420" s="198"/>
      <c r="AF420" s="198"/>
      <c r="AG420" s="198"/>
      <c r="AH420" s="198"/>
      <c r="AI420" s="198"/>
      <c r="AJ420" s="198"/>
      <c r="AK420" s="198"/>
      <c r="AL420" s="198"/>
      <c r="AM420" s="198"/>
    </row>
    <row r="421" ht="12.0" customHeight="1">
      <c r="A421" s="198"/>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c r="AA421" s="198"/>
      <c r="AB421" s="198"/>
      <c r="AC421" s="198"/>
      <c r="AD421" s="198"/>
      <c r="AE421" s="198"/>
      <c r="AF421" s="198"/>
      <c r="AG421" s="198"/>
      <c r="AH421" s="198"/>
      <c r="AI421" s="198"/>
      <c r="AJ421" s="198"/>
      <c r="AK421" s="198"/>
      <c r="AL421" s="198"/>
      <c r="AM421" s="198"/>
    </row>
    <row r="422" ht="12.0" customHeight="1">
      <c r="A422" s="198"/>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c r="AA422" s="198"/>
      <c r="AB422" s="198"/>
      <c r="AC422" s="198"/>
      <c r="AD422" s="198"/>
      <c r="AE422" s="198"/>
      <c r="AF422" s="198"/>
      <c r="AG422" s="198"/>
      <c r="AH422" s="198"/>
      <c r="AI422" s="198"/>
      <c r="AJ422" s="198"/>
      <c r="AK422" s="198"/>
      <c r="AL422" s="198"/>
      <c r="AM422" s="198"/>
    </row>
    <row r="423" ht="12.0" customHeight="1">
      <c r="A423" s="198"/>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c r="AA423" s="198"/>
      <c r="AB423" s="198"/>
      <c r="AC423" s="198"/>
      <c r="AD423" s="198"/>
      <c r="AE423" s="198"/>
      <c r="AF423" s="198"/>
      <c r="AG423" s="198"/>
      <c r="AH423" s="198"/>
      <c r="AI423" s="198"/>
      <c r="AJ423" s="198"/>
      <c r="AK423" s="198"/>
      <c r="AL423" s="198"/>
      <c r="AM423" s="198"/>
    </row>
    <row r="424" ht="12.0" customHeight="1">
      <c r="A424" s="198"/>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c r="AA424" s="198"/>
      <c r="AB424" s="198"/>
      <c r="AC424" s="198"/>
      <c r="AD424" s="198"/>
      <c r="AE424" s="198"/>
      <c r="AF424" s="198"/>
      <c r="AG424" s="198"/>
      <c r="AH424" s="198"/>
      <c r="AI424" s="198"/>
      <c r="AJ424" s="198"/>
      <c r="AK424" s="198"/>
      <c r="AL424" s="198"/>
      <c r="AM424" s="198"/>
    </row>
    <row r="425" ht="12.0" customHeight="1">
      <c r="A425" s="198"/>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c r="AA425" s="198"/>
      <c r="AB425" s="198"/>
      <c r="AC425" s="198"/>
      <c r="AD425" s="198"/>
      <c r="AE425" s="198"/>
      <c r="AF425" s="198"/>
      <c r="AG425" s="198"/>
      <c r="AH425" s="198"/>
      <c r="AI425" s="198"/>
      <c r="AJ425" s="198"/>
      <c r="AK425" s="198"/>
      <c r="AL425" s="198"/>
      <c r="AM425" s="198"/>
    </row>
    <row r="426" ht="12.0" customHeight="1">
      <c r="A426" s="198"/>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c r="AA426" s="198"/>
      <c r="AB426" s="198"/>
      <c r="AC426" s="198"/>
      <c r="AD426" s="198"/>
      <c r="AE426" s="198"/>
      <c r="AF426" s="198"/>
      <c r="AG426" s="198"/>
      <c r="AH426" s="198"/>
      <c r="AI426" s="198"/>
      <c r="AJ426" s="198"/>
      <c r="AK426" s="198"/>
      <c r="AL426" s="198"/>
      <c r="AM426" s="198"/>
    </row>
    <row r="427" ht="12.0" customHeight="1">
      <c r="A427" s="198"/>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c r="AA427" s="198"/>
      <c r="AB427" s="198"/>
      <c r="AC427" s="198"/>
      <c r="AD427" s="198"/>
      <c r="AE427" s="198"/>
      <c r="AF427" s="198"/>
      <c r="AG427" s="198"/>
      <c r="AH427" s="198"/>
      <c r="AI427" s="198"/>
      <c r="AJ427" s="198"/>
      <c r="AK427" s="198"/>
      <c r="AL427" s="198"/>
      <c r="AM427" s="198"/>
    </row>
    <row r="428" ht="12.0" customHeight="1">
      <c r="A428" s="198"/>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c r="AA428" s="198"/>
      <c r="AB428" s="198"/>
      <c r="AC428" s="198"/>
      <c r="AD428" s="198"/>
      <c r="AE428" s="198"/>
      <c r="AF428" s="198"/>
      <c r="AG428" s="198"/>
      <c r="AH428" s="198"/>
      <c r="AI428" s="198"/>
      <c r="AJ428" s="198"/>
      <c r="AK428" s="198"/>
      <c r="AL428" s="198"/>
      <c r="AM428" s="198"/>
    </row>
    <row r="429" ht="12.0" customHeight="1">
      <c r="A429" s="198"/>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c r="AA429" s="198"/>
      <c r="AB429" s="198"/>
      <c r="AC429" s="198"/>
      <c r="AD429" s="198"/>
      <c r="AE429" s="198"/>
      <c r="AF429" s="198"/>
      <c r="AG429" s="198"/>
      <c r="AH429" s="198"/>
      <c r="AI429" s="198"/>
      <c r="AJ429" s="198"/>
      <c r="AK429" s="198"/>
      <c r="AL429" s="198"/>
      <c r="AM429" s="198"/>
    </row>
    <row r="430" ht="12.0" customHeight="1">
      <c r="A430" s="198"/>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c r="AA430" s="198"/>
      <c r="AB430" s="198"/>
      <c r="AC430" s="198"/>
      <c r="AD430" s="198"/>
      <c r="AE430" s="198"/>
      <c r="AF430" s="198"/>
      <c r="AG430" s="198"/>
      <c r="AH430" s="198"/>
      <c r="AI430" s="198"/>
      <c r="AJ430" s="198"/>
      <c r="AK430" s="198"/>
      <c r="AL430" s="198"/>
      <c r="AM430" s="198"/>
    </row>
    <row r="431" ht="12.0" customHeight="1">
      <c r="A431" s="198"/>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c r="AA431" s="198"/>
      <c r="AB431" s="198"/>
      <c r="AC431" s="198"/>
      <c r="AD431" s="198"/>
      <c r="AE431" s="198"/>
      <c r="AF431" s="198"/>
      <c r="AG431" s="198"/>
      <c r="AH431" s="198"/>
      <c r="AI431" s="198"/>
      <c r="AJ431" s="198"/>
      <c r="AK431" s="198"/>
      <c r="AL431" s="198"/>
      <c r="AM431" s="198"/>
    </row>
    <row r="432" ht="12.0" customHeight="1">
      <c r="A432" s="198"/>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c r="AA432" s="198"/>
      <c r="AB432" s="198"/>
      <c r="AC432" s="198"/>
      <c r="AD432" s="198"/>
      <c r="AE432" s="198"/>
      <c r="AF432" s="198"/>
      <c r="AG432" s="198"/>
      <c r="AH432" s="198"/>
      <c r="AI432" s="198"/>
      <c r="AJ432" s="198"/>
      <c r="AK432" s="198"/>
      <c r="AL432" s="198"/>
      <c r="AM432" s="198"/>
    </row>
    <row r="433" ht="12.0" customHeight="1">
      <c r="A433" s="198"/>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c r="AA433" s="198"/>
      <c r="AB433" s="198"/>
      <c r="AC433" s="198"/>
      <c r="AD433" s="198"/>
      <c r="AE433" s="198"/>
      <c r="AF433" s="198"/>
      <c r="AG433" s="198"/>
      <c r="AH433" s="198"/>
      <c r="AI433" s="198"/>
      <c r="AJ433" s="198"/>
      <c r="AK433" s="198"/>
      <c r="AL433" s="198"/>
      <c r="AM433" s="198"/>
    </row>
    <row r="434" ht="12.0" customHeight="1">
      <c r="A434" s="198"/>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c r="AA434" s="198"/>
      <c r="AB434" s="198"/>
      <c r="AC434" s="198"/>
      <c r="AD434" s="198"/>
      <c r="AE434" s="198"/>
      <c r="AF434" s="198"/>
      <c r="AG434" s="198"/>
      <c r="AH434" s="198"/>
      <c r="AI434" s="198"/>
      <c r="AJ434" s="198"/>
      <c r="AK434" s="198"/>
      <c r="AL434" s="198"/>
      <c r="AM434" s="198"/>
    </row>
    <row r="435" ht="12.0" customHeight="1">
      <c r="A435" s="198"/>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c r="AA435" s="198"/>
      <c r="AB435" s="198"/>
      <c r="AC435" s="198"/>
      <c r="AD435" s="198"/>
      <c r="AE435" s="198"/>
      <c r="AF435" s="198"/>
      <c r="AG435" s="198"/>
      <c r="AH435" s="198"/>
      <c r="AI435" s="198"/>
      <c r="AJ435" s="198"/>
      <c r="AK435" s="198"/>
      <c r="AL435" s="198"/>
      <c r="AM435" s="198"/>
    </row>
    <row r="436" ht="12.0" customHeight="1">
      <c r="A436" s="198"/>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c r="AA436" s="198"/>
      <c r="AB436" s="198"/>
      <c r="AC436" s="198"/>
      <c r="AD436" s="198"/>
      <c r="AE436" s="198"/>
      <c r="AF436" s="198"/>
      <c r="AG436" s="198"/>
      <c r="AH436" s="198"/>
      <c r="AI436" s="198"/>
      <c r="AJ436" s="198"/>
      <c r="AK436" s="198"/>
      <c r="AL436" s="198"/>
      <c r="AM436" s="198"/>
    </row>
    <row r="437" ht="12.0" customHeight="1">
      <c r="A437" s="198"/>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c r="AA437" s="198"/>
      <c r="AB437" s="198"/>
      <c r="AC437" s="198"/>
      <c r="AD437" s="198"/>
      <c r="AE437" s="198"/>
      <c r="AF437" s="198"/>
      <c r="AG437" s="198"/>
      <c r="AH437" s="198"/>
      <c r="AI437" s="198"/>
      <c r="AJ437" s="198"/>
      <c r="AK437" s="198"/>
      <c r="AL437" s="198"/>
      <c r="AM437" s="198"/>
    </row>
    <row r="438" ht="12.0" customHeight="1">
      <c r="A438" s="198"/>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c r="AA438" s="198"/>
      <c r="AB438" s="198"/>
      <c r="AC438" s="198"/>
      <c r="AD438" s="198"/>
      <c r="AE438" s="198"/>
      <c r="AF438" s="198"/>
      <c r="AG438" s="198"/>
      <c r="AH438" s="198"/>
      <c r="AI438" s="198"/>
      <c r="AJ438" s="198"/>
      <c r="AK438" s="198"/>
      <c r="AL438" s="198"/>
      <c r="AM438" s="198"/>
    </row>
    <row r="439" ht="12.0" customHeight="1">
      <c r="A439" s="198"/>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c r="AA439" s="198"/>
      <c r="AB439" s="198"/>
      <c r="AC439" s="198"/>
      <c r="AD439" s="198"/>
      <c r="AE439" s="198"/>
      <c r="AF439" s="198"/>
      <c r="AG439" s="198"/>
      <c r="AH439" s="198"/>
      <c r="AI439" s="198"/>
      <c r="AJ439" s="198"/>
      <c r="AK439" s="198"/>
      <c r="AL439" s="198"/>
      <c r="AM439" s="198"/>
    </row>
    <row r="440" ht="12.0" customHeight="1">
      <c r="A440" s="198"/>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c r="AA440" s="198"/>
      <c r="AB440" s="198"/>
      <c r="AC440" s="198"/>
      <c r="AD440" s="198"/>
      <c r="AE440" s="198"/>
      <c r="AF440" s="198"/>
      <c r="AG440" s="198"/>
      <c r="AH440" s="198"/>
      <c r="AI440" s="198"/>
      <c r="AJ440" s="198"/>
      <c r="AK440" s="198"/>
      <c r="AL440" s="198"/>
      <c r="AM440" s="198"/>
    </row>
    <row r="441" ht="12.0" customHeight="1">
      <c r="A441" s="198"/>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c r="AA441" s="198"/>
      <c r="AB441" s="198"/>
      <c r="AC441" s="198"/>
      <c r="AD441" s="198"/>
      <c r="AE441" s="198"/>
      <c r="AF441" s="198"/>
      <c r="AG441" s="198"/>
      <c r="AH441" s="198"/>
      <c r="AI441" s="198"/>
      <c r="AJ441" s="198"/>
      <c r="AK441" s="198"/>
      <c r="AL441" s="198"/>
      <c r="AM441" s="198"/>
    </row>
    <row r="442" ht="12.0" customHeight="1">
      <c r="A442" s="198"/>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c r="AA442" s="198"/>
      <c r="AB442" s="198"/>
      <c r="AC442" s="198"/>
      <c r="AD442" s="198"/>
      <c r="AE442" s="198"/>
      <c r="AF442" s="198"/>
      <c r="AG442" s="198"/>
      <c r="AH442" s="198"/>
      <c r="AI442" s="198"/>
      <c r="AJ442" s="198"/>
      <c r="AK442" s="198"/>
      <c r="AL442" s="198"/>
      <c r="AM442" s="198"/>
    </row>
    <row r="443" ht="12.0" customHeight="1">
      <c r="A443" s="198"/>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c r="AA443" s="198"/>
      <c r="AB443" s="198"/>
      <c r="AC443" s="198"/>
      <c r="AD443" s="198"/>
      <c r="AE443" s="198"/>
      <c r="AF443" s="198"/>
      <c r="AG443" s="198"/>
      <c r="AH443" s="198"/>
      <c r="AI443" s="198"/>
      <c r="AJ443" s="198"/>
      <c r="AK443" s="198"/>
      <c r="AL443" s="198"/>
      <c r="AM443" s="198"/>
    </row>
    <row r="444" ht="12.0" customHeight="1">
      <c r="A444" s="198"/>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c r="AA444" s="198"/>
      <c r="AB444" s="198"/>
      <c r="AC444" s="198"/>
      <c r="AD444" s="198"/>
      <c r="AE444" s="198"/>
      <c r="AF444" s="198"/>
      <c r="AG444" s="198"/>
      <c r="AH444" s="198"/>
      <c r="AI444" s="198"/>
      <c r="AJ444" s="198"/>
      <c r="AK444" s="198"/>
      <c r="AL444" s="198"/>
      <c r="AM444" s="198"/>
    </row>
    <row r="445" ht="12.0" customHeight="1">
      <c r="A445" s="198"/>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c r="AA445" s="198"/>
      <c r="AB445" s="198"/>
      <c r="AC445" s="198"/>
      <c r="AD445" s="198"/>
      <c r="AE445" s="198"/>
      <c r="AF445" s="198"/>
      <c r="AG445" s="198"/>
      <c r="AH445" s="198"/>
      <c r="AI445" s="198"/>
      <c r="AJ445" s="198"/>
      <c r="AK445" s="198"/>
      <c r="AL445" s="198"/>
      <c r="AM445" s="198"/>
    </row>
    <row r="446" ht="12.0" customHeight="1">
      <c r="A446" s="198"/>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c r="AA446" s="198"/>
      <c r="AB446" s="198"/>
      <c r="AC446" s="198"/>
      <c r="AD446" s="198"/>
      <c r="AE446" s="198"/>
      <c r="AF446" s="198"/>
      <c r="AG446" s="198"/>
      <c r="AH446" s="198"/>
      <c r="AI446" s="198"/>
      <c r="AJ446" s="198"/>
      <c r="AK446" s="198"/>
      <c r="AL446" s="198"/>
      <c r="AM446" s="198"/>
    </row>
    <row r="447" ht="12.0" customHeight="1">
      <c r="A447" s="198"/>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c r="AA447" s="198"/>
      <c r="AB447" s="198"/>
      <c r="AC447" s="198"/>
      <c r="AD447" s="198"/>
      <c r="AE447" s="198"/>
      <c r="AF447" s="198"/>
      <c r="AG447" s="198"/>
      <c r="AH447" s="198"/>
      <c r="AI447" s="198"/>
      <c r="AJ447" s="198"/>
      <c r="AK447" s="198"/>
      <c r="AL447" s="198"/>
      <c r="AM447" s="198"/>
    </row>
    <row r="448" ht="12.0" customHeight="1">
      <c r="A448" s="198"/>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c r="AA448" s="198"/>
      <c r="AB448" s="198"/>
      <c r="AC448" s="198"/>
      <c r="AD448" s="198"/>
      <c r="AE448" s="198"/>
      <c r="AF448" s="198"/>
      <c r="AG448" s="198"/>
      <c r="AH448" s="198"/>
      <c r="AI448" s="198"/>
      <c r="AJ448" s="198"/>
      <c r="AK448" s="198"/>
      <c r="AL448" s="198"/>
      <c r="AM448" s="198"/>
    </row>
    <row r="449" ht="12.0" customHeight="1">
      <c r="A449" s="198"/>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c r="AA449" s="198"/>
      <c r="AB449" s="198"/>
      <c r="AC449" s="198"/>
      <c r="AD449" s="198"/>
      <c r="AE449" s="198"/>
      <c r="AF449" s="198"/>
      <c r="AG449" s="198"/>
      <c r="AH449" s="198"/>
      <c r="AI449" s="198"/>
      <c r="AJ449" s="198"/>
      <c r="AK449" s="198"/>
      <c r="AL449" s="198"/>
      <c r="AM449" s="198"/>
    </row>
    <row r="450" ht="12.0" customHeight="1">
      <c r="A450" s="198"/>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c r="AA450" s="198"/>
      <c r="AB450" s="198"/>
      <c r="AC450" s="198"/>
      <c r="AD450" s="198"/>
      <c r="AE450" s="198"/>
      <c r="AF450" s="198"/>
      <c r="AG450" s="198"/>
      <c r="AH450" s="198"/>
      <c r="AI450" s="198"/>
      <c r="AJ450" s="198"/>
      <c r="AK450" s="198"/>
      <c r="AL450" s="198"/>
      <c r="AM450" s="198"/>
    </row>
    <row r="451" ht="12.0" customHeight="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c r="AA451" s="198"/>
      <c r="AB451" s="198"/>
      <c r="AC451" s="198"/>
      <c r="AD451" s="198"/>
      <c r="AE451" s="198"/>
      <c r="AF451" s="198"/>
      <c r="AG451" s="198"/>
      <c r="AH451" s="198"/>
      <c r="AI451" s="198"/>
      <c r="AJ451" s="198"/>
      <c r="AK451" s="198"/>
      <c r="AL451" s="198"/>
      <c r="AM451" s="198"/>
    </row>
    <row r="452" ht="12.0" customHeight="1">
      <c r="A452" s="198"/>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c r="AA452" s="198"/>
      <c r="AB452" s="198"/>
      <c r="AC452" s="198"/>
      <c r="AD452" s="198"/>
      <c r="AE452" s="198"/>
      <c r="AF452" s="198"/>
      <c r="AG452" s="198"/>
      <c r="AH452" s="198"/>
      <c r="AI452" s="198"/>
      <c r="AJ452" s="198"/>
      <c r="AK452" s="198"/>
      <c r="AL452" s="198"/>
      <c r="AM452" s="198"/>
    </row>
    <row r="453" ht="12.0" customHeight="1">
      <c r="A453" s="198"/>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c r="AA453" s="198"/>
      <c r="AB453" s="198"/>
      <c r="AC453" s="198"/>
      <c r="AD453" s="198"/>
      <c r="AE453" s="198"/>
      <c r="AF453" s="198"/>
      <c r="AG453" s="198"/>
      <c r="AH453" s="198"/>
      <c r="AI453" s="198"/>
      <c r="AJ453" s="198"/>
      <c r="AK453" s="198"/>
      <c r="AL453" s="198"/>
      <c r="AM453" s="198"/>
    </row>
    <row r="454" ht="12.0" customHeight="1">
      <c r="A454" s="198"/>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c r="AA454" s="198"/>
      <c r="AB454" s="198"/>
      <c r="AC454" s="198"/>
      <c r="AD454" s="198"/>
      <c r="AE454" s="198"/>
      <c r="AF454" s="198"/>
      <c r="AG454" s="198"/>
      <c r="AH454" s="198"/>
      <c r="AI454" s="198"/>
      <c r="AJ454" s="198"/>
      <c r="AK454" s="198"/>
      <c r="AL454" s="198"/>
      <c r="AM454" s="198"/>
    </row>
    <row r="455" ht="12.0" customHeight="1">
      <c r="A455" s="198"/>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c r="AA455" s="198"/>
      <c r="AB455" s="198"/>
      <c r="AC455" s="198"/>
      <c r="AD455" s="198"/>
      <c r="AE455" s="198"/>
      <c r="AF455" s="198"/>
      <c r="AG455" s="198"/>
      <c r="AH455" s="198"/>
      <c r="AI455" s="198"/>
      <c r="AJ455" s="198"/>
      <c r="AK455" s="198"/>
      <c r="AL455" s="198"/>
      <c r="AM455" s="198"/>
    </row>
    <row r="456" ht="12.0" customHeight="1">
      <c r="A456" s="198"/>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c r="AA456" s="198"/>
      <c r="AB456" s="198"/>
      <c r="AC456" s="198"/>
      <c r="AD456" s="198"/>
      <c r="AE456" s="198"/>
      <c r="AF456" s="198"/>
      <c r="AG456" s="198"/>
      <c r="AH456" s="198"/>
      <c r="AI456" s="198"/>
      <c r="AJ456" s="198"/>
      <c r="AK456" s="198"/>
      <c r="AL456" s="198"/>
      <c r="AM456" s="198"/>
    </row>
    <row r="457" ht="12.0" customHeight="1">
      <c r="A457" s="198"/>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c r="AA457" s="198"/>
      <c r="AB457" s="198"/>
      <c r="AC457" s="198"/>
      <c r="AD457" s="198"/>
      <c r="AE457" s="198"/>
      <c r="AF457" s="198"/>
      <c r="AG457" s="198"/>
      <c r="AH457" s="198"/>
      <c r="AI457" s="198"/>
      <c r="AJ457" s="198"/>
      <c r="AK457" s="198"/>
      <c r="AL457" s="198"/>
      <c r="AM457" s="198"/>
    </row>
    <row r="458" ht="12.0" customHeight="1">
      <c r="A458" s="198"/>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c r="AA458" s="198"/>
      <c r="AB458" s="198"/>
      <c r="AC458" s="198"/>
      <c r="AD458" s="198"/>
      <c r="AE458" s="198"/>
      <c r="AF458" s="198"/>
      <c r="AG458" s="198"/>
      <c r="AH458" s="198"/>
      <c r="AI458" s="198"/>
      <c r="AJ458" s="198"/>
      <c r="AK458" s="198"/>
      <c r="AL458" s="198"/>
      <c r="AM458" s="198"/>
    </row>
    <row r="459" ht="12.0" customHeight="1">
      <c r="A459" s="198"/>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c r="AA459" s="198"/>
      <c r="AB459" s="198"/>
      <c r="AC459" s="198"/>
      <c r="AD459" s="198"/>
      <c r="AE459" s="198"/>
      <c r="AF459" s="198"/>
      <c r="AG459" s="198"/>
      <c r="AH459" s="198"/>
      <c r="AI459" s="198"/>
      <c r="AJ459" s="198"/>
      <c r="AK459" s="198"/>
      <c r="AL459" s="198"/>
      <c r="AM459" s="198"/>
    </row>
    <row r="460" ht="12.0" customHeight="1">
      <c r="A460" s="198"/>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c r="AA460" s="198"/>
      <c r="AB460" s="198"/>
      <c r="AC460" s="198"/>
      <c r="AD460" s="198"/>
      <c r="AE460" s="198"/>
      <c r="AF460" s="198"/>
      <c r="AG460" s="198"/>
      <c r="AH460" s="198"/>
      <c r="AI460" s="198"/>
      <c r="AJ460" s="198"/>
      <c r="AK460" s="198"/>
      <c r="AL460" s="198"/>
      <c r="AM460" s="198"/>
    </row>
    <row r="461" ht="12.0" customHeight="1">
      <c r="A461" s="198"/>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c r="AA461" s="198"/>
      <c r="AB461" s="198"/>
      <c r="AC461" s="198"/>
      <c r="AD461" s="198"/>
      <c r="AE461" s="198"/>
      <c r="AF461" s="198"/>
      <c r="AG461" s="198"/>
      <c r="AH461" s="198"/>
      <c r="AI461" s="198"/>
      <c r="AJ461" s="198"/>
      <c r="AK461" s="198"/>
      <c r="AL461" s="198"/>
      <c r="AM461" s="198"/>
    </row>
    <row r="462" ht="12.0" customHeight="1">
      <c r="A462" s="198"/>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c r="AA462" s="198"/>
      <c r="AB462" s="198"/>
      <c r="AC462" s="198"/>
      <c r="AD462" s="198"/>
      <c r="AE462" s="198"/>
      <c r="AF462" s="198"/>
      <c r="AG462" s="198"/>
      <c r="AH462" s="198"/>
      <c r="AI462" s="198"/>
      <c r="AJ462" s="198"/>
      <c r="AK462" s="198"/>
      <c r="AL462" s="198"/>
      <c r="AM462" s="198"/>
    </row>
    <row r="463" ht="12.0" customHeight="1">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c r="AA463" s="198"/>
      <c r="AB463" s="198"/>
      <c r="AC463" s="198"/>
      <c r="AD463" s="198"/>
      <c r="AE463" s="198"/>
      <c r="AF463" s="198"/>
      <c r="AG463" s="198"/>
      <c r="AH463" s="198"/>
      <c r="AI463" s="198"/>
      <c r="AJ463" s="198"/>
      <c r="AK463" s="198"/>
      <c r="AL463" s="198"/>
      <c r="AM463" s="198"/>
    </row>
    <row r="464" ht="12.0" customHeight="1">
      <c r="A464" s="198"/>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c r="AA464" s="198"/>
      <c r="AB464" s="198"/>
      <c r="AC464" s="198"/>
      <c r="AD464" s="198"/>
      <c r="AE464" s="198"/>
      <c r="AF464" s="198"/>
      <c r="AG464" s="198"/>
      <c r="AH464" s="198"/>
      <c r="AI464" s="198"/>
      <c r="AJ464" s="198"/>
      <c r="AK464" s="198"/>
      <c r="AL464" s="198"/>
      <c r="AM464" s="198"/>
    </row>
    <row r="465" ht="12.0" customHeight="1">
      <c r="A465" s="198"/>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c r="AA465" s="198"/>
      <c r="AB465" s="198"/>
      <c r="AC465" s="198"/>
      <c r="AD465" s="198"/>
      <c r="AE465" s="198"/>
      <c r="AF465" s="198"/>
      <c r="AG465" s="198"/>
      <c r="AH465" s="198"/>
      <c r="AI465" s="198"/>
      <c r="AJ465" s="198"/>
      <c r="AK465" s="198"/>
      <c r="AL465" s="198"/>
      <c r="AM465" s="198"/>
    </row>
    <row r="466" ht="12.0" customHeight="1">
      <c r="A466" s="198"/>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c r="AA466" s="198"/>
      <c r="AB466" s="198"/>
      <c r="AC466" s="198"/>
      <c r="AD466" s="198"/>
      <c r="AE466" s="198"/>
      <c r="AF466" s="198"/>
      <c r="AG466" s="198"/>
      <c r="AH466" s="198"/>
      <c r="AI466" s="198"/>
      <c r="AJ466" s="198"/>
      <c r="AK466" s="198"/>
      <c r="AL466" s="198"/>
      <c r="AM466" s="198"/>
    </row>
    <row r="467" ht="12.0" customHeight="1">
      <c r="A467" s="198"/>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c r="AA467" s="198"/>
      <c r="AB467" s="198"/>
      <c r="AC467" s="198"/>
      <c r="AD467" s="198"/>
      <c r="AE467" s="198"/>
      <c r="AF467" s="198"/>
      <c r="AG467" s="198"/>
      <c r="AH467" s="198"/>
      <c r="AI467" s="198"/>
      <c r="AJ467" s="198"/>
      <c r="AK467" s="198"/>
      <c r="AL467" s="198"/>
      <c r="AM467" s="198"/>
    </row>
    <row r="468" ht="12.0" customHeight="1">
      <c r="A468" s="198"/>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c r="AA468" s="198"/>
      <c r="AB468" s="198"/>
      <c r="AC468" s="198"/>
      <c r="AD468" s="198"/>
      <c r="AE468" s="198"/>
      <c r="AF468" s="198"/>
      <c r="AG468" s="198"/>
      <c r="AH468" s="198"/>
      <c r="AI468" s="198"/>
      <c r="AJ468" s="198"/>
      <c r="AK468" s="198"/>
      <c r="AL468" s="198"/>
      <c r="AM468" s="198"/>
    </row>
    <row r="469" ht="12.0" customHeight="1">
      <c r="A469" s="198"/>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c r="AA469" s="198"/>
      <c r="AB469" s="198"/>
      <c r="AC469" s="198"/>
      <c r="AD469" s="198"/>
      <c r="AE469" s="198"/>
      <c r="AF469" s="198"/>
      <c r="AG469" s="198"/>
      <c r="AH469" s="198"/>
      <c r="AI469" s="198"/>
      <c r="AJ469" s="198"/>
      <c r="AK469" s="198"/>
      <c r="AL469" s="198"/>
      <c r="AM469" s="198"/>
    </row>
    <row r="470" ht="12.0" customHeight="1">
      <c r="A470" s="198"/>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c r="AA470" s="198"/>
      <c r="AB470" s="198"/>
      <c r="AC470" s="198"/>
      <c r="AD470" s="198"/>
      <c r="AE470" s="198"/>
      <c r="AF470" s="198"/>
      <c r="AG470" s="198"/>
      <c r="AH470" s="198"/>
      <c r="AI470" s="198"/>
      <c r="AJ470" s="198"/>
      <c r="AK470" s="198"/>
      <c r="AL470" s="198"/>
      <c r="AM470" s="198"/>
    </row>
    <row r="471" ht="12.0" customHeight="1">
      <c r="A471" s="198"/>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c r="AA471" s="198"/>
      <c r="AB471" s="198"/>
      <c r="AC471" s="198"/>
      <c r="AD471" s="198"/>
      <c r="AE471" s="198"/>
      <c r="AF471" s="198"/>
      <c r="AG471" s="198"/>
      <c r="AH471" s="198"/>
      <c r="AI471" s="198"/>
      <c r="AJ471" s="198"/>
      <c r="AK471" s="198"/>
      <c r="AL471" s="198"/>
      <c r="AM471" s="198"/>
    </row>
    <row r="472" ht="12.0" customHeight="1">
      <c r="A472" s="198"/>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c r="AA472" s="198"/>
      <c r="AB472" s="198"/>
      <c r="AC472" s="198"/>
      <c r="AD472" s="198"/>
      <c r="AE472" s="198"/>
      <c r="AF472" s="198"/>
      <c r="AG472" s="198"/>
      <c r="AH472" s="198"/>
      <c r="AI472" s="198"/>
      <c r="AJ472" s="198"/>
      <c r="AK472" s="198"/>
      <c r="AL472" s="198"/>
      <c r="AM472" s="198"/>
    </row>
    <row r="473" ht="12.0" customHeight="1">
      <c r="A473" s="198"/>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c r="AA473" s="198"/>
      <c r="AB473" s="198"/>
      <c r="AC473" s="198"/>
      <c r="AD473" s="198"/>
      <c r="AE473" s="198"/>
      <c r="AF473" s="198"/>
      <c r="AG473" s="198"/>
      <c r="AH473" s="198"/>
      <c r="AI473" s="198"/>
      <c r="AJ473" s="198"/>
      <c r="AK473" s="198"/>
      <c r="AL473" s="198"/>
      <c r="AM473" s="198"/>
    </row>
    <row r="474" ht="12.0" customHeight="1">
      <c r="A474" s="198"/>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c r="AA474" s="198"/>
      <c r="AB474" s="198"/>
      <c r="AC474" s="198"/>
      <c r="AD474" s="198"/>
      <c r="AE474" s="198"/>
      <c r="AF474" s="198"/>
      <c r="AG474" s="198"/>
      <c r="AH474" s="198"/>
      <c r="AI474" s="198"/>
      <c r="AJ474" s="198"/>
      <c r="AK474" s="198"/>
      <c r="AL474" s="198"/>
      <c r="AM474" s="198"/>
    </row>
    <row r="475" ht="12.0" customHeight="1">
      <c r="A475" s="198"/>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c r="AA475" s="198"/>
      <c r="AB475" s="198"/>
      <c r="AC475" s="198"/>
      <c r="AD475" s="198"/>
      <c r="AE475" s="198"/>
      <c r="AF475" s="198"/>
      <c r="AG475" s="198"/>
      <c r="AH475" s="198"/>
      <c r="AI475" s="198"/>
      <c r="AJ475" s="198"/>
      <c r="AK475" s="198"/>
      <c r="AL475" s="198"/>
      <c r="AM475" s="198"/>
    </row>
    <row r="476" ht="12.0" customHeight="1">
      <c r="A476" s="198"/>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c r="AA476" s="198"/>
      <c r="AB476" s="198"/>
      <c r="AC476" s="198"/>
      <c r="AD476" s="198"/>
      <c r="AE476" s="198"/>
      <c r="AF476" s="198"/>
      <c r="AG476" s="198"/>
      <c r="AH476" s="198"/>
      <c r="AI476" s="198"/>
      <c r="AJ476" s="198"/>
      <c r="AK476" s="198"/>
      <c r="AL476" s="198"/>
      <c r="AM476" s="198"/>
    </row>
    <row r="477" ht="12.0" customHeight="1">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c r="AA477" s="198"/>
      <c r="AB477" s="198"/>
      <c r="AC477" s="198"/>
      <c r="AD477" s="198"/>
      <c r="AE477" s="198"/>
      <c r="AF477" s="198"/>
      <c r="AG477" s="198"/>
      <c r="AH477" s="198"/>
      <c r="AI477" s="198"/>
      <c r="AJ477" s="198"/>
      <c r="AK477" s="198"/>
      <c r="AL477" s="198"/>
      <c r="AM477" s="198"/>
    </row>
    <row r="478" ht="12.0" customHeight="1">
      <c r="A478" s="198"/>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c r="AA478" s="198"/>
      <c r="AB478" s="198"/>
      <c r="AC478" s="198"/>
      <c r="AD478" s="198"/>
      <c r="AE478" s="198"/>
      <c r="AF478" s="198"/>
      <c r="AG478" s="198"/>
      <c r="AH478" s="198"/>
      <c r="AI478" s="198"/>
      <c r="AJ478" s="198"/>
      <c r="AK478" s="198"/>
      <c r="AL478" s="198"/>
      <c r="AM478" s="198"/>
    </row>
    <row r="479" ht="12.0" customHeight="1">
      <c r="A479" s="198"/>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c r="AA479" s="198"/>
      <c r="AB479" s="198"/>
      <c r="AC479" s="198"/>
      <c r="AD479" s="198"/>
      <c r="AE479" s="198"/>
      <c r="AF479" s="198"/>
      <c r="AG479" s="198"/>
      <c r="AH479" s="198"/>
      <c r="AI479" s="198"/>
      <c r="AJ479" s="198"/>
      <c r="AK479" s="198"/>
      <c r="AL479" s="198"/>
      <c r="AM479" s="198"/>
    </row>
    <row r="480" ht="12.0" customHeight="1">
      <c r="A480" s="198"/>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c r="AA480" s="198"/>
      <c r="AB480" s="198"/>
      <c r="AC480" s="198"/>
      <c r="AD480" s="198"/>
      <c r="AE480" s="198"/>
      <c r="AF480" s="198"/>
      <c r="AG480" s="198"/>
      <c r="AH480" s="198"/>
      <c r="AI480" s="198"/>
      <c r="AJ480" s="198"/>
      <c r="AK480" s="198"/>
      <c r="AL480" s="198"/>
      <c r="AM480" s="198"/>
    </row>
    <row r="481" ht="12.0" customHeight="1">
      <c r="A481" s="198"/>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c r="AA481" s="198"/>
      <c r="AB481" s="198"/>
      <c r="AC481" s="198"/>
      <c r="AD481" s="198"/>
      <c r="AE481" s="198"/>
      <c r="AF481" s="198"/>
      <c r="AG481" s="198"/>
      <c r="AH481" s="198"/>
      <c r="AI481" s="198"/>
      <c r="AJ481" s="198"/>
      <c r="AK481" s="198"/>
      <c r="AL481" s="198"/>
      <c r="AM481" s="198"/>
    </row>
    <row r="482" ht="12.0" customHeight="1">
      <c r="A482" s="198"/>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c r="AA482" s="198"/>
      <c r="AB482" s="198"/>
      <c r="AC482" s="198"/>
      <c r="AD482" s="198"/>
      <c r="AE482" s="198"/>
      <c r="AF482" s="198"/>
      <c r="AG482" s="198"/>
      <c r="AH482" s="198"/>
      <c r="AI482" s="198"/>
      <c r="AJ482" s="198"/>
      <c r="AK482" s="198"/>
      <c r="AL482" s="198"/>
      <c r="AM482" s="198"/>
    </row>
    <row r="483" ht="12.0" customHeight="1">
      <c r="A483" s="198"/>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c r="AA483" s="198"/>
      <c r="AB483" s="198"/>
      <c r="AC483" s="198"/>
      <c r="AD483" s="198"/>
      <c r="AE483" s="198"/>
      <c r="AF483" s="198"/>
      <c r="AG483" s="198"/>
      <c r="AH483" s="198"/>
      <c r="AI483" s="198"/>
      <c r="AJ483" s="198"/>
      <c r="AK483" s="198"/>
      <c r="AL483" s="198"/>
      <c r="AM483" s="198"/>
    </row>
    <row r="484" ht="12.0" customHeight="1">
      <c r="A484" s="198"/>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c r="AA484" s="198"/>
      <c r="AB484" s="198"/>
      <c r="AC484" s="198"/>
      <c r="AD484" s="198"/>
      <c r="AE484" s="198"/>
      <c r="AF484" s="198"/>
      <c r="AG484" s="198"/>
      <c r="AH484" s="198"/>
      <c r="AI484" s="198"/>
      <c r="AJ484" s="198"/>
      <c r="AK484" s="198"/>
      <c r="AL484" s="198"/>
      <c r="AM484" s="198"/>
    </row>
    <row r="485" ht="12.0" customHeight="1">
      <c r="A485" s="198"/>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c r="AA485" s="198"/>
      <c r="AB485" s="198"/>
      <c r="AC485" s="198"/>
      <c r="AD485" s="198"/>
      <c r="AE485" s="198"/>
      <c r="AF485" s="198"/>
      <c r="AG485" s="198"/>
      <c r="AH485" s="198"/>
      <c r="AI485" s="198"/>
      <c r="AJ485" s="198"/>
      <c r="AK485" s="198"/>
      <c r="AL485" s="198"/>
      <c r="AM485" s="198"/>
    </row>
    <row r="486" ht="12.0" customHeight="1">
      <c r="A486" s="198"/>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c r="AA486" s="198"/>
      <c r="AB486" s="198"/>
      <c r="AC486" s="198"/>
      <c r="AD486" s="198"/>
      <c r="AE486" s="198"/>
      <c r="AF486" s="198"/>
      <c r="AG486" s="198"/>
      <c r="AH486" s="198"/>
      <c r="AI486" s="198"/>
      <c r="AJ486" s="198"/>
      <c r="AK486" s="198"/>
      <c r="AL486" s="198"/>
      <c r="AM486" s="198"/>
    </row>
    <row r="487" ht="12.0" customHeight="1">
      <c r="A487" s="198"/>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c r="AA487" s="198"/>
      <c r="AB487" s="198"/>
      <c r="AC487" s="198"/>
      <c r="AD487" s="198"/>
      <c r="AE487" s="198"/>
      <c r="AF487" s="198"/>
      <c r="AG487" s="198"/>
      <c r="AH487" s="198"/>
      <c r="AI487" s="198"/>
      <c r="AJ487" s="198"/>
      <c r="AK487" s="198"/>
      <c r="AL487" s="198"/>
      <c r="AM487" s="198"/>
    </row>
    <row r="488" ht="12.0" customHeight="1">
      <c r="A488" s="198"/>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c r="AA488" s="198"/>
      <c r="AB488" s="198"/>
      <c r="AC488" s="198"/>
      <c r="AD488" s="198"/>
      <c r="AE488" s="198"/>
      <c r="AF488" s="198"/>
      <c r="AG488" s="198"/>
      <c r="AH488" s="198"/>
      <c r="AI488" s="198"/>
      <c r="AJ488" s="198"/>
      <c r="AK488" s="198"/>
      <c r="AL488" s="198"/>
      <c r="AM488" s="198"/>
    </row>
    <row r="489" ht="12.0" customHeight="1">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c r="AA489" s="198"/>
      <c r="AB489" s="198"/>
      <c r="AC489" s="198"/>
      <c r="AD489" s="198"/>
      <c r="AE489" s="198"/>
      <c r="AF489" s="198"/>
      <c r="AG489" s="198"/>
      <c r="AH489" s="198"/>
      <c r="AI489" s="198"/>
      <c r="AJ489" s="198"/>
      <c r="AK489" s="198"/>
      <c r="AL489" s="198"/>
      <c r="AM489" s="198"/>
    </row>
    <row r="490" ht="12.0" customHeight="1">
      <c r="A490" s="198"/>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c r="AA490" s="198"/>
      <c r="AB490" s="198"/>
      <c r="AC490" s="198"/>
      <c r="AD490" s="198"/>
      <c r="AE490" s="198"/>
      <c r="AF490" s="198"/>
      <c r="AG490" s="198"/>
      <c r="AH490" s="198"/>
      <c r="AI490" s="198"/>
      <c r="AJ490" s="198"/>
      <c r="AK490" s="198"/>
      <c r="AL490" s="198"/>
      <c r="AM490" s="198"/>
    </row>
    <row r="491" ht="12.0" customHeight="1">
      <c r="A491" s="198"/>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c r="AA491" s="198"/>
      <c r="AB491" s="198"/>
      <c r="AC491" s="198"/>
      <c r="AD491" s="198"/>
      <c r="AE491" s="198"/>
      <c r="AF491" s="198"/>
      <c r="AG491" s="198"/>
      <c r="AH491" s="198"/>
      <c r="AI491" s="198"/>
      <c r="AJ491" s="198"/>
      <c r="AK491" s="198"/>
      <c r="AL491" s="198"/>
      <c r="AM491" s="198"/>
    </row>
    <row r="492" ht="12.0" customHeight="1">
      <c r="A492" s="198"/>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c r="AA492" s="198"/>
      <c r="AB492" s="198"/>
      <c r="AC492" s="198"/>
      <c r="AD492" s="198"/>
      <c r="AE492" s="198"/>
      <c r="AF492" s="198"/>
      <c r="AG492" s="198"/>
      <c r="AH492" s="198"/>
      <c r="AI492" s="198"/>
      <c r="AJ492" s="198"/>
      <c r="AK492" s="198"/>
      <c r="AL492" s="198"/>
      <c r="AM492" s="198"/>
    </row>
    <row r="493" ht="12.0" customHeight="1">
      <c r="A493" s="198"/>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c r="AA493" s="198"/>
      <c r="AB493" s="198"/>
      <c r="AC493" s="198"/>
      <c r="AD493" s="198"/>
      <c r="AE493" s="198"/>
      <c r="AF493" s="198"/>
      <c r="AG493" s="198"/>
      <c r="AH493" s="198"/>
      <c r="AI493" s="198"/>
      <c r="AJ493" s="198"/>
      <c r="AK493" s="198"/>
      <c r="AL493" s="198"/>
      <c r="AM493" s="198"/>
    </row>
    <row r="494" ht="12.0" customHeight="1">
      <c r="A494" s="198"/>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c r="AA494" s="198"/>
      <c r="AB494" s="198"/>
      <c r="AC494" s="198"/>
      <c r="AD494" s="198"/>
      <c r="AE494" s="198"/>
      <c r="AF494" s="198"/>
      <c r="AG494" s="198"/>
      <c r="AH494" s="198"/>
      <c r="AI494" s="198"/>
      <c r="AJ494" s="198"/>
      <c r="AK494" s="198"/>
      <c r="AL494" s="198"/>
      <c r="AM494" s="198"/>
    </row>
    <row r="495" ht="12.0" customHeight="1">
      <c r="A495" s="198"/>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c r="AA495" s="198"/>
      <c r="AB495" s="198"/>
      <c r="AC495" s="198"/>
      <c r="AD495" s="198"/>
      <c r="AE495" s="198"/>
      <c r="AF495" s="198"/>
      <c r="AG495" s="198"/>
      <c r="AH495" s="198"/>
      <c r="AI495" s="198"/>
      <c r="AJ495" s="198"/>
      <c r="AK495" s="198"/>
      <c r="AL495" s="198"/>
      <c r="AM495" s="198"/>
    </row>
    <row r="496" ht="12.0" customHeight="1">
      <c r="A496" s="198"/>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c r="AA496" s="198"/>
      <c r="AB496" s="198"/>
      <c r="AC496" s="198"/>
      <c r="AD496" s="198"/>
      <c r="AE496" s="198"/>
      <c r="AF496" s="198"/>
      <c r="AG496" s="198"/>
      <c r="AH496" s="198"/>
      <c r="AI496" s="198"/>
      <c r="AJ496" s="198"/>
      <c r="AK496" s="198"/>
      <c r="AL496" s="198"/>
      <c r="AM496" s="198"/>
    </row>
    <row r="497" ht="12.0" customHeight="1">
      <c r="A497" s="198"/>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c r="AA497" s="198"/>
      <c r="AB497" s="198"/>
      <c r="AC497" s="198"/>
      <c r="AD497" s="198"/>
      <c r="AE497" s="198"/>
      <c r="AF497" s="198"/>
      <c r="AG497" s="198"/>
      <c r="AH497" s="198"/>
      <c r="AI497" s="198"/>
      <c r="AJ497" s="198"/>
      <c r="AK497" s="198"/>
      <c r="AL497" s="198"/>
      <c r="AM497" s="198"/>
    </row>
    <row r="498" ht="12.0" customHeight="1">
      <c r="A498" s="198"/>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row>
    <row r="499" ht="12.0" customHeight="1">
      <c r="A499" s="198"/>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c r="AA499" s="198"/>
      <c r="AB499" s="198"/>
      <c r="AC499" s="198"/>
      <c r="AD499" s="198"/>
      <c r="AE499" s="198"/>
      <c r="AF499" s="198"/>
      <c r="AG499" s="198"/>
      <c r="AH499" s="198"/>
      <c r="AI499" s="198"/>
      <c r="AJ499" s="198"/>
      <c r="AK499" s="198"/>
      <c r="AL499" s="198"/>
      <c r="AM499" s="198"/>
    </row>
    <row r="500" ht="12.0" customHeight="1">
      <c r="A500" s="198"/>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c r="AA500" s="198"/>
      <c r="AB500" s="198"/>
      <c r="AC500" s="198"/>
      <c r="AD500" s="198"/>
      <c r="AE500" s="198"/>
      <c r="AF500" s="198"/>
      <c r="AG500" s="198"/>
      <c r="AH500" s="198"/>
      <c r="AI500" s="198"/>
      <c r="AJ500" s="198"/>
      <c r="AK500" s="198"/>
      <c r="AL500" s="198"/>
      <c r="AM500" s="198"/>
    </row>
    <row r="501" ht="12.0" customHeight="1">
      <c r="A501" s="198"/>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c r="AA501" s="198"/>
      <c r="AB501" s="198"/>
      <c r="AC501" s="198"/>
      <c r="AD501" s="198"/>
      <c r="AE501" s="198"/>
      <c r="AF501" s="198"/>
      <c r="AG501" s="198"/>
      <c r="AH501" s="198"/>
      <c r="AI501" s="198"/>
      <c r="AJ501" s="198"/>
      <c r="AK501" s="198"/>
      <c r="AL501" s="198"/>
      <c r="AM501" s="198"/>
    </row>
    <row r="502" ht="12.0" customHeight="1">
      <c r="A502" s="198"/>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c r="AA502" s="198"/>
      <c r="AB502" s="198"/>
      <c r="AC502" s="198"/>
      <c r="AD502" s="198"/>
      <c r="AE502" s="198"/>
      <c r="AF502" s="198"/>
      <c r="AG502" s="198"/>
      <c r="AH502" s="198"/>
      <c r="AI502" s="198"/>
      <c r="AJ502" s="198"/>
      <c r="AK502" s="198"/>
      <c r="AL502" s="198"/>
      <c r="AM502" s="198"/>
    </row>
    <row r="503" ht="12.0" customHeight="1">
      <c r="A503" s="198"/>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c r="AA503" s="198"/>
      <c r="AB503" s="198"/>
      <c r="AC503" s="198"/>
      <c r="AD503" s="198"/>
      <c r="AE503" s="198"/>
      <c r="AF503" s="198"/>
      <c r="AG503" s="198"/>
      <c r="AH503" s="198"/>
      <c r="AI503" s="198"/>
      <c r="AJ503" s="198"/>
      <c r="AK503" s="198"/>
      <c r="AL503" s="198"/>
      <c r="AM503" s="198"/>
    </row>
    <row r="504" ht="12.0" customHeight="1">
      <c r="A504" s="198"/>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c r="AA504" s="198"/>
      <c r="AB504" s="198"/>
      <c r="AC504" s="198"/>
      <c r="AD504" s="198"/>
      <c r="AE504" s="198"/>
      <c r="AF504" s="198"/>
      <c r="AG504" s="198"/>
      <c r="AH504" s="198"/>
      <c r="AI504" s="198"/>
      <c r="AJ504" s="198"/>
      <c r="AK504" s="198"/>
      <c r="AL504" s="198"/>
      <c r="AM504" s="198"/>
    </row>
    <row r="505" ht="12.0" customHeight="1">
      <c r="A505" s="198"/>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c r="AA505" s="198"/>
      <c r="AB505" s="198"/>
      <c r="AC505" s="198"/>
      <c r="AD505" s="198"/>
      <c r="AE505" s="198"/>
      <c r="AF505" s="198"/>
      <c r="AG505" s="198"/>
      <c r="AH505" s="198"/>
      <c r="AI505" s="198"/>
      <c r="AJ505" s="198"/>
      <c r="AK505" s="198"/>
      <c r="AL505" s="198"/>
      <c r="AM505" s="198"/>
    </row>
    <row r="506" ht="12.0" customHeight="1">
      <c r="A506" s="198"/>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c r="AA506" s="198"/>
      <c r="AB506" s="198"/>
      <c r="AC506" s="198"/>
      <c r="AD506" s="198"/>
      <c r="AE506" s="198"/>
      <c r="AF506" s="198"/>
      <c r="AG506" s="198"/>
      <c r="AH506" s="198"/>
      <c r="AI506" s="198"/>
      <c r="AJ506" s="198"/>
      <c r="AK506" s="198"/>
      <c r="AL506" s="198"/>
      <c r="AM506" s="198"/>
    </row>
    <row r="507" ht="12.0" customHeight="1">
      <c r="A507" s="198"/>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c r="AA507" s="198"/>
      <c r="AB507" s="198"/>
      <c r="AC507" s="198"/>
      <c r="AD507" s="198"/>
      <c r="AE507" s="198"/>
      <c r="AF507" s="198"/>
      <c r="AG507" s="198"/>
      <c r="AH507" s="198"/>
      <c r="AI507" s="198"/>
      <c r="AJ507" s="198"/>
      <c r="AK507" s="198"/>
      <c r="AL507" s="198"/>
      <c r="AM507" s="198"/>
    </row>
    <row r="508" ht="12.0" customHeight="1">
      <c r="A508" s="198"/>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c r="AA508" s="198"/>
      <c r="AB508" s="198"/>
      <c r="AC508" s="198"/>
      <c r="AD508" s="198"/>
      <c r="AE508" s="198"/>
      <c r="AF508" s="198"/>
      <c r="AG508" s="198"/>
      <c r="AH508" s="198"/>
      <c r="AI508" s="198"/>
      <c r="AJ508" s="198"/>
      <c r="AK508" s="198"/>
      <c r="AL508" s="198"/>
      <c r="AM508" s="198"/>
    </row>
    <row r="509" ht="12.0" customHeight="1">
      <c r="A509" s="198"/>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c r="AA509" s="198"/>
      <c r="AB509" s="198"/>
      <c r="AC509" s="198"/>
      <c r="AD509" s="198"/>
      <c r="AE509" s="198"/>
      <c r="AF509" s="198"/>
      <c r="AG509" s="198"/>
      <c r="AH509" s="198"/>
      <c r="AI509" s="198"/>
      <c r="AJ509" s="198"/>
      <c r="AK509" s="198"/>
      <c r="AL509" s="198"/>
      <c r="AM509" s="198"/>
    </row>
    <row r="510" ht="12.0" customHeight="1">
      <c r="A510" s="198"/>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c r="AA510" s="198"/>
      <c r="AB510" s="198"/>
      <c r="AC510" s="198"/>
      <c r="AD510" s="198"/>
      <c r="AE510" s="198"/>
      <c r="AF510" s="198"/>
      <c r="AG510" s="198"/>
      <c r="AH510" s="198"/>
      <c r="AI510" s="198"/>
      <c r="AJ510" s="198"/>
      <c r="AK510" s="198"/>
      <c r="AL510" s="198"/>
      <c r="AM510" s="198"/>
    </row>
    <row r="511" ht="12.0" customHeight="1">
      <c r="A511" s="198"/>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c r="AA511" s="198"/>
      <c r="AB511" s="198"/>
      <c r="AC511" s="198"/>
      <c r="AD511" s="198"/>
      <c r="AE511" s="198"/>
      <c r="AF511" s="198"/>
      <c r="AG511" s="198"/>
      <c r="AH511" s="198"/>
      <c r="AI511" s="198"/>
      <c r="AJ511" s="198"/>
      <c r="AK511" s="198"/>
      <c r="AL511" s="198"/>
      <c r="AM511" s="198"/>
    </row>
    <row r="512" ht="12.0" customHeight="1">
      <c r="A512" s="198"/>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c r="AA512" s="198"/>
      <c r="AB512" s="198"/>
      <c r="AC512" s="198"/>
      <c r="AD512" s="198"/>
      <c r="AE512" s="198"/>
      <c r="AF512" s="198"/>
      <c r="AG512" s="198"/>
      <c r="AH512" s="198"/>
      <c r="AI512" s="198"/>
      <c r="AJ512" s="198"/>
      <c r="AK512" s="198"/>
      <c r="AL512" s="198"/>
      <c r="AM512" s="198"/>
    </row>
    <row r="513" ht="12.0" customHeight="1">
      <c r="A513" s="198"/>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c r="AA513" s="198"/>
      <c r="AB513" s="198"/>
      <c r="AC513" s="198"/>
      <c r="AD513" s="198"/>
      <c r="AE513" s="198"/>
      <c r="AF513" s="198"/>
      <c r="AG513" s="198"/>
      <c r="AH513" s="198"/>
      <c r="AI513" s="198"/>
      <c r="AJ513" s="198"/>
      <c r="AK513" s="198"/>
      <c r="AL513" s="198"/>
      <c r="AM513" s="198"/>
    </row>
    <row r="514" ht="12.0" customHeight="1">
      <c r="A514" s="198"/>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c r="AA514" s="198"/>
      <c r="AB514" s="198"/>
      <c r="AC514" s="198"/>
      <c r="AD514" s="198"/>
      <c r="AE514" s="198"/>
      <c r="AF514" s="198"/>
      <c r="AG514" s="198"/>
      <c r="AH514" s="198"/>
      <c r="AI514" s="198"/>
      <c r="AJ514" s="198"/>
      <c r="AK514" s="198"/>
      <c r="AL514" s="198"/>
      <c r="AM514" s="198"/>
    </row>
    <row r="515" ht="12.0" customHeight="1">
      <c r="A515" s="198"/>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c r="AA515" s="198"/>
      <c r="AB515" s="198"/>
      <c r="AC515" s="198"/>
      <c r="AD515" s="198"/>
      <c r="AE515" s="198"/>
      <c r="AF515" s="198"/>
      <c r="AG515" s="198"/>
      <c r="AH515" s="198"/>
      <c r="AI515" s="198"/>
      <c r="AJ515" s="198"/>
      <c r="AK515" s="198"/>
      <c r="AL515" s="198"/>
      <c r="AM515" s="198"/>
    </row>
    <row r="516" ht="12.0" customHeight="1">
      <c r="A516" s="198"/>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c r="AA516" s="198"/>
      <c r="AB516" s="198"/>
      <c r="AC516" s="198"/>
      <c r="AD516" s="198"/>
      <c r="AE516" s="198"/>
      <c r="AF516" s="198"/>
      <c r="AG516" s="198"/>
      <c r="AH516" s="198"/>
      <c r="AI516" s="198"/>
      <c r="AJ516" s="198"/>
      <c r="AK516" s="198"/>
      <c r="AL516" s="198"/>
      <c r="AM516" s="198"/>
    </row>
    <row r="517" ht="12.0" customHeight="1">
      <c r="A517" s="198"/>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c r="AA517" s="198"/>
      <c r="AB517" s="198"/>
      <c r="AC517" s="198"/>
      <c r="AD517" s="198"/>
      <c r="AE517" s="198"/>
      <c r="AF517" s="198"/>
      <c r="AG517" s="198"/>
      <c r="AH517" s="198"/>
      <c r="AI517" s="198"/>
      <c r="AJ517" s="198"/>
      <c r="AK517" s="198"/>
      <c r="AL517" s="198"/>
      <c r="AM517" s="198"/>
    </row>
    <row r="518" ht="12.0" customHeight="1">
      <c r="A518" s="198"/>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c r="AA518" s="198"/>
      <c r="AB518" s="198"/>
      <c r="AC518" s="198"/>
      <c r="AD518" s="198"/>
      <c r="AE518" s="198"/>
      <c r="AF518" s="198"/>
      <c r="AG518" s="198"/>
      <c r="AH518" s="198"/>
      <c r="AI518" s="198"/>
      <c r="AJ518" s="198"/>
      <c r="AK518" s="198"/>
      <c r="AL518" s="198"/>
      <c r="AM518" s="198"/>
    </row>
    <row r="519" ht="12.0" customHeight="1">
      <c r="A519" s="198"/>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c r="AA519" s="198"/>
      <c r="AB519" s="198"/>
      <c r="AC519" s="198"/>
      <c r="AD519" s="198"/>
      <c r="AE519" s="198"/>
      <c r="AF519" s="198"/>
      <c r="AG519" s="198"/>
      <c r="AH519" s="198"/>
      <c r="AI519" s="198"/>
      <c r="AJ519" s="198"/>
      <c r="AK519" s="198"/>
      <c r="AL519" s="198"/>
      <c r="AM519" s="198"/>
    </row>
    <row r="520" ht="12.0" customHeight="1">
      <c r="A520" s="198"/>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c r="AA520" s="198"/>
      <c r="AB520" s="198"/>
      <c r="AC520" s="198"/>
      <c r="AD520" s="198"/>
      <c r="AE520" s="198"/>
      <c r="AF520" s="198"/>
      <c r="AG520" s="198"/>
      <c r="AH520" s="198"/>
      <c r="AI520" s="198"/>
      <c r="AJ520" s="198"/>
      <c r="AK520" s="198"/>
      <c r="AL520" s="198"/>
      <c r="AM520" s="198"/>
    </row>
    <row r="521" ht="12.0" customHeight="1">
      <c r="A521" s="198"/>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c r="AA521" s="198"/>
      <c r="AB521" s="198"/>
      <c r="AC521" s="198"/>
      <c r="AD521" s="198"/>
      <c r="AE521" s="198"/>
      <c r="AF521" s="198"/>
      <c r="AG521" s="198"/>
      <c r="AH521" s="198"/>
      <c r="AI521" s="198"/>
      <c r="AJ521" s="198"/>
      <c r="AK521" s="198"/>
      <c r="AL521" s="198"/>
      <c r="AM521" s="198"/>
    </row>
    <row r="522" ht="12.0" customHeight="1">
      <c r="A522" s="198"/>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c r="AA522" s="198"/>
      <c r="AB522" s="198"/>
      <c r="AC522" s="198"/>
      <c r="AD522" s="198"/>
      <c r="AE522" s="198"/>
      <c r="AF522" s="198"/>
      <c r="AG522" s="198"/>
      <c r="AH522" s="198"/>
      <c r="AI522" s="198"/>
      <c r="AJ522" s="198"/>
      <c r="AK522" s="198"/>
      <c r="AL522" s="198"/>
      <c r="AM522" s="198"/>
    </row>
    <row r="523" ht="12.0" customHeight="1">
      <c r="A523" s="198"/>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c r="AA523" s="198"/>
      <c r="AB523" s="198"/>
      <c r="AC523" s="198"/>
      <c r="AD523" s="198"/>
      <c r="AE523" s="198"/>
      <c r="AF523" s="198"/>
      <c r="AG523" s="198"/>
      <c r="AH523" s="198"/>
      <c r="AI523" s="198"/>
      <c r="AJ523" s="198"/>
      <c r="AK523" s="198"/>
      <c r="AL523" s="198"/>
      <c r="AM523" s="198"/>
    </row>
    <row r="524" ht="12.0" customHeight="1">
      <c r="A524" s="198"/>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c r="AA524" s="198"/>
      <c r="AB524" s="198"/>
      <c r="AC524" s="198"/>
      <c r="AD524" s="198"/>
      <c r="AE524" s="198"/>
      <c r="AF524" s="198"/>
      <c r="AG524" s="198"/>
      <c r="AH524" s="198"/>
      <c r="AI524" s="198"/>
      <c r="AJ524" s="198"/>
      <c r="AK524" s="198"/>
      <c r="AL524" s="198"/>
      <c r="AM524" s="198"/>
    </row>
    <row r="525" ht="12.0" customHeight="1">
      <c r="A525" s="198"/>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c r="AA525" s="198"/>
      <c r="AB525" s="198"/>
      <c r="AC525" s="198"/>
      <c r="AD525" s="198"/>
      <c r="AE525" s="198"/>
      <c r="AF525" s="198"/>
      <c r="AG525" s="198"/>
      <c r="AH525" s="198"/>
      <c r="AI525" s="198"/>
      <c r="AJ525" s="198"/>
      <c r="AK525" s="198"/>
      <c r="AL525" s="198"/>
      <c r="AM525" s="198"/>
    </row>
    <row r="526" ht="12.0" customHeight="1">
      <c r="A526" s="198"/>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c r="AA526" s="198"/>
      <c r="AB526" s="198"/>
      <c r="AC526" s="198"/>
      <c r="AD526" s="198"/>
      <c r="AE526" s="198"/>
      <c r="AF526" s="198"/>
      <c r="AG526" s="198"/>
      <c r="AH526" s="198"/>
      <c r="AI526" s="198"/>
      <c r="AJ526" s="198"/>
      <c r="AK526" s="198"/>
      <c r="AL526" s="198"/>
      <c r="AM526" s="198"/>
    </row>
    <row r="527" ht="12.0" customHeight="1">
      <c r="A527" s="198"/>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c r="AA527" s="198"/>
      <c r="AB527" s="198"/>
      <c r="AC527" s="198"/>
      <c r="AD527" s="198"/>
      <c r="AE527" s="198"/>
      <c r="AF527" s="198"/>
      <c r="AG527" s="198"/>
      <c r="AH527" s="198"/>
      <c r="AI527" s="198"/>
      <c r="AJ527" s="198"/>
      <c r="AK527" s="198"/>
      <c r="AL527" s="198"/>
      <c r="AM527" s="198"/>
    </row>
    <row r="528" ht="12.0" customHeight="1">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c r="AA528" s="198"/>
      <c r="AB528" s="198"/>
      <c r="AC528" s="198"/>
      <c r="AD528" s="198"/>
      <c r="AE528" s="198"/>
      <c r="AF528" s="198"/>
      <c r="AG528" s="198"/>
      <c r="AH528" s="198"/>
      <c r="AI528" s="198"/>
      <c r="AJ528" s="198"/>
      <c r="AK528" s="198"/>
      <c r="AL528" s="198"/>
      <c r="AM528" s="198"/>
    </row>
    <row r="529" ht="12.0" customHeight="1">
      <c r="A529" s="198"/>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c r="AA529" s="198"/>
      <c r="AB529" s="198"/>
      <c r="AC529" s="198"/>
      <c r="AD529" s="198"/>
      <c r="AE529" s="198"/>
      <c r="AF529" s="198"/>
      <c r="AG529" s="198"/>
      <c r="AH529" s="198"/>
      <c r="AI529" s="198"/>
      <c r="AJ529" s="198"/>
      <c r="AK529" s="198"/>
      <c r="AL529" s="198"/>
      <c r="AM529" s="198"/>
    </row>
    <row r="530" ht="12.0" customHeight="1">
      <c r="A530" s="198"/>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c r="AA530" s="198"/>
      <c r="AB530" s="198"/>
      <c r="AC530" s="198"/>
      <c r="AD530" s="198"/>
      <c r="AE530" s="198"/>
      <c r="AF530" s="198"/>
      <c r="AG530" s="198"/>
      <c r="AH530" s="198"/>
      <c r="AI530" s="198"/>
      <c r="AJ530" s="198"/>
      <c r="AK530" s="198"/>
      <c r="AL530" s="198"/>
      <c r="AM530" s="198"/>
    </row>
    <row r="531" ht="12.0" customHeight="1">
      <c r="A531" s="198"/>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c r="AA531" s="198"/>
      <c r="AB531" s="198"/>
      <c r="AC531" s="198"/>
      <c r="AD531" s="198"/>
      <c r="AE531" s="198"/>
      <c r="AF531" s="198"/>
      <c r="AG531" s="198"/>
      <c r="AH531" s="198"/>
      <c r="AI531" s="198"/>
      <c r="AJ531" s="198"/>
      <c r="AK531" s="198"/>
      <c r="AL531" s="198"/>
      <c r="AM531" s="198"/>
    </row>
    <row r="532" ht="12.0" customHeight="1">
      <c r="A532" s="198"/>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c r="AA532" s="198"/>
      <c r="AB532" s="198"/>
      <c r="AC532" s="198"/>
      <c r="AD532" s="198"/>
      <c r="AE532" s="198"/>
      <c r="AF532" s="198"/>
      <c r="AG532" s="198"/>
      <c r="AH532" s="198"/>
      <c r="AI532" s="198"/>
      <c r="AJ532" s="198"/>
      <c r="AK532" s="198"/>
      <c r="AL532" s="198"/>
      <c r="AM532" s="198"/>
    </row>
    <row r="533" ht="12.0" customHeight="1">
      <c r="A533" s="198"/>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c r="AA533" s="198"/>
      <c r="AB533" s="198"/>
      <c r="AC533" s="198"/>
      <c r="AD533" s="198"/>
      <c r="AE533" s="198"/>
      <c r="AF533" s="198"/>
      <c r="AG533" s="198"/>
      <c r="AH533" s="198"/>
      <c r="AI533" s="198"/>
      <c r="AJ533" s="198"/>
      <c r="AK533" s="198"/>
      <c r="AL533" s="198"/>
      <c r="AM533" s="198"/>
    </row>
    <row r="534" ht="12.0" customHeight="1">
      <c r="A534" s="198"/>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c r="AA534" s="198"/>
      <c r="AB534" s="198"/>
      <c r="AC534" s="198"/>
      <c r="AD534" s="198"/>
      <c r="AE534" s="198"/>
      <c r="AF534" s="198"/>
      <c r="AG534" s="198"/>
      <c r="AH534" s="198"/>
      <c r="AI534" s="198"/>
      <c r="AJ534" s="198"/>
      <c r="AK534" s="198"/>
      <c r="AL534" s="198"/>
      <c r="AM534" s="198"/>
    </row>
    <row r="535" ht="12.0" customHeight="1">
      <c r="A535" s="198"/>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c r="AA535" s="198"/>
      <c r="AB535" s="198"/>
      <c r="AC535" s="198"/>
      <c r="AD535" s="198"/>
      <c r="AE535" s="198"/>
      <c r="AF535" s="198"/>
      <c r="AG535" s="198"/>
      <c r="AH535" s="198"/>
      <c r="AI535" s="198"/>
      <c r="AJ535" s="198"/>
      <c r="AK535" s="198"/>
      <c r="AL535" s="198"/>
      <c r="AM535" s="198"/>
    </row>
    <row r="536" ht="12.0" customHeight="1">
      <c r="A536" s="198"/>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c r="AA536" s="198"/>
      <c r="AB536" s="198"/>
      <c r="AC536" s="198"/>
      <c r="AD536" s="198"/>
      <c r="AE536" s="198"/>
      <c r="AF536" s="198"/>
      <c r="AG536" s="198"/>
      <c r="AH536" s="198"/>
      <c r="AI536" s="198"/>
      <c r="AJ536" s="198"/>
      <c r="AK536" s="198"/>
      <c r="AL536" s="198"/>
      <c r="AM536" s="198"/>
    </row>
    <row r="537" ht="12.0" customHeight="1">
      <c r="A537" s="198"/>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c r="AA537" s="198"/>
      <c r="AB537" s="198"/>
      <c r="AC537" s="198"/>
      <c r="AD537" s="198"/>
      <c r="AE537" s="198"/>
      <c r="AF537" s="198"/>
      <c r="AG537" s="198"/>
      <c r="AH537" s="198"/>
      <c r="AI537" s="198"/>
      <c r="AJ537" s="198"/>
      <c r="AK537" s="198"/>
      <c r="AL537" s="198"/>
      <c r="AM537" s="198"/>
    </row>
    <row r="538" ht="12.0" customHeight="1">
      <c r="A538" s="198"/>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c r="AA538" s="198"/>
      <c r="AB538" s="198"/>
      <c r="AC538" s="198"/>
      <c r="AD538" s="198"/>
      <c r="AE538" s="198"/>
      <c r="AF538" s="198"/>
      <c r="AG538" s="198"/>
      <c r="AH538" s="198"/>
      <c r="AI538" s="198"/>
      <c r="AJ538" s="198"/>
      <c r="AK538" s="198"/>
      <c r="AL538" s="198"/>
      <c r="AM538" s="198"/>
    </row>
    <row r="539" ht="12.0" customHeight="1">
      <c r="A539" s="198"/>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c r="AA539" s="198"/>
      <c r="AB539" s="198"/>
      <c r="AC539" s="198"/>
      <c r="AD539" s="198"/>
      <c r="AE539" s="198"/>
      <c r="AF539" s="198"/>
      <c r="AG539" s="198"/>
      <c r="AH539" s="198"/>
      <c r="AI539" s="198"/>
      <c r="AJ539" s="198"/>
      <c r="AK539" s="198"/>
      <c r="AL539" s="198"/>
      <c r="AM539" s="198"/>
    </row>
    <row r="540" ht="12.0" customHeight="1">
      <c r="A540" s="198"/>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c r="AA540" s="198"/>
      <c r="AB540" s="198"/>
      <c r="AC540" s="198"/>
      <c r="AD540" s="198"/>
      <c r="AE540" s="198"/>
      <c r="AF540" s="198"/>
      <c r="AG540" s="198"/>
      <c r="AH540" s="198"/>
      <c r="AI540" s="198"/>
      <c r="AJ540" s="198"/>
      <c r="AK540" s="198"/>
      <c r="AL540" s="198"/>
      <c r="AM540" s="198"/>
    </row>
    <row r="541" ht="12.0" customHeight="1">
      <c r="A541" s="198"/>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c r="AA541" s="198"/>
      <c r="AB541" s="198"/>
      <c r="AC541" s="198"/>
      <c r="AD541" s="198"/>
      <c r="AE541" s="198"/>
      <c r="AF541" s="198"/>
      <c r="AG541" s="198"/>
      <c r="AH541" s="198"/>
      <c r="AI541" s="198"/>
      <c r="AJ541" s="198"/>
      <c r="AK541" s="198"/>
      <c r="AL541" s="198"/>
      <c r="AM541" s="198"/>
    </row>
    <row r="542" ht="12.0" customHeight="1">
      <c r="A542" s="198"/>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c r="AA542" s="198"/>
      <c r="AB542" s="198"/>
      <c r="AC542" s="198"/>
      <c r="AD542" s="198"/>
      <c r="AE542" s="198"/>
      <c r="AF542" s="198"/>
      <c r="AG542" s="198"/>
      <c r="AH542" s="198"/>
      <c r="AI542" s="198"/>
      <c r="AJ542" s="198"/>
      <c r="AK542" s="198"/>
      <c r="AL542" s="198"/>
      <c r="AM542" s="198"/>
    </row>
    <row r="543" ht="12.0" customHeight="1">
      <c r="A543" s="198"/>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c r="AA543" s="198"/>
      <c r="AB543" s="198"/>
      <c r="AC543" s="198"/>
      <c r="AD543" s="198"/>
      <c r="AE543" s="198"/>
      <c r="AF543" s="198"/>
      <c r="AG543" s="198"/>
      <c r="AH543" s="198"/>
      <c r="AI543" s="198"/>
      <c r="AJ543" s="198"/>
      <c r="AK543" s="198"/>
      <c r="AL543" s="198"/>
      <c r="AM543" s="198"/>
    </row>
    <row r="544" ht="12.0" customHeight="1">
      <c r="A544" s="198"/>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c r="AA544" s="198"/>
      <c r="AB544" s="198"/>
      <c r="AC544" s="198"/>
      <c r="AD544" s="198"/>
      <c r="AE544" s="198"/>
      <c r="AF544" s="198"/>
      <c r="AG544" s="198"/>
      <c r="AH544" s="198"/>
      <c r="AI544" s="198"/>
      <c r="AJ544" s="198"/>
      <c r="AK544" s="198"/>
      <c r="AL544" s="198"/>
      <c r="AM544" s="198"/>
    </row>
    <row r="545" ht="12.0" customHeight="1">
      <c r="A545" s="198"/>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c r="AA545" s="198"/>
      <c r="AB545" s="198"/>
      <c r="AC545" s="198"/>
      <c r="AD545" s="198"/>
      <c r="AE545" s="198"/>
      <c r="AF545" s="198"/>
      <c r="AG545" s="198"/>
      <c r="AH545" s="198"/>
      <c r="AI545" s="198"/>
      <c r="AJ545" s="198"/>
      <c r="AK545" s="198"/>
      <c r="AL545" s="198"/>
      <c r="AM545" s="198"/>
    </row>
    <row r="546" ht="12.0" customHeight="1">
      <c r="A546" s="198"/>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c r="AA546" s="198"/>
      <c r="AB546" s="198"/>
      <c r="AC546" s="198"/>
      <c r="AD546" s="198"/>
      <c r="AE546" s="198"/>
      <c r="AF546" s="198"/>
      <c r="AG546" s="198"/>
      <c r="AH546" s="198"/>
      <c r="AI546" s="198"/>
      <c r="AJ546" s="198"/>
      <c r="AK546" s="198"/>
      <c r="AL546" s="198"/>
      <c r="AM546" s="198"/>
    </row>
    <row r="547" ht="12.0" customHeight="1">
      <c r="A547" s="198"/>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c r="AA547" s="198"/>
      <c r="AB547" s="198"/>
      <c r="AC547" s="198"/>
      <c r="AD547" s="198"/>
      <c r="AE547" s="198"/>
      <c r="AF547" s="198"/>
      <c r="AG547" s="198"/>
      <c r="AH547" s="198"/>
      <c r="AI547" s="198"/>
      <c r="AJ547" s="198"/>
      <c r="AK547" s="198"/>
      <c r="AL547" s="198"/>
      <c r="AM547" s="198"/>
    </row>
    <row r="548" ht="12.0" customHeight="1">
      <c r="A548" s="198"/>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c r="AA548" s="198"/>
      <c r="AB548" s="198"/>
      <c r="AC548" s="198"/>
      <c r="AD548" s="198"/>
      <c r="AE548" s="198"/>
      <c r="AF548" s="198"/>
      <c r="AG548" s="198"/>
      <c r="AH548" s="198"/>
      <c r="AI548" s="198"/>
      <c r="AJ548" s="198"/>
      <c r="AK548" s="198"/>
      <c r="AL548" s="198"/>
      <c r="AM548" s="198"/>
    </row>
    <row r="549" ht="12.0" customHeight="1">
      <c r="A549" s="198"/>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c r="AA549" s="198"/>
      <c r="AB549" s="198"/>
      <c r="AC549" s="198"/>
      <c r="AD549" s="198"/>
      <c r="AE549" s="198"/>
      <c r="AF549" s="198"/>
      <c r="AG549" s="198"/>
      <c r="AH549" s="198"/>
      <c r="AI549" s="198"/>
      <c r="AJ549" s="198"/>
      <c r="AK549" s="198"/>
      <c r="AL549" s="198"/>
      <c r="AM549" s="198"/>
    </row>
    <row r="550" ht="12.0" customHeight="1">
      <c r="A550" s="198"/>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c r="AA550" s="198"/>
      <c r="AB550" s="198"/>
      <c r="AC550" s="198"/>
      <c r="AD550" s="198"/>
      <c r="AE550" s="198"/>
      <c r="AF550" s="198"/>
      <c r="AG550" s="198"/>
      <c r="AH550" s="198"/>
      <c r="AI550" s="198"/>
      <c r="AJ550" s="198"/>
      <c r="AK550" s="198"/>
      <c r="AL550" s="198"/>
      <c r="AM550" s="198"/>
    </row>
    <row r="551" ht="12.0" customHeight="1">
      <c r="A551" s="198"/>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c r="AA551" s="198"/>
      <c r="AB551" s="198"/>
      <c r="AC551" s="198"/>
      <c r="AD551" s="198"/>
      <c r="AE551" s="198"/>
      <c r="AF551" s="198"/>
      <c r="AG551" s="198"/>
      <c r="AH551" s="198"/>
      <c r="AI551" s="198"/>
      <c r="AJ551" s="198"/>
      <c r="AK551" s="198"/>
      <c r="AL551" s="198"/>
      <c r="AM551" s="198"/>
    </row>
    <row r="552" ht="12.0" customHeight="1">
      <c r="A552" s="198"/>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c r="AA552" s="198"/>
      <c r="AB552" s="198"/>
      <c r="AC552" s="198"/>
      <c r="AD552" s="198"/>
      <c r="AE552" s="198"/>
      <c r="AF552" s="198"/>
      <c r="AG552" s="198"/>
      <c r="AH552" s="198"/>
      <c r="AI552" s="198"/>
      <c r="AJ552" s="198"/>
      <c r="AK552" s="198"/>
      <c r="AL552" s="198"/>
      <c r="AM552" s="198"/>
    </row>
    <row r="553" ht="12.0" customHeight="1">
      <c r="A553" s="198"/>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c r="AA553" s="198"/>
      <c r="AB553" s="198"/>
      <c r="AC553" s="198"/>
      <c r="AD553" s="198"/>
      <c r="AE553" s="198"/>
      <c r="AF553" s="198"/>
      <c r="AG553" s="198"/>
      <c r="AH553" s="198"/>
      <c r="AI553" s="198"/>
      <c r="AJ553" s="198"/>
      <c r="AK553" s="198"/>
      <c r="AL553" s="198"/>
      <c r="AM553" s="198"/>
    </row>
    <row r="554" ht="12.0" customHeight="1">
      <c r="A554" s="198"/>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c r="AA554" s="198"/>
      <c r="AB554" s="198"/>
      <c r="AC554" s="198"/>
      <c r="AD554" s="198"/>
      <c r="AE554" s="198"/>
      <c r="AF554" s="198"/>
      <c r="AG554" s="198"/>
      <c r="AH554" s="198"/>
      <c r="AI554" s="198"/>
      <c r="AJ554" s="198"/>
      <c r="AK554" s="198"/>
      <c r="AL554" s="198"/>
      <c r="AM554" s="198"/>
    </row>
    <row r="555" ht="12.0" customHeight="1">
      <c r="A555" s="198"/>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c r="AA555" s="198"/>
      <c r="AB555" s="198"/>
      <c r="AC555" s="198"/>
      <c r="AD555" s="198"/>
      <c r="AE555" s="198"/>
      <c r="AF555" s="198"/>
      <c r="AG555" s="198"/>
      <c r="AH555" s="198"/>
      <c r="AI555" s="198"/>
      <c r="AJ555" s="198"/>
      <c r="AK555" s="198"/>
      <c r="AL555" s="198"/>
      <c r="AM555" s="198"/>
    </row>
    <row r="556" ht="12.0" customHeight="1">
      <c r="A556" s="198"/>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c r="AA556" s="198"/>
      <c r="AB556" s="198"/>
      <c r="AC556" s="198"/>
      <c r="AD556" s="198"/>
      <c r="AE556" s="198"/>
      <c r="AF556" s="198"/>
      <c r="AG556" s="198"/>
      <c r="AH556" s="198"/>
      <c r="AI556" s="198"/>
      <c r="AJ556" s="198"/>
      <c r="AK556" s="198"/>
      <c r="AL556" s="198"/>
      <c r="AM556" s="198"/>
    </row>
    <row r="557" ht="12.0" customHeight="1">
      <c r="A557" s="198"/>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c r="AA557" s="198"/>
      <c r="AB557" s="198"/>
      <c r="AC557" s="198"/>
      <c r="AD557" s="198"/>
      <c r="AE557" s="198"/>
      <c r="AF557" s="198"/>
      <c r="AG557" s="198"/>
      <c r="AH557" s="198"/>
      <c r="AI557" s="198"/>
      <c r="AJ557" s="198"/>
      <c r="AK557" s="198"/>
      <c r="AL557" s="198"/>
      <c r="AM557" s="198"/>
    </row>
    <row r="558" ht="12.0" customHeight="1">
      <c r="A558" s="198"/>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c r="AA558" s="198"/>
      <c r="AB558" s="198"/>
      <c r="AC558" s="198"/>
      <c r="AD558" s="198"/>
      <c r="AE558" s="198"/>
      <c r="AF558" s="198"/>
      <c r="AG558" s="198"/>
      <c r="AH558" s="198"/>
      <c r="AI558" s="198"/>
      <c r="AJ558" s="198"/>
      <c r="AK558" s="198"/>
      <c r="AL558" s="198"/>
      <c r="AM558" s="198"/>
    </row>
    <row r="559" ht="12.0" customHeight="1">
      <c r="A559" s="198"/>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c r="AA559" s="198"/>
      <c r="AB559" s="198"/>
      <c r="AC559" s="198"/>
      <c r="AD559" s="198"/>
      <c r="AE559" s="198"/>
      <c r="AF559" s="198"/>
      <c r="AG559" s="198"/>
      <c r="AH559" s="198"/>
      <c r="AI559" s="198"/>
      <c r="AJ559" s="198"/>
      <c r="AK559" s="198"/>
      <c r="AL559" s="198"/>
      <c r="AM559" s="198"/>
    </row>
    <row r="560" ht="12.0" customHeight="1">
      <c r="A560" s="198"/>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c r="AA560" s="198"/>
      <c r="AB560" s="198"/>
      <c r="AC560" s="198"/>
      <c r="AD560" s="198"/>
      <c r="AE560" s="198"/>
      <c r="AF560" s="198"/>
      <c r="AG560" s="198"/>
      <c r="AH560" s="198"/>
      <c r="AI560" s="198"/>
      <c r="AJ560" s="198"/>
      <c r="AK560" s="198"/>
      <c r="AL560" s="198"/>
      <c r="AM560" s="198"/>
    </row>
    <row r="561" ht="12.0" customHeight="1">
      <c r="A561" s="198"/>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c r="AA561" s="198"/>
      <c r="AB561" s="198"/>
      <c r="AC561" s="198"/>
      <c r="AD561" s="198"/>
      <c r="AE561" s="198"/>
      <c r="AF561" s="198"/>
      <c r="AG561" s="198"/>
      <c r="AH561" s="198"/>
      <c r="AI561" s="198"/>
      <c r="AJ561" s="198"/>
      <c r="AK561" s="198"/>
      <c r="AL561" s="198"/>
      <c r="AM561" s="198"/>
    </row>
    <row r="562" ht="12.0" customHeight="1">
      <c r="A562" s="198"/>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c r="AA562" s="198"/>
      <c r="AB562" s="198"/>
      <c r="AC562" s="198"/>
      <c r="AD562" s="198"/>
      <c r="AE562" s="198"/>
      <c r="AF562" s="198"/>
      <c r="AG562" s="198"/>
      <c r="AH562" s="198"/>
      <c r="AI562" s="198"/>
      <c r="AJ562" s="198"/>
      <c r="AK562" s="198"/>
      <c r="AL562" s="198"/>
      <c r="AM562" s="198"/>
    </row>
    <row r="563" ht="12.0" customHeight="1">
      <c r="A563" s="198"/>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c r="AA563" s="198"/>
      <c r="AB563" s="198"/>
      <c r="AC563" s="198"/>
      <c r="AD563" s="198"/>
      <c r="AE563" s="198"/>
      <c r="AF563" s="198"/>
      <c r="AG563" s="198"/>
      <c r="AH563" s="198"/>
      <c r="AI563" s="198"/>
      <c r="AJ563" s="198"/>
      <c r="AK563" s="198"/>
      <c r="AL563" s="198"/>
      <c r="AM563" s="198"/>
    </row>
    <row r="564" ht="12.0" customHeight="1">
      <c r="A564" s="198"/>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c r="AA564" s="198"/>
      <c r="AB564" s="198"/>
      <c r="AC564" s="198"/>
      <c r="AD564" s="198"/>
      <c r="AE564" s="198"/>
      <c r="AF564" s="198"/>
      <c r="AG564" s="198"/>
      <c r="AH564" s="198"/>
      <c r="AI564" s="198"/>
      <c r="AJ564" s="198"/>
      <c r="AK564" s="198"/>
      <c r="AL564" s="198"/>
      <c r="AM564" s="198"/>
    </row>
    <row r="565" ht="12.0" customHeight="1">
      <c r="A565" s="198"/>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c r="AA565" s="198"/>
      <c r="AB565" s="198"/>
      <c r="AC565" s="198"/>
      <c r="AD565" s="198"/>
      <c r="AE565" s="198"/>
      <c r="AF565" s="198"/>
      <c r="AG565" s="198"/>
      <c r="AH565" s="198"/>
      <c r="AI565" s="198"/>
      <c r="AJ565" s="198"/>
      <c r="AK565" s="198"/>
      <c r="AL565" s="198"/>
      <c r="AM565" s="198"/>
    </row>
    <row r="566" ht="12.0" customHeight="1">
      <c r="A566" s="198"/>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c r="AA566" s="198"/>
      <c r="AB566" s="198"/>
      <c r="AC566" s="198"/>
      <c r="AD566" s="198"/>
      <c r="AE566" s="198"/>
      <c r="AF566" s="198"/>
      <c r="AG566" s="198"/>
      <c r="AH566" s="198"/>
      <c r="AI566" s="198"/>
      <c r="AJ566" s="198"/>
      <c r="AK566" s="198"/>
      <c r="AL566" s="198"/>
      <c r="AM566" s="198"/>
    </row>
    <row r="567" ht="12.0" customHeight="1">
      <c r="A567" s="198"/>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c r="AA567" s="198"/>
      <c r="AB567" s="198"/>
      <c r="AC567" s="198"/>
      <c r="AD567" s="198"/>
      <c r="AE567" s="198"/>
      <c r="AF567" s="198"/>
      <c r="AG567" s="198"/>
      <c r="AH567" s="198"/>
      <c r="AI567" s="198"/>
      <c r="AJ567" s="198"/>
      <c r="AK567" s="198"/>
      <c r="AL567" s="198"/>
      <c r="AM567" s="198"/>
    </row>
    <row r="568" ht="12.0" customHeight="1">
      <c r="A568" s="198"/>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c r="AA568" s="198"/>
      <c r="AB568" s="198"/>
      <c r="AC568" s="198"/>
      <c r="AD568" s="198"/>
      <c r="AE568" s="198"/>
      <c r="AF568" s="198"/>
      <c r="AG568" s="198"/>
      <c r="AH568" s="198"/>
      <c r="AI568" s="198"/>
      <c r="AJ568" s="198"/>
      <c r="AK568" s="198"/>
      <c r="AL568" s="198"/>
      <c r="AM568" s="198"/>
    </row>
    <row r="569" ht="12.0" customHeight="1">
      <c r="A569" s="198"/>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c r="AA569" s="198"/>
      <c r="AB569" s="198"/>
      <c r="AC569" s="198"/>
      <c r="AD569" s="198"/>
      <c r="AE569" s="198"/>
      <c r="AF569" s="198"/>
      <c r="AG569" s="198"/>
      <c r="AH569" s="198"/>
      <c r="AI569" s="198"/>
      <c r="AJ569" s="198"/>
      <c r="AK569" s="198"/>
      <c r="AL569" s="198"/>
      <c r="AM569" s="198"/>
    </row>
    <row r="570" ht="12.0" customHeight="1">
      <c r="A570" s="198"/>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c r="AA570" s="198"/>
      <c r="AB570" s="198"/>
      <c r="AC570" s="198"/>
      <c r="AD570" s="198"/>
      <c r="AE570" s="198"/>
      <c r="AF570" s="198"/>
      <c r="AG570" s="198"/>
      <c r="AH570" s="198"/>
      <c r="AI570" s="198"/>
      <c r="AJ570" s="198"/>
      <c r="AK570" s="198"/>
      <c r="AL570" s="198"/>
      <c r="AM570" s="198"/>
    </row>
    <row r="571" ht="12.0" customHeight="1">
      <c r="A571" s="198"/>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c r="AA571" s="198"/>
      <c r="AB571" s="198"/>
      <c r="AC571" s="198"/>
      <c r="AD571" s="198"/>
      <c r="AE571" s="198"/>
      <c r="AF571" s="198"/>
      <c r="AG571" s="198"/>
      <c r="AH571" s="198"/>
      <c r="AI571" s="198"/>
      <c r="AJ571" s="198"/>
      <c r="AK571" s="198"/>
      <c r="AL571" s="198"/>
      <c r="AM571" s="198"/>
    </row>
    <row r="572" ht="12.0" customHeight="1">
      <c r="A572" s="198"/>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c r="AA572" s="198"/>
      <c r="AB572" s="198"/>
      <c r="AC572" s="198"/>
      <c r="AD572" s="198"/>
      <c r="AE572" s="198"/>
      <c r="AF572" s="198"/>
      <c r="AG572" s="198"/>
      <c r="AH572" s="198"/>
      <c r="AI572" s="198"/>
      <c r="AJ572" s="198"/>
      <c r="AK572" s="198"/>
      <c r="AL572" s="198"/>
      <c r="AM572" s="198"/>
    </row>
    <row r="573" ht="12.0" customHeight="1">
      <c r="A573" s="198"/>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c r="AA573" s="198"/>
      <c r="AB573" s="198"/>
      <c r="AC573" s="198"/>
      <c r="AD573" s="198"/>
      <c r="AE573" s="198"/>
      <c r="AF573" s="198"/>
      <c r="AG573" s="198"/>
      <c r="AH573" s="198"/>
      <c r="AI573" s="198"/>
      <c r="AJ573" s="198"/>
      <c r="AK573" s="198"/>
      <c r="AL573" s="198"/>
      <c r="AM573" s="198"/>
    </row>
    <row r="574" ht="12.0" customHeight="1">
      <c r="A574" s="198"/>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c r="AA574" s="198"/>
      <c r="AB574" s="198"/>
      <c r="AC574" s="198"/>
      <c r="AD574" s="198"/>
      <c r="AE574" s="198"/>
      <c r="AF574" s="198"/>
      <c r="AG574" s="198"/>
      <c r="AH574" s="198"/>
      <c r="AI574" s="198"/>
      <c r="AJ574" s="198"/>
      <c r="AK574" s="198"/>
      <c r="AL574" s="198"/>
      <c r="AM574" s="198"/>
    </row>
    <row r="575" ht="12.0" customHeight="1">
      <c r="A575" s="198"/>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c r="AA575" s="198"/>
      <c r="AB575" s="198"/>
      <c r="AC575" s="198"/>
      <c r="AD575" s="198"/>
      <c r="AE575" s="198"/>
      <c r="AF575" s="198"/>
      <c r="AG575" s="198"/>
      <c r="AH575" s="198"/>
      <c r="AI575" s="198"/>
      <c r="AJ575" s="198"/>
      <c r="AK575" s="198"/>
      <c r="AL575" s="198"/>
      <c r="AM575" s="198"/>
    </row>
    <row r="576" ht="12.0" customHeight="1">
      <c r="A576" s="198"/>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c r="AA576" s="198"/>
      <c r="AB576" s="198"/>
      <c r="AC576" s="198"/>
      <c r="AD576" s="198"/>
      <c r="AE576" s="198"/>
      <c r="AF576" s="198"/>
      <c r="AG576" s="198"/>
      <c r="AH576" s="198"/>
      <c r="AI576" s="198"/>
      <c r="AJ576" s="198"/>
      <c r="AK576" s="198"/>
      <c r="AL576" s="198"/>
      <c r="AM576" s="198"/>
    </row>
    <row r="577" ht="12.0" customHeight="1">
      <c r="A577" s="198"/>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c r="AA577" s="198"/>
      <c r="AB577" s="198"/>
      <c r="AC577" s="198"/>
      <c r="AD577" s="198"/>
      <c r="AE577" s="198"/>
      <c r="AF577" s="198"/>
      <c r="AG577" s="198"/>
      <c r="AH577" s="198"/>
      <c r="AI577" s="198"/>
      <c r="AJ577" s="198"/>
      <c r="AK577" s="198"/>
      <c r="AL577" s="198"/>
      <c r="AM577" s="198"/>
    </row>
    <row r="578" ht="12.0" customHeight="1">
      <c r="A578" s="198"/>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c r="AA578" s="198"/>
      <c r="AB578" s="198"/>
      <c r="AC578" s="198"/>
      <c r="AD578" s="198"/>
      <c r="AE578" s="198"/>
      <c r="AF578" s="198"/>
      <c r="AG578" s="198"/>
      <c r="AH578" s="198"/>
      <c r="AI578" s="198"/>
      <c r="AJ578" s="198"/>
      <c r="AK578" s="198"/>
      <c r="AL578" s="198"/>
      <c r="AM578" s="198"/>
    </row>
    <row r="579" ht="12.0" customHeight="1">
      <c r="A579" s="198"/>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c r="AA579" s="198"/>
      <c r="AB579" s="198"/>
      <c r="AC579" s="198"/>
      <c r="AD579" s="198"/>
      <c r="AE579" s="198"/>
      <c r="AF579" s="198"/>
      <c r="AG579" s="198"/>
      <c r="AH579" s="198"/>
      <c r="AI579" s="198"/>
      <c r="AJ579" s="198"/>
      <c r="AK579" s="198"/>
      <c r="AL579" s="198"/>
      <c r="AM579" s="198"/>
    </row>
    <row r="580" ht="12.0" customHeight="1">
      <c r="A580" s="198"/>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c r="AA580" s="198"/>
      <c r="AB580" s="198"/>
      <c r="AC580" s="198"/>
      <c r="AD580" s="198"/>
      <c r="AE580" s="198"/>
      <c r="AF580" s="198"/>
      <c r="AG580" s="198"/>
      <c r="AH580" s="198"/>
      <c r="AI580" s="198"/>
      <c r="AJ580" s="198"/>
      <c r="AK580" s="198"/>
      <c r="AL580" s="198"/>
      <c r="AM580" s="198"/>
    </row>
    <row r="581" ht="12.0" customHeight="1">
      <c r="A581" s="198"/>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c r="AA581" s="198"/>
      <c r="AB581" s="198"/>
      <c r="AC581" s="198"/>
      <c r="AD581" s="198"/>
      <c r="AE581" s="198"/>
      <c r="AF581" s="198"/>
      <c r="AG581" s="198"/>
      <c r="AH581" s="198"/>
      <c r="AI581" s="198"/>
      <c r="AJ581" s="198"/>
      <c r="AK581" s="198"/>
      <c r="AL581" s="198"/>
      <c r="AM581" s="198"/>
    </row>
    <row r="582" ht="12.0" customHeight="1">
      <c r="A582" s="198"/>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c r="AA582" s="198"/>
      <c r="AB582" s="198"/>
      <c r="AC582" s="198"/>
      <c r="AD582" s="198"/>
      <c r="AE582" s="198"/>
      <c r="AF582" s="198"/>
      <c r="AG582" s="198"/>
      <c r="AH582" s="198"/>
      <c r="AI582" s="198"/>
      <c r="AJ582" s="198"/>
      <c r="AK582" s="198"/>
      <c r="AL582" s="198"/>
      <c r="AM582" s="198"/>
    </row>
    <row r="583" ht="12.0" customHeight="1">
      <c r="A583" s="198"/>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c r="AA583" s="198"/>
      <c r="AB583" s="198"/>
      <c r="AC583" s="198"/>
      <c r="AD583" s="198"/>
      <c r="AE583" s="198"/>
      <c r="AF583" s="198"/>
      <c r="AG583" s="198"/>
      <c r="AH583" s="198"/>
      <c r="AI583" s="198"/>
      <c r="AJ583" s="198"/>
      <c r="AK583" s="198"/>
      <c r="AL583" s="198"/>
      <c r="AM583" s="198"/>
    </row>
    <row r="584" ht="12.0" customHeight="1">
      <c r="A584" s="198"/>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c r="AA584" s="198"/>
      <c r="AB584" s="198"/>
      <c r="AC584" s="198"/>
      <c r="AD584" s="198"/>
      <c r="AE584" s="198"/>
      <c r="AF584" s="198"/>
      <c r="AG584" s="198"/>
      <c r="AH584" s="198"/>
      <c r="AI584" s="198"/>
      <c r="AJ584" s="198"/>
      <c r="AK584" s="198"/>
      <c r="AL584" s="198"/>
      <c r="AM584" s="198"/>
    </row>
    <row r="585" ht="12.0" customHeight="1">
      <c r="A585" s="198"/>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c r="AA585" s="198"/>
      <c r="AB585" s="198"/>
      <c r="AC585" s="198"/>
      <c r="AD585" s="198"/>
      <c r="AE585" s="198"/>
      <c r="AF585" s="198"/>
      <c r="AG585" s="198"/>
      <c r="AH585" s="198"/>
      <c r="AI585" s="198"/>
      <c r="AJ585" s="198"/>
      <c r="AK585" s="198"/>
      <c r="AL585" s="198"/>
      <c r="AM585" s="198"/>
    </row>
    <row r="586" ht="12.0" customHeight="1">
      <c r="A586" s="198"/>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c r="AA586" s="198"/>
      <c r="AB586" s="198"/>
      <c r="AC586" s="198"/>
      <c r="AD586" s="198"/>
      <c r="AE586" s="198"/>
      <c r="AF586" s="198"/>
      <c r="AG586" s="198"/>
      <c r="AH586" s="198"/>
      <c r="AI586" s="198"/>
      <c r="AJ586" s="198"/>
      <c r="AK586" s="198"/>
      <c r="AL586" s="198"/>
      <c r="AM586" s="198"/>
    </row>
    <row r="587" ht="12.0" customHeight="1">
      <c r="A587" s="198"/>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c r="AA587" s="198"/>
      <c r="AB587" s="198"/>
      <c r="AC587" s="198"/>
      <c r="AD587" s="198"/>
      <c r="AE587" s="198"/>
      <c r="AF587" s="198"/>
      <c r="AG587" s="198"/>
      <c r="AH587" s="198"/>
      <c r="AI587" s="198"/>
      <c r="AJ587" s="198"/>
      <c r="AK587" s="198"/>
      <c r="AL587" s="198"/>
      <c r="AM587" s="198"/>
    </row>
    <row r="588" ht="12.0" customHeight="1">
      <c r="A588" s="198"/>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c r="AA588" s="198"/>
      <c r="AB588" s="198"/>
      <c r="AC588" s="198"/>
      <c r="AD588" s="198"/>
      <c r="AE588" s="198"/>
      <c r="AF588" s="198"/>
      <c r="AG588" s="198"/>
      <c r="AH588" s="198"/>
      <c r="AI588" s="198"/>
      <c r="AJ588" s="198"/>
      <c r="AK588" s="198"/>
      <c r="AL588" s="198"/>
      <c r="AM588" s="198"/>
    </row>
    <row r="589" ht="12.0" customHeight="1">
      <c r="A589" s="198"/>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c r="AA589" s="198"/>
      <c r="AB589" s="198"/>
      <c r="AC589" s="198"/>
      <c r="AD589" s="198"/>
      <c r="AE589" s="198"/>
      <c r="AF589" s="198"/>
      <c r="AG589" s="198"/>
      <c r="AH589" s="198"/>
      <c r="AI589" s="198"/>
      <c r="AJ589" s="198"/>
      <c r="AK589" s="198"/>
      <c r="AL589" s="198"/>
      <c r="AM589" s="198"/>
    </row>
    <row r="590" ht="12.0" customHeight="1">
      <c r="A590" s="198"/>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c r="AA590" s="198"/>
      <c r="AB590" s="198"/>
      <c r="AC590" s="198"/>
      <c r="AD590" s="198"/>
      <c r="AE590" s="198"/>
      <c r="AF590" s="198"/>
      <c r="AG590" s="198"/>
      <c r="AH590" s="198"/>
      <c r="AI590" s="198"/>
      <c r="AJ590" s="198"/>
      <c r="AK590" s="198"/>
      <c r="AL590" s="198"/>
      <c r="AM590" s="198"/>
    </row>
    <row r="591" ht="12.0" customHeight="1">
      <c r="A591" s="198"/>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c r="AC591" s="198"/>
      <c r="AD591" s="198"/>
      <c r="AE591" s="198"/>
      <c r="AF591" s="198"/>
      <c r="AG591" s="198"/>
      <c r="AH591" s="198"/>
      <c r="AI591" s="198"/>
      <c r="AJ591" s="198"/>
      <c r="AK591" s="198"/>
      <c r="AL591" s="198"/>
      <c r="AM591" s="198"/>
    </row>
    <row r="592" ht="12.0" customHeight="1">
      <c r="A592" s="198"/>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c r="AC592" s="198"/>
      <c r="AD592" s="198"/>
      <c r="AE592" s="198"/>
      <c r="AF592" s="198"/>
      <c r="AG592" s="198"/>
      <c r="AH592" s="198"/>
      <c r="AI592" s="198"/>
      <c r="AJ592" s="198"/>
      <c r="AK592" s="198"/>
      <c r="AL592" s="198"/>
      <c r="AM592" s="198"/>
    </row>
    <row r="593" ht="12.0" customHeight="1">
      <c r="A593" s="198"/>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c r="AC593" s="198"/>
      <c r="AD593" s="198"/>
      <c r="AE593" s="198"/>
      <c r="AF593" s="198"/>
      <c r="AG593" s="198"/>
      <c r="AH593" s="198"/>
      <c r="AI593" s="198"/>
      <c r="AJ593" s="198"/>
      <c r="AK593" s="198"/>
      <c r="AL593" s="198"/>
      <c r="AM593" s="198"/>
    </row>
    <row r="594" ht="12.0" customHeight="1">
      <c r="A594" s="198"/>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c r="AC594" s="198"/>
      <c r="AD594" s="198"/>
      <c r="AE594" s="198"/>
      <c r="AF594" s="198"/>
      <c r="AG594" s="198"/>
      <c r="AH594" s="198"/>
      <c r="AI594" s="198"/>
      <c r="AJ594" s="198"/>
      <c r="AK594" s="198"/>
      <c r="AL594" s="198"/>
      <c r="AM594" s="198"/>
    </row>
    <row r="595" ht="12.0" customHeight="1">
      <c r="A595" s="198"/>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c r="AC595" s="198"/>
      <c r="AD595" s="198"/>
      <c r="AE595" s="198"/>
      <c r="AF595" s="198"/>
      <c r="AG595" s="198"/>
      <c r="AH595" s="198"/>
      <c r="AI595" s="198"/>
      <c r="AJ595" s="198"/>
      <c r="AK595" s="198"/>
      <c r="AL595" s="198"/>
      <c r="AM595" s="198"/>
    </row>
    <row r="596" ht="12.0" customHeight="1">
      <c r="A596" s="198"/>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c r="AC596" s="198"/>
      <c r="AD596" s="198"/>
      <c r="AE596" s="198"/>
      <c r="AF596" s="198"/>
      <c r="AG596" s="198"/>
      <c r="AH596" s="198"/>
      <c r="AI596" s="198"/>
      <c r="AJ596" s="198"/>
      <c r="AK596" s="198"/>
      <c r="AL596" s="198"/>
      <c r="AM596" s="198"/>
    </row>
    <row r="597" ht="12.0" customHeight="1">
      <c r="A597" s="198"/>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c r="AC597" s="198"/>
      <c r="AD597" s="198"/>
      <c r="AE597" s="198"/>
      <c r="AF597" s="198"/>
      <c r="AG597" s="198"/>
      <c r="AH597" s="198"/>
      <c r="AI597" s="198"/>
      <c r="AJ597" s="198"/>
      <c r="AK597" s="198"/>
      <c r="AL597" s="198"/>
      <c r="AM597" s="198"/>
    </row>
    <row r="598" ht="12.0" customHeight="1">
      <c r="A598" s="198"/>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c r="AC598" s="198"/>
      <c r="AD598" s="198"/>
      <c r="AE598" s="198"/>
      <c r="AF598" s="198"/>
      <c r="AG598" s="198"/>
      <c r="AH598" s="198"/>
      <c r="AI598" s="198"/>
      <c r="AJ598" s="198"/>
      <c r="AK598" s="198"/>
      <c r="AL598" s="198"/>
      <c r="AM598" s="198"/>
    </row>
    <row r="599" ht="12.0" customHeight="1">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c r="AD599" s="198"/>
      <c r="AE599" s="198"/>
      <c r="AF599" s="198"/>
      <c r="AG599" s="198"/>
      <c r="AH599" s="198"/>
      <c r="AI599" s="198"/>
      <c r="AJ599" s="198"/>
      <c r="AK599" s="198"/>
      <c r="AL599" s="198"/>
      <c r="AM599" s="198"/>
    </row>
    <row r="600" ht="12.0" customHeight="1">
      <c r="A600" s="198"/>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c r="AC600" s="198"/>
      <c r="AD600" s="198"/>
      <c r="AE600" s="198"/>
      <c r="AF600" s="198"/>
      <c r="AG600" s="198"/>
      <c r="AH600" s="198"/>
      <c r="AI600" s="198"/>
      <c r="AJ600" s="198"/>
      <c r="AK600" s="198"/>
      <c r="AL600" s="198"/>
      <c r="AM600" s="198"/>
    </row>
    <row r="601" ht="12.0" customHeight="1">
      <c r="A601" s="198"/>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c r="AC601" s="198"/>
      <c r="AD601" s="198"/>
      <c r="AE601" s="198"/>
      <c r="AF601" s="198"/>
      <c r="AG601" s="198"/>
      <c r="AH601" s="198"/>
      <c r="AI601" s="198"/>
      <c r="AJ601" s="198"/>
      <c r="AK601" s="198"/>
      <c r="AL601" s="198"/>
      <c r="AM601" s="198"/>
    </row>
    <row r="602" ht="12.0" customHeight="1">
      <c r="A602" s="198"/>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c r="AC602" s="198"/>
      <c r="AD602" s="198"/>
      <c r="AE602" s="198"/>
      <c r="AF602" s="198"/>
      <c r="AG602" s="198"/>
      <c r="AH602" s="198"/>
      <c r="AI602" s="198"/>
      <c r="AJ602" s="198"/>
      <c r="AK602" s="198"/>
      <c r="AL602" s="198"/>
      <c r="AM602" s="198"/>
    </row>
    <row r="603" ht="12.0" customHeight="1">
      <c r="A603" s="198"/>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c r="AC603" s="198"/>
      <c r="AD603" s="198"/>
      <c r="AE603" s="198"/>
      <c r="AF603" s="198"/>
      <c r="AG603" s="198"/>
      <c r="AH603" s="198"/>
      <c r="AI603" s="198"/>
      <c r="AJ603" s="198"/>
      <c r="AK603" s="198"/>
      <c r="AL603" s="198"/>
      <c r="AM603" s="198"/>
    </row>
    <row r="604" ht="12.0" customHeight="1">
      <c r="A604" s="198"/>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c r="AD604" s="198"/>
      <c r="AE604" s="198"/>
      <c r="AF604" s="198"/>
      <c r="AG604" s="198"/>
      <c r="AH604" s="198"/>
      <c r="AI604" s="198"/>
      <c r="AJ604" s="198"/>
      <c r="AK604" s="198"/>
      <c r="AL604" s="198"/>
      <c r="AM604" s="198"/>
    </row>
    <row r="605" ht="12.0" customHeight="1">
      <c r="A605" s="198"/>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c r="AC605" s="198"/>
      <c r="AD605" s="198"/>
      <c r="AE605" s="198"/>
      <c r="AF605" s="198"/>
      <c r="AG605" s="198"/>
      <c r="AH605" s="198"/>
      <c r="AI605" s="198"/>
      <c r="AJ605" s="198"/>
      <c r="AK605" s="198"/>
      <c r="AL605" s="198"/>
      <c r="AM605" s="198"/>
    </row>
    <row r="606" ht="12.0" customHeight="1">
      <c r="A606" s="198"/>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c r="AC606" s="198"/>
      <c r="AD606" s="198"/>
      <c r="AE606" s="198"/>
      <c r="AF606" s="198"/>
      <c r="AG606" s="198"/>
      <c r="AH606" s="198"/>
      <c r="AI606" s="198"/>
      <c r="AJ606" s="198"/>
      <c r="AK606" s="198"/>
      <c r="AL606" s="198"/>
      <c r="AM606" s="198"/>
    </row>
    <row r="607" ht="12.0" customHeight="1">
      <c r="A607" s="198"/>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c r="AC607" s="198"/>
      <c r="AD607" s="198"/>
      <c r="AE607" s="198"/>
      <c r="AF607" s="198"/>
      <c r="AG607" s="198"/>
      <c r="AH607" s="198"/>
      <c r="AI607" s="198"/>
      <c r="AJ607" s="198"/>
      <c r="AK607" s="198"/>
      <c r="AL607" s="198"/>
      <c r="AM607" s="198"/>
    </row>
    <row r="608" ht="12.0" customHeight="1">
      <c r="A608" s="198"/>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c r="AC608" s="198"/>
      <c r="AD608" s="198"/>
      <c r="AE608" s="198"/>
      <c r="AF608" s="198"/>
      <c r="AG608" s="198"/>
      <c r="AH608" s="198"/>
      <c r="AI608" s="198"/>
      <c r="AJ608" s="198"/>
      <c r="AK608" s="198"/>
      <c r="AL608" s="198"/>
      <c r="AM608" s="198"/>
    </row>
    <row r="609" ht="12.0" customHeight="1">
      <c r="A609" s="198"/>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c r="AC609" s="198"/>
      <c r="AD609" s="198"/>
      <c r="AE609" s="198"/>
      <c r="AF609" s="198"/>
      <c r="AG609" s="198"/>
      <c r="AH609" s="198"/>
      <c r="AI609" s="198"/>
      <c r="AJ609" s="198"/>
      <c r="AK609" s="198"/>
      <c r="AL609" s="198"/>
      <c r="AM609" s="198"/>
    </row>
    <row r="610" ht="12.0" customHeight="1">
      <c r="A610" s="198"/>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c r="AC610" s="198"/>
      <c r="AD610" s="198"/>
      <c r="AE610" s="198"/>
      <c r="AF610" s="198"/>
      <c r="AG610" s="198"/>
      <c r="AH610" s="198"/>
      <c r="AI610" s="198"/>
      <c r="AJ610" s="198"/>
      <c r="AK610" s="198"/>
      <c r="AL610" s="198"/>
      <c r="AM610" s="198"/>
    </row>
    <row r="611" ht="12.0" customHeight="1">
      <c r="A611" s="198"/>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c r="AC611" s="198"/>
      <c r="AD611" s="198"/>
      <c r="AE611" s="198"/>
      <c r="AF611" s="198"/>
      <c r="AG611" s="198"/>
      <c r="AH611" s="198"/>
      <c r="AI611" s="198"/>
      <c r="AJ611" s="198"/>
      <c r="AK611" s="198"/>
      <c r="AL611" s="198"/>
      <c r="AM611" s="198"/>
    </row>
    <row r="612" ht="12.0" customHeight="1">
      <c r="A612" s="198"/>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c r="AC612" s="198"/>
      <c r="AD612" s="198"/>
      <c r="AE612" s="198"/>
      <c r="AF612" s="198"/>
      <c r="AG612" s="198"/>
      <c r="AH612" s="198"/>
      <c r="AI612" s="198"/>
      <c r="AJ612" s="198"/>
      <c r="AK612" s="198"/>
      <c r="AL612" s="198"/>
      <c r="AM612" s="198"/>
    </row>
    <row r="613" ht="12.0" customHeight="1">
      <c r="A613" s="198"/>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c r="AC613" s="198"/>
      <c r="AD613" s="198"/>
      <c r="AE613" s="198"/>
      <c r="AF613" s="198"/>
      <c r="AG613" s="198"/>
      <c r="AH613" s="198"/>
      <c r="AI613" s="198"/>
      <c r="AJ613" s="198"/>
      <c r="AK613" s="198"/>
      <c r="AL613" s="198"/>
      <c r="AM613" s="198"/>
    </row>
    <row r="614" ht="12.0" customHeight="1">
      <c r="A614" s="198"/>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c r="AC614" s="198"/>
      <c r="AD614" s="198"/>
      <c r="AE614" s="198"/>
      <c r="AF614" s="198"/>
      <c r="AG614" s="198"/>
      <c r="AH614" s="198"/>
      <c r="AI614" s="198"/>
      <c r="AJ614" s="198"/>
      <c r="AK614" s="198"/>
      <c r="AL614" s="198"/>
      <c r="AM614" s="198"/>
    </row>
    <row r="615" ht="12.0" customHeight="1">
      <c r="A615" s="198"/>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c r="AC615" s="198"/>
      <c r="AD615" s="198"/>
      <c r="AE615" s="198"/>
      <c r="AF615" s="198"/>
      <c r="AG615" s="198"/>
      <c r="AH615" s="198"/>
      <c r="AI615" s="198"/>
      <c r="AJ615" s="198"/>
      <c r="AK615" s="198"/>
      <c r="AL615" s="198"/>
      <c r="AM615" s="198"/>
    </row>
    <row r="616" ht="12.0" customHeight="1">
      <c r="A616" s="198"/>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c r="AC616" s="198"/>
      <c r="AD616" s="198"/>
      <c r="AE616" s="198"/>
      <c r="AF616" s="198"/>
      <c r="AG616" s="198"/>
      <c r="AH616" s="198"/>
      <c r="AI616" s="198"/>
      <c r="AJ616" s="198"/>
      <c r="AK616" s="198"/>
      <c r="AL616" s="198"/>
      <c r="AM616" s="198"/>
    </row>
    <row r="617" ht="12.0" customHeight="1">
      <c r="A617" s="198"/>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c r="AC617" s="198"/>
      <c r="AD617" s="198"/>
      <c r="AE617" s="198"/>
      <c r="AF617" s="198"/>
      <c r="AG617" s="198"/>
      <c r="AH617" s="198"/>
      <c r="AI617" s="198"/>
      <c r="AJ617" s="198"/>
      <c r="AK617" s="198"/>
      <c r="AL617" s="198"/>
      <c r="AM617" s="198"/>
    </row>
    <row r="618" ht="12.0" customHeight="1">
      <c r="A618" s="198"/>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c r="AC618" s="198"/>
      <c r="AD618" s="198"/>
      <c r="AE618" s="198"/>
      <c r="AF618" s="198"/>
      <c r="AG618" s="198"/>
      <c r="AH618" s="198"/>
      <c r="AI618" s="198"/>
      <c r="AJ618" s="198"/>
      <c r="AK618" s="198"/>
      <c r="AL618" s="198"/>
      <c r="AM618" s="198"/>
    </row>
    <row r="619" ht="12.0" customHeight="1">
      <c r="A619" s="198"/>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c r="AC619" s="198"/>
      <c r="AD619" s="198"/>
      <c r="AE619" s="198"/>
      <c r="AF619" s="198"/>
      <c r="AG619" s="198"/>
      <c r="AH619" s="198"/>
      <c r="AI619" s="198"/>
      <c r="AJ619" s="198"/>
      <c r="AK619" s="198"/>
      <c r="AL619" s="198"/>
      <c r="AM619" s="198"/>
    </row>
    <row r="620" ht="12.0" customHeight="1">
      <c r="A620" s="198"/>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c r="AC620" s="198"/>
      <c r="AD620" s="198"/>
      <c r="AE620" s="198"/>
      <c r="AF620" s="198"/>
      <c r="AG620" s="198"/>
      <c r="AH620" s="198"/>
      <c r="AI620" s="198"/>
      <c r="AJ620" s="198"/>
      <c r="AK620" s="198"/>
      <c r="AL620" s="198"/>
      <c r="AM620" s="198"/>
    </row>
    <row r="621" ht="12.0" customHeight="1">
      <c r="A621" s="198"/>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c r="AC621" s="198"/>
      <c r="AD621" s="198"/>
      <c r="AE621" s="198"/>
      <c r="AF621" s="198"/>
      <c r="AG621" s="198"/>
      <c r="AH621" s="198"/>
      <c r="AI621" s="198"/>
      <c r="AJ621" s="198"/>
      <c r="AK621" s="198"/>
      <c r="AL621" s="198"/>
      <c r="AM621" s="198"/>
    </row>
    <row r="622" ht="12.0" customHeight="1">
      <c r="A622" s="198"/>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c r="AC622" s="198"/>
      <c r="AD622" s="198"/>
      <c r="AE622" s="198"/>
      <c r="AF622" s="198"/>
      <c r="AG622" s="198"/>
      <c r="AH622" s="198"/>
      <c r="AI622" s="198"/>
      <c r="AJ622" s="198"/>
      <c r="AK622" s="198"/>
      <c r="AL622" s="198"/>
      <c r="AM622" s="198"/>
    </row>
    <row r="623" ht="12.0" customHeight="1">
      <c r="A623" s="198"/>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c r="AC623" s="198"/>
      <c r="AD623" s="198"/>
      <c r="AE623" s="198"/>
      <c r="AF623" s="198"/>
      <c r="AG623" s="198"/>
      <c r="AH623" s="198"/>
      <c r="AI623" s="198"/>
      <c r="AJ623" s="198"/>
      <c r="AK623" s="198"/>
      <c r="AL623" s="198"/>
      <c r="AM623" s="198"/>
    </row>
    <row r="624" ht="12.0" customHeight="1">
      <c r="A624" s="198"/>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c r="AC624" s="198"/>
      <c r="AD624" s="198"/>
      <c r="AE624" s="198"/>
      <c r="AF624" s="198"/>
      <c r="AG624" s="198"/>
      <c r="AH624" s="198"/>
      <c r="AI624" s="198"/>
      <c r="AJ624" s="198"/>
      <c r="AK624" s="198"/>
      <c r="AL624" s="198"/>
      <c r="AM624" s="198"/>
    </row>
    <row r="625" ht="12.0" customHeight="1">
      <c r="A625" s="198"/>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c r="AC625" s="198"/>
      <c r="AD625" s="198"/>
      <c r="AE625" s="198"/>
      <c r="AF625" s="198"/>
      <c r="AG625" s="198"/>
      <c r="AH625" s="198"/>
      <c r="AI625" s="198"/>
      <c r="AJ625" s="198"/>
      <c r="AK625" s="198"/>
      <c r="AL625" s="198"/>
      <c r="AM625" s="198"/>
    </row>
    <row r="626" ht="12.0" customHeight="1">
      <c r="A626" s="198"/>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c r="AC626" s="198"/>
      <c r="AD626" s="198"/>
      <c r="AE626" s="198"/>
      <c r="AF626" s="198"/>
      <c r="AG626" s="198"/>
      <c r="AH626" s="198"/>
      <c r="AI626" s="198"/>
      <c r="AJ626" s="198"/>
      <c r="AK626" s="198"/>
      <c r="AL626" s="198"/>
      <c r="AM626" s="198"/>
    </row>
    <row r="627" ht="12.0" customHeight="1">
      <c r="A627" s="198"/>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c r="AC627" s="198"/>
      <c r="AD627" s="198"/>
      <c r="AE627" s="198"/>
      <c r="AF627" s="198"/>
      <c r="AG627" s="198"/>
      <c r="AH627" s="198"/>
      <c r="AI627" s="198"/>
      <c r="AJ627" s="198"/>
      <c r="AK627" s="198"/>
      <c r="AL627" s="198"/>
      <c r="AM627" s="198"/>
    </row>
    <row r="628" ht="12.0" customHeight="1">
      <c r="A628" s="198"/>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c r="AC628" s="198"/>
      <c r="AD628" s="198"/>
      <c r="AE628" s="198"/>
      <c r="AF628" s="198"/>
      <c r="AG628" s="198"/>
      <c r="AH628" s="198"/>
      <c r="AI628" s="198"/>
      <c r="AJ628" s="198"/>
      <c r="AK628" s="198"/>
      <c r="AL628" s="198"/>
      <c r="AM628" s="198"/>
    </row>
    <row r="629" ht="12.0" customHeight="1">
      <c r="A629" s="198"/>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c r="AC629" s="198"/>
      <c r="AD629" s="198"/>
      <c r="AE629" s="198"/>
      <c r="AF629" s="198"/>
      <c r="AG629" s="198"/>
      <c r="AH629" s="198"/>
      <c r="AI629" s="198"/>
      <c r="AJ629" s="198"/>
      <c r="AK629" s="198"/>
      <c r="AL629" s="198"/>
      <c r="AM629" s="198"/>
    </row>
    <row r="630" ht="12.0" customHeight="1">
      <c r="A630" s="198"/>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c r="AC630" s="198"/>
      <c r="AD630" s="198"/>
      <c r="AE630" s="198"/>
      <c r="AF630" s="198"/>
      <c r="AG630" s="198"/>
      <c r="AH630" s="198"/>
      <c r="AI630" s="198"/>
      <c r="AJ630" s="198"/>
      <c r="AK630" s="198"/>
      <c r="AL630" s="198"/>
      <c r="AM630" s="198"/>
    </row>
    <row r="631" ht="12.0" customHeight="1">
      <c r="A631" s="198"/>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c r="AC631" s="198"/>
      <c r="AD631" s="198"/>
      <c r="AE631" s="198"/>
      <c r="AF631" s="198"/>
      <c r="AG631" s="198"/>
      <c r="AH631" s="198"/>
      <c r="AI631" s="198"/>
      <c r="AJ631" s="198"/>
      <c r="AK631" s="198"/>
      <c r="AL631" s="198"/>
      <c r="AM631" s="198"/>
    </row>
    <row r="632" ht="12.0" customHeight="1">
      <c r="A632" s="198"/>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c r="AC632" s="198"/>
      <c r="AD632" s="198"/>
      <c r="AE632" s="198"/>
      <c r="AF632" s="198"/>
      <c r="AG632" s="198"/>
      <c r="AH632" s="198"/>
      <c r="AI632" s="198"/>
      <c r="AJ632" s="198"/>
      <c r="AK632" s="198"/>
      <c r="AL632" s="198"/>
      <c r="AM632" s="198"/>
    </row>
    <row r="633" ht="12.0" customHeight="1">
      <c r="A633" s="198"/>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c r="AC633" s="198"/>
      <c r="AD633" s="198"/>
      <c r="AE633" s="198"/>
      <c r="AF633" s="198"/>
      <c r="AG633" s="198"/>
      <c r="AH633" s="198"/>
      <c r="AI633" s="198"/>
      <c r="AJ633" s="198"/>
      <c r="AK633" s="198"/>
      <c r="AL633" s="198"/>
      <c r="AM633" s="198"/>
    </row>
    <row r="634" ht="12.0" customHeight="1">
      <c r="A634" s="198"/>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c r="AC634" s="198"/>
      <c r="AD634" s="198"/>
      <c r="AE634" s="198"/>
      <c r="AF634" s="198"/>
      <c r="AG634" s="198"/>
      <c r="AH634" s="198"/>
      <c r="AI634" s="198"/>
      <c r="AJ634" s="198"/>
      <c r="AK634" s="198"/>
      <c r="AL634" s="198"/>
      <c r="AM634" s="198"/>
    </row>
    <row r="635" ht="12.0" customHeight="1">
      <c r="A635" s="198"/>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c r="AC635" s="198"/>
      <c r="AD635" s="198"/>
      <c r="AE635" s="198"/>
      <c r="AF635" s="198"/>
      <c r="AG635" s="198"/>
      <c r="AH635" s="198"/>
      <c r="AI635" s="198"/>
      <c r="AJ635" s="198"/>
      <c r="AK635" s="198"/>
      <c r="AL635" s="198"/>
      <c r="AM635" s="198"/>
    </row>
    <row r="636" ht="12.0" customHeight="1">
      <c r="A636" s="198"/>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c r="AC636" s="198"/>
      <c r="AD636" s="198"/>
      <c r="AE636" s="198"/>
      <c r="AF636" s="198"/>
      <c r="AG636" s="198"/>
      <c r="AH636" s="198"/>
      <c r="AI636" s="198"/>
      <c r="AJ636" s="198"/>
      <c r="AK636" s="198"/>
      <c r="AL636" s="198"/>
      <c r="AM636" s="198"/>
    </row>
    <row r="637" ht="12.0" customHeight="1">
      <c r="A637" s="198"/>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c r="AC637" s="198"/>
      <c r="AD637" s="198"/>
      <c r="AE637" s="198"/>
      <c r="AF637" s="198"/>
      <c r="AG637" s="198"/>
      <c r="AH637" s="198"/>
      <c r="AI637" s="198"/>
      <c r="AJ637" s="198"/>
      <c r="AK637" s="198"/>
      <c r="AL637" s="198"/>
      <c r="AM637" s="198"/>
    </row>
    <row r="638" ht="12.0" customHeight="1">
      <c r="A638" s="198"/>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c r="AC638" s="198"/>
      <c r="AD638" s="198"/>
      <c r="AE638" s="198"/>
      <c r="AF638" s="198"/>
      <c r="AG638" s="198"/>
      <c r="AH638" s="198"/>
      <c r="AI638" s="198"/>
      <c r="AJ638" s="198"/>
      <c r="AK638" s="198"/>
      <c r="AL638" s="198"/>
      <c r="AM638" s="198"/>
    </row>
    <row r="639" ht="12.0" customHeight="1">
      <c r="A639" s="198"/>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c r="AC639" s="198"/>
      <c r="AD639" s="198"/>
      <c r="AE639" s="198"/>
      <c r="AF639" s="198"/>
      <c r="AG639" s="198"/>
      <c r="AH639" s="198"/>
      <c r="AI639" s="198"/>
      <c r="AJ639" s="198"/>
      <c r="AK639" s="198"/>
      <c r="AL639" s="198"/>
      <c r="AM639" s="198"/>
    </row>
    <row r="640" ht="12.0" customHeight="1">
      <c r="A640" s="198"/>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c r="AC640" s="198"/>
      <c r="AD640" s="198"/>
      <c r="AE640" s="198"/>
      <c r="AF640" s="198"/>
      <c r="AG640" s="198"/>
      <c r="AH640" s="198"/>
      <c r="AI640" s="198"/>
      <c r="AJ640" s="198"/>
      <c r="AK640" s="198"/>
      <c r="AL640" s="198"/>
      <c r="AM640" s="198"/>
    </row>
    <row r="641" ht="12.0" customHeight="1">
      <c r="A641" s="198"/>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c r="AC641" s="198"/>
      <c r="AD641" s="198"/>
      <c r="AE641" s="198"/>
      <c r="AF641" s="198"/>
      <c r="AG641" s="198"/>
      <c r="AH641" s="198"/>
      <c r="AI641" s="198"/>
      <c r="AJ641" s="198"/>
      <c r="AK641" s="198"/>
      <c r="AL641" s="198"/>
      <c r="AM641" s="198"/>
    </row>
    <row r="642" ht="12.0" customHeight="1">
      <c r="A642" s="198"/>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c r="AC642" s="198"/>
      <c r="AD642" s="198"/>
      <c r="AE642" s="198"/>
      <c r="AF642" s="198"/>
      <c r="AG642" s="198"/>
      <c r="AH642" s="198"/>
      <c r="AI642" s="198"/>
      <c r="AJ642" s="198"/>
      <c r="AK642" s="198"/>
      <c r="AL642" s="198"/>
      <c r="AM642" s="198"/>
    </row>
    <row r="643" ht="12.0" customHeight="1">
      <c r="A643" s="198"/>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c r="AC643" s="198"/>
      <c r="AD643" s="198"/>
      <c r="AE643" s="198"/>
      <c r="AF643" s="198"/>
      <c r="AG643" s="198"/>
      <c r="AH643" s="198"/>
      <c r="AI643" s="198"/>
      <c r="AJ643" s="198"/>
      <c r="AK643" s="198"/>
      <c r="AL643" s="198"/>
      <c r="AM643" s="198"/>
    </row>
    <row r="644" ht="12.0" customHeight="1">
      <c r="A644" s="198"/>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c r="AC644" s="198"/>
      <c r="AD644" s="198"/>
      <c r="AE644" s="198"/>
      <c r="AF644" s="198"/>
      <c r="AG644" s="198"/>
      <c r="AH644" s="198"/>
      <c r="AI644" s="198"/>
      <c r="AJ644" s="198"/>
      <c r="AK644" s="198"/>
      <c r="AL644" s="198"/>
      <c r="AM644" s="198"/>
    </row>
    <row r="645" ht="12.0" customHeight="1">
      <c r="A645" s="198"/>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c r="AC645" s="198"/>
      <c r="AD645" s="198"/>
      <c r="AE645" s="198"/>
      <c r="AF645" s="198"/>
      <c r="AG645" s="198"/>
      <c r="AH645" s="198"/>
      <c r="AI645" s="198"/>
      <c r="AJ645" s="198"/>
      <c r="AK645" s="198"/>
      <c r="AL645" s="198"/>
      <c r="AM645" s="198"/>
    </row>
    <row r="646" ht="12.0" customHeight="1">
      <c r="A646" s="198"/>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c r="AC646" s="198"/>
      <c r="AD646" s="198"/>
      <c r="AE646" s="198"/>
      <c r="AF646" s="198"/>
      <c r="AG646" s="198"/>
      <c r="AH646" s="198"/>
      <c r="AI646" s="198"/>
      <c r="AJ646" s="198"/>
      <c r="AK646" s="198"/>
      <c r="AL646" s="198"/>
      <c r="AM646" s="198"/>
    </row>
    <row r="647" ht="12.0" customHeight="1">
      <c r="A647" s="198"/>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c r="AC647" s="198"/>
      <c r="AD647" s="198"/>
      <c r="AE647" s="198"/>
      <c r="AF647" s="198"/>
      <c r="AG647" s="198"/>
      <c r="AH647" s="198"/>
      <c r="AI647" s="198"/>
      <c r="AJ647" s="198"/>
      <c r="AK647" s="198"/>
      <c r="AL647" s="198"/>
      <c r="AM647" s="198"/>
    </row>
    <row r="648" ht="12.0" customHeight="1">
      <c r="A648" s="198"/>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c r="AC648" s="198"/>
      <c r="AD648" s="198"/>
      <c r="AE648" s="198"/>
      <c r="AF648" s="198"/>
      <c r="AG648" s="198"/>
      <c r="AH648" s="198"/>
      <c r="AI648" s="198"/>
      <c r="AJ648" s="198"/>
      <c r="AK648" s="198"/>
      <c r="AL648" s="198"/>
      <c r="AM648" s="198"/>
    </row>
    <row r="649" ht="12.0" customHeight="1">
      <c r="A649" s="198"/>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c r="AC649" s="198"/>
      <c r="AD649" s="198"/>
      <c r="AE649" s="198"/>
      <c r="AF649" s="198"/>
      <c r="AG649" s="198"/>
      <c r="AH649" s="198"/>
      <c r="AI649" s="198"/>
      <c r="AJ649" s="198"/>
      <c r="AK649" s="198"/>
      <c r="AL649" s="198"/>
      <c r="AM649" s="198"/>
    </row>
    <row r="650" ht="12.0" customHeight="1">
      <c r="A650" s="198"/>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c r="AC650" s="198"/>
      <c r="AD650" s="198"/>
      <c r="AE650" s="198"/>
      <c r="AF650" s="198"/>
      <c r="AG650" s="198"/>
      <c r="AH650" s="198"/>
      <c r="AI650" s="198"/>
      <c r="AJ650" s="198"/>
      <c r="AK650" s="198"/>
      <c r="AL650" s="198"/>
      <c r="AM650" s="198"/>
    </row>
    <row r="651" ht="12.0" customHeight="1">
      <c r="A651" s="198"/>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c r="AC651" s="198"/>
      <c r="AD651" s="198"/>
      <c r="AE651" s="198"/>
      <c r="AF651" s="198"/>
      <c r="AG651" s="198"/>
      <c r="AH651" s="198"/>
      <c r="AI651" s="198"/>
      <c r="AJ651" s="198"/>
      <c r="AK651" s="198"/>
      <c r="AL651" s="198"/>
      <c r="AM651" s="198"/>
    </row>
    <row r="652" ht="12.0" customHeight="1">
      <c r="A652" s="198"/>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c r="AC652" s="198"/>
      <c r="AD652" s="198"/>
      <c r="AE652" s="198"/>
      <c r="AF652" s="198"/>
      <c r="AG652" s="198"/>
      <c r="AH652" s="198"/>
      <c r="AI652" s="198"/>
      <c r="AJ652" s="198"/>
      <c r="AK652" s="198"/>
      <c r="AL652" s="198"/>
      <c r="AM652" s="198"/>
    </row>
    <row r="653" ht="12.0" customHeight="1">
      <c r="A653" s="198"/>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c r="AC653" s="198"/>
      <c r="AD653" s="198"/>
      <c r="AE653" s="198"/>
      <c r="AF653" s="198"/>
      <c r="AG653" s="198"/>
      <c r="AH653" s="198"/>
      <c r="AI653" s="198"/>
      <c r="AJ653" s="198"/>
      <c r="AK653" s="198"/>
      <c r="AL653" s="198"/>
      <c r="AM653" s="198"/>
    </row>
    <row r="654" ht="12.0" customHeight="1">
      <c r="A654" s="198"/>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c r="AC654" s="198"/>
      <c r="AD654" s="198"/>
      <c r="AE654" s="198"/>
      <c r="AF654" s="198"/>
      <c r="AG654" s="198"/>
      <c r="AH654" s="198"/>
      <c r="AI654" s="198"/>
      <c r="AJ654" s="198"/>
      <c r="AK654" s="198"/>
      <c r="AL654" s="198"/>
      <c r="AM654" s="198"/>
    </row>
    <row r="655" ht="12.0" customHeight="1">
      <c r="A655" s="198"/>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c r="AC655" s="198"/>
      <c r="AD655" s="198"/>
      <c r="AE655" s="198"/>
      <c r="AF655" s="198"/>
      <c r="AG655" s="198"/>
      <c r="AH655" s="198"/>
      <c r="AI655" s="198"/>
      <c r="AJ655" s="198"/>
      <c r="AK655" s="198"/>
      <c r="AL655" s="198"/>
      <c r="AM655" s="198"/>
    </row>
    <row r="656" ht="12.0" customHeight="1">
      <c r="A656" s="198"/>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c r="AC656" s="198"/>
      <c r="AD656" s="198"/>
      <c r="AE656" s="198"/>
      <c r="AF656" s="198"/>
      <c r="AG656" s="198"/>
      <c r="AH656" s="198"/>
      <c r="AI656" s="198"/>
      <c r="AJ656" s="198"/>
      <c r="AK656" s="198"/>
      <c r="AL656" s="198"/>
      <c r="AM656" s="198"/>
    </row>
    <row r="657" ht="12.0" customHeight="1">
      <c r="A657" s="198"/>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c r="AC657" s="198"/>
      <c r="AD657" s="198"/>
      <c r="AE657" s="198"/>
      <c r="AF657" s="198"/>
      <c r="AG657" s="198"/>
      <c r="AH657" s="198"/>
      <c r="AI657" s="198"/>
      <c r="AJ657" s="198"/>
      <c r="AK657" s="198"/>
      <c r="AL657" s="198"/>
      <c r="AM657" s="198"/>
    </row>
    <row r="658" ht="12.0" customHeight="1">
      <c r="A658" s="198"/>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c r="AC658" s="198"/>
      <c r="AD658" s="198"/>
      <c r="AE658" s="198"/>
      <c r="AF658" s="198"/>
      <c r="AG658" s="198"/>
      <c r="AH658" s="198"/>
      <c r="AI658" s="198"/>
      <c r="AJ658" s="198"/>
      <c r="AK658" s="198"/>
      <c r="AL658" s="198"/>
      <c r="AM658" s="198"/>
    </row>
    <row r="659" ht="12.0" customHeight="1">
      <c r="A659" s="198"/>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c r="AC659" s="198"/>
      <c r="AD659" s="198"/>
      <c r="AE659" s="198"/>
      <c r="AF659" s="198"/>
      <c r="AG659" s="198"/>
      <c r="AH659" s="198"/>
      <c r="AI659" s="198"/>
      <c r="AJ659" s="198"/>
      <c r="AK659" s="198"/>
      <c r="AL659" s="198"/>
      <c r="AM659" s="198"/>
    </row>
    <row r="660" ht="12.0" customHeight="1">
      <c r="A660" s="198"/>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c r="AC660" s="198"/>
      <c r="AD660" s="198"/>
      <c r="AE660" s="198"/>
      <c r="AF660" s="198"/>
      <c r="AG660" s="198"/>
      <c r="AH660" s="198"/>
      <c r="AI660" s="198"/>
      <c r="AJ660" s="198"/>
      <c r="AK660" s="198"/>
      <c r="AL660" s="198"/>
      <c r="AM660" s="198"/>
    </row>
    <row r="661" ht="12.0" customHeight="1">
      <c r="A661" s="198"/>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c r="AC661" s="198"/>
      <c r="AD661" s="198"/>
      <c r="AE661" s="198"/>
      <c r="AF661" s="198"/>
      <c r="AG661" s="198"/>
      <c r="AH661" s="198"/>
      <c r="AI661" s="198"/>
      <c r="AJ661" s="198"/>
      <c r="AK661" s="198"/>
      <c r="AL661" s="198"/>
      <c r="AM661" s="198"/>
    </row>
    <row r="662" ht="12.0" customHeight="1">
      <c r="A662" s="198"/>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c r="AC662" s="198"/>
      <c r="AD662" s="198"/>
      <c r="AE662" s="198"/>
      <c r="AF662" s="198"/>
      <c r="AG662" s="198"/>
      <c r="AH662" s="198"/>
      <c r="AI662" s="198"/>
      <c r="AJ662" s="198"/>
      <c r="AK662" s="198"/>
      <c r="AL662" s="198"/>
      <c r="AM662" s="198"/>
    </row>
    <row r="663" ht="12.0" customHeight="1">
      <c r="A663" s="198"/>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c r="AC663" s="198"/>
      <c r="AD663" s="198"/>
      <c r="AE663" s="198"/>
      <c r="AF663" s="198"/>
      <c r="AG663" s="198"/>
      <c r="AH663" s="198"/>
      <c r="AI663" s="198"/>
      <c r="AJ663" s="198"/>
      <c r="AK663" s="198"/>
      <c r="AL663" s="198"/>
      <c r="AM663" s="198"/>
    </row>
    <row r="664" ht="12.0" customHeight="1">
      <c r="A664" s="198"/>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c r="AC664" s="198"/>
      <c r="AD664" s="198"/>
      <c r="AE664" s="198"/>
      <c r="AF664" s="198"/>
      <c r="AG664" s="198"/>
      <c r="AH664" s="198"/>
      <c r="AI664" s="198"/>
      <c r="AJ664" s="198"/>
      <c r="AK664" s="198"/>
      <c r="AL664" s="198"/>
      <c r="AM664" s="198"/>
    </row>
    <row r="665" ht="12.0" customHeight="1">
      <c r="A665" s="198"/>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c r="AC665" s="198"/>
      <c r="AD665" s="198"/>
      <c r="AE665" s="198"/>
      <c r="AF665" s="198"/>
      <c r="AG665" s="198"/>
      <c r="AH665" s="198"/>
      <c r="AI665" s="198"/>
      <c r="AJ665" s="198"/>
      <c r="AK665" s="198"/>
      <c r="AL665" s="198"/>
      <c r="AM665" s="198"/>
    </row>
    <row r="666" ht="12.0" customHeight="1">
      <c r="A666" s="198"/>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c r="AC666" s="198"/>
      <c r="AD666" s="198"/>
      <c r="AE666" s="198"/>
      <c r="AF666" s="198"/>
      <c r="AG666" s="198"/>
      <c r="AH666" s="198"/>
      <c r="AI666" s="198"/>
      <c r="AJ666" s="198"/>
      <c r="AK666" s="198"/>
      <c r="AL666" s="198"/>
      <c r="AM666" s="198"/>
    </row>
    <row r="667" ht="12.0" customHeight="1">
      <c r="A667" s="198"/>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c r="AC667" s="198"/>
      <c r="AD667" s="198"/>
      <c r="AE667" s="198"/>
      <c r="AF667" s="198"/>
      <c r="AG667" s="198"/>
      <c r="AH667" s="198"/>
      <c r="AI667" s="198"/>
      <c r="AJ667" s="198"/>
      <c r="AK667" s="198"/>
      <c r="AL667" s="198"/>
      <c r="AM667" s="198"/>
    </row>
    <row r="668" ht="12.0" customHeight="1">
      <c r="A668" s="198"/>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c r="AC668" s="198"/>
      <c r="AD668" s="198"/>
      <c r="AE668" s="198"/>
      <c r="AF668" s="198"/>
      <c r="AG668" s="198"/>
      <c r="AH668" s="198"/>
      <c r="AI668" s="198"/>
      <c r="AJ668" s="198"/>
      <c r="AK668" s="198"/>
      <c r="AL668" s="198"/>
      <c r="AM668" s="198"/>
    </row>
    <row r="669" ht="12.0" customHeight="1">
      <c r="A669" s="198"/>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c r="AC669" s="198"/>
      <c r="AD669" s="198"/>
      <c r="AE669" s="198"/>
      <c r="AF669" s="198"/>
      <c r="AG669" s="198"/>
      <c r="AH669" s="198"/>
      <c r="AI669" s="198"/>
      <c r="AJ669" s="198"/>
      <c r="AK669" s="198"/>
      <c r="AL669" s="198"/>
      <c r="AM669" s="198"/>
    </row>
    <row r="670" ht="12.0" customHeight="1">
      <c r="A670" s="198"/>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c r="AC670" s="198"/>
      <c r="AD670" s="198"/>
      <c r="AE670" s="198"/>
      <c r="AF670" s="198"/>
      <c r="AG670" s="198"/>
      <c r="AH670" s="198"/>
      <c r="AI670" s="198"/>
      <c r="AJ670" s="198"/>
      <c r="AK670" s="198"/>
      <c r="AL670" s="198"/>
      <c r="AM670" s="198"/>
    </row>
    <row r="671" ht="12.0" customHeight="1">
      <c r="A671" s="198"/>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c r="AC671" s="198"/>
      <c r="AD671" s="198"/>
      <c r="AE671" s="198"/>
      <c r="AF671" s="198"/>
      <c r="AG671" s="198"/>
      <c r="AH671" s="198"/>
      <c r="AI671" s="198"/>
      <c r="AJ671" s="198"/>
      <c r="AK671" s="198"/>
      <c r="AL671" s="198"/>
      <c r="AM671" s="198"/>
    </row>
    <row r="672" ht="12.0" customHeight="1">
      <c r="A672" s="198"/>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c r="AC672" s="198"/>
      <c r="AD672" s="198"/>
      <c r="AE672" s="198"/>
      <c r="AF672" s="198"/>
      <c r="AG672" s="198"/>
      <c r="AH672" s="198"/>
      <c r="AI672" s="198"/>
      <c r="AJ672" s="198"/>
      <c r="AK672" s="198"/>
      <c r="AL672" s="198"/>
      <c r="AM672" s="198"/>
    </row>
    <row r="673" ht="12.0" customHeight="1">
      <c r="A673" s="198"/>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c r="AC673" s="198"/>
      <c r="AD673" s="198"/>
      <c r="AE673" s="198"/>
      <c r="AF673" s="198"/>
      <c r="AG673" s="198"/>
      <c r="AH673" s="198"/>
      <c r="AI673" s="198"/>
      <c r="AJ673" s="198"/>
      <c r="AK673" s="198"/>
      <c r="AL673" s="198"/>
      <c r="AM673" s="198"/>
    </row>
    <row r="674" ht="12.0" customHeight="1">
      <c r="A674" s="198"/>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c r="AC674" s="198"/>
      <c r="AD674" s="198"/>
      <c r="AE674" s="198"/>
      <c r="AF674" s="198"/>
      <c r="AG674" s="198"/>
      <c r="AH674" s="198"/>
      <c r="AI674" s="198"/>
      <c r="AJ674" s="198"/>
      <c r="AK674" s="198"/>
      <c r="AL674" s="198"/>
      <c r="AM674" s="198"/>
    </row>
    <row r="675" ht="12.0" customHeight="1">
      <c r="A675" s="198"/>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c r="AC675" s="198"/>
      <c r="AD675" s="198"/>
      <c r="AE675" s="198"/>
      <c r="AF675" s="198"/>
      <c r="AG675" s="198"/>
      <c r="AH675" s="198"/>
      <c r="AI675" s="198"/>
      <c r="AJ675" s="198"/>
      <c r="AK675" s="198"/>
      <c r="AL675" s="198"/>
      <c r="AM675" s="198"/>
    </row>
    <row r="676" ht="12.0" customHeight="1">
      <c r="A676" s="198"/>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c r="AC676" s="198"/>
      <c r="AD676" s="198"/>
      <c r="AE676" s="198"/>
      <c r="AF676" s="198"/>
      <c r="AG676" s="198"/>
      <c r="AH676" s="198"/>
      <c r="AI676" s="198"/>
      <c r="AJ676" s="198"/>
      <c r="AK676" s="198"/>
      <c r="AL676" s="198"/>
      <c r="AM676" s="198"/>
    </row>
    <row r="677" ht="12.0" customHeight="1">
      <c r="A677" s="198"/>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c r="AC677" s="198"/>
      <c r="AD677" s="198"/>
      <c r="AE677" s="198"/>
      <c r="AF677" s="198"/>
      <c r="AG677" s="198"/>
      <c r="AH677" s="198"/>
      <c r="AI677" s="198"/>
      <c r="AJ677" s="198"/>
      <c r="AK677" s="198"/>
      <c r="AL677" s="198"/>
      <c r="AM677" s="198"/>
    </row>
    <row r="678" ht="12.0" customHeight="1">
      <c r="A678" s="198"/>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c r="AC678" s="198"/>
      <c r="AD678" s="198"/>
      <c r="AE678" s="198"/>
      <c r="AF678" s="198"/>
      <c r="AG678" s="198"/>
      <c r="AH678" s="198"/>
      <c r="AI678" s="198"/>
      <c r="AJ678" s="198"/>
      <c r="AK678" s="198"/>
      <c r="AL678" s="198"/>
      <c r="AM678" s="198"/>
    </row>
    <row r="679" ht="12.0" customHeight="1">
      <c r="A679" s="198"/>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c r="AC679" s="198"/>
      <c r="AD679" s="198"/>
      <c r="AE679" s="198"/>
      <c r="AF679" s="198"/>
      <c r="AG679" s="198"/>
      <c r="AH679" s="198"/>
      <c r="AI679" s="198"/>
      <c r="AJ679" s="198"/>
      <c r="AK679" s="198"/>
      <c r="AL679" s="198"/>
      <c r="AM679" s="198"/>
    </row>
    <row r="680" ht="12.0" customHeight="1">
      <c r="A680" s="198"/>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c r="AC680" s="198"/>
      <c r="AD680" s="198"/>
      <c r="AE680" s="198"/>
      <c r="AF680" s="198"/>
      <c r="AG680" s="198"/>
      <c r="AH680" s="198"/>
      <c r="AI680" s="198"/>
      <c r="AJ680" s="198"/>
      <c r="AK680" s="198"/>
      <c r="AL680" s="198"/>
      <c r="AM680" s="198"/>
    </row>
    <row r="681" ht="12.0" customHeight="1">
      <c r="A681" s="198"/>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c r="AC681" s="198"/>
      <c r="AD681" s="198"/>
      <c r="AE681" s="198"/>
      <c r="AF681" s="198"/>
      <c r="AG681" s="198"/>
      <c r="AH681" s="198"/>
      <c r="AI681" s="198"/>
      <c r="AJ681" s="198"/>
      <c r="AK681" s="198"/>
      <c r="AL681" s="198"/>
      <c r="AM681" s="198"/>
    </row>
    <row r="682" ht="12.0" customHeight="1">
      <c r="A682" s="198"/>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c r="AC682" s="198"/>
      <c r="AD682" s="198"/>
      <c r="AE682" s="198"/>
      <c r="AF682" s="198"/>
      <c r="AG682" s="198"/>
      <c r="AH682" s="198"/>
      <c r="AI682" s="198"/>
      <c r="AJ682" s="198"/>
      <c r="AK682" s="198"/>
      <c r="AL682" s="198"/>
      <c r="AM682" s="198"/>
    </row>
    <row r="683" ht="12.0" customHeight="1">
      <c r="A683" s="198"/>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c r="AC683" s="198"/>
      <c r="AD683" s="198"/>
      <c r="AE683" s="198"/>
      <c r="AF683" s="198"/>
      <c r="AG683" s="198"/>
      <c r="AH683" s="198"/>
      <c r="AI683" s="198"/>
      <c r="AJ683" s="198"/>
      <c r="AK683" s="198"/>
      <c r="AL683" s="198"/>
      <c r="AM683" s="198"/>
    </row>
    <row r="684" ht="12.0" customHeight="1">
      <c r="A684" s="198"/>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c r="AC684" s="198"/>
      <c r="AD684" s="198"/>
      <c r="AE684" s="198"/>
      <c r="AF684" s="198"/>
      <c r="AG684" s="198"/>
      <c r="AH684" s="198"/>
      <c r="AI684" s="198"/>
      <c r="AJ684" s="198"/>
      <c r="AK684" s="198"/>
      <c r="AL684" s="198"/>
      <c r="AM684" s="198"/>
    </row>
    <row r="685" ht="12.0" customHeight="1">
      <c r="A685" s="198"/>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c r="AC685" s="198"/>
      <c r="AD685" s="198"/>
      <c r="AE685" s="198"/>
      <c r="AF685" s="198"/>
      <c r="AG685" s="198"/>
      <c r="AH685" s="198"/>
      <c r="AI685" s="198"/>
      <c r="AJ685" s="198"/>
      <c r="AK685" s="198"/>
      <c r="AL685" s="198"/>
      <c r="AM685" s="198"/>
    </row>
    <row r="686" ht="12.0" customHeight="1">
      <c r="A686" s="198"/>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c r="AC686" s="198"/>
      <c r="AD686" s="198"/>
      <c r="AE686" s="198"/>
      <c r="AF686" s="198"/>
      <c r="AG686" s="198"/>
      <c r="AH686" s="198"/>
      <c r="AI686" s="198"/>
      <c r="AJ686" s="198"/>
      <c r="AK686" s="198"/>
      <c r="AL686" s="198"/>
      <c r="AM686" s="198"/>
    </row>
    <row r="687" ht="12.0" customHeight="1">
      <c r="A687" s="198"/>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c r="AC687" s="198"/>
      <c r="AD687" s="198"/>
      <c r="AE687" s="198"/>
      <c r="AF687" s="198"/>
      <c r="AG687" s="198"/>
      <c r="AH687" s="198"/>
      <c r="AI687" s="198"/>
      <c r="AJ687" s="198"/>
      <c r="AK687" s="198"/>
      <c r="AL687" s="198"/>
      <c r="AM687" s="198"/>
    </row>
    <row r="688" ht="12.0" customHeight="1">
      <c r="A688" s="198"/>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c r="AC688" s="198"/>
      <c r="AD688" s="198"/>
      <c r="AE688" s="198"/>
      <c r="AF688" s="198"/>
      <c r="AG688" s="198"/>
      <c r="AH688" s="198"/>
      <c r="AI688" s="198"/>
      <c r="AJ688" s="198"/>
      <c r="AK688" s="198"/>
      <c r="AL688" s="198"/>
      <c r="AM688" s="198"/>
    </row>
    <row r="689" ht="12.0" customHeight="1">
      <c r="A689" s="198"/>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c r="AC689" s="198"/>
      <c r="AD689" s="198"/>
      <c r="AE689" s="198"/>
      <c r="AF689" s="198"/>
      <c r="AG689" s="198"/>
      <c r="AH689" s="198"/>
      <c r="AI689" s="198"/>
      <c r="AJ689" s="198"/>
      <c r="AK689" s="198"/>
      <c r="AL689" s="198"/>
      <c r="AM689" s="198"/>
    </row>
    <row r="690" ht="12.0" customHeight="1">
      <c r="A690" s="198"/>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c r="AC690" s="198"/>
      <c r="AD690" s="198"/>
      <c r="AE690" s="198"/>
      <c r="AF690" s="198"/>
      <c r="AG690" s="198"/>
      <c r="AH690" s="198"/>
      <c r="AI690" s="198"/>
      <c r="AJ690" s="198"/>
      <c r="AK690" s="198"/>
      <c r="AL690" s="198"/>
      <c r="AM690" s="198"/>
    </row>
    <row r="691" ht="12.0" customHeight="1">
      <c r="A691" s="198"/>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c r="AC691" s="198"/>
      <c r="AD691" s="198"/>
      <c r="AE691" s="198"/>
      <c r="AF691" s="198"/>
      <c r="AG691" s="198"/>
      <c r="AH691" s="198"/>
      <c r="AI691" s="198"/>
      <c r="AJ691" s="198"/>
      <c r="AK691" s="198"/>
      <c r="AL691" s="198"/>
      <c r="AM691" s="198"/>
    </row>
    <row r="692" ht="12.0" customHeight="1">
      <c r="A692" s="198"/>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c r="AC692" s="198"/>
      <c r="AD692" s="198"/>
      <c r="AE692" s="198"/>
      <c r="AF692" s="198"/>
      <c r="AG692" s="198"/>
      <c r="AH692" s="198"/>
      <c r="AI692" s="198"/>
      <c r="AJ692" s="198"/>
      <c r="AK692" s="198"/>
      <c r="AL692" s="198"/>
      <c r="AM692" s="198"/>
    </row>
    <row r="693" ht="12.0" customHeight="1">
      <c r="A693" s="198"/>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c r="AC693" s="198"/>
      <c r="AD693" s="198"/>
      <c r="AE693" s="198"/>
      <c r="AF693" s="198"/>
      <c r="AG693" s="198"/>
      <c r="AH693" s="198"/>
      <c r="AI693" s="198"/>
      <c r="AJ693" s="198"/>
      <c r="AK693" s="198"/>
      <c r="AL693" s="198"/>
      <c r="AM693" s="198"/>
    </row>
    <row r="694" ht="12.0" customHeight="1">
      <c r="A694" s="198"/>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c r="AC694" s="198"/>
      <c r="AD694" s="198"/>
      <c r="AE694" s="198"/>
      <c r="AF694" s="198"/>
      <c r="AG694" s="198"/>
      <c r="AH694" s="198"/>
      <c r="AI694" s="198"/>
      <c r="AJ694" s="198"/>
      <c r="AK694" s="198"/>
      <c r="AL694" s="198"/>
      <c r="AM694" s="198"/>
    </row>
    <row r="695" ht="12.0" customHeight="1">
      <c r="A695" s="198"/>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c r="AC695" s="198"/>
      <c r="AD695" s="198"/>
      <c r="AE695" s="198"/>
      <c r="AF695" s="198"/>
      <c r="AG695" s="198"/>
      <c r="AH695" s="198"/>
      <c r="AI695" s="198"/>
      <c r="AJ695" s="198"/>
      <c r="AK695" s="198"/>
      <c r="AL695" s="198"/>
      <c r="AM695" s="198"/>
    </row>
    <row r="696" ht="12.0" customHeight="1">
      <c r="A696" s="198"/>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c r="AC696" s="198"/>
      <c r="AD696" s="198"/>
      <c r="AE696" s="198"/>
      <c r="AF696" s="198"/>
      <c r="AG696" s="198"/>
      <c r="AH696" s="198"/>
      <c r="AI696" s="198"/>
      <c r="AJ696" s="198"/>
      <c r="AK696" s="198"/>
      <c r="AL696" s="198"/>
      <c r="AM696" s="198"/>
    </row>
    <row r="697" ht="12.0" customHeight="1">
      <c r="A697" s="198"/>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c r="AC697" s="198"/>
      <c r="AD697" s="198"/>
      <c r="AE697" s="198"/>
      <c r="AF697" s="198"/>
      <c r="AG697" s="198"/>
      <c r="AH697" s="198"/>
      <c r="AI697" s="198"/>
      <c r="AJ697" s="198"/>
      <c r="AK697" s="198"/>
      <c r="AL697" s="198"/>
      <c r="AM697" s="198"/>
    </row>
    <row r="698" ht="12.0" customHeight="1">
      <c r="A698" s="198"/>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c r="AC698" s="198"/>
      <c r="AD698" s="198"/>
      <c r="AE698" s="198"/>
      <c r="AF698" s="198"/>
      <c r="AG698" s="198"/>
      <c r="AH698" s="198"/>
      <c r="AI698" s="198"/>
      <c r="AJ698" s="198"/>
      <c r="AK698" s="198"/>
      <c r="AL698" s="198"/>
      <c r="AM698" s="198"/>
    </row>
    <row r="699" ht="12.0" customHeight="1">
      <c r="A699" s="198"/>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c r="AC699" s="198"/>
      <c r="AD699" s="198"/>
      <c r="AE699" s="198"/>
      <c r="AF699" s="198"/>
      <c r="AG699" s="198"/>
      <c r="AH699" s="198"/>
      <c r="AI699" s="198"/>
      <c r="AJ699" s="198"/>
      <c r="AK699" s="198"/>
      <c r="AL699" s="198"/>
      <c r="AM699" s="198"/>
    </row>
    <row r="700" ht="12.0" customHeight="1">
      <c r="A700" s="198"/>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c r="AC700" s="198"/>
      <c r="AD700" s="198"/>
      <c r="AE700" s="198"/>
      <c r="AF700" s="198"/>
      <c r="AG700" s="198"/>
      <c r="AH700" s="198"/>
      <c r="AI700" s="198"/>
      <c r="AJ700" s="198"/>
      <c r="AK700" s="198"/>
      <c r="AL700" s="198"/>
      <c r="AM700" s="198"/>
    </row>
    <row r="701" ht="12.0" customHeight="1">
      <c r="A701" s="198"/>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c r="AC701" s="198"/>
      <c r="AD701" s="198"/>
      <c r="AE701" s="198"/>
      <c r="AF701" s="198"/>
      <c r="AG701" s="198"/>
      <c r="AH701" s="198"/>
      <c r="AI701" s="198"/>
      <c r="AJ701" s="198"/>
      <c r="AK701" s="198"/>
      <c r="AL701" s="198"/>
      <c r="AM701" s="198"/>
    </row>
    <row r="702" ht="12.0" customHeight="1">
      <c r="A702" s="198"/>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c r="AC702" s="198"/>
      <c r="AD702" s="198"/>
      <c r="AE702" s="198"/>
      <c r="AF702" s="198"/>
      <c r="AG702" s="198"/>
      <c r="AH702" s="198"/>
      <c r="AI702" s="198"/>
      <c r="AJ702" s="198"/>
      <c r="AK702" s="198"/>
      <c r="AL702" s="198"/>
      <c r="AM702" s="198"/>
    </row>
    <row r="703" ht="12.0" customHeight="1">
      <c r="A703" s="198"/>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c r="AC703" s="198"/>
      <c r="AD703" s="198"/>
      <c r="AE703" s="198"/>
      <c r="AF703" s="198"/>
      <c r="AG703" s="198"/>
      <c r="AH703" s="198"/>
      <c r="AI703" s="198"/>
      <c r="AJ703" s="198"/>
      <c r="AK703" s="198"/>
      <c r="AL703" s="198"/>
      <c r="AM703" s="198"/>
    </row>
    <row r="704" ht="12.0" customHeight="1">
      <c r="A704" s="198"/>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c r="AC704" s="198"/>
      <c r="AD704" s="198"/>
      <c r="AE704" s="198"/>
      <c r="AF704" s="198"/>
      <c r="AG704" s="198"/>
      <c r="AH704" s="198"/>
      <c r="AI704" s="198"/>
      <c r="AJ704" s="198"/>
      <c r="AK704" s="198"/>
      <c r="AL704" s="198"/>
      <c r="AM704" s="198"/>
    </row>
    <row r="705" ht="12.0" customHeight="1">
      <c r="A705" s="198"/>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c r="AC705" s="198"/>
      <c r="AD705" s="198"/>
      <c r="AE705" s="198"/>
      <c r="AF705" s="198"/>
      <c r="AG705" s="198"/>
      <c r="AH705" s="198"/>
      <c r="AI705" s="198"/>
      <c r="AJ705" s="198"/>
      <c r="AK705" s="198"/>
      <c r="AL705" s="198"/>
      <c r="AM705" s="198"/>
    </row>
    <row r="706" ht="12.0" customHeight="1">
      <c r="A706" s="198"/>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c r="AC706" s="198"/>
      <c r="AD706" s="198"/>
      <c r="AE706" s="198"/>
      <c r="AF706" s="198"/>
      <c r="AG706" s="198"/>
      <c r="AH706" s="198"/>
      <c r="AI706" s="198"/>
      <c r="AJ706" s="198"/>
      <c r="AK706" s="198"/>
      <c r="AL706" s="198"/>
      <c r="AM706" s="198"/>
    </row>
    <row r="707" ht="12.0" customHeight="1">
      <c r="A707" s="198"/>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c r="AC707" s="198"/>
      <c r="AD707" s="198"/>
      <c r="AE707" s="198"/>
      <c r="AF707" s="198"/>
      <c r="AG707" s="198"/>
      <c r="AH707" s="198"/>
      <c r="AI707" s="198"/>
      <c r="AJ707" s="198"/>
      <c r="AK707" s="198"/>
      <c r="AL707" s="198"/>
      <c r="AM707" s="198"/>
    </row>
    <row r="708" ht="12.0" customHeight="1">
      <c r="A708" s="198"/>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c r="AC708" s="198"/>
      <c r="AD708" s="198"/>
      <c r="AE708" s="198"/>
      <c r="AF708" s="198"/>
      <c r="AG708" s="198"/>
      <c r="AH708" s="198"/>
      <c r="AI708" s="198"/>
      <c r="AJ708" s="198"/>
      <c r="AK708" s="198"/>
      <c r="AL708" s="198"/>
      <c r="AM708" s="198"/>
    </row>
    <row r="709" ht="12.0" customHeight="1">
      <c r="A709" s="198"/>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c r="AC709" s="198"/>
      <c r="AD709" s="198"/>
      <c r="AE709" s="198"/>
      <c r="AF709" s="198"/>
      <c r="AG709" s="198"/>
      <c r="AH709" s="198"/>
      <c r="AI709" s="198"/>
      <c r="AJ709" s="198"/>
      <c r="AK709" s="198"/>
      <c r="AL709" s="198"/>
      <c r="AM709" s="198"/>
    </row>
    <row r="710" ht="12.0" customHeight="1">
      <c r="A710" s="198"/>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c r="AC710" s="198"/>
      <c r="AD710" s="198"/>
      <c r="AE710" s="198"/>
      <c r="AF710" s="198"/>
      <c r="AG710" s="198"/>
      <c r="AH710" s="198"/>
      <c r="AI710" s="198"/>
      <c r="AJ710" s="198"/>
      <c r="AK710" s="198"/>
      <c r="AL710" s="198"/>
      <c r="AM710" s="198"/>
    </row>
    <row r="711" ht="12.0" customHeight="1">
      <c r="A711" s="198"/>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c r="AC711" s="198"/>
      <c r="AD711" s="198"/>
      <c r="AE711" s="198"/>
      <c r="AF711" s="198"/>
      <c r="AG711" s="198"/>
      <c r="AH711" s="198"/>
      <c r="AI711" s="198"/>
      <c r="AJ711" s="198"/>
      <c r="AK711" s="198"/>
      <c r="AL711" s="198"/>
      <c r="AM711" s="198"/>
    </row>
    <row r="712" ht="12.0" customHeight="1">
      <c r="A712" s="198"/>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c r="AD712" s="198"/>
      <c r="AE712" s="198"/>
      <c r="AF712" s="198"/>
      <c r="AG712" s="198"/>
      <c r="AH712" s="198"/>
      <c r="AI712" s="198"/>
      <c r="AJ712" s="198"/>
      <c r="AK712" s="198"/>
      <c r="AL712" s="198"/>
      <c r="AM712" s="198"/>
    </row>
    <row r="713" ht="12.0" customHeight="1">
      <c r="A713" s="198"/>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c r="AC713" s="198"/>
      <c r="AD713" s="198"/>
      <c r="AE713" s="198"/>
      <c r="AF713" s="198"/>
      <c r="AG713" s="198"/>
      <c r="AH713" s="198"/>
      <c r="AI713" s="198"/>
      <c r="AJ713" s="198"/>
      <c r="AK713" s="198"/>
      <c r="AL713" s="198"/>
      <c r="AM713" s="198"/>
    </row>
    <row r="714" ht="12.0" customHeight="1">
      <c r="A714" s="198"/>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c r="AC714" s="198"/>
      <c r="AD714" s="198"/>
      <c r="AE714" s="198"/>
      <c r="AF714" s="198"/>
      <c r="AG714" s="198"/>
      <c r="AH714" s="198"/>
      <c r="AI714" s="198"/>
      <c r="AJ714" s="198"/>
      <c r="AK714" s="198"/>
      <c r="AL714" s="198"/>
      <c r="AM714" s="198"/>
    </row>
    <row r="715" ht="12.0" customHeight="1">
      <c r="A715" s="198"/>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c r="AC715" s="198"/>
      <c r="AD715" s="198"/>
      <c r="AE715" s="198"/>
      <c r="AF715" s="198"/>
      <c r="AG715" s="198"/>
      <c r="AH715" s="198"/>
      <c r="AI715" s="198"/>
      <c r="AJ715" s="198"/>
      <c r="AK715" s="198"/>
      <c r="AL715" s="198"/>
      <c r="AM715" s="198"/>
    </row>
    <row r="716" ht="12.0" customHeight="1">
      <c r="A716" s="198"/>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c r="AC716" s="198"/>
      <c r="AD716" s="198"/>
      <c r="AE716" s="198"/>
      <c r="AF716" s="198"/>
      <c r="AG716" s="198"/>
      <c r="AH716" s="198"/>
      <c r="AI716" s="198"/>
      <c r="AJ716" s="198"/>
      <c r="AK716" s="198"/>
      <c r="AL716" s="198"/>
      <c r="AM716" s="198"/>
    </row>
    <row r="717" ht="12.0" customHeight="1">
      <c r="A717" s="198"/>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c r="AC717" s="198"/>
      <c r="AD717" s="198"/>
      <c r="AE717" s="198"/>
      <c r="AF717" s="198"/>
      <c r="AG717" s="198"/>
      <c r="AH717" s="198"/>
      <c r="AI717" s="198"/>
      <c r="AJ717" s="198"/>
      <c r="AK717" s="198"/>
      <c r="AL717" s="198"/>
      <c r="AM717" s="198"/>
    </row>
    <row r="718" ht="12.0" customHeight="1">
      <c r="A718" s="198"/>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c r="AC718" s="198"/>
      <c r="AD718" s="198"/>
      <c r="AE718" s="198"/>
      <c r="AF718" s="198"/>
      <c r="AG718" s="198"/>
      <c r="AH718" s="198"/>
      <c r="AI718" s="198"/>
      <c r="AJ718" s="198"/>
      <c r="AK718" s="198"/>
      <c r="AL718" s="198"/>
      <c r="AM718" s="198"/>
    </row>
    <row r="719" ht="12.0" customHeight="1">
      <c r="A719" s="198"/>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c r="AC719" s="198"/>
      <c r="AD719" s="198"/>
      <c r="AE719" s="198"/>
      <c r="AF719" s="198"/>
      <c r="AG719" s="198"/>
      <c r="AH719" s="198"/>
      <c r="AI719" s="198"/>
      <c r="AJ719" s="198"/>
      <c r="AK719" s="198"/>
      <c r="AL719" s="198"/>
      <c r="AM719" s="198"/>
    </row>
    <row r="720" ht="12.0" customHeight="1">
      <c r="A720" s="198"/>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c r="AC720" s="198"/>
      <c r="AD720" s="198"/>
      <c r="AE720" s="198"/>
      <c r="AF720" s="198"/>
      <c r="AG720" s="198"/>
      <c r="AH720" s="198"/>
      <c r="AI720" s="198"/>
      <c r="AJ720" s="198"/>
      <c r="AK720" s="198"/>
      <c r="AL720" s="198"/>
      <c r="AM720" s="198"/>
    </row>
    <row r="721" ht="12.0" customHeight="1">
      <c r="A721" s="198"/>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c r="AC721" s="198"/>
      <c r="AD721" s="198"/>
      <c r="AE721" s="198"/>
      <c r="AF721" s="198"/>
      <c r="AG721" s="198"/>
      <c r="AH721" s="198"/>
      <c r="AI721" s="198"/>
      <c r="AJ721" s="198"/>
      <c r="AK721" s="198"/>
      <c r="AL721" s="198"/>
      <c r="AM721" s="198"/>
    </row>
    <row r="722" ht="12.0" customHeight="1">
      <c r="A722" s="198"/>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c r="AC722" s="198"/>
      <c r="AD722" s="198"/>
      <c r="AE722" s="198"/>
      <c r="AF722" s="198"/>
      <c r="AG722" s="198"/>
      <c r="AH722" s="198"/>
      <c r="AI722" s="198"/>
      <c r="AJ722" s="198"/>
      <c r="AK722" s="198"/>
      <c r="AL722" s="198"/>
      <c r="AM722" s="198"/>
    </row>
    <row r="723" ht="12.0" customHeight="1">
      <c r="A723" s="198"/>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c r="AC723" s="198"/>
      <c r="AD723" s="198"/>
      <c r="AE723" s="198"/>
      <c r="AF723" s="198"/>
      <c r="AG723" s="198"/>
      <c r="AH723" s="198"/>
      <c r="AI723" s="198"/>
      <c r="AJ723" s="198"/>
      <c r="AK723" s="198"/>
      <c r="AL723" s="198"/>
      <c r="AM723" s="198"/>
    </row>
    <row r="724" ht="12.0" customHeight="1">
      <c r="A724" s="198"/>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c r="AC724" s="198"/>
      <c r="AD724" s="198"/>
      <c r="AE724" s="198"/>
      <c r="AF724" s="198"/>
      <c r="AG724" s="198"/>
      <c r="AH724" s="198"/>
      <c r="AI724" s="198"/>
      <c r="AJ724" s="198"/>
      <c r="AK724" s="198"/>
      <c r="AL724" s="198"/>
      <c r="AM724" s="198"/>
    </row>
    <row r="725" ht="12.0" customHeight="1">
      <c r="A725" s="198"/>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c r="AC725" s="198"/>
      <c r="AD725" s="198"/>
      <c r="AE725" s="198"/>
      <c r="AF725" s="198"/>
      <c r="AG725" s="198"/>
      <c r="AH725" s="198"/>
      <c r="AI725" s="198"/>
      <c r="AJ725" s="198"/>
      <c r="AK725" s="198"/>
      <c r="AL725" s="198"/>
      <c r="AM725" s="198"/>
    </row>
    <row r="726" ht="12.0" customHeight="1">
      <c r="A726" s="198"/>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c r="AC726" s="198"/>
      <c r="AD726" s="198"/>
      <c r="AE726" s="198"/>
      <c r="AF726" s="198"/>
      <c r="AG726" s="198"/>
      <c r="AH726" s="198"/>
      <c r="AI726" s="198"/>
      <c r="AJ726" s="198"/>
      <c r="AK726" s="198"/>
      <c r="AL726" s="198"/>
      <c r="AM726" s="198"/>
    </row>
    <row r="727" ht="12.0" customHeight="1">
      <c r="A727" s="198"/>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c r="AC727" s="198"/>
      <c r="AD727" s="198"/>
      <c r="AE727" s="198"/>
      <c r="AF727" s="198"/>
      <c r="AG727" s="198"/>
      <c r="AH727" s="198"/>
      <c r="AI727" s="198"/>
      <c r="AJ727" s="198"/>
      <c r="AK727" s="198"/>
      <c r="AL727" s="198"/>
      <c r="AM727" s="198"/>
    </row>
    <row r="728" ht="12.0" customHeight="1">
      <c r="A728" s="198"/>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c r="AC728" s="198"/>
      <c r="AD728" s="198"/>
      <c r="AE728" s="198"/>
      <c r="AF728" s="198"/>
      <c r="AG728" s="198"/>
      <c r="AH728" s="198"/>
      <c r="AI728" s="198"/>
      <c r="AJ728" s="198"/>
      <c r="AK728" s="198"/>
      <c r="AL728" s="198"/>
      <c r="AM728" s="198"/>
    </row>
    <row r="729" ht="12.0" customHeight="1">
      <c r="A729" s="198"/>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c r="AC729" s="198"/>
      <c r="AD729" s="198"/>
      <c r="AE729" s="198"/>
      <c r="AF729" s="198"/>
      <c r="AG729" s="198"/>
      <c r="AH729" s="198"/>
      <c r="AI729" s="198"/>
      <c r="AJ729" s="198"/>
      <c r="AK729" s="198"/>
      <c r="AL729" s="198"/>
      <c r="AM729" s="198"/>
    </row>
    <row r="730" ht="12.0" customHeight="1">
      <c r="A730" s="198"/>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c r="AC730" s="198"/>
      <c r="AD730" s="198"/>
      <c r="AE730" s="198"/>
      <c r="AF730" s="198"/>
      <c r="AG730" s="198"/>
      <c r="AH730" s="198"/>
      <c r="AI730" s="198"/>
      <c r="AJ730" s="198"/>
      <c r="AK730" s="198"/>
      <c r="AL730" s="198"/>
      <c r="AM730" s="198"/>
    </row>
    <row r="731" ht="12.0" customHeight="1">
      <c r="A731" s="198"/>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c r="AC731" s="198"/>
      <c r="AD731" s="198"/>
      <c r="AE731" s="198"/>
      <c r="AF731" s="198"/>
      <c r="AG731" s="198"/>
      <c r="AH731" s="198"/>
      <c r="AI731" s="198"/>
      <c r="AJ731" s="198"/>
      <c r="AK731" s="198"/>
      <c r="AL731" s="198"/>
      <c r="AM731" s="198"/>
    </row>
    <row r="732" ht="12.0" customHeight="1">
      <c r="A732" s="198"/>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c r="AC732" s="198"/>
      <c r="AD732" s="198"/>
      <c r="AE732" s="198"/>
      <c r="AF732" s="198"/>
      <c r="AG732" s="198"/>
      <c r="AH732" s="198"/>
      <c r="AI732" s="198"/>
      <c r="AJ732" s="198"/>
      <c r="AK732" s="198"/>
      <c r="AL732" s="198"/>
      <c r="AM732" s="198"/>
    </row>
    <row r="733" ht="12.0" customHeight="1">
      <c r="A733" s="198"/>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c r="AC733" s="198"/>
      <c r="AD733" s="198"/>
      <c r="AE733" s="198"/>
      <c r="AF733" s="198"/>
      <c r="AG733" s="198"/>
      <c r="AH733" s="198"/>
      <c r="AI733" s="198"/>
      <c r="AJ733" s="198"/>
      <c r="AK733" s="198"/>
      <c r="AL733" s="198"/>
      <c r="AM733" s="198"/>
    </row>
    <row r="734" ht="12.0" customHeight="1">
      <c r="A734" s="198"/>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c r="AC734" s="198"/>
      <c r="AD734" s="198"/>
      <c r="AE734" s="198"/>
      <c r="AF734" s="198"/>
      <c r="AG734" s="198"/>
      <c r="AH734" s="198"/>
      <c r="AI734" s="198"/>
      <c r="AJ734" s="198"/>
      <c r="AK734" s="198"/>
      <c r="AL734" s="198"/>
      <c r="AM734" s="198"/>
    </row>
    <row r="735" ht="12.0" customHeight="1">
      <c r="A735" s="198"/>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c r="AC735" s="198"/>
      <c r="AD735" s="198"/>
      <c r="AE735" s="198"/>
      <c r="AF735" s="198"/>
      <c r="AG735" s="198"/>
      <c r="AH735" s="198"/>
      <c r="AI735" s="198"/>
      <c r="AJ735" s="198"/>
      <c r="AK735" s="198"/>
      <c r="AL735" s="198"/>
      <c r="AM735" s="198"/>
    </row>
    <row r="736" ht="12.0" customHeight="1">
      <c r="A736" s="198"/>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c r="AC736" s="198"/>
      <c r="AD736" s="198"/>
      <c r="AE736" s="198"/>
      <c r="AF736" s="198"/>
      <c r="AG736" s="198"/>
      <c r="AH736" s="198"/>
      <c r="AI736" s="198"/>
      <c r="AJ736" s="198"/>
      <c r="AK736" s="198"/>
      <c r="AL736" s="198"/>
      <c r="AM736" s="198"/>
    </row>
    <row r="737" ht="12.0" customHeight="1">
      <c r="A737" s="198"/>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c r="AC737" s="198"/>
      <c r="AD737" s="198"/>
      <c r="AE737" s="198"/>
      <c r="AF737" s="198"/>
      <c r="AG737" s="198"/>
      <c r="AH737" s="198"/>
      <c r="AI737" s="198"/>
      <c r="AJ737" s="198"/>
      <c r="AK737" s="198"/>
      <c r="AL737" s="198"/>
      <c r="AM737" s="198"/>
    </row>
    <row r="738" ht="12.0" customHeight="1">
      <c r="A738" s="198"/>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c r="AC738" s="198"/>
      <c r="AD738" s="198"/>
      <c r="AE738" s="198"/>
      <c r="AF738" s="198"/>
      <c r="AG738" s="198"/>
      <c r="AH738" s="198"/>
      <c r="AI738" s="198"/>
      <c r="AJ738" s="198"/>
      <c r="AK738" s="198"/>
      <c r="AL738" s="198"/>
      <c r="AM738" s="198"/>
    </row>
    <row r="739" ht="12.0" customHeight="1">
      <c r="A739" s="198"/>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c r="AC739" s="198"/>
      <c r="AD739" s="198"/>
      <c r="AE739" s="198"/>
      <c r="AF739" s="198"/>
      <c r="AG739" s="198"/>
      <c r="AH739" s="198"/>
      <c r="AI739" s="198"/>
      <c r="AJ739" s="198"/>
      <c r="AK739" s="198"/>
      <c r="AL739" s="198"/>
      <c r="AM739" s="198"/>
    </row>
    <row r="740" ht="12.0" customHeight="1">
      <c r="A740" s="198"/>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c r="AC740" s="198"/>
      <c r="AD740" s="198"/>
      <c r="AE740" s="198"/>
      <c r="AF740" s="198"/>
      <c r="AG740" s="198"/>
      <c r="AH740" s="198"/>
      <c r="AI740" s="198"/>
      <c r="AJ740" s="198"/>
      <c r="AK740" s="198"/>
      <c r="AL740" s="198"/>
      <c r="AM740" s="198"/>
    </row>
    <row r="741" ht="12.0" customHeight="1">
      <c r="A741" s="198"/>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c r="AC741" s="198"/>
      <c r="AD741" s="198"/>
      <c r="AE741" s="198"/>
      <c r="AF741" s="198"/>
      <c r="AG741" s="198"/>
      <c r="AH741" s="198"/>
      <c r="AI741" s="198"/>
      <c r="AJ741" s="198"/>
      <c r="AK741" s="198"/>
      <c r="AL741" s="198"/>
      <c r="AM741" s="198"/>
    </row>
    <row r="742" ht="12.0" customHeight="1">
      <c r="A742" s="198"/>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c r="AC742" s="198"/>
      <c r="AD742" s="198"/>
      <c r="AE742" s="198"/>
      <c r="AF742" s="198"/>
      <c r="AG742" s="198"/>
      <c r="AH742" s="198"/>
      <c r="AI742" s="198"/>
      <c r="AJ742" s="198"/>
      <c r="AK742" s="198"/>
      <c r="AL742" s="198"/>
      <c r="AM742" s="198"/>
    </row>
    <row r="743" ht="12.0" customHeight="1">
      <c r="A743" s="198"/>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c r="AC743" s="198"/>
      <c r="AD743" s="198"/>
      <c r="AE743" s="198"/>
      <c r="AF743" s="198"/>
      <c r="AG743" s="198"/>
      <c r="AH743" s="198"/>
      <c r="AI743" s="198"/>
      <c r="AJ743" s="198"/>
      <c r="AK743" s="198"/>
      <c r="AL743" s="198"/>
      <c r="AM743" s="198"/>
    </row>
    <row r="744" ht="12.0" customHeight="1">
      <c r="A744" s="198"/>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c r="AC744" s="198"/>
      <c r="AD744" s="198"/>
      <c r="AE744" s="198"/>
      <c r="AF744" s="198"/>
      <c r="AG744" s="198"/>
      <c r="AH744" s="198"/>
      <c r="AI744" s="198"/>
      <c r="AJ744" s="198"/>
      <c r="AK744" s="198"/>
      <c r="AL744" s="198"/>
      <c r="AM744" s="198"/>
    </row>
    <row r="745" ht="12.0" customHeight="1">
      <c r="A745" s="198"/>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c r="AC745" s="198"/>
      <c r="AD745" s="198"/>
      <c r="AE745" s="198"/>
      <c r="AF745" s="198"/>
      <c r="AG745" s="198"/>
      <c r="AH745" s="198"/>
      <c r="AI745" s="198"/>
      <c r="AJ745" s="198"/>
      <c r="AK745" s="198"/>
      <c r="AL745" s="198"/>
      <c r="AM745" s="198"/>
    </row>
    <row r="746" ht="12.0" customHeight="1">
      <c r="A746" s="198"/>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c r="AC746" s="198"/>
      <c r="AD746" s="198"/>
      <c r="AE746" s="198"/>
      <c r="AF746" s="198"/>
      <c r="AG746" s="198"/>
      <c r="AH746" s="198"/>
      <c r="AI746" s="198"/>
      <c r="AJ746" s="198"/>
      <c r="AK746" s="198"/>
      <c r="AL746" s="198"/>
      <c r="AM746" s="198"/>
    </row>
    <row r="747" ht="12.0" customHeight="1">
      <c r="A747" s="198"/>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c r="AC747" s="198"/>
      <c r="AD747" s="198"/>
      <c r="AE747" s="198"/>
      <c r="AF747" s="198"/>
      <c r="AG747" s="198"/>
      <c r="AH747" s="198"/>
      <c r="AI747" s="198"/>
      <c r="AJ747" s="198"/>
      <c r="AK747" s="198"/>
      <c r="AL747" s="198"/>
      <c r="AM747" s="198"/>
    </row>
    <row r="748" ht="12.0" customHeight="1">
      <c r="A748" s="198"/>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c r="AC748" s="198"/>
      <c r="AD748" s="198"/>
      <c r="AE748" s="198"/>
      <c r="AF748" s="198"/>
      <c r="AG748" s="198"/>
      <c r="AH748" s="198"/>
      <c r="AI748" s="198"/>
      <c r="AJ748" s="198"/>
      <c r="AK748" s="198"/>
      <c r="AL748" s="198"/>
      <c r="AM748" s="198"/>
    </row>
    <row r="749" ht="12.0" customHeight="1">
      <c r="A749" s="198"/>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c r="AC749" s="198"/>
      <c r="AD749" s="198"/>
      <c r="AE749" s="198"/>
      <c r="AF749" s="198"/>
      <c r="AG749" s="198"/>
      <c r="AH749" s="198"/>
      <c r="AI749" s="198"/>
      <c r="AJ749" s="198"/>
      <c r="AK749" s="198"/>
      <c r="AL749" s="198"/>
      <c r="AM749" s="198"/>
    </row>
    <row r="750" ht="12.0" customHeight="1">
      <c r="A750" s="198"/>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c r="AC750" s="198"/>
      <c r="AD750" s="198"/>
      <c r="AE750" s="198"/>
      <c r="AF750" s="198"/>
      <c r="AG750" s="198"/>
      <c r="AH750" s="198"/>
      <c r="AI750" s="198"/>
      <c r="AJ750" s="198"/>
      <c r="AK750" s="198"/>
      <c r="AL750" s="198"/>
      <c r="AM750" s="198"/>
    </row>
    <row r="751" ht="12.0" customHeight="1">
      <c r="A751" s="198"/>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c r="AC751" s="198"/>
      <c r="AD751" s="198"/>
      <c r="AE751" s="198"/>
      <c r="AF751" s="198"/>
      <c r="AG751" s="198"/>
      <c r="AH751" s="198"/>
      <c r="AI751" s="198"/>
      <c r="AJ751" s="198"/>
      <c r="AK751" s="198"/>
      <c r="AL751" s="198"/>
      <c r="AM751" s="198"/>
    </row>
    <row r="752" ht="12.0" customHeight="1">
      <c r="A752" s="198"/>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c r="AC752" s="198"/>
      <c r="AD752" s="198"/>
      <c r="AE752" s="198"/>
      <c r="AF752" s="198"/>
      <c r="AG752" s="198"/>
      <c r="AH752" s="198"/>
      <c r="AI752" s="198"/>
      <c r="AJ752" s="198"/>
      <c r="AK752" s="198"/>
      <c r="AL752" s="198"/>
      <c r="AM752" s="198"/>
    </row>
    <row r="753" ht="12.0" customHeight="1">
      <c r="A753" s="198"/>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c r="AC753" s="198"/>
      <c r="AD753" s="198"/>
      <c r="AE753" s="198"/>
      <c r="AF753" s="198"/>
      <c r="AG753" s="198"/>
      <c r="AH753" s="198"/>
      <c r="AI753" s="198"/>
      <c r="AJ753" s="198"/>
      <c r="AK753" s="198"/>
      <c r="AL753" s="198"/>
      <c r="AM753" s="198"/>
    </row>
    <row r="754" ht="12.0" customHeight="1">
      <c r="A754" s="198"/>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c r="AC754" s="198"/>
      <c r="AD754" s="198"/>
      <c r="AE754" s="198"/>
      <c r="AF754" s="198"/>
      <c r="AG754" s="198"/>
      <c r="AH754" s="198"/>
      <c r="AI754" s="198"/>
      <c r="AJ754" s="198"/>
      <c r="AK754" s="198"/>
      <c r="AL754" s="198"/>
      <c r="AM754" s="198"/>
    </row>
    <row r="755" ht="12.0" customHeight="1">
      <c r="A755" s="198"/>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c r="AC755" s="198"/>
      <c r="AD755" s="198"/>
      <c r="AE755" s="198"/>
      <c r="AF755" s="198"/>
      <c r="AG755" s="198"/>
      <c r="AH755" s="198"/>
      <c r="AI755" s="198"/>
      <c r="AJ755" s="198"/>
      <c r="AK755" s="198"/>
      <c r="AL755" s="198"/>
      <c r="AM755" s="198"/>
    </row>
    <row r="756" ht="12.0" customHeight="1">
      <c r="A756" s="198"/>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c r="AC756" s="198"/>
      <c r="AD756" s="198"/>
      <c r="AE756" s="198"/>
      <c r="AF756" s="198"/>
      <c r="AG756" s="198"/>
      <c r="AH756" s="198"/>
      <c r="AI756" s="198"/>
      <c r="AJ756" s="198"/>
      <c r="AK756" s="198"/>
      <c r="AL756" s="198"/>
      <c r="AM756" s="198"/>
    </row>
    <row r="757" ht="12.0" customHeight="1">
      <c r="A757" s="198"/>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c r="AC757" s="198"/>
      <c r="AD757" s="198"/>
      <c r="AE757" s="198"/>
      <c r="AF757" s="198"/>
      <c r="AG757" s="198"/>
      <c r="AH757" s="198"/>
      <c r="AI757" s="198"/>
      <c r="AJ757" s="198"/>
      <c r="AK757" s="198"/>
      <c r="AL757" s="198"/>
      <c r="AM757" s="198"/>
    </row>
    <row r="758" ht="12.0" customHeight="1">
      <c r="A758" s="198"/>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c r="AC758" s="198"/>
      <c r="AD758" s="198"/>
      <c r="AE758" s="198"/>
      <c r="AF758" s="198"/>
      <c r="AG758" s="198"/>
      <c r="AH758" s="198"/>
      <c r="AI758" s="198"/>
      <c r="AJ758" s="198"/>
      <c r="AK758" s="198"/>
      <c r="AL758" s="198"/>
      <c r="AM758" s="198"/>
    </row>
    <row r="759" ht="12.0" customHeight="1">
      <c r="A759" s="198"/>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c r="AC759" s="198"/>
      <c r="AD759" s="198"/>
      <c r="AE759" s="198"/>
      <c r="AF759" s="198"/>
      <c r="AG759" s="198"/>
      <c r="AH759" s="198"/>
      <c r="AI759" s="198"/>
      <c r="AJ759" s="198"/>
      <c r="AK759" s="198"/>
      <c r="AL759" s="198"/>
      <c r="AM759" s="198"/>
    </row>
    <row r="760" ht="12.0" customHeight="1">
      <c r="A760" s="198"/>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c r="AC760" s="198"/>
      <c r="AD760" s="198"/>
      <c r="AE760" s="198"/>
      <c r="AF760" s="198"/>
      <c r="AG760" s="198"/>
      <c r="AH760" s="198"/>
      <c r="AI760" s="198"/>
      <c r="AJ760" s="198"/>
      <c r="AK760" s="198"/>
      <c r="AL760" s="198"/>
      <c r="AM760" s="198"/>
    </row>
    <row r="761" ht="12.0" customHeight="1">
      <c r="A761" s="198"/>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c r="AC761" s="198"/>
      <c r="AD761" s="198"/>
      <c r="AE761" s="198"/>
      <c r="AF761" s="198"/>
      <c r="AG761" s="198"/>
      <c r="AH761" s="198"/>
      <c r="AI761" s="198"/>
      <c r="AJ761" s="198"/>
      <c r="AK761" s="198"/>
      <c r="AL761" s="198"/>
      <c r="AM761" s="198"/>
    </row>
    <row r="762" ht="12.0" customHeight="1">
      <c r="A762" s="198"/>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c r="AC762" s="198"/>
      <c r="AD762" s="198"/>
      <c r="AE762" s="198"/>
      <c r="AF762" s="198"/>
      <c r="AG762" s="198"/>
      <c r="AH762" s="198"/>
      <c r="AI762" s="198"/>
      <c r="AJ762" s="198"/>
      <c r="AK762" s="198"/>
      <c r="AL762" s="198"/>
      <c r="AM762" s="198"/>
    </row>
    <row r="763" ht="12.0" customHeight="1">
      <c r="A763" s="198"/>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c r="AC763" s="198"/>
      <c r="AD763" s="198"/>
      <c r="AE763" s="198"/>
      <c r="AF763" s="198"/>
      <c r="AG763" s="198"/>
      <c r="AH763" s="198"/>
      <c r="AI763" s="198"/>
      <c r="AJ763" s="198"/>
      <c r="AK763" s="198"/>
      <c r="AL763" s="198"/>
      <c r="AM763" s="198"/>
    </row>
    <row r="764" ht="12.0" customHeight="1">
      <c r="A764" s="198"/>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c r="AC764" s="198"/>
      <c r="AD764" s="198"/>
      <c r="AE764" s="198"/>
      <c r="AF764" s="198"/>
      <c r="AG764" s="198"/>
      <c r="AH764" s="198"/>
      <c r="AI764" s="198"/>
      <c r="AJ764" s="198"/>
      <c r="AK764" s="198"/>
      <c r="AL764" s="198"/>
      <c r="AM764" s="198"/>
    </row>
    <row r="765" ht="12.0" customHeight="1">
      <c r="A765" s="198"/>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c r="AC765" s="198"/>
      <c r="AD765" s="198"/>
      <c r="AE765" s="198"/>
      <c r="AF765" s="198"/>
      <c r="AG765" s="198"/>
      <c r="AH765" s="198"/>
      <c r="AI765" s="198"/>
      <c r="AJ765" s="198"/>
      <c r="AK765" s="198"/>
      <c r="AL765" s="198"/>
      <c r="AM765" s="198"/>
    </row>
    <row r="766" ht="12.0" customHeight="1">
      <c r="A766" s="198"/>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c r="AC766" s="198"/>
      <c r="AD766" s="198"/>
      <c r="AE766" s="198"/>
      <c r="AF766" s="198"/>
      <c r="AG766" s="198"/>
      <c r="AH766" s="198"/>
      <c r="AI766" s="198"/>
      <c r="AJ766" s="198"/>
      <c r="AK766" s="198"/>
      <c r="AL766" s="198"/>
      <c r="AM766" s="198"/>
    </row>
    <row r="767" ht="12.0" customHeight="1">
      <c r="A767" s="198"/>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c r="AC767" s="198"/>
      <c r="AD767" s="198"/>
      <c r="AE767" s="198"/>
      <c r="AF767" s="198"/>
      <c r="AG767" s="198"/>
      <c r="AH767" s="198"/>
      <c r="AI767" s="198"/>
      <c r="AJ767" s="198"/>
      <c r="AK767" s="198"/>
      <c r="AL767" s="198"/>
      <c r="AM767" s="198"/>
    </row>
    <row r="768" ht="12.0" customHeight="1">
      <c r="A768" s="198"/>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c r="AC768" s="198"/>
      <c r="AD768" s="198"/>
      <c r="AE768" s="198"/>
      <c r="AF768" s="198"/>
      <c r="AG768" s="198"/>
      <c r="AH768" s="198"/>
      <c r="AI768" s="198"/>
      <c r="AJ768" s="198"/>
      <c r="AK768" s="198"/>
      <c r="AL768" s="198"/>
      <c r="AM768" s="198"/>
    </row>
    <row r="769" ht="12.0" customHeight="1">
      <c r="A769" s="198"/>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c r="AC769" s="198"/>
      <c r="AD769" s="198"/>
      <c r="AE769" s="198"/>
      <c r="AF769" s="198"/>
      <c r="AG769" s="198"/>
      <c r="AH769" s="198"/>
      <c r="AI769" s="198"/>
      <c r="AJ769" s="198"/>
      <c r="AK769" s="198"/>
      <c r="AL769" s="198"/>
      <c r="AM769" s="198"/>
    </row>
    <row r="770" ht="12.0" customHeight="1">
      <c r="A770" s="198"/>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c r="AC770" s="198"/>
      <c r="AD770" s="198"/>
      <c r="AE770" s="198"/>
      <c r="AF770" s="198"/>
      <c r="AG770" s="198"/>
      <c r="AH770" s="198"/>
      <c r="AI770" s="198"/>
      <c r="AJ770" s="198"/>
      <c r="AK770" s="198"/>
      <c r="AL770" s="198"/>
      <c r="AM770" s="198"/>
    </row>
    <row r="771" ht="12.0" customHeight="1">
      <c r="A771" s="198"/>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c r="AC771" s="198"/>
      <c r="AD771" s="198"/>
      <c r="AE771" s="198"/>
      <c r="AF771" s="198"/>
      <c r="AG771" s="198"/>
      <c r="AH771" s="198"/>
      <c r="AI771" s="198"/>
      <c r="AJ771" s="198"/>
      <c r="AK771" s="198"/>
      <c r="AL771" s="198"/>
      <c r="AM771" s="198"/>
    </row>
    <row r="772" ht="12.0" customHeight="1">
      <c r="A772" s="198"/>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c r="AC772" s="198"/>
      <c r="AD772" s="198"/>
      <c r="AE772" s="198"/>
      <c r="AF772" s="198"/>
      <c r="AG772" s="198"/>
      <c r="AH772" s="198"/>
      <c r="AI772" s="198"/>
      <c r="AJ772" s="198"/>
      <c r="AK772" s="198"/>
      <c r="AL772" s="198"/>
      <c r="AM772" s="198"/>
    </row>
    <row r="773" ht="12.0" customHeight="1">
      <c r="A773" s="198"/>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c r="AC773" s="198"/>
      <c r="AD773" s="198"/>
      <c r="AE773" s="198"/>
      <c r="AF773" s="198"/>
      <c r="AG773" s="198"/>
      <c r="AH773" s="198"/>
      <c r="AI773" s="198"/>
      <c r="AJ773" s="198"/>
      <c r="AK773" s="198"/>
      <c r="AL773" s="198"/>
      <c r="AM773" s="198"/>
    </row>
    <row r="774" ht="12.0" customHeight="1">
      <c r="A774" s="198"/>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c r="AC774" s="198"/>
      <c r="AD774" s="198"/>
      <c r="AE774" s="198"/>
      <c r="AF774" s="198"/>
      <c r="AG774" s="198"/>
      <c r="AH774" s="198"/>
      <c r="AI774" s="198"/>
      <c r="AJ774" s="198"/>
      <c r="AK774" s="198"/>
      <c r="AL774" s="198"/>
      <c r="AM774" s="198"/>
    </row>
    <row r="775" ht="12.0" customHeight="1">
      <c r="A775" s="198"/>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c r="AC775" s="198"/>
      <c r="AD775" s="198"/>
      <c r="AE775" s="198"/>
      <c r="AF775" s="198"/>
      <c r="AG775" s="198"/>
      <c r="AH775" s="198"/>
      <c r="AI775" s="198"/>
      <c r="AJ775" s="198"/>
      <c r="AK775" s="198"/>
      <c r="AL775" s="198"/>
      <c r="AM775" s="198"/>
    </row>
    <row r="776" ht="12.0" customHeight="1">
      <c r="A776" s="198"/>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c r="AC776" s="198"/>
      <c r="AD776" s="198"/>
      <c r="AE776" s="198"/>
      <c r="AF776" s="198"/>
      <c r="AG776" s="198"/>
      <c r="AH776" s="198"/>
      <c r="AI776" s="198"/>
      <c r="AJ776" s="198"/>
      <c r="AK776" s="198"/>
      <c r="AL776" s="198"/>
      <c r="AM776" s="198"/>
    </row>
    <row r="777" ht="12.0" customHeight="1">
      <c r="A777" s="198"/>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c r="AC777" s="198"/>
      <c r="AD777" s="198"/>
      <c r="AE777" s="198"/>
      <c r="AF777" s="198"/>
      <c r="AG777" s="198"/>
      <c r="AH777" s="198"/>
      <c r="AI777" s="198"/>
      <c r="AJ777" s="198"/>
      <c r="AK777" s="198"/>
      <c r="AL777" s="198"/>
      <c r="AM777" s="198"/>
    </row>
    <row r="778" ht="12.0" customHeight="1">
      <c r="A778" s="198"/>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c r="AC778" s="198"/>
      <c r="AD778" s="198"/>
      <c r="AE778" s="198"/>
      <c r="AF778" s="198"/>
      <c r="AG778" s="198"/>
      <c r="AH778" s="198"/>
      <c r="AI778" s="198"/>
      <c r="AJ778" s="198"/>
      <c r="AK778" s="198"/>
      <c r="AL778" s="198"/>
      <c r="AM778" s="198"/>
    </row>
    <row r="779" ht="12.0" customHeight="1">
      <c r="A779" s="198"/>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c r="AC779" s="198"/>
      <c r="AD779" s="198"/>
      <c r="AE779" s="198"/>
      <c r="AF779" s="198"/>
      <c r="AG779" s="198"/>
      <c r="AH779" s="198"/>
      <c r="AI779" s="198"/>
      <c r="AJ779" s="198"/>
      <c r="AK779" s="198"/>
      <c r="AL779" s="198"/>
      <c r="AM779" s="198"/>
    </row>
    <row r="780" ht="12.0" customHeight="1">
      <c r="A780" s="198"/>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c r="AC780" s="198"/>
      <c r="AD780" s="198"/>
      <c r="AE780" s="198"/>
      <c r="AF780" s="198"/>
      <c r="AG780" s="198"/>
      <c r="AH780" s="198"/>
      <c r="AI780" s="198"/>
      <c r="AJ780" s="198"/>
      <c r="AK780" s="198"/>
      <c r="AL780" s="198"/>
      <c r="AM780" s="198"/>
    </row>
    <row r="781" ht="12.0" customHeight="1">
      <c r="A781" s="198"/>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c r="AC781" s="198"/>
      <c r="AD781" s="198"/>
      <c r="AE781" s="198"/>
      <c r="AF781" s="198"/>
      <c r="AG781" s="198"/>
      <c r="AH781" s="198"/>
      <c r="AI781" s="198"/>
      <c r="AJ781" s="198"/>
      <c r="AK781" s="198"/>
      <c r="AL781" s="198"/>
      <c r="AM781" s="198"/>
    </row>
    <row r="782" ht="12.0" customHeight="1">
      <c r="A782" s="198"/>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c r="AC782" s="198"/>
      <c r="AD782" s="198"/>
      <c r="AE782" s="198"/>
      <c r="AF782" s="198"/>
      <c r="AG782" s="198"/>
      <c r="AH782" s="198"/>
      <c r="AI782" s="198"/>
      <c r="AJ782" s="198"/>
      <c r="AK782" s="198"/>
      <c r="AL782" s="198"/>
      <c r="AM782" s="198"/>
    </row>
    <row r="783" ht="12.0" customHeight="1">
      <c r="A783" s="198"/>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c r="AC783" s="198"/>
      <c r="AD783" s="198"/>
      <c r="AE783" s="198"/>
      <c r="AF783" s="198"/>
      <c r="AG783" s="198"/>
      <c r="AH783" s="198"/>
      <c r="AI783" s="198"/>
      <c r="AJ783" s="198"/>
      <c r="AK783" s="198"/>
      <c r="AL783" s="198"/>
      <c r="AM783" s="198"/>
    </row>
    <row r="784" ht="12.0" customHeight="1">
      <c r="A784" s="198"/>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c r="AC784" s="198"/>
      <c r="AD784" s="198"/>
      <c r="AE784" s="198"/>
      <c r="AF784" s="198"/>
      <c r="AG784" s="198"/>
      <c r="AH784" s="198"/>
      <c r="AI784" s="198"/>
      <c r="AJ784" s="198"/>
      <c r="AK784" s="198"/>
      <c r="AL784" s="198"/>
      <c r="AM784" s="198"/>
    </row>
    <row r="785" ht="12.0" customHeight="1">
      <c r="A785" s="198"/>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c r="AC785" s="198"/>
      <c r="AD785" s="198"/>
      <c r="AE785" s="198"/>
      <c r="AF785" s="198"/>
      <c r="AG785" s="198"/>
      <c r="AH785" s="198"/>
      <c r="AI785" s="198"/>
      <c r="AJ785" s="198"/>
      <c r="AK785" s="198"/>
      <c r="AL785" s="198"/>
      <c r="AM785" s="198"/>
    </row>
    <row r="786" ht="12.0" customHeight="1">
      <c r="A786" s="198"/>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c r="AC786" s="198"/>
      <c r="AD786" s="198"/>
      <c r="AE786" s="198"/>
      <c r="AF786" s="198"/>
      <c r="AG786" s="198"/>
      <c r="AH786" s="198"/>
      <c r="AI786" s="198"/>
      <c r="AJ786" s="198"/>
      <c r="AK786" s="198"/>
      <c r="AL786" s="198"/>
      <c r="AM786" s="198"/>
    </row>
    <row r="787" ht="12.0" customHeight="1">
      <c r="A787" s="198"/>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c r="AC787" s="198"/>
      <c r="AD787" s="198"/>
      <c r="AE787" s="198"/>
      <c r="AF787" s="198"/>
      <c r="AG787" s="198"/>
      <c r="AH787" s="198"/>
      <c r="AI787" s="198"/>
      <c r="AJ787" s="198"/>
      <c r="AK787" s="198"/>
      <c r="AL787" s="198"/>
      <c r="AM787" s="198"/>
    </row>
    <row r="788" ht="12.0" customHeight="1">
      <c r="A788" s="198"/>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c r="AC788" s="198"/>
      <c r="AD788" s="198"/>
      <c r="AE788" s="198"/>
      <c r="AF788" s="198"/>
      <c r="AG788" s="198"/>
      <c r="AH788" s="198"/>
      <c r="AI788" s="198"/>
      <c r="AJ788" s="198"/>
      <c r="AK788" s="198"/>
      <c r="AL788" s="198"/>
      <c r="AM788" s="198"/>
    </row>
    <row r="789" ht="12.0" customHeight="1">
      <c r="A789" s="198"/>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c r="AC789" s="198"/>
      <c r="AD789" s="198"/>
      <c r="AE789" s="198"/>
      <c r="AF789" s="198"/>
      <c r="AG789" s="198"/>
      <c r="AH789" s="198"/>
      <c r="AI789" s="198"/>
      <c r="AJ789" s="198"/>
      <c r="AK789" s="198"/>
      <c r="AL789" s="198"/>
      <c r="AM789" s="198"/>
    </row>
    <row r="790" ht="12.0" customHeight="1">
      <c r="A790" s="198"/>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c r="AC790" s="198"/>
      <c r="AD790" s="198"/>
      <c r="AE790" s="198"/>
      <c r="AF790" s="198"/>
      <c r="AG790" s="198"/>
      <c r="AH790" s="198"/>
      <c r="AI790" s="198"/>
      <c r="AJ790" s="198"/>
      <c r="AK790" s="198"/>
      <c r="AL790" s="198"/>
      <c r="AM790" s="198"/>
    </row>
    <row r="791" ht="12.0" customHeight="1">
      <c r="A791" s="198"/>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c r="AC791" s="198"/>
      <c r="AD791" s="198"/>
      <c r="AE791" s="198"/>
      <c r="AF791" s="198"/>
      <c r="AG791" s="198"/>
      <c r="AH791" s="198"/>
      <c r="AI791" s="198"/>
      <c r="AJ791" s="198"/>
      <c r="AK791" s="198"/>
      <c r="AL791" s="198"/>
      <c r="AM791" s="198"/>
    </row>
    <row r="792" ht="12.0" customHeight="1">
      <c r="A792" s="198"/>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c r="AC792" s="198"/>
      <c r="AD792" s="198"/>
      <c r="AE792" s="198"/>
      <c r="AF792" s="198"/>
      <c r="AG792" s="198"/>
      <c r="AH792" s="198"/>
      <c r="AI792" s="198"/>
      <c r="AJ792" s="198"/>
      <c r="AK792" s="198"/>
      <c r="AL792" s="198"/>
      <c r="AM792" s="198"/>
    </row>
    <row r="793" ht="12.0" customHeight="1">
      <c r="A793" s="198"/>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c r="AC793" s="198"/>
      <c r="AD793" s="198"/>
      <c r="AE793" s="198"/>
      <c r="AF793" s="198"/>
      <c r="AG793" s="198"/>
      <c r="AH793" s="198"/>
      <c r="AI793" s="198"/>
      <c r="AJ793" s="198"/>
      <c r="AK793" s="198"/>
      <c r="AL793" s="198"/>
      <c r="AM793" s="198"/>
    </row>
    <row r="794" ht="12.0" customHeight="1">
      <c r="A794" s="198"/>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c r="AC794" s="198"/>
      <c r="AD794" s="198"/>
      <c r="AE794" s="198"/>
      <c r="AF794" s="198"/>
      <c r="AG794" s="198"/>
      <c r="AH794" s="198"/>
      <c r="AI794" s="198"/>
      <c r="AJ794" s="198"/>
      <c r="AK794" s="198"/>
      <c r="AL794" s="198"/>
      <c r="AM794" s="198"/>
    </row>
    <row r="795" ht="12.0" customHeight="1">
      <c r="A795" s="198"/>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c r="AC795" s="198"/>
      <c r="AD795" s="198"/>
      <c r="AE795" s="198"/>
      <c r="AF795" s="198"/>
      <c r="AG795" s="198"/>
      <c r="AH795" s="198"/>
      <c r="AI795" s="198"/>
      <c r="AJ795" s="198"/>
      <c r="AK795" s="198"/>
      <c r="AL795" s="198"/>
      <c r="AM795" s="198"/>
    </row>
    <row r="796" ht="12.0" customHeight="1">
      <c r="A796" s="198"/>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c r="AC796" s="198"/>
      <c r="AD796" s="198"/>
      <c r="AE796" s="198"/>
      <c r="AF796" s="198"/>
      <c r="AG796" s="198"/>
      <c r="AH796" s="198"/>
      <c r="AI796" s="198"/>
      <c r="AJ796" s="198"/>
      <c r="AK796" s="198"/>
      <c r="AL796" s="198"/>
      <c r="AM796" s="198"/>
    </row>
    <row r="797" ht="12.0" customHeight="1">
      <c r="A797" s="198"/>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c r="AC797" s="198"/>
      <c r="AD797" s="198"/>
      <c r="AE797" s="198"/>
      <c r="AF797" s="198"/>
      <c r="AG797" s="198"/>
      <c r="AH797" s="198"/>
      <c r="AI797" s="198"/>
      <c r="AJ797" s="198"/>
      <c r="AK797" s="198"/>
      <c r="AL797" s="198"/>
      <c r="AM797" s="198"/>
    </row>
    <row r="798" ht="12.0" customHeight="1">
      <c r="A798" s="198"/>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c r="AC798" s="198"/>
      <c r="AD798" s="198"/>
      <c r="AE798" s="198"/>
      <c r="AF798" s="198"/>
      <c r="AG798" s="198"/>
      <c r="AH798" s="198"/>
      <c r="AI798" s="198"/>
      <c r="AJ798" s="198"/>
      <c r="AK798" s="198"/>
      <c r="AL798" s="198"/>
      <c r="AM798" s="198"/>
    </row>
    <row r="799" ht="12.0" customHeight="1">
      <c r="A799" s="198"/>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c r="AC799" s="198"/>
      <c r="AD799" s="198"/>
      <c r="AE799" s="198"/>
      <c r="AF799" s="198"/>
      <c r="AG799" s="198"/>
      <c r="AH799" s="198"/>
      <c r="AI799" s="198"/>
      <c r="AJ799" s="198"/>
      <c r="AK799" s="198"/>
      <c r="AL799" s="198"/>
      <c r="AM799" s="198"/>
    </row>
    <row r="800" ht="12.0" customHeight="1">
      <c r="A800" s="198"/>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c r="AC800" s="198"/>
      <c r="AD800" s="198"/>
      <c r="AE800" s="198"/>
      <c r="AF800" s="198"/>
      <c r="AG800" s="198"/>
      <c r="AH800" s="198"/>
      <c r="AI800" s="198"/>
      <c r="AJ800" s="198"/>
      <c r="AK800" s="198"/>
      <c r="AL800" s="198"/>
      <c r="AM800" s="198"/>
    </row>
    <row r="801" ht="12.0" customHeight="1">
      <c r="A801" s="198"/>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c r="AC801" s="198"/>
      <c r="AD801" s="198"/>
      <c r="AE801" s="198"/>
      <c r="AF801" s="198"/>
      <c r="AG801" s="198"/>
      <c r="AH801" s="198"/>
      <c r="AI801" s="198"/>
      <c r="AJ801" s="198"/>
      <c r="AK801" s="198"/>
      <c r="AL801" s="198"/>
      <c r="AM801" s="198"/>
    </row>
    <row r="802" ht="12.0" customHeight="1">
      <c r="A802" s="198"/>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c r="AC802" s="198"/>
      <c r="AD802" s="198"/>
      <c r="AE802" s="198"/>
      <c r="AF802" s="198"/>
      <c r="AG802" s="198"/>
      <c r="AH802" s="198"/>
      <c r="AI802" s="198"/>
      <c r="AJ802" s="198"/>
      <c r="AK802" s="198"/>
      <c r="AL802" s="198"/>
      <c r="AM802" s="198"/>
    </row>
    <row r="803" ht="12.0" customHeight="1">
      <c r="A803" s="198"/>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c r="AC803" s="198"/>
      <c r="AD803" s="198"/>
      <c r="AE803" s="198"/>
      <c r="AF803" s="198"/>
      <c r="AG803" s="198"/>
      <c r="AH803" s="198"/>
      <c r="AI803" s="198"/>
      <c r="AJ803" s="198"/>
      <c r="AK803" s="198"/>
      <c r="AL803" s="198"/>
      <c r="AM803" s="198"/>
    </row>
    <row r="804" ht="12.0" customHeight="1">
      <c r="A804" s="198"/>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c r="AC804" s="198"/>
      <c r="AD804" s="198"/>
      <c r="AE804" s="198"/>
      <c r="AF804" s="198"/>
      <c r="AG804" s="198"/>
      <c r="AH804" s="198"/>
      <c r="AI804" s="198"/>
      <c r="AJ804" s="198"/>
      <c r="AK804" s="198"/>
      <c r="AL804" s="198"/>
      <c r="AM804" s="198"/>
    </row>
    <row r="805" ht="12.0" customHeight="1">
      <c r="A805" s="198"/>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c r="AC805" s="198"/>
      <c r="AD805" s="198"/>
      <c r="AE805" s="198"/>
      <c r="AF805" s="198"/>
      <c r="AG805" s="198"/>
      <c r="AH805" s="198"/>
      <c r="AI805" s="198"/>
      <c r="AJ805" s="198"/>
      <c r="AK805" s="198"/>
      <c r="AL805" s="198"/>
      <c r="AM805" s="198"/>
    </row>
    <row r="806" ht="12.0" customHeight="1">
      <c r="A806" s="198"/>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c r="AC806" s="198"/>
      <c r="AD806" s="198"/>
      <c r="AE806" s="198"/>
      <c r="AF806" s="198"/>
      <c r="AG806" s="198"/>
      <c r="AH806" s="198"/>
      <c r="AI806" s="198"/>
      <c r="AJ806" s="198"/>
      <c r="AK806" s="198"/>
      <c r="AL806" s="198"/>
      <c r="AM806" s="198"/>
    </row>
    <row r="807" ht="12.0" customHeight="1">
      <c r="A807" s="198"/>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c r="AC807" s="198"/>
      <c r="AD807" s="198"/>
      <c r="AE807" s="198"/>
      <c r="AF807" s="198"/>
      <c r="AG807" s="198"/>
      <c r="AH807" s="198"/>
      <c r="AI807" s="198"/>
      <c r="AJ807" s="198"/>
      <c r="AK807" s="198"/>
      <c r="AL807" s="198"/>
      <c r="AM807" s="198"/>
    </row>
    <row r="808" ht="12.0" customHeight="1">
      <c r="A808" s="198"/>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c r="AC808" s="198"/>
      <c r="AD808" s="198"/>
      <c r="AE808" s="198"/>
      <c r="AF808" s="198"/>
      <c r="AG808" s="198"/>
      <c r="AH808" s="198"/>
      <c r="AI808" s="198"/>
      <c r="AJ808" s="198"/>
      <c r="AK808" s="198"/>
      <c r="AL808" s="198"/>
      <c r="AM808" s="198"/>
    </row>
    <row r="809" ht="12.0" customHeight="1">
      <c r="A809" s="198"/>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c r="AC809" s="198"/>
      <c r="AD809" s="198"/>
      <c r="AE809" s="198"/>
      <c r="AF809" s="198"/>
      <c r="AG809" s="198"/>
      <c r="AH809" s="198"/>
      <c r="AI809" s="198"/>
      <c r="AJ809" s="198"/>
      <c r="AK809" s="198"/>
      <c r="AL809" s="198"/>
      <c r="AM809" s="198"/>
    </row>
    <row r="810" ht="12.0" customHeight="1">
      <c r="A810" s="198"/>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c r="AC810" s="198"/>
      <c r="AD810" s="198"/>
      <c r="AE810" s="198"/>
      <c r="AF810" s="198"/>
      <c r="AG810" s="198"/>
      <c r="AH810" s="198"/>
      <c r="AI810" s="198"/>
      <c r="AJ810" s="198"/>
      <c r="AK810" s="198"/>
      <c r="AL810" s="198"/>
      <c r="AM810" s="198"/>
    </row>
    <row r="811" ht="12.0" customHeight="1">
      <c r="A811" s="198"/>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c r="AC811" s="198"/>
      <c r="AD811" s="198"/>
      <c r="AE811" s="198"/>
      <c r="AF811" s="198"/>
      <c r="AG811" s="198"/>
      <c r="AH811" s="198"/>
      <c r="AI811" s="198"/>
      <c r="AJ811" s="198"/>
      <c r="AK811" s="198"/>
      <c r="AL811" s="198"/>
      <c r="AM811" s="198"/>
    </row>
    <row r="812" ht="12.0" customHeight="1">
      <c r="A812" s="198"/>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c r="AC812" s="198"/>
      <c r="AD812" s="198"/>
      <c r="AE812" s="198"/>
      <c r="AF812" s="198"/>
      <c r="AG812" s="198"/>
      <c r="AH812" s="198"/>
      <c r="AI812" s="198"/>
      <c r="AJ812" s="198"/>
      <c r="AK812" s="198"/>
      <c r="AL812" s="198"/>
      <c r="AM812" s="198"/>
    </row>
    <row r="813" ht="12.0" customHeight="1">
      <c r="A813" s="198"/>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c r="AC813" s="198"/>
      <c r="AD813" s="198"/>
      <c r="AE813" s="198"/>
      <c r="AF813" s="198"/>
      <c r="AG813" s="198"/>
      <c r="AH813" s="198"/>
      <c r="AI813" s="198"/>
      <c r="AJ813" s="198"/>
      <c r="AK813" s="198"/>
      <c r="AL813" s="198"/>
      <c r="AM813" s="198"/>
    </row>
    <row r="814" ht="12.0" customHeight="1">
      <c r="A814" s="198"/>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c r="AC814" s="198"/>
      <c r="AD814" s="198"/>
      <c r="AE814" s="198"/>
      <c r="AF814" s="198"/>
      <c r="AG814" s="198"/>
      <c r="AH814" s="198"/>
      <c r="AI814" s="198"/>
      <c r="AJ814" s="198"/>
      <c r="AK814" s="198"/>
      <c r="AL814" s="198"/>
      <c r="AM814" s="198"/>
    </row>
    <row r="815" ht="12.0" customHeight="1">
      <c r="A815" s="198"/>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c r="AC815" s="198"/>
      <c r="AD815" s="198"/>
      <c r="AE815" s="198"/>
      <c r="AF815" s="198"/>
      <c r="AG815" s="198"/>
      <c r="AH815" s="198"/>
      <c r="AI815" s="198"/>
      <c r="AJ815" s="198"/>
      <c r="AK815" s="198"/>
      <c r="AL815" s="198"/>
      <c r="AM815" s="198"/>
    </row>
    <row r="816" ht="12.0" customHeight="1">
      <c r="A816" s="198"/>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c r="AC816" s="198"/>
      <c r="AD816" s="198"/>
      <c r="AE816" s="198"/>
      <c r="AF816" s="198"/>
      <c r="AG816" s="198"/>
      <c r="AH816" s="198"/>
      <c r="AI816" s="198"/>
      <c r="AJ816" s="198"/>
      <c r="AK816" s="198"/>
      <c r="AL816" s="198"/>
      <c r="AM816" s="198"/>
    </row>
    <row r="817" ht="12.0" customHeight="1">
      <c r="A817" s="198"/>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c r="AC817" s="198"/>
      <c r="AD817" s="198"/>
      <c r="AE817" s="198"/>
      <c r="AF817" s="198"/>
      <c r="AG817" s="198"/>
      <c r="AH817" s="198"/>
      <c r="AI817" s="198"/>
      <c r="AJ817" s="198"/>
      <c r="AK817" s="198"/>
      <c r="AL817" s="198"/>
      <c r="AM817" s="198"/>
    </row>
    <row r="818" ht="12.0" customHeight="1">
      <c r="A818" s="198"/>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c r="AC818" s="198"/>
      <c r="AD818" s="198"/>
      <c r="AE818" s="198"/>
      <c r="AF818" s="198"/>
      <c r="AG818" s="198"/>
      <c r="AH818" s="198"/>
      <c r="AI818" s="198"/>
      <c r="AJ818" s="198"/>
      <c r="AK818" s="198"/>
      <c r="AL818" s="198"/>
      <c r="AM818" s="198"/>
    </row>
    <row r="819" ht="12.0" customHeight="1">
      <c r="A819" s="198"/>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c r="AC819" s="198"/>
      <c r="AD819" s="198"/>
      <c r="AE819" s="198"/>
      <c r="AF819" s="198"/>
      <c r="AG819" s="198"/>
      <c r="AH819" s="198"/>
      <c r="AI819" s="198"/>
      <c r="AJ819" s="198"/>
      <c r="AK819" s="198"/>
      <c r="AL819" s="198"/>
      <c r="AM819" s="198"/>
    </row>
    <row r="820" ht="12.0" customHeight="1">
      <c r="A820" s="198"/>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c r="AC820" s="198"/>
      <c r="AD820" s="198"/>
      <c r="AE820" s="198"/>
      <c r="AF820" s="198"/>
      <c r="AG820" s="198"/>
      <c r="AH820" s="198"/>
      <c r="AI820" s="198"/>
      <c r="AJ820" s="198"/>
      <c r="AK820" s="198"/>
      <c r="AL820" s="198"/>
      <c r="AM820" s="198"/>
    </row>
    <row r="821" ht="12.0" customHeight="1">
      <c r="A821" s="198"/>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c r="AC821" s="198"/>
      <c r="AD821" s="198"/>
      <c r="AE821" s="198"/>
      <c r="AF821" s="198"/>
      <c r="AG821" s="198"/>
      <c r="AH821" s="198"/>
      <c r="AI821" s="198"/>
      <c r="AJ821" s="198"/>
      <c r="AK821" s="198"/>
      <c r="AL821" s="198"/>
      <c r="AM821" s="198"/>
    </row>
    <row r="822" ht="12.0" customHeight="1">
      <c r="A822" s="198"/>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c r="AC822" s="198"/>
      <c r="AD822" s="198"/>
      <c r="AE822" s="198"/>
      <c r="AF822" s="198"/>
      <c r="AG822" s="198"/>
      <c r="AH822" s="198"/>
      <c r="AI822" s="198"/>
      <c r="AJ822" s="198"/>
      <c r="AK822" s="198"/>
      <c r="AL822" s="198"/>
      <c r="AM822" s="198"/>
    </row>
    <row r="823" ht="12.0" customHeight="1">
      <c r="A823" s="198"/>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c r="AC823" s="198"/>
      <c r="AD823" s="198"/>
      <c r="AE823" s="198"/>
      <c r="AF823" s="198"/>
      <c r="AG823" s="198"/>
      <c r="AH823" s="198"/>
      <c r="AI823" s="198"/>
      <c r="AJ823" s="198"/>
      <c r="AK823" s="198"/>
      <c r="AL823" s="198"/>
      <c r="AM823" s="198"/>
    </row>
    <row r="824" ht="12.0" customHeight="1">
      <c r="A824" s="198"/>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c r="AC824" s="198"/>
      <c r="AD824" s="198"/>
      <c r="AE824" s="198"/>
      <c r="AF824" s="198"/>
      <c r="AG824" s="198"/>
      <c r="AH824" s="198"/>
      <c r="AI824" s="198"/>
      <c r="AJ824" s="198"/>
      <c r="AK824" s="198"/>
      <c r="AL824" s="198"/>
      <c r="AM824" s="198"/>
    </row>
    <row r="825" ht="12.0" customHeight="1">
      <c r="A825" s="198"/>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c r="AC825" s="198"/>
      <c r="AD825" s="198"/>
      <c r="AE825" s="198"/>
      <c r="AF825" s="198"/>
      <c r="AG825" s="198"/>
      <c r="AH825" s="198"/>
      <c r="AI825" s="198"/>
      <c r="AJ825" s="198"/>
      <c r="AK825" s="198"/>
      <c r="AL825" s="198"/>
      <c r="AM825" s="198"/>
    </row>
    <row r="826" ht="12.0" customHeight="1">
      <c r="A826" s="198"/>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c r="AC826" s="198"/>
      <c r="AD826" s="198"/>
      <c r="AE826" s="198"/>
      <c r="AF826" s="198"/>
      <c r="AG826" s="198"/>
      <c r="AH826" s="198"/>
      <c r="AI826" s="198"/>
      <c r="AJ826" s="198"/>
      <c r="AK826" s="198"/>
      <c r="AL826" s="198"/>
      <c r="AM826" s="198"/>
    </row>
    <row r="827" ht="12.0" customHeight="1">
      <c r="A827" s="198"/>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c r="AC827" s="198"/>
      <c r="AD827" s="198"/>
      <c r="AE827" s="198"/>
      <c r="AF827" s="198"/>
      <c r="AG827" s="198"/>
      <c r="AH827" s="198"/>
      <c r="AI827" s="198"/>
      <c r="AJ827" s="198"/>
      <c r="AK827" s="198"/>
      <c r="AL827" s="198"/>
      <c r="AM827" s="198"/>
    </row>
    <row r="828" ht="12.0" customHeight="1">
      <c r="A828" s="198"/>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c r="AC828" s="198"/>
      <c r="AD828" s="198"/>
      <c r="AE828" s="198"/>
      <c r="AF828" s="198"/>
      <c r="AG828" s="198"/>
      <c r="AH828" s="198"/>
      <c r="AI828" s="198"/>
      <c r="AJ828" s="198"/>
      <c r="AK828" s="198"/>
      <c r="AL828" s="198"/>
      <c r="AM828" s="198"/>
    </row>
    <row r="829" ht="12.0" customHeight="1">
      <c r="A829" s="198"/>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c r="AC829" s="198"/>
      <c r="AD829" s="198"/>
      <c r="AE829" s="198"/>
      <c r="AF829" s="198"/>
      <c r="AG829" s="198"/>
      <c r="AH829" s="198"/>
      <c r="AI829" s="198"/>
      <c r="AJ829" s="198"/>
      <c r="AK829" s="198"/>
      <c r="AL829" s="198"/>
      <c r="AM829" s="198"/>
    </row>
    <row r="830" ht="12.0" customHeight="1">
      <c r="A830" s="198"/>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c r="AC830" s="198"/>
      <c r="AD830" s="198"/>
      <c r="AE830" s="198"/>
      <c r="AF830" s="198"/>
      <c r="AG830" s="198"/>
      <c r="AH830" s="198"/>
      <c r="AI830" s="198"/>
      <c r="AJ830" s="198"/>
      <c r="AK830" s="198"/>
      <c r="AL830" s="198"/>
      <c r="AM830" s="198"/>
    </row>
    <row r="831" ht="12.0" customHeight="1">
      <c r="A831" s="198"/>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c r="AC831" s="198"/>
      <c r="AD831" s="198"/>
      <c r="AE831" s="198"/>
      <c r="AF831" s="198"/>
      <c r="AG831" s="198"/>
      <c r="AH831" s="198"/>
      <c r="AI831" s="198"/>
      <c r="AJ831" s="198"/>
      <c r="AK831" s="198"/>
      <c r="AL831" s="198"/>
      <c r="AM831" s="198"/>
    </row>
    <row r="832" ht="12.0" customHeight="1">
      <c r="A832" s="198"/>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c r="AC832" s="198"/>
      <c r="AD832" s="198"/>
      <c r="AE832" s="198"/>
      <c r="AF832" s="198"/>
      <c r="AG832" s="198"/>
      <c r="AH832" s="198"/>
      <c r="AI832" s="198"/>
      <c r="AJ832" s="198"/>
      <c r="AK832" s="198"/>
      <c r="AL832" s="198"/>
      <c r="AM832" s="198"/>
    </row>
    <row r="833" ht="12.0" customHeight="1">
      <c r="A833" s="198"/>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c r="AC833" s="198"/>
      <c r="AD833" s="198"/>
      <c r="AE833" s="198"/>
      <c r="AF833" s="198"/>
      <c r="AG833" s="198"/>
      <c r="AH833" s="198"/>
      <c r="AI833" s="198"/>
      <c r="AJ833" s="198"/>
      <c r="AK833" s="198"/>
      <c r="AL833" s="198"/>
      <c r="AM833" s="198"/>
    </row>
    <row r="834" ht="12.0" customHeight="1">
      <c r="A834" s="198"/>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c r="AC834" s="198"/>
      <c r="AD834" s="198"/>
      <c r="AE834" s="198"/>
      <c r="AF834" s="198"/>
      <c r="AG834" s="198"/>
      <c r="AH834" s="198"/>
      <c r="AI834" s="198"/>
      <c r="AJ834" s="198"/>
      <c r="AK834" s="198"/>
      <c r="AL834" s="198"/>
      <c r="AM834" s="198"/>
    </row>
    <row r="835" ht="12.0" customHeight="1">
      <c r="A835" s="198"/>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c r="AC835" s="198"/>
      <c r="AD835" s="198"/>
      <c r="AE835" s="198"/>
      <c r="AF835" s="198"/>
      <c r="AG835" s="198"/>
      <c r="AH835" s="198"/>
      <c r="AI835" s="198"/>
      <c r="AJ835" s="198"/>
      <c r="AK835" s="198"/>
      <c r="AL835" s="198"/>
      <c r="AM835" s="198"/>
    </row>
    <row r="836" ht="12.0" customHeight="1">
      <c r="A836" s="198"/>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c r="AC836" s="198"/>
      <c r="AD836" s="198"/>
      <c r="AE836" s="198"/>
      <c r="AF836" s="198"/>
      <c r="AG836" s="198"/>
      <c r="AH836" s="198"/>
      <c r="AI836" s="198"/>
      <c r="AJ836" s="198"/>
      <c r="AK836" s="198"/>
      <c r="AL836" s="198"/>
      <c r="AM836" s="198"/>
    </row>
    <row r="837" ht="12.0" customHeight="1">
      <c r="A837" s="198"/>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c r="AC837" s="198"/>
      <c r="AD837" s="198"/>
      <c r="AE837" s="198"/>
      <c r="AF837" s="198"/>
      <c r="AG837" s="198"/>
      <c r="AH837" s="198"/>
      <c r="AI837" s="198"/>
      <c r="AJ837" s="198"/>
      <c r="AK837" s="198"/>
      <c r="AL837" s="198"/>
      <c r="AM837" s="198"/>
    </row>
    <row r="838" ht="12.0" customHeight="1">
      <c r="A838" s="198"/>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c r="AC838" s="198"/>
      <c r="AD838" s="198"/>
      <c r="AE838" s="198"/>
      <c r="AF838" s="198"/>
      <c r="AG838" s="198"/>
      <c r="AH838" s="198"/>
      <c r="AI838" s="198"/>
      <c r="AJ838" s="198"/>
      <c r="AK838" s="198"/>
      <c r="AL838" s="198"/>
      <c r="AM838" s="198"/>
    </row>
    <row r="839" ht="12.0" customHeight="1">
      <c r="A839" s="198"/>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c r="AC839" s="198"/>
      <c r="AD839" s="198"/>
      <c r="AE839" s="198"/>
      <c r="AF839" s="198"/>
      <c r="AG839" s="198"/>
      <c r="AH839" s="198"/>
      <c r="AI839" s="198"/>
      <c r="AJ839" s="198"/>
      <c r="AK839" s="198"/>
      <c r="AL839" s="198"/>
      <c r="AM839" s="198"/>
    </row>
    <row r="840" ht="12.0" customHeight="1">
      <c r="A840" s="198"/>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c r="AC840" s="198"/>
      <c r="AD840" s="198"/>
      <c r="AE840" s="198"/>
      <c r="AF840" s="198"/>
      <c r="AG840" s="198"/>
      <c r="AH840" s="198"/>
      <c r="AI840" s="198"/>
      <c r="AJ840" s="198"/>
      <c r="AK840" s="198"/>
      <c r="AL840" s="198"/>
      <c r="AM840" s="198"/>
    </row>
    <row r="841" ht="12.0" customHeight="1">
      <c r="A841" s="198"/>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c r="AC841" s="198"/>
      <c r="AD841" s="198"/>
      <c r="AE841" s="198"/>
      <c r="AF841" s="198"/>
      <c r="AG841" s="198"/>
      <c r="AH841" s="198"/>
      <c r="AI841" s="198"/>
      <c r="AJ841" s="198"/>
      <c r="AK841" s="198"/>
      <c r="AL841" s="198"/>
      <c r="AM841" s="198"/>
    </row>
    <row r="842" ht="12.0" customHeight="1">
      <c r="A842" s="198"/>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c r="AC842" s="198"/>
      <c r="AD842" s="198"/>
      <c r="AE842" s="198"/>
      <c r="AF842" s="198"/>
      <c r="AG842" s="198"/>
      <c r="AH842" s="198"/>
      <c r="AI842" s="198"/>
      <c r="AJ842" s="198"/>
      <c r="AK842" s="198"/>
      <c r="AL842" s="198"/>
      <c r="AM842" s="198"/>
    </row>
    <row r="843" ht="12.0" customHeight="1">
      <c r="A843" s="198"/>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c r="AC843" s="198"/>
      <c r="AD843" s="198"/>
      <c r="AE843" s="198"/>
      <c r="AF843" s="198"/>
      <c r="AG843" s="198"/>
      <c r="AH843" s="198"/>
      <c r="AI843" s="198"/>
      <c r="AJ843" s="198"/>
      <c r="AK843" s="198"/>
      <c r="AL843" s="198"/>
      <c r="AM843" s="198"/>
    </row>
    <row r="844" ht="12.0" customHeight="1">
      <c r="A844" s="198"/>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c r="AC844" s="198"/>
      <c r="AD844" s="198"/>
      <c r="AE844" s="198"/>
      <c r="AF844" s="198"/>
      <c r="AG844" s="198"/>
      <c r="AH844" s="198"/>
      <c r="AI844" s="198"/>
      <c r="AJ844" s="198"/>
      <c r="AK844" s="198"/>
      <c r="AL844" s="198"/>
      <c r="AM844" s="198"/>
    </row>
    <row r="845" ht="12.0" customHeight="1">
      <c r="A845" s="198"/>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c r="AC845" s="198"/>
      <c r="AD845" s="198"/>
      <c r="AE845" s="198"/>
      <c r="AF845" s="198"/>
      <c r="AG845" s="198"/>
      <c r="AH845" s="198"/>
      <c r="AI845" s="198"/>
      <c r="AJ845" s="198"/>
      <c r="AK845" s="198"/>
      <c r="AL845" s="198"/>
      <c r="AM845" s="198"/>
    </row>
    <row r="846" ht="12.0" customHeight="1">
      <c r="A846" s="198"/>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c r="AC846" s="198"/>
      <c r="AD846" s="198"/>
      <c r="AE846" s="198"/>
      <c r="AF846" s="198"/>
      <c r="AG846" s="198"/>
      <c r="AH846" s="198"/>
      <c r="AI846" s="198"/>
      <c r="AJ846" s="198"/>
      <c r="AK846" s="198"/>
      <c r="AL846" s="198"/>
      <c r="AM846" s="198"/>
    </row>
    <row r="847" ht="12.0" customHeight="1">
      <c r="A847" s="198"/>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c r="AC847" s="198"/>
      <c r="AD847" s="198"/>
      <c r="AE847" s="198"/>
      <c r="AF847" s="198"/>
      <c r="AG847" s="198"/>
      <c r="AH847" s="198"/>
      <c r="AI847" s="198"/>
      <c r="AJ847" s="198"/>
      <c r="AK847" s="198"/>
      <c r="AL847" s="198"/>
      <c r="AM847" s="198"/>
    </row>
    <row r="848" ht="12.0" customHeight="1">
      <c r="A848" s="198"/>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c r="AC848" s="198"/>
      <c r="AD848" s="198"/>
      <c r="AE848" s="198"/>
      <c r="AF848" s="198"/>
      <c r="AG848" s="198"/>
      <c r="AH848" s="198"/>
      <c r="AI848" s="198"/>
      <c r="AJ848" s="198"/>
      <c r="AK848" s="198"/>
      <c r="AL848" s="198"/>
      <c r="AM848" s="198"/>
    </row>
    <row r="849" ht="12.0" customHeight="1">
      <c r="A849" s="198"/>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c r="AC849" s="198"/>
      <c r="AD849" s="198"/>
      <c r="AE849" s="198"/>
      <c r="AF849" s="198"/>
      <c r="AG849" s="198"/>
      <c r="AH849" s="198"/>
      <c r="AI849" s="198"/>
      <c r="AJ849" s="198"/>
      <c r="AK849" s="198"/>
      <c r="AL849" s="198"/>
      <c r="AM849" s="198"/>
    </row>
    <row r="850" ht="12.0" customHeight="1">
      <c r="A850" s="198"/>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c r="AC850" s="198"/>
      <c r="AD850" s="198"/>
      <c r="AE850" s="198"/>
      <c r="AF850" s="198"/>
      <c r="AG850" s="198"/>
      <c r="AH850" s="198"/>
      <c r="AI850" s="198"/>
      <c r="AJ850" s="198"/>
      <c r="AK850" s="198"/>
      <c r="AL850" s="198"/>
      <c r="AM850" s="198"/>
    </row>
    <row r="851" ht="12.0" customHeight="1">
      <c r="A851" s="198"/>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c r="AC851" s="198"/>
      <c r="AD851" s="198"/>
      <c r="AE851" s="198"/>
      <c r="AF851" s="198"/>
      <c r="AG851" s="198"/>
      <c r="AH851" s="198"/>
      <c r="AI851" s="198"/>
      <c r="AJ851" s="198"/>
      <c r="AK851" s="198"/>
      <c r="AL851" s="198"/>
      <c r="AM851" s="198"/>
    </row>
    <row r="852" ht="12.0" customHeight="1">
      <c r="A852" s="198"/>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c r="AC852" s="198"/>
      <c r="AD852" s="198"/>
      <c r="AE852" s="198"/>
      <c r="AF852" s="198"/>
      <c r="AG852" s="198"/>
      <c r="AH852" s="198"/>
      <c r="AI852" s="198"/>
      <c r="AJ852" s="198"/>
      <c r="AK852" s="198"/>
      <c r="AL852" s="198"/>
      <c r="AM852" s="198"/>
    </row>
    <row r="853" ht="12.0" customHeight="1">
      <c r="A853" s="198"/>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c r="AC853" s="198"/>
      <c r="AD853" s="198"/>
      <c r="AE853" s="198"/>
      <c r="AF853" s="198"/>
      <c r="AG853" s="198"/>
      <c r="AH853" s="198"/>
      <c r="AI853" s="198"/>
      <c r="AJ853" s="198"/>
      <c r="AK853" s="198"/>
      <c r="AL853" s="198"/>
      <c r="AM853" s="198"/>
    </row>
    <row r="854" ht="12.0" customHeight="1">
      <c r="A854" s="198"/>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c r="AC854" s="198"/>
      <c r="AD854" s="198"/>
      <c r="AE854" s="198"/>
      <c r="AF854" s="198"/>
      <c r="AG854" s="198"/>
      <c r="AH854" s="198"/>
      <c r="AI854" s="198"/>
      <c r="AJ854" s="198"/>
      <c r="AK854" s="198"/>
      <c r="AL854" s="198"/>
      <c r="AM854" s="198"/>
    </row>
    <row r="855" ht="12.0" customHeight="1">
      <c r="A855" s="198"/>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c r="AC855" s="198"/>
      <c r="AD855" s="198"/>
      <c r="AE855" s="198"/>
      <c r="AF855" s="198"/>
      <c r="AG855" s="198"/>
      <c r="AH855" s="198"/>
      <c r="AI855" s="198"/>
      <c r="AJ855" s="198"/>
      <c r="AK855" s="198"/>
      <c r="AL855" s="198"/>
      <c r="AM855" s="198"/>
    </row>
    <row r="856" ht="12.0" customHeight="1">
      <c r="A856" s="198"/>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c r="AC856" s="198"/>
      <c r="AD856" s="198"/>
      <c r="AE856" s="198"/>
      <c r="AF856" s="198"/>
      <c r="AG856" s="198"/>
      <c r="AH856" s="198"/>
      <c r="AI856" s="198"/>
      <c r="AJ856" s="198"/>
      <c r="AK856" s="198"/>
      <c r="AL856" s="198"/>
      <c r="AM856" s="198"/>
    </row>
    <row r="857" ht="12.0" customHeight="1">
      <c r="A857" s="198"/>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c r="AC857" s="198"/>
      <c r="AD857" s="198"/>
      <c r="AE857" s="198"/>
      <c r="AF857" s="198"/>
      <c r="AG857" s="198"/>
      <c r="AH857" s="198"/>
      <c r="AI857" s="198"/>
      <c r="AJ857" s="198"/>
      <c r="AK857" s="198"/>
      <c r="AL857" s="198"/>
      <c r="AM857" s="198"/>
    </row>
    <row r="858" ht="12.0" customHeight="1">
      <c r="A858" s="198"/>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c r="AC858" s="198"/>
      <c r="AD858" s="198"/>
      <c r="AE858" s="198"/>
      <c r="AF858" s="198"/>
      <c r="AG858" s="198"/>
      <c r="AH858" s="198"/>
      <c r="AI858" s="198"/>
      <c r="AJ858" s="198"/>
      <c r="AK858" s="198"/>
      <c r="AL858" s="198"/>
      <c r="AM858" s="198"/>
    </row>
    <row r="859" ht="12.0" customHeight="1">
      <c r="A859" s="198"/>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c r="AC859" s="198"/>
      <c r="AD859" s="198"/>
      <c r="AE859" s="198"/>
      <c r="AF859" s="198"/>
      <c r="AG859" s="198"/>
      <c r="AH859" s="198"/>
      <c r="AI859" s="198"/>
      <c r="AJ859" s="198"/>
      <c r="AK859" s="198"/>
      <c r="AL859" s="198"/>
      <c r="AM859" s="198"/>
    </row>
    <row r="860" ht="12.0" customHeight="1">
      <c r="A860" s="198"/>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c r="AC860" s="198"/>
      <c r="AD860" s="198"/>
      <c r="AE860" s="198"/>
      <c r="AF860" s="198"/>
      <c r="AG860" s="198"/>
      <c r="AH860" s="198"/>
      <c r="AI860" s="198"/>
      <c r="AJ860" s="198"/>
      <c r="AK860" s="198"/>
      <c r="AL860" s="198"/>
      <c r="AM860" s="198"/>
    </row>
    <row r="861" ht="12.0" customHeight="1">
      <c r="A861" s="198"/>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c r="AC861" s="198"/>
      <c r="AD861" s="198"/>
      <c r="AE861" s="198"/>
      <c r="AF861" s="198"/>
      <c r="AG861" s="198"/>
      <c r="AH861" s="198"/>
      <c r="AI861" s="198"/>
      <c r="AJ861" s="198"/>
      <c r="AK861" s="198"/>
      <c r="AL861" s="198"/>
      <c r="AM861" s="198"/>
    </row>
    <row r="862" ht="12.0" customHeight="1">
      <c r="A862" s="198"/>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c r="AC862" s="198"/>
      <c r="AD862" s="198"/>
      <c r="AE862" s="198"/>
      <c r="AF862" s="198"/>
      <c r="AG862" s="198"/>
      <c r="AH862" s="198"/>
      <c r="AI862" s="198"/>
      <c r="AJ862" s="198"/>
      <c r="AK862" s="198"/>
      <c r="AL862" s="198"/>
      <c r="AM862" s="198"/>
    </row>
    <row r="863" ht="12.0" customHeight="1">
      <c r="A863" s="198"/>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c r="AC863" s="198"/>
      <c r="AD863" s="198"/>
      <c r="AE863" s="198"/>
      <c r="AF863" s="198"/>
      <c r="AG863" s="198"/>
      <c r="AH863" s="198"/>
      <c r="AI863" s="198"/>
      <c r="AJ863" s="198"/>
      <c r="AK863" s="198"/>
      <c r="AL863" s="198"/>
      <c r="AM863" s="198"/>
    </row>
    <row r="864" ht="12.0" customHeight="1">
      <c r="A864" s="198"/>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c r="AC864" s="198"/>
      <c r="AD864" s="198"/>
      <c r="AE864" s="198"/>
      <c r="AF864" s="198"/>
      <c r="AG864" s="198"/>
      <c r="AH864" s="198"/>
      <c r="AI864" s="198"/>
      <c r="AJ864" s="198"/>
      <c r="AK864" s="198"/>
      <c r="AL864" s="198"/>
      <c r="AM864" s="198"/>
    </row>
    <row r="865" ht="12.0" customHeight="1">
      <c r="A865" s="198"/>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c r="AC865" s="198"/>
      <c r="AD865" s="198"/>
      <c r="AE865" s="198"/>
      <c r="AF865" s="198"/>
      <c r="AG865" s="198"/>
      <c r="AH865" s="198"/>
      <c r="AI865" s="198"/>
      <c r="AJ865" s="198"/>
      <c r="AK865" s="198"/>
      <c r="AL865" s="198"/>
      <c r="AM865" s="198"/>
    </row>
    <row r="866" ht="12.0" customHeight="1">
      <c r="A866" s="198"/>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c r="AC866" s="198"/>
      <c r="AD866" s="198"/>
      <c r="AE866" s="198"/>
      <c r="AF866" s="198"/>
      <c r="AG866" s="198"/>
      <c r="AH866" s="198"/>
      <c r="AI866" s="198"/>
      <c r="AJ866" s="198"/>
      <c r="AK866" s="198"/>
      <c r="AL866" s="198"/>
      <c r="AM866" s="198"/>
    </row>
    <row r="867" ht="12.0" customHeight="1">
      <c r="A867" s="198"/>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c r="AC867" s="198"/>
      <c r="AD867" s="198"/>
      <c r="AE867" s="198"/>
      <c r="AF867" s="198"/>
      <c r="AG867" s="198"/>
      <c r="AH867" s="198"/>
      <c r="AI867" s="198"/>
      <c r="AJ867" s="198"/>
      <c r="AK867" s="198"/>
      <c r="AL867" s="198"/>
      <c r="AM867" s="198"/>
    </row>
    <row r="868" ht="12.0" customHeight="1">
      <c r="A868" s="198"/>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c r="AC868" s="198"/>
      <c r="AD868" s="198"/>
      <c r="AE868" s="198"/>
      <c r="AF868" s="198"/>
      <c r="AG868" s="198"/>
      <c r="AH868" s="198"/>
      <c r="AI868" s="198"/>
      <c r="AJ868" s="198"/>
      <c r="AK868" s="198"/>
      <c r="AL868" s="198"/>
      <c r="AM868" s="198"/>
    </row>
    <row r="869" ht="12.0" customHeight="1">
      <c r="A869" s="198"/>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c r="AC869" s="198"/>
      <c r="AD869" s="198"/>
      <c r="AE869" s="198"/>
      <c r="AF869" s="198"/>
      <c r="AG869" s="198"/>
      <c r="AH869" s="198"/>
      <c r="AI869" s="198"/>
      <c r="AJ869" s="198"/>
      <c r="AK869" s="198"/>
      <c r="AL869" s="198"/>
      <c r="AM869" s="198"/>
    </row>
    <row r="870" ht="12.0" customHeight="1">
      <c r="A870" s="198"/>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c r="AC870" s="198"/>
      <c r="AD870" s="198"/>
      <c r="AE870" s="198"/>
      <c r="AF870" s="198"/>
      <c r="AG870" s="198"/>
      <c r="AH870" s="198"/>
      <c r="AI870" s="198"/>
      <c r="AJ870" s="198"/>
      <c r="AK870" s="198"/>
      <c r="AL870" s="198"/>
      <c r="AM870" s="198"/>
    </row>
    <row r="871" ht="12.0" customHeight="1">
      <c r="A871" s="198"/>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c r="AC871" s="198"/>
      <c r="AD871" s="198"/>
      <c r="AE871" s="198"/>
      <c r="AF871" s="198"/>
      <c r="AG871" s="198"/>
      <c r="AH871" s="198"/>
      <c r="AI871" s="198"/>
      <c r="AJ871" s="198"/>
      <c r="AK871" s="198"/>
      <c r="AL871" s="198"/>
      <c r="AM871" s="198"/>
    </row>
    <row r="872" ht="12.0" customHeight="1">
      <c r="A872" s="198"/>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c r="AC872" s="198"/>
      <c r="AD872" s="198"/>
      <c r="AE872" s="198"/>
      <c r="AF872" s="198"/>
      <c r="AG872" s="198"/>
      <c r="AH872" s="198"/>
      <c r="AI872" s="198"/>
      <c r="AJ872" s="198"/>
      <c r="AK872" s="198"/>
      <c r="AL872" s="198"/>
      <c r="AM872" s="198"/>
    </row>
    <row r="873" ht="12.0" customHeight="1">
      <c r="A873" s="198"/>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c r="AC873" s="198"/>
      <c r="AD873" s="198"/>
      <c r="AE873" s="198"/>
      <c r="AF873" s="198"/>
      <c r="AG873" s="198"/>
      <c r="AH873" s="198"/>
      <c r="AI873" s="198"/>
      <c r="AJ873" s="198"/>
      <c r="AK873" s="198"/>
      <c r="AL873" s="198"/>
      <c r="AM873" s="198"/>
    </row>
    <row r="874" ht="12.0" customHeight="1">
      <c r="A874" s="198"/>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c r="AC874" s="198"/>
      <c r="AD874" s="198"/>
      <c r="AE874" s="198"/>
      <c r="AF874" s="198"/>
      <c r="AG874" s="198"/>
      <c r="AH874" s="198"/>
      <c r="AI874" s="198"/>
      <c r="AJ874" s="198"/>
      <c r="AK874" s="198"/>
      <c r="AL874" s="198"/>
      <c r="AM874" s="198"/>
    </row>
    <row r="875" ht="12.0" customHeight="1">
      <c r="A875" s="198"/>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c r="AC875" s="198"/>
      <c r="AD875" s="198"/>
      <c r="AE875" s="198"/>
      <c r="AF875" s="198"/>
      <c r="AG875" s="198"/>
      <c r="AH875" s="198"/>
      <c r="AI875" s="198"/>
      <c r="AJ875" s="198"/>
      <c r="AK875" s="198"/>
      <c r="AL875" s="198"/>
      <c r="AM875" s="198"/>
    </row>
    <row r="876" ht="12.0" customHeight="1">
      <c r="A876" s="198"/>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c r="AC876" s="198"/>
      <c r="AD876" s="198"/>
      <c r="AE876" s="198"/>
      <c r="AF876" s="198"/>
      <c r="AG876" s="198"/>
      <c r="AH876" s="198"/>
      <c r="AI876" s="198"/>
      <c r="AJ876" s="198"/>
      <c r="AK876" s="198"/>
      <c r="AL876" s="198"/>
      <c r="AM876" s="198"/>
    </row>
    <row r="877" ht="12.0" customHeight="1">
      <c r="A877" s="198"/>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c r="AC877" s="198"/>
      <c r="AD877" s="198"/>
      <c r="AE877" s="198"/>
      <c r="AF877" s="198"/>
      <c r="AG877" s="198"/>
      <c r="AH877" s="198"/>
      <c r="AI877" s="198"/>
      <c r="AJ877" s="198"/>
      <c r="AK877" s="198"/>
      <c r="AL877" s="198"/>
      <c r="AM877" s="198"/>
    </row>
    <row r="878" ht="12.0" customHeight="1">
      <c r="A878" s="198"/>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c r="AC878" s="198"/>
      <c r="AD878" s="198"/>
      <c r="AE878" s="198"/>
      <c r="AF878" s="198"/>
      <c r="AG878" s="198"/>
      <c r="AH878" s="198"/>
      <c r="AI878" s="198"/>
      <c r="AJ878" s="198"/>
      <c r="AK878" s="198"/>
      <c r="AL878" s="198"/>
      <c r="AM878" s="198"/>
    </row>
    <row r="879" ht="12.0" customHeight="1">
      <c r="A879" s="198"/>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c r="AC879" s="198"/>
      <c r="AD879" s="198"/>
      <c r="AE879" s="198"/>
      <c r="AF879" s="198"/>
      <c r="AG879" s="198"/>
      <c r="AH879" s="198"/>
      <c r="AI879" s="198"/>
      <c r="AJ879" s="198"/>
      <c r="AK879" s="198"/>
      <c r="AL879" s="198"/>
      <c r="AM879" s="198"/>
    </row>
    <row r="880" ht="12.0" customHeight="1">
      <c r="A880" s="198"/>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c r="AC880" s="198"/>
      <c r="AD880" s="198"/>
      <c r="AE880" s="198"/>
      <c r="AF880" s="198"/>
      <c r="AG880" s="198"/>
      <c r="AH880" s="198"/>
      <c r="AI880" s="198"/>
      <c r="AJ880" s="198"/>
      <c r="AK880" s="198"/>
      <c r="AL880" s="198"/>
      <c r="AM880" s="198"/>
    </row>
    <row r="881" ht="12.0" customHeight="1">
      <c r="A881" s="198"/>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c r="AC881" s="198"/>
      <c r="AD881" s="198"/>
      <c r="AE881" s="198"/>
      <c r="AF881" s="198"/>
      <c r="AG881" s="198"/>
      <c r="AH881" s="198"/>
      <c r="AI881" s="198"/>
      <c r="AJ881" s="198"/>
      <c r="AK881" s="198"/>
      <c r="AL881" s="198"/>
      <c r="AM881" s="198"/>
    </row>
    <row r="882" ht="12.0" customHeight="1">
      <c r="A882" s="198"/>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c r="AC882" s="198"/>
      <c r="AD882" s="198"/>
      <c r="AE882" s="198"/>
      <c r="AF882" s="198"/>
      <c r="AG882" s="198"/>
      <c r="AH882" s="198"/>
      <c r="AI882" s="198"/>
      <c r="AJ882" s="198"/>
      <c r="AK882" s="198"/>
      <c r="AL882" s="198"/>
      <c r="AM882" s="198"/>
    </row>
    <row r="883" ht="12.0" customHeight="1">
      <c r="A883" s="198"/>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c r="AC883" s="198"/>
      <c r="AD883" s="198"/>
      <c r="AE883" s="198"/>
      <c r="AF883" s="198"/>
      <c r="AG883" s="198"/>
      <c r="AH883" s="198"/>
      <c r="AI883" s="198"/>
      <c r="AJ883" s="198"/>
      <c r="AK883" s="198"/>
      <c r="AL883" s="198"/>
      <c r="AM883" s="198"/>
    </row>
    <row r="884" ht="12.0" customHeight="1">
      <c r="A884" s="198"/>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c r="AC884" s="198"/>
      <c r="AD884" s="198"/>
      <c r="AE884" s="198"/>
      <c r="AF884" s="198"/>
      <c r="AG884" s="198"/>
      <c r="AH884" s="198"/>
      <c r="AI884" s="198"/>
      <c r="AJ884" s="198"/>
      <c r="AK884" s="198"/>
      <c r="AL884" s="198"/>
      <c r="AM884" s="198"/>
    </row>
    <row r="885" ht="12.0" customHeight="1">
      <c r="A885" s="198"/>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c r="AC885" s="198"/>
      <c r="AD885" s="198"/>
      <c r="AE885" s="198"/>
      <c r="AF885" s="198"/>
      <c r="AG885" s="198"/>
      <c r="AH885" s="198"/>
      <c r="AI885" s="198"/>
      <c r="AJ885" s="198"/>
      <c r="AK885" s="198"/>
      <c r="AL885" s="198"/>
      <c r="AM885" s="198"/>
    </row>
    <row r="886" ht="12.0" customHeight="1">
      <c r="A886" s="198"/>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c r="AC886" s="198"/>
      <c r="AD886" s="198"/>
      <c r="AE886" s="198"/>
      <c r="AF886" s="198"/>
      <c r="AG886" s="198"/>
      <c r="AH886" s="198"/>
      <c r="AI886" s="198"/>
      <c r="AJ886" s="198"/>
      <c r="AK886" s="198"/>
      <c r="AL886" s="198"/>
      <c r="AM886" s="198"/>
    </row>
    <row r="887" ht="12.0" customHeight="1">
      <c r="A887" s="198"/>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c r="AC887" s="198"/>
      <c r="AD887" s="198"/>
      <c r="AE887" s="198"/>
      <c r="AF887" s="198"/>
      <c r="AG887" s="198"/>
      <c r="AH887" s="198"/>
      <c r="AI887" s="198"/>
      <c r="AJ887" s="198"/>
      <c r="AK887" s="198"/>
      <c r="AL887" s="198"/>
      <c r="AM887" s="198"/>
    </row>
    <row r="888" ht="12.0" customHeight="1">
      <c r="A888" s="198"/>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c r="AC888" s="198"/>
      <c r="AD888" s="198"/>
      <c r="AE888" s="198"/>
      <c r="AF888" s="198"/>
      <c r="AG888" s="198"/>
      <c r="AH888" s="198"/>
      <c r="AI888" s="198"/>
      <c r="AJ888" s="198"/>
      <c r="AK888" s="198"/>
      <c r="AL888" s="198"/>
      <c r="AM888" s="198"/>
    </row>
    <row r="889" ht="12.0" customHeight="1">
      <c r="A889" s="198"/>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c r="AC889" s="198"/>
      <c r="AD889" s="198"/>
      <c r="AE889" s="198"/>
      <c r="AF889" s="198"/>
      <c r="AG889" s="198"/>
      <c r="AH889" s="198"/>
      <c r="AI889" s="198"/>
      <c r="AJ889" s="198"/>
      <c r="AK889" s="198"/>
      <c r="AL889" s="198"/>
      <c r="AM889" s="198"/>
    </row>
    <row r="890" ht="12.0" customHeight="1">
      <c r="A890" s="198"/>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c r="AC890" s="198"/>
      <c r="AD890" s="198"/>
      <c r="AE890" s="198"/>
      <c r="AF890" s="198"/>
      <c r="AG890" s="198"/>
      <c r="AH890" s="198"/>
      <c r="AI890" s="198"/>
      <c r="AJ890" s="198"/>
      <c r="AK890" s="198"/>
      <c r="AL890" s="198"/>
      <c r="AM890" s="198"/>
    </row>
    <row r="891" ht="12.0" customHeight="1">
      <c r="A891" s="198"/>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c r="AC891" s="198"/>
      <c r="AD891" s="198"/>
      <c r="AE891" s="198"/>
      <c r="AF891" s="198"/>
      <c r="AG891" s="198"/>
      <c r="AH891" s="198"/>
      <c r="AI891" s="198"/>
      <c r="AJ891" s="198"/>
      <c r="AK891" s="198"/>
      <c r="AL891" s="198"/>
      <c r="AM891" s="198"/>
    </row>
    <row r="892" ht="12.0" customHeight="1">
      <c r="A892" s="198"/>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c r="AC892" s="198"/>
      <c r="AD892" s="198"/>
      <c r="AE892" s="198"/>
      <c r="AF892" s="198"/>
      <c r="AG892" s="198"/>
      <c r="AH892" s="198"/>
      <c r="AI892" s="198"/>
      <c r="AJ892" s="198"/>
      <c r="AK892" s="198"/>
      <c r="AL892" s="198"/>
      <c r="AM892" s="198"/>
    </row>
    <row r="893" ht="12.0" customHeight="1">
      <c r="A893" s="198"/>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c r="AC893" s="198"/>
      <c r="AD893" s="198"/>
      <c r="AE893" s="198"/>
      <c r="AF893" s="198"/>
      <c r="AG893" s="198"/>
      <c r="AH893" s="198"/>
      <c r="AI893" s="198"/>
      <c r="AJ893" s="198"/>
      <c r="AK893" s="198"/>
      <c r="AL893" s="198"/>
      <c r="AM893" s="198"/>
    </row>
    <row r="894" ht="12.0" customHeight="1">
      <c r="A894" s="198"/>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c r="AC894" s="198"/>
      <c r="AD894" s="198"/>
      <c r="AE894" s="198"/>
      <c r="AF894" s="198"/>
      <c r="AG894" s="198"/>
      <c r="AH894" s="198"/>
      <c r="AI894" s="198"/>
      <c r="AJ894" s="198"/>
      <c r="AK894" s="198"/>
      <c r="AL894" s="198"/>
      <c r="AM894" s="198"/>
    </row>
    <row r="895" ht="12.0" customHeight="1">
      <c r="A895" s="198"/>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c r="AC895" s="198"/>
      <c r="AD895" s="198"/>
      <c r="AE895" s="198"/>
      <c r="AF895" s="198"/>
      <c r="AG895" s="198"/>
      <c r="AH895" s="198"/>
      <c r="AI895" s="198"/>
      <c r="AJ895" s="198"/>
      <c r="AK895" s="198"/>
      <c r="AL895" s="198"/>
      <c r="AM895" s="198"/>
    </row>
    <row r="896" ht="12.0" customHeight="1">
      <c r="A896" s="198"/>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c r="AC896" s="198"/>
      <c r="AD896" s="198"/>
      <c r="AE896" s="198"/>
      <c r="AF896" s="198"/>
      <c r="AG896" s="198"/>
      <c r="AH896" s="198"/>
      <c r="AI896" s="198"/>
      <c r="AJ896" s="198"/>
      <c r="AK896" s="198"/>
      <c r="AL896" s="198"/>
      <c r="AM896" s="198"/>
    </row>
    <row r="897" ht="12.0" customHeight="1">
      <c r="A897" s="198"/>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c r="AC897" s="198"/>
      <c r="AD897" s="198"/>
      <c r="AE897" s="198"/>
      <c r="AF897" s="198"/>
      <c r="AG897" s="198"/>
      <c r="AH897" s="198"/>
      <c r="AI897" s="198"/>
      <c r="AJ897" s="198"/>
      <c r="AK897" s="198"/>
      <c r="AL897" s="198"/>
      <c r="AM897" s="198"/>
    </row>
    <row r="898" ht="12.0" customHeight="1">
      <c r="A898" s="198"/>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c r="AC898" s="198"/>
      <c r="AD898" s="198"/>
      <c r="AE898" s="198"/>
      <c r="AF898" s="198"/>
      <c r="AG898" s="198"/>
      <c r="AH898" s="198"/>
      <c r="AI898" s="198"/>
      <c r="AJ898" s="198"/>
      <c r="AK898" s="198"/>
      <c r="AL898" s="198"/>
      <c r="AM898" s="198"/>
    </row>
    <row r="899" ht="12.0" customHeight="1">
      <c r="A899" s="198"/>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c r="AC899" s="198"/>
      <c r="AD899" s="198"/>
      <c r="AE899" s="198"/>
      <c r="AF899" s="198"/>
      <c r="AG899" s="198"/>
      <c r="AH899" s="198"/>
      <c r="AI899" s="198"/>
      <c r="AJ899" s="198"/>
      <c r="AK899" s="198"/>
      <c r="AL899" s="198"/>
      <c r="AM899" s="198"/>
    </row>
    <row r="900" ht="12.0" customHeight="1">
      <c r="A900" s="198"/>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c r="AC900" s="198"/>
      <c r="AD900" s="198"/>
      <c r="AE900" s="198"/>
      <c r="AF900" s="198"/>
      <c r="AG900" s="198"/>
      <c r="AH900" s="198"/>
      <c r="AI900" s="198"/>
      <c r="AJ900" s="198"/>
      <c r="AK900" s="198"/>
      <c r="AL900" s="198"/>
      <c r="AM900" s="198"/>
    </row>
    <row r="901" ht="12.0" customHeight="1">
      <c r="A901" s="198"/>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c r="AC901" s="198"/>
      <c r="AD901" s="198"/>
      <c r="AE901" s="198"/>
      <c r="AF901" s="198"/>
      <c r="AG901" s="198"/>
      <c r="AH901" s="198"/>
      <c r="AI901" s="198"/>
      <c r="AJ901" s="198"/>
      <c r="AK901" s="198"/>
      <c r="AL901" s="198"/>
      <c r="AM901" s="198"/>
    </row>
    <row r="902" ht="12.0" customHeight="1">
      <c r="A902" s="198"/>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c r="AC902" s="198"/>
      <c r="AD902" s="198"/>
      <c r="AE902" s="198"/>
      <c r="AF902" s="198"/>
      <c r="AG902" s="198"/>
      <c r="AH902" s="198"/>
      <c r="AI902" s="198"/>
      <c r="AJ902" s="198"/>
      <c r="AK902" s="198"/>
      <c r="AL902" s="198"/>
      <c r="AM902" s="198"/>
    </row>
    <row r="903" ht="12.0" customHeight="1">
      <c r="A903" s="198"/>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c r="AC903" s="198"/>
      <c r="AD903" s="198"/>
      <c r="AE903" s="198"/>
      <c r="AF903" s="198"/>
      <c r="AG903" s="198"/>
      <c r="AH903" s="198"/>
      <c r="AI903" s="198"/>
      <c r="AJ903" s="198"/>
      <c r="AK903" s="198"/>
      <c r="AL903" s="198"/>
      <c r="AM903" s="198"/>
    </row>
    <row r="904" ht="12.0" customHeight="1">
      <c r="A904" s="198"/>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c r="AC904" s="198"/>
      <c r="AD904" s="198"/>
      <c r="AE904" s="198"/>
      <c r="AF904" s="198"/>
      <c r="AG904" s="198"/>
      <c r="AH904" s="198"/>
      <c r="AI904" s="198"/>
      <c r="AJ904" s="198"/>
      <c r="AK904" s="198"/>
      <c r="AL904" s="198"/>
      <c r="AM904" s="198"/>
    </row>
    <row r="905" ht="12.0" customHeight="1">
      <c r="A905" s="198"/>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c r="AC905" s="198"/>
      <c r="AD905" s="198"/>
      <c r="AE905" s="198"/>
      <c r="AF905" s="198"/>
      <c r="AG905" s="198"/>
      <c r="AH905" s="198"/>
      <c r="AI905" s="198"/>
      <c r="AJ905" s="198"/>
      <c r="AK905" s="198"/>
      <c r="AL905" s="198"/>
      <c r="AM905" s="198"/>
    </row>
    <row r="906" ht="12.0" customHeight="1">
      <c r="A906" s="198"/>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c r="AC906" s="198"/>
      <c r="AD906" s="198"/>
      <c r="AE906" s="198"/>
      <c r="AF906" s="198"/>
      <c r="AG906" s="198"/>
      <c r="AH906" s="198"/>
      <c r="AI906" s="198"/>
      <c r="AJ906" s="198"/>
      <c r="AK906" s="198"/>
      <c r="AL906" s="198"/>
      <c r="AM906" s="198"/>
    </row>
    <row r="907" ht="12.0" customHeight="1">
      <c r="A907" s="198"/>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c r="AC907" s="198"/>
      <c r="AD907" s="198"/>
      <c r="AE907" s="198"/>
      <c r="AF907" s="198"/>
      <c r="AG907" s="198"/>
      <c r="AH907" s="198"/>
      <c r="AI907" s="198"/>
      <c r="AJ907" s="198"/>
      <c r="AK907" s="198"/>
      <c r="AL907" s="198"/>
      <c r="AM907" s="198"/>
    </row>
    <row r="908" ht="12.0" customHeight="1">
      <c r="A908" s="198"/>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c r="AC908" s="198"/>
      <c r="AD908" s="198"/>
      <c r="AE908" s="198"/>
      <c r="AF908" s="198"/>
      <c r="AG908" s="198"/>
      <c r="AH908" s="198"/>
      <c r="AI908" s="198"/>
      <c r="AJ908" s="198"/>
      <c r="AK908" s="198"/>
      <c r="AL908" s="198"/>
      <c r="AM908" s="198"/>
    </row>
    <row r="909" ht="12.0" customHeight="1">
      <c r="A909" s="198"/>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c r="AC909" s="198"/>
      <c r="AD909" s="198"/>
      <c r="AE909" s="198"/>
      <c r="AF909" s="198"/>
      <c r="AG909" s="198"/>
      <c r="AH909" s="198"/>
      <c r="AI909" s="198"/>
      <c r="AJ909" s="198"/>
      <c r="AK909" s="198"/>
      <c r="AL909" s="198"/>
      <c r="AM909" s="198"/>
    </row>
    <row r="910" ht="12.0" customHeight="1">
      <c r="A910" s="198"/>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c r="AC910" s="198"/>
      <c r="AD910" s="198"/>
      <c r="AE910" s="198"/>
      <c r="AF910" s="198"/>
      <c r="AG910" s="198"/>
      <c r="AH910" s="198"/>
      <c r="AI910" s="198"/>
      <c r="AJ910" s="198"/>
      <c r="AK910" s="198"/>
      <c r="AL910" s="198"/>
      <c r="AM910" s="198"/>
    </row>
    <row r="911" ht="12.0" customHeight="1">
      <c r="A911" s="198"/>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c r="AC911" s="198"/>
      <c r="AD911" s="198"/>
      <c r="AE911" s="198"/>
      <c r="AF911" s="198"/>
      <c r="AG911" s="198"/>
      <c r="AH911" s="198"/>
      <c r="AI911" s="198"/>
      <c r="AJ911" s="198"/>
      <c r="AK911" s="198"/>
      <c r="AL911" s="198"/>
      <c r="AM911" s="198"/>
    </row>
    <row r="912" ht="12.0" customHeight="1">
      <c r="A912" s="198"/>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c r="AC912" s="198"/>
      <c r="AD912" s="198"/>
      <c r="AE912" s="198"/>
      <c r="AF912" s="198"/>
      <c r="AG912" s="198"/>
      <c r="AH912" s="198"/>
      <c r="AI912" s="198"/>
      <c r="AJ912" s="198"/>
      <c r="AK912" s="198"/>
      <c r="AL912" s="198"/>
      <c r="AM912" s="198"/>
    </row>
    <row r="913" ht="12.0" customHeight="1">
      <c r="A913" s="198"/>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c r="AC913" s="198"/>
      <c r="AD913" s="198"/>
      <c r="AE913" s="198"/>
      <c r="AF913" s="198"/>
      <c r="AG913" s="198"/>
      <c r="AH913" s="198"/>
      <c r="AI913" s="198"/>
      <c r="AJ913" s="198"/>
      <c r="AK913" s="198"/>
      <c r="AL913" s="198"/>
      <c r="AM913" s="198"/>
    </row>
    <row r="914" ht="12.0" customHeight="1">
      <c r="A914" s="198"/>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c r="AC914" s="198"/>
      <c r="AD914" s="198"/>
      <c r="AE914" s="198"/>
      <c r="AF914" s="198"/>
      <c r="AG914" s="198"/>
      <c r="AH914" s="198"/>
      <c r="AI914" s="198"/>
      <c r="AJ914" s="198"/>
      <c r="AK914" s="198"/>
      <c r="AL914" s="198"/>
      <c r="AM914" s="198"/>
    </row>
    <row r="915" ht="12.0" customHeight="1">
      <c r="A915" s="198"/>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c r="AC915" s="198"/>
      <c r="AD915" s="198"/>
      <c r="AE915" s="198"/>
      <c r="AF915" s="198"/>
      <c r="AG915" s="198"/>
      <c r="AH915" s="198"/>
      <c r="AI915" s="198"/>
      <c r="AJ915" s="198"/>
      <c r="AK915" s="198"/>
      <c r="AL915" s="198"/>
      <c r="AM915" s="198"/>
    </row>
    <row r="916" ht="12.0" customHeight="1">
      <c r="A916" s="198"/>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c r="AC916" s="198"/>
      <c r="AD916" s="198"/>
      <c r="AE916" s="198"/>
      <c r="AF916" s="198"/>
      <c r="AG916" s="198"/>
      <c r="AH916" s="198"/>
      <c r="AI916" s="198"/>
      <c r="AJ916" s="198"/>
      <c r="AK916" s="198"/>
      <c r="AL916" s="198"/>
      <c r="AM916" s="198"/>
    </row>
    <row r="917" ht="12.0" customHeight="1">
      <c r="A917" s="198"/>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c r="AC917" s="198"/>
      <c r="AD917" s="198"/>
      <c r="AE917" s="198"/>
      <c r="AF917" s="198"/>
      <c r="AG917" s="198"/>
      <c r="AH917" s="198"/>
      <c r="AI917" s="198"/>
      <c r="AJ917" s="198"/>
      <c r="AK917" s="198"/>
      <c r="AL917" s="198"/>
      <c r="AM917" s="198"/>
    </row>
    <row r="918" ht="12.0" customHeight="1">
      <c r="A918" s="198"/>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c r="AC918" s="198"/>
      <c r="AD918" s="198"/>
      <c r="AE918" s="198"/>
      <c r="AF918" s="198"/>
      <c r="AG918" s="198"/>
      <c r="AH918" s="198"/>
      <c r="AI918" s="198"/>
      <c r="AJ918" s="198"/>
      <c r="AK918" s="198"/>
      <c r="AL918" s="198"/>
      <c r="AM918" s="198"/>
    </row>
    <row r="919" ht="12.0" customHeight="1">
      <c r="A919" s="198"/>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c r="AC919" s="198"/>
      <c r="AD919" s="198"/>
      <c r="AE919" s="198"/>
      <c r="AF919" s="198"/>
      <c r="AG919" s="198"/>
      <c r="AH919" s="198"/>
      <c r="AI919" s="198"/>
      <c r="AJ919" s="198"/>
      <c r="AK919" s="198"/>
      <c r="AL919" s="198"/>
      <c r="AM919" s="198"/>
    </row>
    <row r="920" ht="12.0" customHeight="1">
      <c r="A920" s="198"/>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c r="AC920" s="198"/>
      <c r="AD920" s="198"/>
      <c r="AE920" s="198"/>
      <c r="AF920" s="198"/>
      <c r="AG920" s="198"/>
      <c r="AH920" s="198"/>
      <c r="AI920" s="198"/>
      <c r="AJ920" s="198"/>
      <c r="AK920" s="198"/>
      <c r="AL920" s="198"/>
      <c r="AM920" s="198"/>
    </row>
    <row r="921" ht="12.0" customHeight="1">
      <c r="A921" s="198"/>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c r="AC921" s="198"/>
      <c r="AD921" s="198"/>
      <c r="AE921" s="198"/>
      <c r="AF921" s="198"/>
      <c r="AG921" s="198"/>
      <c r="AH921" s="198"/>
      <c r="AI921" s="198"/>
      <c r="AJ921" s="198"/>
      <c r="AK921" s="198"/>
      <c r="AL921" s="198"/>
      <c r="AM921" s="198"/>
    </row>
    <row r="922" ht="12.0" customHeight="1">
      <c r="A922" s="198"/>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c r="AC922" s="198"/>
      <c r="AD922" s="198"/>
      <c r="AE922" s="198"/>
      <c r="AF922" s="198"/>
      <c r="AG922" s="198"/>
      <c r="AH922" s="198"/>
      <c r="AI922" s="198"/>
      <c r="AJ922" s="198"/>
      <c r="AK922" s="198"/>
      <c r="AL922" s="198"/>
      <c r="AM922" s="198"/>
    </row>
    <row r="923" ht="12.0" customHeight="1">
      <c r="A923" s="198"/>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c r="AC923" s="198"/>
      <c r="AD923" s="198"/>
      <c r="AE923" s="198"/>
      <c r="AF923" s="198"/>
      <c r="AG923" s="198"/>
      <c r="AH923" s="198"/>
      <c r="AI923" s="198"/>
      <c r="AJ923" s="198"/>
      <c r="AK923" s="198"/>
      <c r="AL923" s="198"/>
      <c r="AM923" s="198"/>
    </row>
    <row r="924" ht="12.0" customHeight="1">
      <c r="A924" s="198"/>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c r="AC924" s="198"/>
      <c r="AD924" s="198"/>
      <c r="AE924" s="198"/>
      <c r="AF924" s="198"/>
      <c r="AG924" s="198"/>
      <c r="AH924" s="198"/>
      <c r="AI924" s="198"/>
      <c r="AJ924" s="198"/>
      <c r="AK924" s="198"/>
      <c r="AL924" s="198"/>
      <c r="AM924" s="198"/>
    </row>
    <row r="925" ht="12.0" customHeight="1">
      <c r="A925" s="198"/>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c r="AC925" s="198"/>
      <c r="AD925" s="198"/>
      <c r="AE925" s="198"/>
      <c r="AF925" s="198"/>
      <c r="AG925" s="198"/>
      <c r="AH925" s="198"/>
      <c r="AI925" s="198"/>
      <c r="AJ925" s="198"/>
      <c r="AK925" s="198"/>
      <c r="AL925" s="198"/>
      <c r="AM925" s="198"/>
    </row>
    <row r="926" ht="12.0" customHeight="1">
      <c r="A926" s="198"/>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c r="AC926" s="198"/>
      <c r="AD926" s="198"/>
      <c r="AE926" s="198"/>
      <c r="AF926" s="198"/>
      <c r="AG926" s="198"/>
      <c r="AH926" s="198"/>
      <c r="AI926" s="198"/>
      <c r="AJ926" s="198"/>
      <c r="AK926" s="198"/>
      <c r="AL926" s="198"/>
      <c r="AM926" s="198"/>
    </row>
    <row r="927" ht="12.0" customHeight="1">
      <c r="A927" s="198"/>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c r="AC927" s="198"/>
      <c r="AD927" s="198"/>
      <c r="AE927" s="198"/>
      <c r="AF927" s="198"/>
      <c r="AG927" s="198"/>
      <c r="AH927" s="198"/>
      <c r="AI927" s="198"/>
      <c r="AJ927" s="198"/>
      <c r="AK927" s="198"/>
      <c r="AL927" s="198"/>
      <c r="AM927" s="198"/>
    </row>
    <row r="928" ht="12.0" customHeight="1">
      <c r="A928" s="198"/>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c r="AC928" s="198"/>
      <c r="AD928" s="198"/>
      <c r="AE928" s="198"/>
      <c r="AF928" s="198"/>
      <c r="AG928" s="198"/>
      <c r="AH928" s="198"/>
      <c r="AI928" s="198"/>
      <c r="AJ928" s="198"/>
      <c r="AK928" s="198"/>
      <c r="AL928" s="198"/>
      <c r="AM928" s="198"/>
    </row>
    <row r="929" ht="12.0" customHeight="1">
      <c r="A929" s="198"/>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c r="AC929" s="198"/>
      <c r="AD929" s="198"/>
      <c r="AE929" s="198"/>
      <c r="AF929" s="198"/>
      <c r="AG929" s="198"/>
      <c r="AH929" s="198"/>
      <c r="AI929" s="198"/>
      <c r="AJ929" s="198"/>
      <c r="AK929" s="198"/>
      <c r="AL929" s="198"/>
      <c r="AM929" s="198"/>
    </row>
    <row r="930" ht="12.0" customHeight="1">
      <c r="A930" s="198"/>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c r="AC930" s="198"/>
      <c r="AD930" s="198"/>
      <c r="AE930" s="198"/>
      <c r="AF930" s="198"/>
      <c r="AG930" s="198"/>
      <c r="AH930" s="198"/>
      <c r="AI930" s="198"/>
      <c r="AJ930" s="198"/>
      <c r="AK930" s="198"/>
      <c r="AL930" s="198"/>
      <c r="AM930" s="198"/>
    </row>
    <row r="931" ht="12.0" customHeight="1">
      <c r="A931" s="198"/>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c r="AC931" s="198"/>
      <c r="AD931" s="198"/>
      <c r="AE931" s="198"/>
      <c r="AF931" s="198"/>
      <c r="AG931" s="198"/>
      <c r="AH931" s="198"/>
      <c r="AI931" s="198"/>
      <c r="AJ931" s="198"/>
      <c r="AK931" s="198"/>
      <c r="AL931" s="198"/>
      <c r="AM931" s="198"/>
    </row>
    <row r="932" ht="12.0" customHeight="1">
      <c r="A932" s="198"/>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c r="AC932" s="198"/>
      <c r="AD932" s="198"/>
      <c r="AE932" s="198"/>
      <c r="AF932" s="198"/>
      <c r="AG932" s="198"/>
      <c r="AH932" s="198"/>
      <c r="AI932" s="198"/>
      <c r="AJ932" s="198"/>
      <c r="AK932" s="198"/>
      <c r="AL932" s="198"/>
      <c r="AM932" s="198"/>
    </row>
    <row r="933" ht="12.0" customHeight="1">
      <c r="A933" s="198"/>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c r="AC933" s="198"/>
      <c r="AD933" s="198"/>
      <c r="AE933" s="198"/>
      <c r="AF933" s="198"/>
      <c r="AG933" s="198"/>
      <c r="AH933" s="198"/>
      <c r="AI933" s="198"/>
      <c r="AJ933" s="198"/>
      <c r="AK933" s="198"/>
      <c r="AL933" s="198"/>
      <c r="AM933" s="198"/>
    </row>
    <row r="934" ht="12.0" customHeight="1">
      <c r="A934" s="198"/>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c r="AC934" s="198"/>
      <c r="AD934" s="198"/>
      <c r="AE934" s="198"/>
      <c r="AF934" s="198"/>
      <c r="AG934" s="198"/>
      <c r="AH934" s="198"/>
      <c r="AI934" s="198"/>
      <c r="AJ934" s="198"/>
      <c r="AK934" s="198"/>
      <c r="AL934" s="198"/>
      <c r="AM934" s="198"/>
    </row>
    <row r="935" ht="12.0" customHeight="1">
      <c r="A935" s="198"/>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c r="AC935" s="198"/>
      <c r="AD935" s="198"/>
      <c r="AE935" s="198"/>
      <c r="AF935" s="198"/>
      <c r="AG935" s="198"/>
      <c r="AH935" s="198"/>
      <c r="AI935" s="198"/>
      <c r="AJ935" s="198"/>
      <c r="AK935" s="198"/>
      <c r="AL935" s="198"/>
      <c r="AM935" s="198"/>
    </row>
    <row r="936" ht="12.0" customHeight="1">
      <c r="A936" s="198"/>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c r="AC936" s="198"/>
      <c r="AD936" s="198"/>
      <c r="AE936" s="198"/>
      <c r="AF936" s="198"/>
      <c r="AG936" s="198"/>
      <c r="AH936" s="198"/>
      <c r="AI936" s="198"/>
      <c r="AJ936" s="198"/>
      <c r="AK936" s="198"/>
      <c r="AL936" s="198"/>
      <c r="AM936" s="198"/>
    </row>
    <row r="937" ht="12.0" customHeight="1">
      <c r="A937" s="198"/>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c r="AC937" s="198"/>
      <c r="AD937" s="198"/>
      <c r="AE937" s="198"/>
      <c r="AF937" s="198"/>
      <c r="AG937" s="198"/>
      <c r="AH937" s="198"/>
      <c r="AI937" s="198"/>
      <c r="AJ937" s="198"/>
      <c r="AK937" s="198"/>
      <c r="AL937" s="198"/>
      <c r="AM937" s="198"/>
    </row>
    <row r="938" ht="12.0" customHeight="1">
      <c r="A938" s="198"/>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c r="AC938" s="198"/>
      <c r="AD938" s="198"/>
      <c r="AE938" s="198"/>
      <c r="AF938" s="198"/>
      <c r="AG938" s="198"/>
      <c r="AH938" s="198"/>
      <c r="AI938" s="198"/>
      <c r="AJ938" s="198"/>
      <c r="AK938" s="198"/>
      <c r="AL938" s="198"/>
      <c r="AM938" s="198"/>
    </row>
    <row r="939" ht="12.0" customHeight="1">
      <c r="A939" s="198"/>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c r="AC939" s="198"/>
      <c r="AD939" s="198"/>
      <c r="AE939" s="198"/>
      <c r="AF939" s="198"/>
      <c r="AG939" s="198"/>
      <c r="AH939" s="198"/>
      <c r="AI939" s="198"/>
      <c r="AJ939" s="198"/>
      <c r="AK939" s="198"/>
      <c r="AL939" s="198"/>
      <c r="AM939" s="198"/>
    </row>
    <row r="940" ht="12.0" customHeight="1">
      <c r="A940" s="198"/>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c r="AC940" s="198"/>
      <c r="AD940" s="198"/>
      <c r="AE940" s="198"/>
      <c r="AF940" s="198"/>
      <c r="AG940" s="198"/>
      <c r="AH940" s="198"/>
      <c r="AI940" s="198"/>
      <c r="AJ940" s="198"/>
      <c r="AK940" s="198"/>
      <c r="AL940" s="198"/>
      <c r="AM940" s="198"/>
    </row>
    <row r="941" ht="12.0" customHeight="1">
      <c r="A941" s="198"/>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c r="AC941" s="198"/>
      <c r="AD941" s="198"/>
      <c r="AE941" s="198"/>
      <c r="AF941" s="198"/>
      <c r="AG941" s="198"/>
      <c r="AH941" s="198"/>
      <c r="AI941" s="198"/>
      <c r="AJ941" s="198"/>
      <c r="AK941" s="198"/>
      <c r="AL941" s="198"/>
      <c r="AM941" s="198"/>
    </row>
    <row r="942" ht="12.0" customHeight="1">
      <c r="A942" s="198"/>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c r="AC942" s="198"/>
      <c r="AD942" s="198"/>
      <c r="AE942" s="198"/>
      <c r="AF942" s="198"/>
      <c r="AG942" s="198"/>
      <c r="AH942" s="198"/>
      <c r="AI942" s="198"/>
      <c r="AJ942" s="198"/>
      <c r="AK942" s="198"/>
      <c r="AL942" s="198"/>
      <c r="AM942" s="198"/>
    </row>
    <row r="943" ht="12.0" customHeight="1">
      <c r="A943" s="198"/>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c r="AC943" s="198"/>
      <c r="AD943" s="198"/>
      <c r="AE943" s="198"/>
      <c r="AF943" s="198"/>
      <c r="AG943" s="198"/>
      <c r="AH943" s="198"/>
      <c r="AI943" s="198"/>
      <c r="AJ943" s="198"/>
      <c r="AK943" s="198"/>
      <c r="AL943" s="198"/>
      <c r="AM943" s="198"/>
    </row>
    <row r="944" ht="12.0" customHeight="1">
      <c r="A944" s="198"/>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c r="AC944" s="198"/>
      <c r="AD944" s="198"/>
      <c r="AE944" s="198"/>
      <c r="AF944" s="198"/>
      <c r="AG944" s="198"/>
      <c r="AH944" s="198"/>
      <c r="AI944" s="198"/>
      <c r="AJ944" s="198"/>
      <c r="AK944" s="198"/>
      <c r="AL944" s="198"/>
      <c r="AM944" s="198"/>
    </row>
    <row r="945" ht="12.0" customHeight="1">
      <c r="A945" s="198"/>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c r="AC945" s="198"/>
      <c r="AD945" s="198"/>
      <c r="AE945" s="198"/>
      <c r="AF945" s="198"/>
      <c r="AG945" s="198"/>
      <c r="AH945" s="198"/>
      <c r="AI945" s="198"/>
      <c r="AJ945" s="198"/>
      <c r="AK945" s="198"/>
      <c r="AL945" s="198"/>
      <c r="AM945" s="198"/>
    </row>
    <row r="946" ht="12.0" customHeight="1">
      <c r="A946" s="198"/>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c r="AC946" s="198"/>
      <c r="AD946" s="198"/>
      <c r="AE946" s="198"/>
      <c r="AF946" s="198"/>
      <c r="AG946" s="198"/>
      <c r="AH946" s="198"/>
      <c r="AI946" s="198"/>
      <c r="AJ946" s="198"/>
      <c r="AK946" s="198"/>
      <c r="AL946" s="198"/>
      <c r="AM946" s="198"/>
    </row>
    <row r="947" ht="12.0" customHeight="1">
      <c r="A947" s="198"/>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c r="AC947" s="198"/>
      <c r="AD947" s="198"/>
      <c r="AE947" s="198"/>
      <c r="AF947" s="198"/>
      <c r="AG947" s="198"/>
      <c r="AH947" s="198"/>
      <c r="AI947" s="198"/>
      <c r="AJ947" s="198"/>
      <c r="AK947" s="198"/>
      <c r="AL947" s="198"/>
      <c r="AM947" s="198"/>
    </row>
    <row r="948" ht="12.0" customHeight="1">
      <c r="A948" s="198"/>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c r="AC948" s="198"/>
      <c r="AD948" s="198"/>
      <c r="AE948" s="198"/>
      <c r="AF948" s="198"/>
      <c r="AG948" s="198"/>
      <c r="AH948" s="198"/>
      <c r="AI948" s="198"/>
      <c r="AJ948" s="198"/>
      <c r="AK948" s="198"/>
      <c r="AL948" s="198"/>
      <c r="AM948" s="198"/>
    </row>
    <row r="949" ht="12.0" customHeight="1">
      <c r="A949" s="198"/>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c r="AC949" s="198"/>
      <c r="AD949" s="198"/>
      <c r="AE949" s="198"/>
      <c r="AF949" s="198"/>
      <c r="AG949" s="198"/>
      <c r="AH949" s="198"/>
      <c r="AI949" s="198"/>
      <c r="AJ949" s="198"/>
      <c r="AK949" s="198"/>
      <c r="AL949" s="198"/>
      <c r="AM949" s="198"/>
    </row>
    <row r="950" ht="12.0" customHeight="1">
      <c r="A950" s="198"/>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c r="AC950" s="198"/>
      <c r="AD950" s="198"/>
      <c r="AE950" s="198"/>
      <c r="AF950" s="198"/>
      <c r="AG950" s="198"/>
      <c r="AH950" s="198"/>
      <c r="AI950" s="198"/>
      <c r="AJ950" s="198"/>
      <c r="AK950" s="198"/>
      <c r="AL950" s="198"/>
      <c r="AM950" s="198"/>
    </row>
    <row r="951" ht="12.0" customHeight="1">
      <c r="A951" s="198"/>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c r="AC951" s="198"/>
      <c r="AD951" s="198"/>
      <c r="AE951" s="198"/>
      <c r="AF951" s="198"/>
      <c r="AG951" s="198"/>
      <c r="AH951" s="198"/>
      <c r="AI951" s="198"/>
      <c r="AJ951" s="198"/>
      <c r="AK951" s="198"/>
      <c r="AL951" s="198"/>
      <c r="AM951" s="198"/>
    </row>
    <row r="952" ht="12.0" customHeight="1">
      <c r="A952" s="198"/>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c r="AC952" s="198"/>
      <c r="AD952" s="198"/>
      <c r="AE952" s="198"/>
      <c r="AF952" s="198"/>
      <c r="AG952" s="198"/>
      <c r="AH952" s="198"/>
      <c r="AI952" s="198"/>
      <c r="AJ952" s="198"/>
      <c r="AK952" s="198"/>
      <c r="AL952" s="198"/>
      <c r="AM952" s="198"/>
    </row>
    <row r="953" ht="12.0" customHeight="1">
      <c r="A953" s="198"/>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c r="AC953" s="198"/>
      <c r="AD953" s="198"/>
      <c r="AE953" s="198"/>
      <c r="AF953" s="198"/>
      <c r="AG953" s="198"/>
      <c r="AH953" s="198"/>
      <c r="AI953" s="198"/>
      <c r="AJ953" s="198"/>
      <c r="AK953" s="198"/>
      <c r="AL953" s="198"/>
      <c r="AM953" s="198"/>
    </row>
    <row r="954" ht="12.0" customHeight="1">
      <c r="A954" s="198"/>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c r="AC954" s="198"/>
      <c r="AD954" s="198"/>
      <c r="AE954" s="198"/>
      <c r="AF954" s="198"/>
      <c r="AG954" s="198"/>
      <c r="AH954" s="198"/>
      <c r="AI954" s="198"/>
      <c r="AJ954" s="198"/>
      <c r="AK954" s="198"/>
      <c r="AL954" s="198"/>
      <c r="AM954" s="198"/>
    </row>
    <row r="955" ht="12.0" customHeight="1">
      <c r="A955" s="198"/>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c r="AC955" s="198"/>
      <c r="AD955" s="198"/>
      <c r="AE955" s="198"/>
      <c r="AF955" s="198"/>
      <c r="AG955" s="198"/>
      <c r="AH955" s="198"/>
      <c r="AI955" s="198"/>
      <c r="AJ955" s="198"/>
      <c r="AK955" s="198"/>
      <c r="AL955" s="198"/>
      <c r="AM955" s="198"/>
    </row>
    <row r="956" ht="12.0" customHeight="1">
      <c r="A956" s="198"/>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c r="AC956" s="198"/>
      <c r="AD956" s="198"/>
      <c r="AE956" s="198"/>
      <c r="AF956" s="198"/>
      <c r="AG956" s="198"/>
      <c r="AH956" s="198"/>
      <c r="AI956" s="198"/>
      <c r="AJ956" s="198"/>
      <c r="AK956" s="198"/>
      <c r="AL956" s="198"/>
      <c r="AM956" s="198"/>
    </row>
    <row r="957" ht="12.0" customHeight="1">
      <c r="A957" s="198"/>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c r="AC957" s="198"/>
      <c r="AD957" s="198"/>
      <c r="AE957" s="198"/>
      <c r="AF957" s="198"/>
      <c r="AG957" s="198"/>
      <c r="AH957" s="198"/>
      <c r="AI957" s="198"/>
      <c r="AJ957" s="198"/>
      <c r="AK957" s="198"/>
      <c r="AL957" s="198"/>
      <c r="AM957" s="198"/>
    </row>
    <row r="958" ht="12.0" customHeight="1">
      <c r="A958" s="198"/>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c r="AC958" s="198"/>
      <c r="AD958" s="198"/>
      <c r="AE958" s="198"/>
      <c r="AF958" s="198"/>
      <c r="AG958" s="198"/>
      <c r="AH958" s="198"/>
      <c r="AI958" s="198"/>
      <c r="AJ958" s="198"/>
      <c r="AK958" s="198"/>
      <c r="AL958" s="198"/>
      <c r="AM958" s="198"/>
    </row>
    <row r="959" ht="12.0" customHeight="1">
      <c r="A959" s="198"/>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c r="AC959" s="198"/>
      <c r="AD959" s="198"/>
      <c r="AE959" s="198"/>
      <c r="AF959" s="198"/>
      <c r="AG959" s="198"/>
      <c r="AH959" s="198"/>
      <c r="AI959" s="198"/>
      <c r="AJ959" s="198"/>
      <c r="AK959" s="198"/>
      <c r="AL959" s="198"/>
      <c r="AM959" s="198"/>
    </row>
    <row r="960" ht="12.0" customHeight="1">
      <c r="A960" s="198"/>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c r="AC960" s="198"/>
      <c r="AD960" s="198"/>
      <c r="AE960" s="198"/>
      <c r="AF960" s="198"/>
      <c r="AG960" s="198"/>
      <c r="AH960" s="198"/>
      <c r="AI960" s="198"/>
      <c r="AJ960" s="198"/>
      <c r="AK960" s="198"/>
      <c r="AL960" s="198"/>
      <c r="AM960" s="198"/>
    </row>
    <row r="961" ht="12.0" customHeight="1">
      <c r="A961" s="198"/>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c r="AC961" s="198"/>
      <c r="AD961" s="198"/>
      <c r="AE961" s="198"/>
      <c r="AF961" s="198"/>
      <c r="AG961" s="198"/>
      <c r="AH961" s="198"/>
      <c r="AI961" s="198"/>
      <c r="AJ961" s="198"/>
      <c r="AK961" s="198"/>
      <c r="AL961" s="198"/>
      <c r="AM961" s="198"/>
    </row>
    <row r="962" ht="12.0" customHeight="1">
      <c r="A962" s="198"/>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c r="AC962" s="198"/>
      <c r="AD962" s="198"/>
      <c r="AE962" s="198"/>
      <c r="AF962" s="198"/>
      <c r="AG962" s="198"/>
      <c r="AH962" s="198"/>
      <c r="AI962" s="198"/>
      <c r="AJ962" s="198"/>
      <c r="AK962" s="198"/>
      <c r="AL962" s="198"/>
      <c r="AM962" s="198"/>
    </row>
    <row r="963" ht="12.0" customHeight="1">
      <c r="A963" s="198"/>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c r="AC963" s="198"/>
      <c r="AD963" s="198"/>
      <c r="AE963" s="198"/>
      <c r="AF963" s="198"/>
      <c r="AG963" s="198"/>
      <c r="AH963" s="198"/>
      <c r="AI963" s="198"/>
      <c r="AJ963" s="198"/>
      <c r="AK963" s="198"/>
      <c r="AL963" s="198"/>
      <c r="AM963" s="198"/>
    </row>
    <row r="964" ht="12.0" customHeight="1">
      <c r="A964" s="198"/>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c r="AC964" s="198"/>
      <c r="AD964" s="198"/>
      <c r="AE964" s="198"/>
      <c r="AF964" s="198"/>
      <c r="AG964" s="198"/>
      <c r="AH964" s="198"/>
      <c r="AI964" s="198"/>
      <c r="AJ964" s="198"/>
      <c r="AK964" s="198"/>
      <c r="AL964" s="198"/>
      <c r="AM964" s="198"/>
    </row>
    <row r="965" ht="12.0" customHeight="1">
      <c r="A965" s="198"/>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c r="AC965" s="198"/>
      <c r="AD965" s="198"/>
      <c r="AE965" s="198"/>
      <c r="AF965" s="198"/>
      <c r="AG965" s="198"/>
      <c r="AH965" s="198"/>
      <c r="AI965" s="198"/>
      <c r="AJ965" s="198"/>
      <c r="AK965" s="198"/>
      <c r="AL965" s="198"/>
      <c r="AM965" s="198"/>
    </row>
    <row r="966" ht="12.0" customHeight="1">
      <c r="A966" s="198"/>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c r="AC966" s="198"/>
      <c r="AD966" s="198"/>
      <c r="AE966" s="198"/>
      <c r="AF966" s="198"/>
      <c r="AG966" s="198"/>
      <c r="AH966" s="198"/>
      <c r="AI966" s="198"/>
      <c r="AJ966" s="198"/>
      <c r="AK966" s="198"/>
      <c r="AL966" s="198"/>
      <c r="AM966" s="198"/>
    </row>
    <row r="967" ht="12.0" customHeight="1">
      <c r="A967" s="198"/>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c r="AC967" s="198"/>
      <c r="AD967" s="198"/>
      <c r="AE967" s="198"/>
      <c r="AF967" s="198"/>
      <c r="AG967" s="198"/>
      <c r="AH967" s="198"/>
      <c r="AI967" s="198"/>
      <c r="AJ967" s="198"/>
      <c r="AK967" s="198"/>
      <c r="AL967" s="198"/>
      <c r="AM967" s="198"/>
    </row>
    <row r="968" ht="12.0" customHeight="1">
      <c r="A968" s="198"/>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c r="AC968" s="198"/>
      <c r="AD968" s="198"/>
      <c r="AE968" s="198"/>
      <c r="AF968" s="198"/>
      <c r="AG968" s="198"/>
      <c r="AH968" s="198"/>
      <c r="AI968" s="198"/>
      <c r="AJ968" s="198"/>
      <c r="AK968" s="198"/>
      <c r="AL968" s="198"/>
      <c r="AM968" s="198"/>
    </row>
    <row r="969" ht="12.0" customHeight="1">
      <c r="A969" s="198"/>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c r="AC969" s="198"/>
      <c r="AD969" s="198"/>
      <c r="AE969" s="198"/>
      <c r="AF969" s="198"/>
      <c r="AG969" s="198"/>
      <c r="AH969" s="198"/>
      <c r="AI969" s="198"/>
      <c r="AJ969" s="198"/>
      <c r="AK969" s="198"/>
      <c r="AL969" s="198"/>
      <c r="AM969" s="198"/>
    </row>
    <row r="970" ht="12.0" customHeight="1">
      <c r="A970" s="198"/>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c r="AC970" s="198"/>
      <c r="AD970" s="198"/>
      <c r="AE970" s="198"/>
      <c r="AF970" s="198"/>
      <c r="AG970" s="198"/>
      <c r="AH970" s="198"/>
      <c r="AI970" s="198"/>
      <c r="AJ970" s="198"/>
      <c r="AK970" s="198"/>
      <c r="AL970" s="198"/>
      <c r="AM970" s="198"/>
    </row>
    <row r="971" ht="12.0" customHeight="1">
      <c r="A971" s="198"/>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c r="AC971" s="198"/>
      <c r="AD971" s="198"/>
      <c r="AE971" s="198"/>
      <c r="AF971" s="198"/>
      <c r="AG971" s="198"/>
      <c r="AH971" s="198"/>
      <c r="AI971" s="198"/>
      <c r="AJ971" s="198"/>
      <c r="AK971" s="198"/>
      <c r="AL971" s="198"/>
      <c r="AM971" s="198"/>
    </row>
    <row r="972" ht="12.0" customHeight="1">
      <c r="A972" s="198"/>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c r="AC972" s="198"/>
      <c r="AD972" s="198"/>
      <c r="AE972" s="198"/>
      <c r="AF972" s="198"/>
      <c r="AG972" s="198"/>
      <c r="AH972" s="198"/>
      <c r="AI972" s="198"/>
      <c r="AJ972" s="198"/>
      <c r="AK972" s="198"/>
      <c r="AL972" s="198"/>
      <c r="AM972" s="198"/>
    </row>
    <row r="973" ht="12.0" customHeight="1">
      <c r="A973" s="198"/>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c r="AC973" s="198"/>
      <c r="AD973" s="198"/>
      <c r="AE973" s="198"/>
      <c r="AF973" s="198"/>
      <c r="AG973" s="198"/>
      <c r="AH973" s="198"/>
      <c r="AI973" s="198"/>
      <c r="AJ973" s="198"/>
      <c r="AK973" s="198"/>
      <c r="AL973" s="198"/>
      <c r="AM973" s="198"/>
    </row>
    <row r="974" ht="12.0" customHeight="1">
      <c r="A974" s="198"/>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c r="AC974" s="198"/>
      <c r="AD974" s="198"/>
      <c r="AE974" s="198"/>
      <c r="AF974" s="198"/>
      <c r="AG974" s="198"/>
      <c r="AH974" s="198"/>
      <c r="AI974" s="198"/>
      <c r="AJ974" s="198"/>
      <c r="AK974" s="198"/>
      <c r="AL974" s="198"/>
      <c r="AM974" s="198"/>
    </row>
    <row r="975" ht="12.0" customHeight="1">
      <c r="A975" s="198"/>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c r="AC975" s="198"/>
      <c r="AD975" s="198"/>
      <c r="AE975" s="198"/>
      <c r="AF975" s="198"/>
      <c r="AG975" s="198"/>
      <c r="AH975" s="198"/>
      <c r="AI975" s="198"/>
      <c r="AJ975" s="198"/>
      <c r="AK975" s="198"/>
      <c r="AL975" s="198"/>
      <c r="AM975" s="198"/>
    </row>
  </sheetData>
  <mergeCells count="173">
    <mergeCell ref="X15:Z15"/>
    <mergeCell ref="AB15:AD15"/>
    <mergeCell ref="AF15:AI15"/>
    <mergeCell ref="AJ15:AM15"/>
    <mergeCell ref="A10:AM10"/>
    <mergeCell ref="A12:AM12"/>
    <mergeCell ref="A13:AM13"/>
    <mergeCell ref="A14:AM14"/>
    <mergeCell ref="A15:C15"/>
    <mergeCell ref="E15:K15"/>
    <mergeCell ref="M15:P15"/>
    <mergeCell ref="A1:E3"/>
    <mergeCell ref="F1:AI1"/>
    <mergeCell ref="AJ1:AM1"/>
    <mergeCell ref="AJ2:AK2"/>
    <mergeCell ref="AL2:AM2"/>
    <mergeCell ref="AJ3:AK3"/>
    <mergeCell ref="AL3:AM3"/>
    <mergeCell ref="K7:P7"/>
    <mergeCell ref="R7:S7"/>
    <mergeCell ref="K9:P9"/>
    <mergeCell ref="R9:S9"/>
    <mergeCell ref="U9:Z9"/>
    <mergeCell ref="AB9:AC9"/>
    <mergeCell ref="R11:Z11"/>
    <mergeCell ref="U7:Z7"/>
    <mergeCell ref="AD7:AF7"/>
    <mergeCell ref="AH7:AI7"/>
    <mergeCell ref="AK7:AM7"/>
    <mergeCell ref="AD9:AM9"/>
    <mergeCell ref="AB11:AM11"/>
    <mergeCell ref="A7:B7"/>
    <mergeCell ref="A9:B9"/>
    <mergeCell ref="D9:G9"/>
    <mergeCell ref="H9:I9"/>
    <mergeCell ref="A11:E11"/>
    <mergeCell ref="F11:P11"/>
    <mergeCell ref="F2:AI3"/>
    <mergeCell ref="A4:AM4"/>
    <mergeCell ref="A5:AM5"/>
    <mergeCell ref="A6:AM6"/>
    <mergeCell ref="D7:G7"/>
    <mergeCell ref="H7:I7"/>
    <mergeCell ref="A8:AM8"/>
    <mergeCell ref="R15:T15"/>
    <mergeCell ref="U15:V15"/>
    <mergeCell ref="A17:C17"/>
    <mergeCell ref="E17:N17"/>
    <mergeCell ref="P17:R17"/>
    <mergeCell ref="S17:U17"/>
    <mergeCell ref="W17:Y17"/>
    <mergeCell ref="E23:L23"/>
    <mergeCell ref="A24:AM24"/>
    <mergeCell ref="A25:C25"/>
    <mergeCell ref="E25:L25"/>
    <mergeCell ref="N25:P25"/>
    <mergeCell ref="Z25:AA25"/>
    <mergeCell ref="AL25:AM25"/>
    <mergeCell ref="R25:Y25"/>
    <mergeCell ref="A26:AM26"/>
    <mergeCell ref="D27:F27"/>
    <mergeCell ref="G27:H27"/>
    <mergeCell ref="I27:K27"/>
    <mergeCell ref="L27:N27"/>
    <mergeCell ref="O27:Q27"/>
    <mergeCell ref="U21:V21"/>
    <mergeCell ref="X21:AC21"/>
    <mergeCell ref="AF21:AH21"/>
    <mergeCell ref="AI21:AK21"/>
    <mergeCell ref="Z17:AB17"/>
    <mergeCell ref="AD17:AF17"/>
    <mergeCell ref="AG17:AM17"/>
    <mergeCell ref="A19:AM19"/>
    <mergeCell ref="A20:AM20"/>
    <mergeCell ref="A21:E21"/>
    <mergeCell ref="AL21:AM21"/>
    <mergeCell ref="AB23:AD23"/>
    <mergeCell ref="AE23:AG23"/>
    <mergeCell ref="G21:S21"/>
    <mergeCell ref="A22:AM22"/>
    <mergeCell ref="A23:C23"/>
    <mergeCell ref="N23:P23"/>
    <mergeCell ref="R23:U23"/>
    <mergeCell ref="W23:Z23"/>
    <mergeCell ref="AI23:AM23"/>
    <mergeCell ref="AC25:AF25"/>
    <mergeCell ref="AH25:AJ25"/>
    <mergeCell ref="A27:C27"/>
    <mergeCell ref="A28:C28"/>
    <mergeCell ref="D28:F28"/>
    <mergeCell ref="G28:H28"/>
    <mergeCell ref="I28:K28"/>
    <mergeCell ref="L28:N28"/>
    <mergeCell ref="O28:Q28"/>
    <mergeCell ref="AH33:AI33"/>
    <mergeCell ref="A36:AM36"/>
    <mergeCell ref="A37:M37"/>
    <mergeCell ref="N37:Z37"/>
    <mergeCell ref="AA37:AM37"/>
    <mergeCell ref="N38:Z38"/>
    <mergeCell ref="AA38:AM38"/>
    <mergeCell ref="A38:M38"/>
    <mergeCell ref="A39:M39"/>
    <mergeCell ref="N39:Z39"/>
    <mergeCell ref="AA39:AM39"/>
    <mergeCell ref="C40:M40"/>
    <mergeCell ref="N40:O40"/>
    <mergeCell ref="P40:Z40"/>
    <mergeCell ref="N42:O42"/>
    <mergeCell ref="P42:Z42"/>
    <mergeCell ref="AA42:AB42"/>
    <mergeCell ref="AC42:AM42"/>
    <mergeCell ref="A41:B41"/>
    <mergeCell ref="C41:M41"/>
    <mergeCell ref="N41:O41"/>
    <mergeCell ref="P41:Z41"/>
    <mergeCell ref="AA41:AB41"/>
    <mergeCell ref="AC41:AM41"/>
    <mergeCell ref="C42:M42"/>
    <mergeCell ref="C44:M44"/>
    <mergeCell ref="N44:O44"/>
    <mergeCell ref="P44:Z44"/>
    <mergeCell ref="AA44:AB44"/>
    <mergeCell ref="AC44:AM44"/>
    <mergeCell ref="A42:B42"/>
    <mergeCell ref="A43:B43"/>
    <mergeCell ref="C43:M43"/>
    <mergeCell ref="N43:O43"/>
    <mergeCell ref="P43:Z43"/>
    <mergeCell ref="AA43:AB43"/>
    <mergeCell ref="AC43:AM43"/>
    <mergeCell ref="A29:C29"/>
    <mergeCell ref="D29:F29"/>
    <mergeCell ref="G29:H29"/>
    <mergeCell ref="I29:K29"/>
    <mergeCell ref="L29:N29"/>
    <mergeCell ref="O29:Q29"/>
    <mergeCell ref="A30:AM30"/>
    <mergeCell ref="AL31:AM31"/>
    <mergeCell ref="AJ32:AM33"/>
    <mergeCell ref="AJ34:AM34"/>
    <mergeCell ref="AJ35:AM35"/>
    <mergeCell ref="Z33:AA33"/>
    <mergeCell ref="AB33:AC33"/>
    <mergeCell ref="Z34:AA34"/>
    <mergeCell ref="AB34:AC34"/>
    <mergeCell ref="Z35:AA35"/>
    <mergeCell ref="AB35:AC35"/>
    <mergeCell ref="AD33:AE33"/>
    <mergeCell ref="AF33:AG33"/>
    <mergeCell ref="AD34:AE34"/>
    <mergeCell ref="AF34:AG34"/>
    <mergeCell ref="AH34:AI34"/>
    <mergeCell ref="AD35:AE35"/>
    <mergeCell ref="AF35:AG35"/>
    <mergeCell ref="AH35:AI35"/>
    <mergeCell ref="A31:AB31"/>
    <mergeCell ref="AC31:AF31"/>
    <mergeCell ref="AG31:AH31"/>
    <mergeCell ref="AI31:AK31"/>
    <mergeCell ref="A32:A33"/>
    <mergeCell ref="B32:I32"/>
    <mergeCell ref="J32:AI32"/>
    <mergeCell ref="AA40:AB40"/>
    <mergeCell ref="AC40:AM40"/>
    <mergeCell ref="B33:E33"/>
    <mergeCell ref="F33:G33"/>
    <mergeCell ref="B34:E34"/>
    <mergeCell ref="F34:G34"/>
    <mergeCell ref="B35:E35"/>
    <mergeCell ref="F35:G35"/>
    <mergeCell ref="A40:B40"/>
    <mergeCell ref="A44:B44"/>
  </mergeCells>
  <conditionalFormatting sqref="J34:Y34">
    <cfRule type="colorScale" priority="1">
      <colorScale>
        <cfvo type="min"/>
        <cfvo type="percentile" val="50"/>
        <cfvo type="max"/>
        <color rgb="FFF8696B"/>
        <color rgb="FFFFEB84"/>
        <color rgb="FF63BE7B"/>
      </colorScale>
    </cfRule>
  </conditionalFormatting>
  <conditionalFormatting sqref="J35:Y35">
    <cfRule type="colorScale" priority="2">
      <colorScale>
        <cfvo type="min"/>
        <cfvo type="percentile" val="50"/>
        <cfvo type="max"/>
        <color rgb="FFF8696B"/>
        <color rgb="FFFFEB84"/>
        <color rgb="FF63BE7B"/>
      </colorScale>
    </cfRule>
  </conditionalFormatting>
  <conditionalFormatting sqref="AF34:AF35">
    <cfRule type="colorScale" priority="3">
      <colorScale>
        <cfvo type="min"/>
        <cfvo type="percentile" val="50"/>
        <cfvo type="max"/>
        <color rgb="FFC5E0B3"/>
        <color rgb="FFFFEB84"/>
        <color rgb="FFFF7575"/>
      </colorScale>
    </cfRule>
  </conditionalFormatting>
  <conditionalFormatting sqref="AH34:AH35">
    <cfRule type="colorScale" priority="4">
      <colorScale>
        <cfvo type="min"/>
        <cfvo type="percentile" val="50"/>
        <cfvo type="max"/>
        <color rgb="FFA8D08D"/>
        <color rgb="FFFFEB84"/>
        <color rgb="FFFF7575"/>
      </colorScale>
    </cfRule>
  </conditionalFormatting>
  <printOptions horizontalCentered="1" verticalCentered="1"/>
  <pageMargins bottom="0.393700787401575" footer="0.0" header="0.0" left="0.393700787401575" right="0.393700787401575" top="0.393700787401575"/>
  <pageSetup orientation="landscape"/>
  <headerFooter>
    <oddFooter>&amp;CPág. &amp;P de &amp;RF-OPE-AP-04  Re.3</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17.38"/>
    <col customWidth="1" min="3" max="3" width="15.5"/>
    <col customWidth="1" min="4" max="4" width="7.75"/>
  </cols>
  <sheetData>
    <row r="1">
      <c r="A1" s="199" t="s">
        <v>8414</v>
      </c>
      <c r="B1" s="4" t="s">
        <v>8415</v>
      </c>
      <c r="C1" s="4" t="s">
        <v>8416</v>
      </c>
      <c r="D1" s="78" t="s">
        <v>5941</v>
      </c>
      <c r="E1" s="4" t="s">
        <v>8417</v>
      </c>
      <c r="F1" s="4" t="s">
        <v>8418</v>
      </c>
      <c r="G1" s="4" t="s">
        <v>8419</v>
      </c>
    </row>
    <row r="2">
      <c r="A2" s="200" t="s">
        <v>8420</v>
      </c>
      <c r="B2" s="4" t="s">
        <v>350</v>
      </c>
      <c r="C2" s="4" t="s">
        <v>8421</v>
      </c>
      <c r="D2" s="60" t="s">
        <v>3787</v>
      </c>
      <c r="E2" s="4" t="s">
        <v>1088</v>
      </c>
      <c r="F2" s="4" t="s">
        <v>349</v>
      </c>
      <c r="G2" s="4">
        <v>1.0</v>
      </c>
    </row>
    <row r="3">
      <c r="A3" s="201" t="s">
        <v>8422</v>
      </c>
      <c r="B3" s="4" t="s">
        <v>8423</v>
      </c>
      <c r="C3" s="4" t="s">
        <v>355</v>
      </c>
      <c r="D3" s="60" t="s">
        <v>3787</v>
      </c>
      <c r="E3" s="4" t="s">
        <v>1088</v>
      </c>
      <c r="F3" s="4" t="s">
        <v>733</v>
      </c>
      <c r="G3" s="4">
        <v>2.0</v>
      </c>
    </row>
    <row r="4">
      <c r="A4" s="200" t="s">
        <v>8424</v>
      </c>
      <c r="B4" s="4" t="s">
        <v>227</v>
      </c>
      <c r="C4" s="4" t="s">
        <v>8425</v>
      </c>
      <c r="D4" s="60" t="s">
        <v>3787</v>
      </c>
      <c r="E4" s="4" t="s">
        <v>1088</v>
      </c>
      <c r="F4" s="4" t="s">
        <v>8426</v>
      </c>
      <c r="G4" s="4">
        <v>3.0</v>
      </c>
    </row>
    <row r="5">
      <c r="A5" s="201" t="s">
        <v>8424</v>
      </c>
      <c r="C5" s="4" t="s">
        <v>8427</v>
      </c>
      <c r="D5" s="60" t="s">
        <v>3787</v>
      </c>
      <c r="E5" s="4" t="s">
        <v>1098</v>
      </c>
      <c r="F5" s="4" t="s">
        <v>478</v>
      </c>
      <c r="G5" s="4">
        <v>4.0</v>
      </c>
    </row>
    <row r="6">
      <c r="A6" s="200" t="s">
        <v>8424</v>
      </c>
      <c r="D6" s="60" t="s">
        <v>3787</v>
      </c>
      <c r="E6" s="4" t="s">
        <v>1098</v>
      </c>
      <c r="G6" s="4">
        <v>5.0</v>
      </c>
    </row>
    <row r="7">
      <c r="A7" s="201" t="s">
        <v>8428</v>
      </c>
      <c r="D7" s="60" t="s">
        <v>3787</v>
      </c>
      <c r="E7" s="4" t="s">
        <v>1098</v>
      </c>
      <c r="G7" s="4">
        <v>6.0</v>
      </c>
    </row>
    <row r="8">
      <c r="A8" s="200" t="s">
        <v>8428</v>
      </c>
      <c r="D8" s="60" t="s">
        <v>3798</v>
      </c>
      <c r="E8" s="4" t="s">
        <v>1088</v>
      </c>
      <c r="G8" s="4">
        <v>7.0</v>
      </c>
    </row>
    <row r="9">
      <c r="A9" s="201" t="s">
        <v>8429</v>
      </c>
      <c r="D9" s="60" t="s">
        <v>3798</v>
      </c>
      <c r="E9" s="4" t="s">
        <v>1088</v>
      </c>
      <c r="G9" s="4">
        <v>8.0</v>
      </c>
    </row>
    <row r="10">
      <c r="A10" s="200" t="s">
        <v>8428</v>
      </c>
      <c r="D10" s="60" t="s">
        <v>3798</v>
      </c>
      <c r="E10" s="4" t="s">
        <v>1088</v>
      </c>
      <c r="G10" s="4">
        <v>9.0</v>
      </c>
    </row>
    <row r="11">
      <c r="A11" s="201" t="s">
        <v>688</v>
      </c>
      <c r="D11" s="60" t="s">
        <v>3798</v>
      </c>
      <c r="E11" s="4" t="s">
        <v>1088</v>
      </c>
      <c r="G11" s="4">
        <v>10.0</v>
      </c>
    </row>
    <row r="12">
      <c r="A12" s="200" t="s">
        <v>8428</v>
      </c>
      <c r="D12" s="60" t="s">
        <v>3798</v>
      </c>
      <c r="E12" s="4" t="s">
        <v>1088</v>
      </c>
      <c r="G12" s="4">
        <v>11.0</v>
      </c>
    </row>
    <row r="13">
      <c r="A13" s="201" t="s">
        <v>8430</v>
      </c>
      <c r="D13" s="60" t="s">
        <v>3798</v>
      </c>
      <c r="E13" s="4" t="s">
        <v>1088</v>
      </c>
      <c r="G13" s="4">
        <v>12.0</v>
      </c>
    </row>
    <row r="14">
      <c r="A14" s="200" t="s">
        <v>8431</v>
      </c>
      <c r="D14" s="60" t="s">
        <v>3795</v>
      </c>
      <c r="E14" s="4" t="s">
        <v>1088</v>
      </c>
      <c r="G14" s="4">
        <v>13.0</v>
      </c>
    </row>
    <row r="15">
      <c r="A15" s="201" t="s">
        <v>8432</v>
      </c>
      <c r="D15" s="60" t="s">
        <v>3795</v>
      </c>
      <c r="E15" s="4" t="s">
        <v>1088</v>
      </c>
      <c r="G15" s="4">
        <v>14.0</v>
      </c>
    </row>
    <row r="16">
      <c r="A16" s="200" t="s">
        <v>8433</v>
      </c>
      <c r="D16" s="60" t="s">
        <v>3795</v>
      </c>
      <c r="E16" s="4" t="s">
        <v>1088</v>
      </c>
      <c r="G16" s="4">
        <v>15.0</v>
      </c>
    </row>
    <row r="17">
      <c r="A17" s="201" t="s">
        <v>8430</v>
      </c>
      <c r="D17" s="60" t="s">
        <v>3795</v>
      </c>
      <c r="E17" s="4" t="s">
        <v>1088</v>
      </c>
      <c r="G17" s="4">
        <v>16.0</v>
      </c>
    </row>
    <row r="18">
      <c r="A18" s="200" t="s">
        <v>688</v>
      </c>
      <c r="D18" s="60" t="s">
        <v>3795</v>
      </c>
      <c r="E18" s="4" t="s">
        <v>1088</v>
      </c>
      <c r="G18" s="4">
        <v>17.0</v>
      </c>
    </row>
    <row r="19">
      <c r="A19" s="201" t="s">
        <v>688</v>
      </c>
      <c r="D19" s="60" t="s">
        <v>3795</v>
      </c>
      <c r="E19" s="4" t="s">
        <v>1088</v>
      </c>
      <c r="G19" s="4">
        <v>18.0</v>
      </c>
    </row>
    <row r="20">
      <c r="A20" s="200" t="s">
        <v>688</v>
      </c>
      <c r="D20" s="60" t="s">
        <v>3812</v>
      </c>
      <c r="E20" s="4" t="s">
        <v>1088</v>
      </c>
      <c r="G20" s="4">
        <v>19.0</v>
      </c>
    </row>
    <row r="21">
      <c r="A21" s="201" t="s">
        <v>8434</v>
      </c>
      <c r="D21" s="60" t="s">
        <v>3812</v>
      </c>
      <c r="E21" s="4" t="s">
        <v>1088</v>
      </c>
      <c r="G21" s="4">
        <v>20.0</v>
      </c>
    </row>
    <row r="22">
      <c r="A22" s="200" t="s">
        <v>8435</v>
      </c>
      <c r="D22" s="60" t="s">
        <v>3812</v>
      </c>
      <c r="E22" s="4" t="s">
        <v>1088</v>
      </c>
      <c r="G22" s="4">
        <v>21.0</v>
      </c>
    </row>
    <row r="23">
      <c r="A23" s="201" t="s">
        <v>8435</v>
      </c>
      <c r="D23" s="60" t="s">
        <v>3812</v>
      </c>
      <c r="E23" s="4" t="s">
        <v>1098</v>
      </c>
      <c r="G23" s="4">
        <v>22.0</v>
      </c>
    </row>
    <row r="24">
      <c r="A24" s="200" t="s">
        <v>8424</v>
      </c>
      <c r="D24" s="60" t="s">
        <v>3812</v>
      </c>
      <c r="E24" s="4" t="s">
        <v>1098</v>
      </c>
      <c r="G24" s="4">
        <v>23.0</v>
      </c>
    </row>
    <row r="25">
      <c r="A25" s="201" t="s">
        <v>688</v>
      </c>
      <c r="D25" s="60" t="s">
        <v>3812</v>
      </c>
      <c r="E25" s="4" t="s">
        <v>1098</v>
      </c>
      <c r="G25" s="4">
        <v>24.0</v>
      </c>
    </row>
    <row r="26">
      <c r="A26" s="200" t="s">
        <v>8428</v>
      </c>
      <c r="D26" s="60" t="s">
        <v>3812</v>
      </c>
      <c r="E26" s="4" t="s">
        <v>1088</v>
      </c>
      <c r="G26" s="4">
        <v>25.0</v>
      </c>
    </row>
    <row r="27">
      <c r="A27" s="201" t="s">
        <v>8436</v>
      </c>
      <c r="D27" s="60" t="s">
        <v>4252</v>
      </c>
      <c r="E27" s="4" t="s">
        <v>1088</v>
      </c>
      <c r="G27" s="4">
        <v>26.0</v>
      </c>
    </row>
    <row r="28">
      <c r="A28" s="200" t="s">
        <v>8437</v>
      </c>
      <c r="D28" s="60" t="s">
        <v>4252</v>
      </c>
      <c r="E28" s="4" t="s">
        <v>1191</v>
      </c>
      <c r="G28" s="4">
        <v>27.0</v>
      </c>
    </row>
    <row r="29">
      <c r="A29" s="201" t="s">
        <v>8438</v>
      </c>
      <c r="D29" s="60" t="s">
        <v>4252</v>
      </c>
      <c r="E29" s="4" t="s">
        <v>1191</v>
      </c>
      <c r="G29" s="4">
        <v>28.0</v>
      </c>
    </row>
    <row r="30">
      <c r="A30" s="200" t="s">
        <v>8439</v>
      </c>
      <c r="D30" s="60" t="s">
        <v>4252</v>
      </c>
      <c r="E30" s="4" t="s">
        <v>1191</v>
      </c>
      <c r="G30" s="4">
        <v>29.0</v>
      </c>
    </row>
    <row r="31">
      <c r="A31" s="201" t="s">
        <v>8440</v>
      </c>
      <c r="D31" s="60" t="s">
        <v>4252</v>
      </c>
      <c r="E31" s="4" t="s">
        <v>1191</v>
      </c>
      <c r="G31" s="4">
        <v>30.0</v>
      </c>
    </row>
    <row r="32">
      <c r="A32" s="200" t="s">
        <v>8440</v>
      </c>
      <c r="D32" s="60" t="s">
        <v>4252</v>
      </c>
      <c r="E32" s="4" t="s">
        <v>1088</v>
      </c>
      <c r="G32" s="4">
        <v>31.0</v>
      </c>
    </row>
    <row r="33">
      <c r="A33" s="201" t="s">
        <v>218</v>
      </c>
      <c r="D33" s="60" t="s">
        <v>4252</v>
      </c>
      <c r="E33" s="4" t="s">
        <v>1088</v>
      </c>
      <c r="G33" s="4">
        <v>32.0</v>
      </c>
    </row>
    <row r="34">
      <c r="A34" s="200" t="s">
        <v>8441</v>
      </c>
      <c r="D34" s="60" t="s">
        <v>292</v>
      </c>
      <c r="E34" s="4" t="s">
        <v>1098</v>
      </c>
      <c r="G34" s="4">
        <v>33.0</v>
      </c>
    </row>
    <row r="35">
      <c r="A35" s="201" t="s">
        <v>8420</v>
      </c>
      <c r="D35" s="60" t="s">
        <v>292</v>
      </c>
      <c r="E35" s="4" t="s">
        <v>1098</v>
      </c>
      <c r="G35" s="4">
        <v>34.0</v>
      </c>
    </row>
    <row r="36">
      <c r="A36" s="200" t="s">
        <v>8428</v>
      </c>
      <c r="D36" s="60" t="s">
        <v>292</v>
      </c>
      <c r="E36" s="4" t="s">
        <v>1098</v>
      </c>
      <c r="G36" s="4">
        <v>35.0</v>
      </c>
    </row>
    <row r="37">
      <c r="A37" s="201" t="s">
        <v>8442</v>
      </c>
      <c r="D37" s="60" t="s">
        <v>292</v>
      </c>
      <c r="E37" s="4" t="s">
        <v>1088</v>
      </c>
      <c r="G37" s="4">
        <v>36.0</v>
      </c>
    </row>
    <row r="38">
      <c r="A38" s="200" t="s">
        <v>8442</v>
      </c>
      <c r="D38" s="60" t="s">
        <v>292</v>
      </c>
      <c r="E38" s="4" t="s">
        <v>1088</v>
      </c>
      <c r="G38" s="4">
        <v>37.0</v>
      </c>
    </row>
    <row r="39">
      <c r="A39" s="201" t="s">
        <v>218</v>
      </c>
      <c r="D39" s="60" t="s">
        <v>292</v>
      </c>
      <c r="E39" s="4" t="s">
        <v>1191</v>
      </c>
      <c r="G39" s="4">
        <v>38.0</v>
      </c>
    </row>
    <row r="40">
      <c r="A40" s="200" t="s">
        <v>8428</v>
      </c>
      <c r="D40" s="60" t="s">
        <v>292</v>
      </c>
      <c r="E40" s="4" t="s">
        <v>1191</v>
      </c>
      <c r="G40" s="4">
        <v>39.0</v>
      </c>
    </row>
    <row r="41">
      <c r="A41" s="201" t="s">
        <v>8439</v>
      </c>
      <c r="D41" s="60" t="s">
        <v>4160</v>
      </c>
      <c r="E41" s="4" t="s">
        <v>1191</v>
      </c>
      <c r="G41" s="4">
        <v>40.0</v>
      </c>
    </row>
    <row r="42">
      <c r="A42" s="200" t="s">
        <v>8443</v>
      </c>
      <c r="D42" s="60" t="s">
        <v>4160</v>
      </c>
      <c r="E42" s="4" t="s">
        <v>1191</v>
      </c>
      <c r="G42" s="4">
        <v>41.0</v>
      </c>
    </row>
    <row r="43">
      <c r="A43" s="201" t="s">
        <v>8428</v>
      </c>
      <c r="D43" s="60" t="s">
        <v>4160</v>
      </c>
      <c r="E43" s="4" t="s">
        <v>1088</v>
      </c>
      <c r="G43" s="4">
        <v>42.0</v>
      </c>
    </row>
    <row r="44">
      <c r="A44" s="200" t="s">
        <v>8444</v>
      </c>
      <c r="D44" s="60" t="s">
        <v>4160</v>
      </c>
      <c r="E44" s="4" t="s">
        <v>1088</v>
      </c>
      <c r="G44" s="4">
        <v>43.0</v>
      </c>
    </row>
    <row r="45">
      <c r="A45" s="201" t="s">
        <v>8445</v>
      </c>
      <c r="D45" s="60" t="s">
        <v>4160</v>
      </c>
      <c r="E45" s="4" t="s">
        <v>1088</v>
      </c>
      <c r="G45" s="4">
        <v>44.0</v>
      </c>
    </row>
    <row r="46">
      <c r="A46" s="200" t="s">
        <v>8446</v>
      </c>
      <c r="D46" s="60" t="s">
        <v>4160</v>
      </c>
      <c r="E46" s="4" t="s">
        <v>1088</v>
      </c>
      <c r="G46" s="4">
        <v>45.0</v>
      </c>
    </row>
    <row r="47">
      <c r="A47" s="201" t="s">
        <v>8428</v>
      </c>
      <c r="D47" s="60" t="s">
        <v>4160</v>
      </c>
      <c r="E47" s="4" t="s">
        <v>1251</v>
      </c>
      <c r="G47" s="4">
        <v>46.0</v>
      </c>
    </row>
    <row r="48">
      <c r="A48" s="200" t="s">
        <v>8428</v>
      </c>
      <c r="D48" s="60" t="s">
        <v>3789</v>
      </c>
      <c r="E48" s="4" t="s">
        <v>1251</v>
      </c>
      <c r="G48" s="4">
        <v>47.0</v>
      </c>
    </row>
    <row r="49">
      <c r="A49" s="201" t="s">
        <v>8439</v>
      </c>
      <c r="D49" s="60" t="s">
        <v>3789</v>
      </c>
      <c r="E49" s="4" t="s">
        <v>1251</v>
      </c>
      <c r="G49" s="4">
        <v>48.0</v>
      </c>
    </row>
    <row r="50">
      <c r="A50" s="200" t="s">
        <v>8446</v>
      </c>
      <c r="D50" s="60" t="s">
        <v>3789</v>
      </c>
      <c r="E50" s="4" t="s">
        <v>1251</v>
      </c>
      <c r="G50" s="4">
        <v>49.0</v>
      </c>
    </row>
    <row r="51">
      <c r="A51" s="201" t="s">
        <v>8447</v>
      </c>
      <c r="D51" s="60" t="s">
        <v>3789</v>
      </c>
      <c r="E51" s="4" t="s">
        <v>1088</v>
      </c>
      <c r="G51" s="4">
        <v>50.0</v>
      </c>
    </row>
    <row r="52">
      <c r="A52" s="200" t="s">
        <v>8448</v>
      </c>
      <c r="D52" s="60" t="s">
        <v>3789</v>
      </c>
      <c r="E52" s="4" t="s">
        <v>1088</v>
      </c>
      <c r="G52" s="4">
        <v>51.0</v>
      </c>
    </row>
    <row r="53">
      <c r="A53" s="201" t="s">
        <v>8428</v>
      </c>
      <c r="D53" s="60" t="s">
        <v>3789</v>
      </c>
      <c r="E53" s="4" t="s">
        <v>1098</v>
      </c>
      <c r="G53" s="4">
        <v>52.0</v>
      </c>
    </row>
    <row r="54">
      <c r="A54" s="200" t="s">
        <v>8428</v>
      </c>
      <c r="D54" s="60" t="s">
        <v>3789</v>
      </c>
      <c r="E54" s="4" t="s">
        <v>1098</v>
      </c>
      <c r="G54" s="4">
        <v>53.0</v>
      </c>
    </row>
    <row r="55">
      <c r="A55" s="201" t="s">
        <v>8449</v>
      </c>
      <c r="D55" s="60" t="s">
        <v>399</v>
      </c>
      <c r="E55" s="4" t="s">
        <v>1098</v>
      </c>
      <c r="G55" s="4">
        <v>54.0</v>
      </c>
    </row>
    <row r="56">
      <c r="A56" s="200" t="s">
        <v>8450</v>
      </c>
      <c r="D56" s="60" t="s">
        <v>399</v>
      </c>
      <c r="E56" s="4" t="s">
        <v>1088</v>
      </c>
      <c r="G56" s="4">
        <v>55.0</v>
      </c>
    </row>
    <row r="57">
      <c r="A57" s="201" t="s">
        <v>8451</v>
      </c>
      <c r="D57" s="60" t="s">
        <v>399</v>
      </c>
      <c r="E57" s="4" t="s">
        <v>1088</v>
      </c>
      <c r="G57" s="4">
        <v>56.0</v>
      </c>
    </row>
    <row r="58">
      <c r="A58" s="200" t="s">
        <v>8452</v>
      </c>
      <c r="D58" s="60" t="s">
        <v>399</v>
      </c>
      <c r="E58" s="4" t="s">
        <v>1296</v>
      </c>
      <c r="G58" s="4">
        <v>57.0</v>
      </c>
    </row>
    <row r="59">
      <c r="A59" s="201" t="s">
        <v>8453</v>
      </c>
      <c r="D59" s="60" t="s">
        <v>399</v>
      </c>
      <c r="E59" s="4" t="s">
        <v>1296</v>
      </c>
      <c r="G59" s="4">
        <v>58.0</v>
      </c>
    </row>
    <row r="60">
      <c r="A60" s="200" t="s">
        <v>8447</v>
      </c>
      <c r="D60" s="60" t="s">
        <v>399</v>
      </c>
      <c r="E60" s="4" t="s">
        <v>1296</v>
      </c>
      <c r="G60" s="4">
        <v>59.0</v>
      </c>
    </row>
    <row r="61">
      <c r="A61" s="201" t="s">
        <v>8428</v>
      </c>
      <c r="D61" s="60" t="s">
        <v>399</v>
      </c>
      <c r="E61" s="4" t="s">
        <v>1296</v>
      </c>
      <c r="G61" s="4">
        <v>60.0</v>
      </c>
    </row>
    <row r="62">
      <c r="A62" s="200" t="s">
        <v>8454</v>
      </c>
      <c r="D62" s="60" t="s">
        <v>399</v>
      </c>
      <c r="E62" s="4" t="s">
        <v>1296</v>
      </c>
      <c r="G62" s="4">
        <v>61.0</v>
      </c>
    </row>
    <row r="63">
      <c r="A63" s="201" t="s">
        <v>8428</v>
      </c>
      <c r="D63" s="60" t="s">
        <v>399</v>
      </c>
      <c r="E63" s="4" t="s">
        <v>1296</v>
      </c>
      <c r="G63" s="4">
        <v>62.0</v>
      </c>
    </row>
    <row r="64">
      <c r="A64" s="200" t="s">
        <v>8454</v>
      </c>
      <c r="D64" s="60" t="s">
        <v>399</v>
      </c>
      <c r="E64" s="4" t="s">
        <v>1296</v>
      </c>
      <c r="G64" s="4">
        <v>63.0</v>
      </c>
    </row>
    <row r="65">
      <c r="A65" s="201" t="s">
        <v>8428</v>
      </c>
      <c r="D65" s="60" t="s">
        <v>399</v>
      </c>
      <c r="E65" s="4" t="s">
        <v>1296</v>
      </c>
      <c r="G65" s="4">
        <v>64.0</v>
      </c>
    </row>
    <row r="66">
      <c r="A66" s="200" t="s">
        <v>8454</v>
      </c>
      <c r="D66" s="60" t="s">
        <v>399</v>
      </c>
      <c r="E66" s="4" t="s">
        <v>1088</v>
      </c>
      <c r="G66" s="4">
        <v>65.0</v>
      </c>
    </row>
    <row r="67">
      <c r="A67" s="202" t="s">
        <v>8455</v>
      </c>
      <c r="D67" s="60" t="s">
        <v>399</v>
      </c>
      <c r="E67" s="4" t="s">
        <v>1088</v>
      </c>
      <c r="G67" s="4">
        <v>66.0</v>
      </c>
    </row>
    <row r="68">
      <c r="A68" s="202" t="s">
        <v>344</v>
      </c>
      <c r="D68" s="60" t="s">
        <v>4054</v>
      </c>
      <c r="E68" s="4" t="s">
        <v>1098</v>
      </c>
      <c r="G68" s="4">
        <v>67.0</v>
      </c>
    </row>
    <row r="69">
      <c r="A69" s="202" t="s">
        <v>8456</v>
      </c>
      <c r="D69" s="60" t="s">
        <v>4054</v>
      </c>
      <c r="E69" s="4" t="s">
        <v>1098</v>
      </c>
      <c r="G69" s="4">
        <v>68.0</v>
      </c>
    </row>
    <row r="70">
      <c r="D70" s="60" t="s">
        <v>4054</v>
      </c>
      <c r="E70" s="4" t="s">
        <v>1098</v>
      </c>
      <c r="G70" s="4">
        <v>69.0</v>
      </c>
    </row>
    <row r="71">
      <c r="D71" s="60" t="s">
        <v>4054</v>
      </c>
      <c r="E71" s="4" t="s">
        <v>1088</v>
      </c>
      <c r="G71" s="4">
        <v>70.0</v>
      </c>
    </row>
    <row r="72">
      <c r="D72" s="60" t="s">
        <v>4054</v>
      </c>
      <c r="E72" s="4" t="s">
        <v>1088</v>
      </c>
      <c r="G72" s="4">
        <v>71.0</v>
      </c>
    </row>
    <row r="73">
      <c r="D73" s="60" t="s">
        <v>4054</v>
      </c>
      <c r="E73" s="4" t="s">
        <v>1251</v>
      </c>
      <c r="G73" s="4">
        <v>72.0</v>
      </c>
    </row>
    <row r="74">
      <c r="D74" s="60" t="s">
        <v>4054</v>
      </c>
      <c r="E74" s="4" t="s">
        <v>1251</v>
      </c>
      <c r="G74" s="4">
        <v>73.0</v>
      </c>
    </row>
    <row r="75">
      <c r="D75" s="60" t="s">
        <v>4054</v>
      </c>
      <c r="E75" s="4" t="s">
        <v>1088</v>
      </c>
      <c r="G75" s="4">
        <v>74.0</v>
      </c>
    </row>
    <row r="76">
      <c r="D76" s="60" t="s">
        <v>4054</v>
      </c>
      <c r="E76" s="4" t="s">
        <v>1088</v>
      </c>
      <c r="G76" s="4">
        <v>75.0</v>
      </c>
    </row>
    <row r="77">
      <c r="D77" s="60" t="s">
        <v>4054</v>
      </c>
      <c r="E77" s="4" t="s">
        <v>1251</v>
      </c>
      <c r="G77" s="4">
        <v>76.0</v>
      </c>
    </row>
    <row r="78">
      <c r="D78" s="60" t="s">
        <v>4054</v>
      </c>
      <c r="E78" s="4" t="s">
        <v>1251</v>
      </c>
      <c r="G78" s="4">
        <v>77.0</v>
      </c>
    </row>
    <row r="79">
      <c r="D79" s="60" t="s">
        <v>4054</v>
      </c>
      <c r="E79" s="4" t="s">
        <v>1098</v>
      </c>
    </row>
    <row r="80">
      <c r="D80" s="60" t="s">
        <v>4054</v>
      </c>
      <c r="E80" s="4" t="s">
        <v>1098</v>
      </c>
    </row>
    <row r="81">
      <c r="D81" s="60" t="s">
        <v>4054</v>
      </c>
      <c r="E81" s="4" t="s">
        <v>1098</v>
      </c>
    </row>
    <row r="82">
      <c r="D82" s="60" t="s">
        <v>405</v>
      </c>
      <c r="E82" s="4" t="s">
        <v>1088</v>
      </c>
    </row>
    <row r="83">
      <c r="D83" s="60" t="s">
        <v>405</v>
      </c>
      <c r="E83" s="4" t="s">
        <v>1088</v>
      </c>
    </row>
    <row r="84">
      <c r="D84" s="60" t="s">
        <v>405</v>
      </c>
      <c r="E84" s="4" t="s">
        <v>1397</v>
      </c>
    </row>
    <row r="85">
      <c r="D85" s="60" t="s">
        <v>405</v>
      </c>
      <c r="E85" s="4" t="s">
        <v>1397</v>
      </c>
    </row>
    <row r="86">
      <c r="D86" s="60" t="s">
        <v>405</v>
      </c>
      <c r="E86" s="4" t="s">
        <v>1397</v>
      </c>
    </row>
    <row r="87">
      <c r="D87" s="60" t="s">
        <v>405</v>
      </c>
      <c r="E87" s="4" t="s">
        <v>1088</v>
      </c>
    </row>
    <row r="88">
      <c r="D88" s="60" t="s">
        <v>405</v>
      </c>
      <c r="E88" s="4" t="s">
        <v>1088</v>
      </c>
    </row>
    <row r="89">
      <c r="D89" s="60" t="s">
        <v>405</v>
      </c>
      <c r="E89" s="4" t="s">
        <v>1088</v>
      </c>
    </row>
    <row r="90">
      <c r="D90" s="60" t="s">
        <v>405</v>
      </c>
      <c r="E90" s="4" t="s">
        <v>1088</v>
      </c>
    </row>
    <row r="91">
      <c r="D91" s="60" t="s">
        <v>405</v>
      </c>
      <c r="E91" s="4" t="s">
        <v>1088</v>
      </c>
    </row>
    <row r="92">
      <c r="D92" s="60" t="s">
        <v>405</v>
      </c>
      <c r="E92" s="4" t="s">
        <v>1088</v>
      </c>
    </row>
    <row r="93">
      <c r="D93" s="60" t="s">
        <v>405</v>
      </c>
      <c r="E93" s="4" t="s">
        <v>1088</v>
      </c>
    </row>
    <row r="94">
      <c r="D94" s="60" t="s">
        <v>4878</v>
      </c>
      <c r="E94" s="4" t="s">
        <v>1088</v>
      </c>
    </row>
    <row r="95">
      <c r="D95" s="60" t="s">
        <v>4878</v>
      </c>
      <c r="E95" s="4" t="s">
        <v>1088</v>
      </c>
    </row>
    <row r="96">
      <c r="D96" s="60" t="s">
        <v>4878</v>
      </c>
      <c r="E96" s="4" t="s">
        <v>1088</v>
      </c>
    </row>
    <row r="97">
      <c r="D97" s="60" t="s">
        <v>4878</v>
      </c>
      <c r="E97" s="4" t="s">
        <v>1296</v>
      </c>
    </row>
    <row r="98">
      <c r="D98" s="60" t="s">
        <v>4878</v>
      </c>
      <c r="E98" s="4" t="s">
        <v>1296</v>
      </c>
    </row>
    <row r="99">
      <c r="D99" s="60" t="s">
        <v>4878</v>
      </c>
      <c r="E99" s="4" t="s">
        <v>1296</v>
      </c>
    </row>
    <row r="100">
      <c r="D100" s="60" t="s">
        <v>4878</v>
      </c>
      <c r="E100" s="4" t="s">
        <v>1296</v>
      </c>
    </row>
    <row r="101">
      <c r="D101" s="60" t="s">
        <v>4878</v>
      </c>
      <c r="E101" s="4" t="s">
        <v>1088</v>
      </c>
    </row>
    <row r="102">
      <c r="D102" s="60" t="s">
        <v>4878</v>
      </c>
      <c r="E102" s="4" t="s">
        <v>1088</v>
      </c>
    </row>
    <row r="103">
      <c r="D103" s="60" t="s">
        <v>4878</v>
      </c>
      <c r="E103" s="4" t="s">
        <v>1088</v>
      </c>
    </row>
    <row r="104">
      <c r="D104" s="60" t="s">
        <v>4878</v>
      </c>
      <c r="E104" s="4" t="s">
        <v>1088</v>
      </c>
    </row>
    <row r="105">
      <c r="D105" s="60" t="s">
        <v>4878</v>
      </c>
      <c r="E105" s="4" t="s">
        <v>1088</v>
      </c>
    </row>
    <row r="106">
      <c r="D106" s="60" t="s">
        <v>449</v>
      </c>
      <c r="E106" s="4" t="s">
        <v>1191</v>
      </c>
    </row>
    <row r="107">
      <c r="D107" s="60" t="s">
        <v>449</v>
      </c>
      <c r="E107" s="4" t="s">
        <v>1191</v>
      </c>
    </row>
    <row r="108">
      <c r="D108" s="60" t="s">
        <v>449</v>
      </c>
      <c r="E108" s="4" t="s">
        <v>1191</v>
      </c>
    </row>
    <row r="109">
      <c r="D109" s="60" t="s">
        <v>449</v>
      </c>
      <c r="E109" s="4" t="s">
        <v>1191</v>
      </c>
    </row>
    <row r="110">
      <c r="D110" s="60" t="s">
        <v>449</v>
      </c>
      <c r="E110" s="4" t="s">
        <v>1088</v>
      </c>
    </row>
    <row r="111">
      <c r="D111" s="60" t="s">
        <v>449</v>
      </c>
      <c r="E111" s="4" t="s">
        <v>1088</v>
      </c>
    </row>
    <row r="112">
      <c r="D112" s="60" t="s">
        <v>449</v>
      </c>
      <c r="E112" s="4" t="s">
        <v>1088</v>
      </c>
    </row>
    <row r="113">
      <c r="D113" s="60" t="s">
        <v>449</v>
      </c>
      <c r="E113" s="4" t="s">
        <v>1191</v>
      </c>
    </row>
    <row r="114">
      <c r="D114" s="60" t="s">
        <v>449</v>
      </c>
      <c r="E114" s="4" t="s">
        <v>1191</v>
      </c>
    </row>
    <row r="115">
      <c r="D115" s="60" t="s">
        <v>449</v>
      </c>
      <c r="E115" s="4" t="s">
        <v>1191</v>
      </c>
    </row>
    <row r="116">
      <c r="D116" s="60" t="s">
        <v>449</v>
      </c>
      <c r="E116" s="4" t="s">
        <v>1191</v>
      </c>
    </row>
    <row r="117">
      <c r="D117" s="60" t="s">
        <v>449</v>
      </c>
      <c r="E117" s="4" t="s">
        <v>1088</v>
      </c>
    </row>
    <row r="118">
      <c r="D118" s="60" t="s">
        <v>449</v>
      </c>
      <c r="E118" s="4" t="s">
        <v>1088</v>
      </c>
    </row>
    <row r="119">
      <c r="D119" s="60" t="s">
        <v>449</v>
      </c>
      <c r="E119" s="4" t="s">
        <v>1251</v>
      </c>
    </row>
    <row r="120">
      <c r="D120" s="60" t="s">
        <v>449</v>
      </c>
      <c r="E120" s="4" t="s">
        <v>1251</v>
      </c>
    </row>
    <row r="121">
      <c r="D121" s="60" t="s">
        <v>449</v>
      </c>
      <c r="E121" s="4" t="s">
        <v>1088</v>
      </c>
    </row>
    <row r="122">
      <c r="D122" s="60" t="s">
        <v>449</v>
      </c>
      <c r="E122" s="4" t="s">
        <v>1088</v>
      </c>
    </row>
    <row r="123">
      <c r="D123" s="60" t="s">
        <v>449</v>
      </c>
      <c r="E123" s="4" t="s">
        <v>1296</v>
      </c>
    </row>
    <row r="124">
      <c r="D124" s="60" t="s">
        <v>443</v>
      </c>
      <c r="E124" s="4" t="s">
        <v>1296</v>
      </c>
    </row>
    <row r="125">
      <c r="D125" s="60" t="s">
        <v>443</v>
      </c>
      <c r="E125" s="4" t="s">
        <v>1296</v>
      </c>
    </row>
    <row r="126">
      <c r="D126" s="60" t="s">
        <v>443</v>
      </c>
      <c r="E126" s="4" t="s">
        <v>1296</v>
      </c>
    </row>
    <row r="127">
      <c r="D127" s="60" t="s">
        <v>443</v>
      </c>
      <c r="E127" s="4" t="s">
        <v>1088</v>
      </c>
    </row>
    <row r="128">
      <c r="D128" s="60" t="s">
        <v>443</v>
      </c>
      <c r="E128" s="4" t="s">
        <v>1088</v>
      </c>
    </row>
    <row r="129">
      <c r="D129" s="60" t="s">
        <v>443</v>
      </c>
      <c r="E129" s="4" t="s">
        <v>1088</v>
      </c>
    </row>
    <row r="130">
      <c r="D130" s="60" t="s">
        <v>443</v>
      </c>
      <c r="E130" s="4" t="s">
        <v>1296</v>
      </c>
    </row>
    <row r="131">
      <c r="D131" s="60" t="s">
        <v>443</v>
      </c>
      <c r="E131" s="4" t="s">
        <v>1296</v>
      </c>
    </row>
    <row r="132">
      <c r="D132" s="60" t="s">
        <v>443</v>
      </c>
      <c r="E132" s="4" t="s">
        <v>1296</v>
      </c>
    </row>
    <row r="133">
      <c r="D133" s="60" t="s">
        <v>443</v>
      </c>
      <c r="E133" s="4" t="s">
        <v>1296</v>
      </c>
    </row>
    <row r="134">
      <c r="D134" s="60" t="s">
        <v>443</v>
      </c>
      <c r="E134" s="4" t="s">
        <v>1088</v>
      </c>
    </row>
    <row r="135">
      <c r="D135" s="60" t="s">
        <v>443</v>
      </c>
      <c r="E135" s="4" t="s">
        <v>1088</v>
      </c>
    </row>
    <row r="136">
      <c r="D136" s="60" t="s">
        <v>443</v>
      </c>
      <c r="E136" s="4" t="s">
        <v>1098</v>
      </c>
    </row>
    <row r="137">
      <c r="D137" s="60" t="s">
        <v>443</v>
      </c>
      <c r="E137" s="4" t="s">
        <v>1098</v>
      </c>
    </row>
    <row r="138">
      <c r="D138" s="60" t="s">
        <v>443</v>
      </c>
      <c r="E138" s="4" t="s">
        <v>1098</v>
      </c>
    </row>
    <row r="139">
      <c r="D139" s="60" t="s">
        <v>357</v>
      </c>
      <c r="E139" s="4" t="s">
        <v>1088</v>
      </c>
    </row>
    <row r="140">
      <c r="D140" s="60" t="s">
        <v>357</v>
      </c>
      <c r="E140" s="4" t="s">
        <v>1088</v>
      </c>
    </row>
    <row r="141">
      <c r="D141" s="60" t="s">
        <v>357</v>
      </c>
      <c r="E141" s="4" t="s">
        <v>1098</v>
      </c>
    </row>
    <row r="142">
      <c r="D142" s="60" t="s">
        <v>357</v>
      </c>
      <c r="E142" s="4" t="s">
        <v>1098</v>
      </c>
    </row>
    <row r="143">
      <c r="D143" s="60" t="s">
        <v>357</v>
      </c>
      <c r="E143" s="4" t="s">
        <v>1098</v>
      </c>
    </row>
    <row r="144">
      <c r="D144" s="60" t="s">
        <v>357</v>
      </c>
      <c r="E144" s="4" t="s">
        <v>1088</v>
      </c>
    </row>
    <row r="145">
      <c r="D145" s="60" t="s">
        <v>357</v>
      </c>
      <c r="E145" s="4" t="s">
        <v>1296</v>
      </c>
    </row>
    <row r="146">
      <c r="D146" s="60" t="s">
        <v>357</v>
      </c>
      <c r="E146" s="4" t="s">
        <v>1296</v>
      </c>
    </row>
    <row r="147">
      <c r="D147" s="60" t="s">
        <v>357</v>
      </c>
      <c r="E147" s="4" t="s">
        <v>1296</v>
      </c>
    </row>
    <row r="148">
      <c r="D148" s="60" t="s">
        <v>357</v>
      </c>
      <c r="E148" s="4" t="s">
        <v>1296</v>
      </c>
    </row>
    <row r="149">
      <c r="D149" s="60" t="s">
        <v>357</v>
      </c>
      <c r="E149" s="4" t="s">
        <v>1088</v>
      </c>
    </row>
    <row r="150">
      <c r="D150" s="60" t="s">
        <v>357</v>
      </c>
      <c r="E150" s="4" t="s">
        <v>1088</v>
      </c>
    </row>
    <row r="151">
      <c r="D151" s="60" t="s">
        <v>357</v>
      </c>
      <c r="E151" s="4" t="s">
        <v>1098</v>
      </c>
    </row>
    <row r="152">
      <c r="D152" s="60" t="s">
        <v>357</v>
      </c>
      <c r="E152" s="4" t="s">
        <v>1098</v>
      </c>
    </row>
    <row r="153">
      <c r="D153" s="60" t="s">
        <v>357</v>
      </c>
      <c r="E153" s="4" t="s">
        <v>1098</v>
      </c>
    </row>
    <row r="154">
      <c r="D154" s="60" t="s">
        <v>357</v>
      </c>
      <c r="E154" s="4" t="s">
        <v>1397</v>
      </c>
    </row>
    <row r="155">
      <c r="D155" s="60" t="s">
        <v>357</v>
      </c>
      <c r="E155" s="4" t="s">
        <v>1397</v>
      </c>
    </row>
    <row r="156">
      <c r="D156" s="60" t="s">
        <v>357</v>
      </c>
      <c r="E156" s="4" t="s">
        <v>1397</v>
      </c>
    </row>
    <row r="157">
      <c r="D157" s="60" t="s">
        <v>357</v>
      </c>
      <c r="E157" s="4" t="s">
        <v>1088</v>
      </c>
    </row>
    <row r="158">
      <c r="D158" s="60" t="s">
        <v>357</v>
      </c>
      <c r="E158" s="4" t="s">
        <v>1088</v>
      </c>
    </row>
    <row r="159">
      <c r="D159" s="60" t="s">
        <v>357</v>
      </c>
      <c r="E159" s="4" t="s">
        <v>1088</v>
      </c>
    </row>
    <row r="160">
      <c r="D160" s="60" t="s">
        <v>357</v>
      </c>
      <c r="E160" s="4" t="s">
        <v>1088</v>
      </c>
    </row>
    <row r="161">
      <c r="D161" s="60" t="s">
        <v>357</v>
      </c>
      <c r="E161" s="4" t="s">
        <v>1098</v>
      </c>
    </row>
    <row r="162">
      <c r="D162" s="60" t="s">
        <v>534</v>
      </c>
      <c r="E162" s="4" t="s">
        <v>1098</v>
      </c>
    </row>
    <row r="163">
      <c r="D163" s="60" t="s">
        <v>534</v>
      </c>
      <c r="E163" s="4" t="s">
        <v>1098</v>
      </c>
    </row>
    <row r="164">
      <c r="D164" s="60" t="s">
        <v>534</v>
      </c>
      <c r="E164" s="4" t="s">
        <v>1088</v>
      </c>
    </row>
    <row r="165">
      <c r="D165" s="60" t="s">
        <v>534</v>
      </c>
      <c r="E165" s="4" t="s">
        <v>1088</v>
      </c>
    </row>
    <row r="166">
      <c r="D166" s="60" t="s">
        <v>534</v>
      </c>
      <c r="E166" s="4" t="s">
        <v>1251</v>
      </c>
    </row>
    <row r="167">
      <c r="D167" s="60" t="s">
        <v>534</v>
      </c>
      <c r="E167" s="4" t="s">
        <v>1251</v>
      </c>
    </row>
    <row r="168">
      <c r="D168" s="60" t="s">
        <v>534</v>
      </c>
      <c r="E168" s="4" t="s">
        <v>1098</v>
      </c>
    </row>
    <row r="169">
      <c r="D169" s="60" t="s">
        <v>534</v>
      </c>
      <c r="E169" s="4" t="s">
        <v>1098</v>
      </c>
    </row>
    <row r="170">
      <c r="D170" s="60" t="s">
        <v>534</v>
      </c>
      <c r="E170" s="4" t="s">
        <v>1098</v>
      </c>
    </row>
    <row r="171">
      <c r="D171" s="60" t="s">
        <v>534</v>
      </c>
      <c r="E171" s="4" t="s">
        <v>1088</v>
      </c>
    </row>
    <row r="172">
      <c r="D172" s="60" t="s">
        <v>534</v>
      </c>
      <c r="E172" s="4" t="s">
        <v>1088</v>
      </c>
    </row>
    <row r="173">
      <c r="D173" s="60" t="s">
        <v>534</v>
      </c>
      <c r="E173" s="4" t="s">
        <v>1296</v>
      </c>
    </row>
    <row r="174">
      <c r="D174" s="60" t="s">
        <v>534</v>
      </c>
      <c r="E174" s="4" t="s">
        <v>1296</v>
      </c>
    </row>
    <row r="175">
      <c r="D175" s="60" t="s">
        <v>534</v>
      </c>
      <c r="E175" s="4" t="s">
        <v>1296</v>
      </c>
    </row>
    <row r="176">
      <c r="D176" s="60" t="s">
        <v>534</v>
      </c>
      <c r="E176" s="4" t="s">
        <v>1296</v>
      </c>
    </row>
    <row r="177">
      <c r="D177" s="60" t="s">
        <v>534</v>
      </c>
      <c r="E177" s="4" t="s">
        <v>1088</v>
      </c>
    </row>
    <row r="178">
      <c r="D178" s="60" t="s">
        <v>534</v>
      </c>
      <c r="E178" s="4" t="s">
        <v>1088</v>
      </c>
    </row>
    <row r="179">
      <c r="D179" s="60" t="s">
        <v>534</v>
      </c>
      <c r="E179" s="4" t="s">
        <v>1098</v>
      </c>
    </row>
    <row r="180">
      <c r="D180" s="60" t="s">
        <v>534</v>
      </c>
      <c r="E180" s="4" t="s">
        <v>1098</v>
      </c>
    </row>
    <row r="181">
      <c r="D181" s="60" t="s">
        <v>534</v>
      </c>
      <c r="E181" s="4" t="s">
        <v>1098</v>
      </c>
    </row>
    <row r="182">
      <c r="D182" s="60" t="s">
        <v>534</v>
      </c>
      <c r="E182" s="4" t="s">
        <v>1251</v>
      </c>
    </row>
    <row r="183">
      <c r="D183" s="60" t="s">
        <v>534</v>
      </c>
      <c r="E183" s="4" t="s">
        <v>3816</v>
      </c>
    </row>
    <row r="184">
      <c r="D184" s="60" t="s">
        <v>534</v>
      </c>
      <c r="E184" s="4" t="s">
        <v>3823</v>
      </c>
    </row>
    <row r="185">
      <c r="D185" s="60" t="s">
        <v>534</v>
      </c>
      <c r="E185" s="4" t="s">
        <v>4270</v>
      </c>
    </row>
    <row r="186">
      <c r="D186" s="60" t="s">
        <v>534</v>
      </c>
      <c r="E186" s="4" t="s">
        <v>4260</v>
      </c>
    </row>
    <row r="187">
      <c r="D187" s="60" t="s">
        <v>546</v>
      </c>
      <c r="E187" s="4" t="s">
        <v>4264</v>
      </c>
    </row>
    <row r="188">
      <c r="D188" s="60" t="s">
        <v>546</v>
      </c>
    </row>
    <row r="189">
      <c r="D189" s="60" t="s">
        <v>546</v>
      </c>
    </row>
    <row r="190">
      <c r="D190" s="60" t="s">
        <v>546</v>
      </c>
    </row>
    <row r="191">
      <c r="D191" s="60" t="s">
        <v>546</v>
      </c>
    </row>
    <row r="192">
      <c r="D192" s="60" t="s">
        <v>546</v>
      </c>
    </row>
    <row r="193">
      <c r="D193" s="60" t="s">
        <v>546</v>
      </c>
    </row>
    <row r="194">
      <c r="D194" s="60" t="s">
        <v>546</v>
      </c>
    </row>
    <row r="195">
      <c r="D195" s="60" t="s">
        <v>546</v>
      </c>
    </row>
    <row r="196">
      <c r="D196" s="60" t="s">
        <v>546</v>
      </c>
    </row>
    <row r="197">
      <c r="D197" s="60" t="s">
        <v>546</v>
      </c>
    </row>
    <row r="198">
      <c r="D198" s="60" t="s">
        <v>546</v>
      </c>
    </row>
    <row r="199">
      <c r="D199" s="60" t="s">
        <v>546</v>
      </c>
    </row>
    <row r="200">
      <c r="D200" s="60" t="s">
        <v>546</v>
      </c>
    </row>
    <row r="201">
      <c r="D201" s="60" t="s">
        <v>546</v>
      </c>
    </row>
    <row r="202">
      <c r="D202" s="60" t="s">
        <v>546</v>
      </c>
    </row>
    <row r="203">
      <c r="D203" s="60" t="s">
        <v>546</v>
      </c>
    </row>
    <row r="204">
      <c r="D204" s="60" t="s">
        <v>546</v>
      </c>
    </row>
    <row r="205">
      <c r="D205" s="60" t="s">
        <v>546</v>
      </c>
    </row>
    <row r="206">
      <c r="D206" s="60" t="s">
        <v>546</v>
      </c>
    </row>
    <row r="207">
      <c r="D207" s="60" t="s">
        <v>546</v>
      </c>
    </row>
    <row r="208">
      <c r="D208" s="60" t="s">
        <v>546</v>
      </c>
    </row>
    <row r="209">
      <c r="D209" s="60" t="s">
        <v>546</v>
      </c>
    </row>
    <row r="210">
      <c r="D210" s="60" t="s">
        <v>546</v>
      </c>
    </row>
    <row r="211">
      <c r="D211" s="60" t="s">
        <v>611</v>
      </c>
    </row>
    <row r="212">
      <c r="D212" s="60" t="s">
        <v>611</v>
      </c>
    </row>
    <row r="213">
      <c r="D213" s="60" t="s">
        <v>611</v>
      </c>
    </row>
    <row r="214">
      <c r="D214" s="60" t="s">
        <v>611</v>
      </c>
    </row>
    <row r="215">
      <c r="D215" s="60" t="s">
        <v>611</v>
      </c>
    </row>
    <row r="216">
      <c r="D216" s="60" t="s">
        <v>611</v>
      </c>
    </row>
    <row r="217">
      <c r="D217" s="60" t="s">
        <v>611</v>
      </c>
    </row>
    <row r="218">
      <c r="D218" s="60" t="s">
        <v>611</v>
      </c>
    </row>
    <row r="219">
      <c r="D219" s="60" t="s">
        <v>611</v>
      </c>
    </row>
    <row r="220">
      <c r="D220" s="60" t="s">
        <v>611</v>
      </c>
    </row>
    <row r="221">
      <c r="D221" s="60" t="s">
        <v>611</v>
      </c>
    </row>
    <row r="222">
      <c r="D222" s="60" t="s">
        <v>611</v>
      </c>
    </row>
    <row r="223">
      <c r="D223" s="60" t="s">
        <v>611</v>
      </c>
    </row>
    <row r="224">
      <c r="D224" s="60" t="s">
        <v>611</v>
      </c>
    </row>
    <row r="225">
      <c r="D225" s="60" t="s">
        <v>611</v>
      </c>
    </row>
    <row r="226">
      <c r="D226" s="60" t="s">
        <v>611</v>
      </c>
    </row>
    <row r="227">
      <c r="D227" s="60" t="s">
        <v>611</v>
      </c>
    </row>
    <row r="228">
      <c r="D228" s="60" t="s">
        <v>611</v>
      </c>
    </row>
    <row r="229">
      <c r="D229" s="60" t="s">
        <v>611</v>
      </c>
    </row>
    <row r="230">
      <c r="D230" s="60" t="s">
        <v>611</v>
      </c>
    </row>
    <row r="231">
      <c r="D231" s="60" t="s">
        <v>611</v>
      </c>
    </row>
    <row r="232">
      <c r="D232" s="60" t="s">
        <v>611</v>
      </c>
    </row>
    <row r="233">
      <c r="D233" s="60" t="s">
        <v>611</v>
      </c>
    </row>
    <row r="234">
      <c r="D234" s="60" t="s">
        <v>611</v>
      </c>
    </row>
    <row r="235">
      <c r="D235" s="60" t="s">
        <v>611</v>
      </c>
    </row>
    <row r="236">
      <c r="D236" s="60" t="s">
        <v>611</v>
      </c>
    </row>
    <row r="237">
      <c r="D237" s="60" t="s">
        <v>611</v>
      </c>
    </row>
    <row r="238">
      <c r="D238" s="60" t="s">
        <v>611</v>
      </c>
    </row>
    <row r="239">
      <c r="D239" s="60" t="s">
        <v>632</v>
      </c>
    </row>
    <row r="240">
      <c r="D240" s="60" t="s">
        <v>632</v>
      </c>
    </row>
    <row r="241">
      <c r="D241" s="60" t="s">
        <v>632</v>
      </c>
    </row>
    <row r="242">
      <c r="D242" s="60" t="s">
        <v>632</v>
      </c>
    </row>
    <row r="243">
      <c r="D243" s="60" t="s">
        <v>632</v>
      </c>
    </row>
    <row r="244">
      <c r="D244" s="60" t="s">
        <v>632</v>
      </c>
    </row>
    <row r="245">
      <c r="D245" s="60" t="s">
        <v>632</v>
      </c>
    </row>
    <row r="246">
      <c r="D246" s="60" t="s">
        <v>632</v>
      </c>
    </row>
    <row r="247">
      <c r="D247" s="60" t="s">
        <v>632</v>
      </c>
    </row>
    <row r="248">
      <c r="D248" s="60" t="s">
        <v>632</v>
      </c>
    </row>
    <row r="249">
      <c r="D249" s="60" t="s">
        <v>632</v>
      </c>
    </row>
    <row r="250">
      <c r="D250" s="60" t="s">
        <v>632</v>
      </c>
    </row>
    <row r="251">
      <c r="D251" s="60" t="s">
        <v>632</v>
      </c>
    </row>
    <row r="252">
      <c r="D252" s="60" t="s">
        <v>632</v>
      </c>
    </row>
    <row r="253">
      <c r="D253" s="60" t="s">
        <v>632</v>
      </c>
    </row>
    <row r="254">
      <c r="D254" s="60" t="s">
        <v>632</v>
      </c>
    </row>
    <row r="255">
      <c r="D255" s="60" t="s">
        <v>632</v>
      </c>
    </row>
    <row r="256">
      <c r="D256" s="60" t="s">
        <v>632</v>
      </c>
    </row>
    <row r="257">
      <c r="D257" s="60" t="s">
        <v>632</v>
      </c>
    </row>
    <row r="258">
      <c r="D258" s="60" t="s">
        <v>632</v>
      </c>
    </row>
    <row r="259">
      <c r="D259" s="60" t="s">
        <v>632</v>
      </c>
    </row>
    <row r="260">
      <c r="D260" s="60" t="s">
        <v>632</v>
      </c>
    </row>
    <row r="261">
      <c r="D261" s="60" t="s">
        <v>632</v>
      </c>
    </row>
    <row r="262">
      <c r="D262" s="60" t="s">
        <v>632</v>
      </c>
    </row>
    <row r="263">
      <c r="D263" s="60" t="s">
        <v>632</v>
      </c>
    </row>
    <row r="264">
      <c r="D264" s="60" t="s">
        <v>632</v>
      </c>
    </row>
    <row r="265">
      <c r="D265" s="60" t="s">
        <v>632</v>
      </c>
    </row>
    <row r="266">
      <c r="D266" s="60" t="s">
        <v>632</v>
      </c>
    </row>
    <row r="267">
      <c r="D267" s="60" t="s">
        <v>632</v>
      </c>
    </row>
    <row r="268">
      <c r="D268" s="60" t="s">
        <v>632</v>
      </c>
    </row>
    <row r="269">
      <c r="D269" s="60" t="s">
        <v>274</v>
      </c>
    </row>
    <row r="270">
      <c r="D270" s="60" t="s">
        <v>274</v>
      </c>
    </row>
    <row r="271">
      <c r="D271" s="60" t="s">
        <v>274</v>
      </c>
    </row>
    <row r="272">
      <c r="D272" s="60" t="s">
        <v>274</v>
      </c>
    </row>
    <row r="273">
      <c r="D273" s="60" t="s">
        <v>274</v>
      </c>
    </row>
    <row r="274">
      <c r="D274" s="60" t="s">
        <v>274</v>
      </c>
    </row>
    <row r="275">
      <c r="D275" s="60" t="s">
        <v>274</v>
      </c>
    </row>
    <row r="276">
      <c r="D276" s="60" t="s">
        <v>274</v>
      </c>
    </row>
    <row r="277">
      <c r="D277" s="60" t="s">
        <v>274</v>
      </c>
    </row>
    <row r="278">
      <c r="D278" s="60" t="s">
        <v>274</v>
      </c>
    </row>
    <row r="279">
      <c r="D279" s="60" t="s">
        <v>274</v>
      </c>
    </row>
    <row r="280">
      <c r="D280" s="60" t="s">
        <v>274</v>
      </c>
    </row>
    <row r="281">
      <c r="D281" s="60" t="s">
        <v>274</v>
      </c>
    </row>
    <row r="282">
      <c r="D282" s="60" t="s">
        <v>274</v>
      </c>
    </row>
    <row r="283">
      <c r="D283" s="60" t="s">
        <v>274</v>
      </c>
    </row>
    <row r="284">
      <c r="D284" s="60" t="s">
        <v>274</v>
      </c>
    </row>
    <row r="285">
      <c r="D285" s="60" t="s">
        <v>274</v>
      </c>
    </row>
    <row r="286">
      <c r="D286" s="60" t="s">
        <v>274</v>
      </c>
    </row>
    <row r="287">
      <c r="D287" s="60" t="s">
        <v>274</v>
      </c>
    </row>
    <row r="288">
      <c r="D288" s="60" t="s">
        <v>274</v>
      </c>
    </row>
    <row r="289">
      <c r="D289" s="60" t="s">
        <v>274</v>
      </c>
    </row>
    <row r="290">
      <c r="D290" s="60" t="s">
        <v>274</v>
      </c>
    </row>
    <row r="291">
      <c r="D291" s="60" t="s">
        <v>274</v>
      </c>
    </row>
    <row r="292">
      <c r="D292" s="60" t="s">
        <v>274</v>
      </c>
    </row>
    <row r="293">
      <c r="D293" s="60" t="s">
        <v>274</v>
      </c>
    </row>
    <row r="294">
      <c r="D294" s="60" t="s">
        <v>274</v>
      </c>
    </row>
    <row r="295">
      <c r="D295" s="60" t="s">
        <v>274</v>
      </c>
    </row>
    <row r="296">
      <c r="D296" s="60" t="s">
        <v>274</v>
      </c>
    </row>
    <row r="297">
      <c r="D297" s="60" t="s">
        <v>274</v>
      </c>
    </row>
    <row r="298">
      <c r="D298" s="60" t="s">
        <v>274</v>
      </c>
    </row>
    <row r="299">
      <c r="D299" s="60" t="s">
        <v>274</v>
      </c>
    </row>
    <row r="300">
      <c r="D300" s="60" t="s">
        <v>683</v>
      </c>
    </row>
    <row r="301">
      <c r="D301" s="60" t="s">
        <v>683</v>
      </c>
    </row>
    <row r="302">
      <c r="D302" s="60" t="s">
        <v>683</v>
      </c>
    </row>
    <row r="303">
      <c r="D303" s="60" t="s">
        <v>683</v>
      </c>
    </row>
    <row r="304">
      <c r="D304" s="60" t="s">
        <v>683</v>
      </c>
    </row>
    <row r="305">
      <c r="D305" s="60" t="s">
        <v>683</v>
      </c>
    </row>
    <row r="306">
      <c r="D306" s="60" t="s">
        <v>683</v>
      </c>
    </row>
    <row r="307">
      <c r="D307" s="60" t="s">
        <v>683</v>
      </c>
    </row>
    <row r="308">
      <c r="D308" s="60" t="s">
        <v>683</v>
      </c>
    </row>
    <row r="309">
      <c r="D309" s="60" t="s">
        <v>683</v>
      </c>
    </row>
    <row r="310">
      <c r="D310" s="60" t="s">
        <v>683</v>
      </c>
    </row>
    <row r="311">
      <c r="D311" s="60" t="s">
        <v>683</v>
      </c>
    </row>
    <row r="312">
      <c r="D312" s="60" t="s">
        <v>683</v>
      </c>
    </row>
    <row r="313">
      <c r="D313" s="60" t="s">
        <v>683</v>
      </c>
    </row>
    <row r="314">
      <c r="D314" s="60" t="s">
        <v>683</v>
      </c>
    </row>
    <row r="315">
      <c r="D315" s="60" t="s">
        <v>683</v>
      </c>
    </row>
    <row r="316">
      <c r="D316" s="60" t="s">
        <v>683</v>
      </c>
    </row>
    <row r="317">
      <c r="D317" s="60" t="s">
        <v>683</v>
      </c>
    </row>
    <row r="318">
      <c r="D318" s="60" t="s">
        <v>683</v>
      </c>
    </row>
    <row r="319">
      <c r="D319" s="60" t="s">
        <v>683</v>
      </c>
    </row>
    <row r="320">
      <c r="D320" s="60" t="s">
        <v>683</v>
      </c>
    </row>
    <row r="321">
      <c r="D321" s="60" t="s">
        <v>683</v>
      </c>
    </row>
    <row r="322">
      <c r="D322" s="60" t="s">
        <v>683</v>
      </c>
    </row>
    <row r="323">
      <c r="D323" s="60" t="s">
        <v>683</v>
      </c>
    </row>
    <row r="324">
      <c r="D324" s="60" t="s">
        <v>683</v>
      </c>
    </row>
    <row r="325">
      <c r="D325" s="60" t="s">
        <v>683</v>
      </c>
    </row>
    <row r="326">
      <c r="D326" s="60" t="s">
        <v>683</v>
      </c>
    </row>
    <row r="327">
      <c r="D327" s="60" t="s">
        <v>683</v>
      </c>
    </row>
    <row r="328">
      <c r="D328" s="60" t="s">
        <v>287</v>
      </c>
    </row>
    <row r="329">
      <c r="D329" s="60" t="s">
        <v>287</v>
      </c>
    </row>
    <row r="330">
      <c r="D330" s="60" t="s">
        <v>287</v>
      </c>
    </row>
    <row r="331">
      <c r="D331" s="60" t="s">
        <v>287</v>
      </c>
    </row>
    <row r="332">
      <c r="D332" s="60" t="s">
        <v>287</v>
      </c>
    </row>
    <row r="333">
      <c r="D333" s="60" t="s">
        <v>287</v>
      </c>
    </row>
    <row r="334">
      <c r="D334" s="60" t="s">
        <v>287</v>
      </c>
    </row>
    <row r="335">
      <c r="D335" s="60" t="s">
        <v>287</v>
      </c>
    </row>
    <row r="336">
      <c r="D336" s="60" t="s">
        <v>287</v>
      </c>
    </row>
    <row r="337">
      <c r="D337" s="60" t="s">
        <v>287</v>
      </c>
    </row>
    <row r="338">
      <c r="D338" s="60" t="s">
        <v>287</v>
      </c>
    </row>
    <row r="339">
      <c r="D339" s="60" t="s">
        <v>287</v>
      </c>
    </row>
    <row r="340">
      <c r="D340" s="60" t="s">
        <v>287</v>
      </c>
    </row>
    <row r="341">
      <c r="D341" s="60" t="s">
        <v>287</v>
      </c>
    </row>
    <row r="342">
      <c r="D342" s="60" t="s">
        <v>287</v>
      </c>
    </row>
    <row r="343">
      <c r="D343" s="60" t="s">
        <v>287</v>
      </c>
    </row>
    <row r="344">
      <c r="D344" s="60" t="s">
        <v>287</v>
      </c>
    </row>
    <row r="345">
      <c r="D345" s="60" t="s">
        <v>287</v>
      </c>
    </row>
    <row r="346">
      <c r="D346" s="60" t="s">
        <v>287</v>
      </c>
    </row>
    <row r="347">
      <c r="D347" s="60" t="s">
        <v>287</v>
      </c>
    </row>
    <row r="348">
      <c r="D348" s="60" t="s">
        <v>287</v>
      </c>
    </row>
    <row r="349">
      <c r="D349" s="60" t="s">
        <v>287</v>
      </c>
    </row>
    <row r="350">
      <c r="D350" s="60" t="s">
        <v>287</v>
      </c>
    </row>
    <row r="351">
      <c r="D351" s="60" t="s">
        <v>287</v>
      </c>
    </row>
    <row r="352">
      <c r="D352" s="60" t="s">
        <v>287</v>
      </c>
    </row>
    <row r="353">
      <c r="D353" s="60" t="s">
        <v>287</v>
      </c>
    </row>
    <row r="354">
      <c r="D354" s="60" t="s">
        <v>287</v>
      </c>
    </row>
    <row r="355">
      <c r="D355" s="60" t="s">
        <v>287</v>
      </c>
    </row>
    <row r="356">
      <c r="D356" s="60" t="s">
        <v>287</v>
      </c>
    </row>
    <row r="357">
      <c r="D357" s="60" t="s">
        <v>287</v>
      </c>
    </row>
    <row r="358">
      <c r="D358" s="60" t="s">
        <v>287</v>
      </c>
    </row>
    <row r="359">
      <c r="D359" s="60" t="s">
        <v>737</v>
      </c>
    </row>
    <row r="360">
      <c r="D360" s="60" t="s">
        <v>737</v>
      </c>
    </row>
    <row r="361">
      <c r="D361" s="60" t="s">
        <v>737</v>
      </c>
    </row>
    <row r="362">
      <c r="D362" s="60" t="s">
        <v>737</v>
      </c>
    </row>
    <row r="363">
      <c r="D363" s="60" t="s">
        <v>737</v>
      </c>
    </row>
    <row r="364">
      <c r="D364" s="60" t="s">
        <v>737</v>
      </c>
    </row>
    <row r="365">
      <c r="D365" s="60" t="s">
        <v>737</v>
      </c>
    </row>
    <row r="366">
      <c r="D366" s="60" t="s">
        <v>737</v>
      </c>
    </row>
    <row r="367">
      <c r="D367" s="60" t="s">
        <v>737</v>
      </c>
    </row>
    <row r="368">
      <c r="D368" s="60" t="s">
        <v>737</v>
      </c>
    </row>
    <row r="369">
      <c r="D369" s="60" t="s">
        <v>737</v>
      </c>
    </row>
    <row r="370">
      <c r="D370" s="60" t="s">
        <v>737</v>
      </c>
    </row>
    <row r="371">
      <c r="D371" s="60" t="s">
        <v>737</v>
      </c>
    </row>
    <row r="372">
      <c r="D372" s="60" t="s">
        <v>737</v>
      </c>
    </row>
    <row r="373">
      <c r="D373" s="60" t="s">
        <v>737</v>
      </c>
    </row>
    <row r="374">
      <c r="D374" s="60" t="s">
        <v>737</v>
      </c>
    </row>
    <row r="375">
      <c r="D375" s="60" t="s">
        <v>737</v>
      </c>
    </row>
    <row r="376">
      <c r="D376" s="60" t="s">
        <v>737</v>
      </c>
    </row>
    <row r="377">
      <c r="D377" s="60" t="s">
        <v>737</v>
      </c>
    </row>
    <row r="378">
      <c r="D378" s="60" t="s">
        <v>737</v>
      </c>
    </row>
    <row r="379">
      <c r="D379" s="60" t="s">
        <v>737</v>
      </c>
    </row>
    <row r="380">
      <c r="D380" s="60" t="s">
        <v>737</v>
      </c>
    </row>
    <row r="381">
      <c r="D381" s="60" t="s">
        <v>737</v>
      </c>
    </row>
    <row r="382">
      <c r="D382" s="60" t="s">
        <v>737</v>
      </c>
    </row>
    <row r="383">
      <c r="D383" s="60" t="s">
        <v>737</v>
      </c>
    </row>
    <row r="384">
      <c r="D384" s="60" t="s">
        <v>737</v>
      </c>
    </row>
    <row r="385">
      <c r="D385" s="60" t="s">
        <v>737</v>
      </c>
    </row>
    <row r="386">
      <c r="D386" s="60" t="s">
        <v>737</v>
      </c>
    </row>
    <row r="387">
      <c r="D387" s="60" t="s">
        <v>737</v>
      </c>
    </row>
    <row r="388">
      <c r="D388" s="60" t="s">
        <v>737</v>
      </c>
    </row>
    <row r="389">
      <c r="D389" s="60" t="s">
        <v>963</v>
      </c>
    </row>
    <row r="390">
      <c r="D390" s="60" t="s">
        <v>963</v>
      </c>
    </row>
    <row r="391">
      <c r="D391" s="60" t="s">
        <v>963</v>
      </c>
    </row>
    <row r="392">
      <c r="D392" s="60" t="s">
        <v>963</v>
      </c>
    </row>
    <row r="393">
      <c r="D393" s="60" t="s">
        <v>963</v>
      </c>
    </row>
    <row r="394">
      <c r="D394" s="60" t="s">
        <v>963</v>
      </c>
    </row>
    <row r="395">
      <c r="D395" s="60" t="s">
        <v>963</v>
      </c>
    </row>
    <row r="396">
      <c r="D396" s="60" t="s">
        <v>963</v>
      </c>
    </row>
    <row r="397">
      <c r="D397" s="60" t="s">
        <v>963</v>
      </c>
    </row>
    <row r="398">
      <c r="D398" s="60" t="s">
        <v>963</v>
      </c>
    </row>
    <row r="399">
      <c r="D399" s="60" t="s">
        <v>963</v>
      </c>
    </row>
    <row r="400">
      <c r="D400" s="60" t="s">
        <v>963</v>
      </c>
    </row>
    <row r="401">
      <c r="D401" s="60" t="s">
        <v>963</v>
      </c>
    </row>
    <row r="402">
      <c r="D402" s="60" t="s">
        <v>963</v>
      </c>
    </row>
    <row r="403">
      <c r="D403" s="60" t="s">
        <v>963</v>
      </c>
    </row>
    <row r="404">
      <c r="D404" s="60" t="s">
        <v>963</v>
      </c>
    </row>
    <row r="405">
      <c r="D405" s="60" t="s">
        <v>963</v>
      </c>
    </row>
    <row r="406">
      <c r="D406" s="60" t="s">
        <v>963</v>
      </c>
    </row>
    <row r="407">
      <c r="D407" s="60" t="s">
        <v>963</v>
      </c>
    </row>
    <row r="408">
      <c r="D408" s="60" t="s">
        <v>963</v>
      </c>
    </row>
    <row r="409">
      <c r="D409" s="60" t="s">
        <v>963</v>
      </c>
    </row>
    <row r="410">
      <c r="D410" s="60" t="s">
        <v>963</v>
      </c>
    </row>
    <row r="411">
      <c r="D411" s="60" t="s">
        <v>963</v>
      </c>
    </row>
    <row r="412">
      <c r="D412" s="60" t="s">
        <v>963</v>
      </c>
    </row>
    <row r="413">
      <c r="D413" s="60" t="s">
        <v>963</v>
      </c>
    </row>
    <row r="414">
      <c r="D414" s="60" t="s">
        <v>963</v>
      </c>
    </row>
    <row r="415">
      <c r="D415" s="60" t="s">
        <v>963</v>
      </c>
    </row>
    <row r="416">
      <c r="D416" s="60" t="s">
        <v>963</v>
      </c>
    </row>
    <row r="417">
      <c r="D417" s="60" t="s">
        <v>963</v>
      </c>
    </row>
    <row r="418">
      <c r="D418" s="60" t="s">
        <v>963</v>
      </c>
    </row>
    <row r="419">
      <c r="D419" s="60" t="s">
        <v>963</v>
      </c>
    </row>
    <row r="420">
      <c r="D420" s="60" t="s">
        <v>963</v>
      </c>
    </row>
    <row r="421">
      <c r="D421" s="60" t="s">
        <v>963</v>
      </c>
    </row>
    <row r="422">
      <c r="D422" s="60" t="s">
        <v>809</v>
      </c>
    </row>
    <row r="423">
      <c r="D423" s="60" t="s">
        <v>809</v>
      </c>
    </row>
    <row r="424">
      <c r="D424" s="60" t="s">
        <v>809</v>
      </c>
    </row>
    <row r="425">
      <c r="D425" s="60" t="s">
        <v>809</v>
      </c>
    </row>
    <row r="426">
      <c r="D426" s="60" t="s">
        <v>809</v>
      </c>
    </row>
    <row r="427">
      <c r="D427" s="60" t="s">
        <v>809</v>
      </c>
    </row>
    <row r="428">
      <c r="D428" s="60" t="s">
        <v>809</v>
      </c>
    </row>
    <row r="429">
      <c r="D429" s="60" t="s">
        <v>809</v>
      </c>
    </row>
    <row r="430">
      <c r="D430" s="60" t="s">
        <v>809</v>
      </c>
    </row>
    <row r="431">
      <c r="D431" s="60" t="s">
        <v>809</v>
      </c>
    </row>
    <row r="432">
      <c r="D432" s="60" t="s">
        <v>809</v>
      </c>
    </row>
    <row r="433">
      <c r="D433" s="60" t="s">
        <v>809</v>
      </c>
    </row>
    <row r="434">
      <c r="D434" s="60" t="s">
        <v>809</v>
      </c>
    </row>
    <row r="435">
      <c r="D435" s="60" t="s">
        <v>809</v>
      </c>
    </row>
    <row r="436">
      <c r="D436" s="60" t="s">
        <v>809</v>
      </c>
    </row>
    <row r="437">
      <c r="D437" s="60" t="s">
        <v>809</v>
      </c>
    </row>
    <row r="438">
      <c r="D438" s="60" t="s">
        <v>809</v>
      </c>
    </row>
    <row r="439">
      <c r="D439" s="60" t="s">
        <v>236</v>
      </c>
    </row>
    <row r="440">
      <c r="D440" s="60" t="s">
        <v>236</v>
      </c>
    </row>
    <row r="441">
      <c r="D441" s="60" t="s">
        <v>236</v>
      </c>
    </row>
    <row r="442">
      <c r="D442" s="60" t="s">
        <v>236</v>
      </c>
    </row>
    <row r="443">
      <c r="D443" s="60" t="s">
        <v>236</v>
      </c>
    </row>
    <row r="444">
      <c r="D444" s="60" t="s">
        <v>236</v>
      </c>
    </row>
    <row r="445">
      <c r="D445" s="60" t="s">
        <v>236</v>
      </c>
    </row>
    <row r="446">
      <c r="D446" s="60" t="s">
        <v>236</v>
      </c>
    </row>
    <row r="447">
      <c r="D447" s="60" t="s">
        <v>236</v>
      </c>
    </row>
    <row r="448">
      <c r="D448" s="60" t="s">
        <v>236</v>
      </c>
    </row>
    <row r="449">
      <c r="D449" s="60" t="s">
        <v>236</v>
      </c>
    </row>
    <row r="450">
      <c r="D450" s="60" t="s">
        <v>236</v>
      </c>
    </row>
    <row r="451">
      <c r="D451" s="60" t="s">
        <v>236</v>
      </c>
    </row>
    <row r="452">
      <c r="D452" s="60" t="s">
        <v>236</v>
      </c>
    </row>
    <row r="453">
      <c r="D453" s="60" t="s">
        <v>236</v>
      </c>
    </row>
    <row r="454">
      <c r="D454" s="60" t="s">
        <v>236</v>
      </c>
    </row>
    <row r="455">
      <c r="D455" s="60" t="s">
        <v>236</v>
      </c>
    </row>
    <row r="456">
      <c r="D456" s="60" t="s">
        <v>995</v>
      </c>
    </row>
    <row r="457">
      <c r="D457" s="60" t="s">
        <v>995</v>
      </c>
    </row>
    <row r="458">
      <c r="D458" s="60" t="s">
        <v>995</v>
      </c>
    </row>
    <row r="459">
      <c r="D459" s="60" t="s">
        <v>995</v>
      </c>
    </row>
    <row r="460">
      <c r="D460" s="60" t="s">
        <v>995</v>
      </c>
    </row>
    <row r="461">
      <c r="D461" s="60" t="s">
        <v>995</v>
      </c>
    </row>
    <row r="462">
      <c r="D462" s="60" t="s">
        <v>995</v>
      </c>
    </row>
    <row r="463">
      <c r="D463" s="60" t="s">
        <v>995</v>
      </c>
    </row>
    <row r="464">
      <c r="D464" s="60" t="s">
        <v>995</v>
      </c>
    </row>
    <row r="465">
      <c r="D465" s="60" t="s">
        <v>995</v>
      </c>
    </row>
    <row r="466">
      <c r="D466" s="60" t="s">
        <v>995</v>
      </c>
    </row>
    <row r="467">
      <c r="D467" s="60" t="s">
        <v>995</v>
      </c>
    </row>
    <row r="468">
      <c r="D468" s="60" t="s">
        <v>995</v>
      </c>
    </row>
    <row r="469">
      <c r="D469" s="60" t="s">
        <v>995</v>
      </c>
    </row>
    <row r="470">
      <c r="D470" s="60" t="s">
        <v>995</v>
      </c>
    </row>
    <row r="471">
      <c r="D471" s="60" t="s">
        <v>995</v>
      </c>
    </row>
    <row r="472">
      <c r="D472" s="60" t="s">
        <v>995</v>
      </c>
    </row>
    <row r="473">
      <c r="D473" s="60" t="s">
        <v>995</v>
      </c>
    </row>
    <row r="474">
      <c r="D474" s="60" t="s">
        <v>995</v>
      </c>
    </row>
    <row r="475">
      <c r="D475" s="60" t="s">
        <v>995</v>
      </c>
    </row>
    <row r="476">
      <c r="D476" s="60" t="s">
        <v>995</v>
      </c>
    </row>
    <row r="477">
      <c r="D477" s="60" t="s">
        <v>6089</v>
      </c>
    </row>
    <row r="478">
      <c r="D478" s="60" t="s">
        <v>6089</v>
      </c>
    </row>
    <row r="479">
      <c r="D479" s="60" t="s">
        <v>6089</v>
      </c>
    </row>
    <row r="480">
      <c r="D480" s="60" t="s">
        <v>6089</v>
      </c>
    </row>
    <row r="481">
      <c r="D481" s="60" t="s">
        <v>6089</v>
      </c>
    </row>
    <row r="482">
      <c r="D482" s="60" t="s">
        <v>6089</v>
      </c>
    </row>
    <row r="483">
      <c r="D483" s="60" t="s">
        <v>6089</v>
      </c>
    </row>
    <row r="484">
      <c r="D484" s="60" t="s">
        <v>6089</v>
      </c>
    </row>
    <row r="485">
      <c r="D485" s="60" t="s">
        <v>6089</v>
      </c>
    </row>
    <row r="486">
      <c r="D486" s="60" t="s">
        <v>6089</v>
      </c>
    </row>
    <row r="487">
      <c r="D487" s="60" t="s">
        <v>6089</v>
      </c>
    </row>
    <row r="488">
      <c r="D488" s="60" t="s">
        <v>6089</v>
      </c>
    </row>
    <row r="489">
      <c r="D489" s="60" t="s">
        <v>6089</v>
      </c>
    </row>
    <row r="490">
      <c r="D490" s="60" t="s">
        <v>6089</v>
      </c>
    </row>
    <row r="491">
      <c r="D491" s="60" t="s">
        <v>6089</v>
      </c>
    </row>
    <row r="492">
      <c r="D492" s="60" t="s">
        <v>6089</v>
      </c>
    </row>
    <row r="493">
      <c r="D493" s="60" t="s">
        <v>6089</v>
      </c>
    </row>
    <row r="494">
      <c r="D494" s="60" t="s">
        <v>6089</v>
      </c>
    </row>
    <row r="495">
      <c r="D495" s="60" t="s">
        <v>6089</v>
      </c>
    </row>
    <row r="496">
      <c r="D496" s="60" t="s">
        <v>6089</v>
      </c>
    </row>
    <row r="497">
      <c r="D497" s="60" t="s">
        <v>6089</v>
      </c>
    </row>
    <row r="498">
      <c r="D498" s="60" t="s">
        <v>4261</v>
      </c>
    </row>
    <row r="499">
      <c r="D499" s="60" t="s">
        <v>4261</v>
      </c>
    </row>
    <row r="500">
      <c r="D500" s="60" t="s">
        <v>4261</v>
      </c>
    </row>
    <row r="501">
      <c r="D501" s="60" t="s">
        <v>4261</v>
      </c>
    </row>
    <row r="502">
      <c r="D502" s="60" t="s">
        <v>4261</v>
      </c>
    </row>
    <row r="503">
      <c r="D503" s="60" t="s">
        <v>4261</v>
      </c>
    </row>
    <row r="504">
      <c r="D504" s="60" t="s">
        <v>4261</v>
      </c>
    </row>
    <row r="505">
      <c r="D505" s="60" t="s">
        <v>4261</v>
      </c>
    </row>
    <row r="506">
      <c r="D506" s="60" t="s">
        <v>4261</v>
      </c>
    </row>
    <row r="507">
      <c r="D507" s="60" t="s">
        <v>4261</v>
      </c>
    </row>
    <row r="508">
      <c r="D508" s="60" t="s">
        <v>4261</v>
      </c>
    </row>
    <row r="509">
      <c r="D509" s="60" t="s">
        <v>4261</v>
      </c>
    </row>
    <row r="510">
      <c r="D510" s="60" t="s">
        <v>4261</v>
      </c>
    </row>
    <row r="511">
      <c r="D511" s="60" t="s">
        <v>4261</v>
      </c>
    </row>
    <row r="512">
      <c r="D512" s="60" t="s">
        <v>4261</v>
      </c>
    </row>
    <row r="513">
      <c r="D513" s="60" t="s">
        <v>4261</v>
      </c>
    </row>
    <row r="514">
      <c r="D514" s="60" t="s">
        <v>4261</v>
      </c>
    </row>
    <row r="515">
      <c r="D515" s="60" t="s">
        <v>4261</v>
      </c>
    </row>
    <row r="516">
      <c r="D516" s="60" t="s">
        <v>4261</v>
      </c>
    </row>
    <row r="517">
      <c r="D517" s="60" t="s">
        <v>4261</v>
      </c>
    </row>
    <row r="518">
      <c r="D518" s="60" t="s">
        <v>4261</v>
      </c>
    </row>
    <row r="519">
      <c r="D519" s="60" t="s">
        <v>4565</v>
      </c>
    </row>
    <row r="520">
      <c r="D520" s="60" t="s">
        <v>4565</v>
      </c>
    </row>
    <row r="521">
      <c r="D521" s="60" t="s">
        <v>4565</v>
      </c>
    </row>
    <row r="522">
      <c r="D522" s="60" t="s">
        <v>4565</v>
      </c>
    </row>
    <row r="523">
      <c r="D523" s="60" t="s">
        <v>4565</v>
      </c>
    </row>
    <row r="524">
      <c r="D524" s="60" t="s">
        <v>4565</v>
      </c>
    </row>
    <row r="525">
      <c r="D525" s="60" t="s">
        <v>4565</v>
      </c>
    </row>
    <row r="526">
      <c r="D526" s="60" t="s">
        <v>4565</v>
      </c>
    </row>
    <row r="527">
      <c r="D527" s="60" t="s">
        <v>4565</v>
      </c>
    </row>
    <row r="528">
      <c r="D528" s="60" t="s">
        <v>4565</v>
      </c>
    </row>
    <row r="529">
      <c r="D529" s="60" t="s">
        <v>4565</v>
      </c>
    </row>
    <row r="530">
      <c r="D530" s="60" t="s">
        <v>4565</v>
      </c>
    </row>
    <row r="531">
      <c r="D531" s="60" t="s">
        <v>4565</v>
      </c>
    </row>
    <row r="532">
      <c r="D532" s="60" t="s">
        <v>4565</v>
      </c>
    </row>
    <row r="533">
      <c r="D533" s="60" t="s">
        <v>4565</v>
      </c>
    </row>
    <row r="534">
      <c r="D534" s="60" t="s">
        <v>4565</v>
      </c>
    </row>
    <row r="535">
      <c r="D535" s="60" t="s">
        <v>4565</v>
      </c>
    </row>
    <row r="536">
      <c r="D536" s="60" t="s">
        <v>4565</v>
      </c>
    </row>
    <row r="537">
      <c r="D537" s="60" t="s">
        <v>4565</v>
      </c>
    </row>
    <row r="538">
      <c r="D538" s="60" t="s">
        <v>4565</v>
      </c>
    </row>
    <row r="539">
      <c r="D539" s="60" t="s">
        <v>4565</v>
      </c>
    </row>
    <row r="540">
      <c r="D540" s="60" t="s">
        <v>7253</v>
      </c>
    </row>
    <row r="541">
      <c r="D541" s="60" t="s">
        <v>7253</v>
      </c>
    </row>
    <row r="542">
      <c r="D542" s="60" t="s">
        <v>7253</v>
      </c>
    </row>
    <row r="543">
      <c r="D543" s="60" t="s">
        <v>7253</v>
      </c>
    </row>
    <row r="544">
      <c r="D544" s="60" t="s">
        <v>7253</v>
      </c>
    </row>
    <row r="545">
      <c r="D545" s="60" t="s">
        <v>7253</v>
      </c>
    </row>
    <row r="546">
      <c r="D546" s="60" t="s">
        <v>7253</v>
      </c>
    </row>
    <row r="547">
      <c r="D547" s="60" t="s">
        <v>7253</v>
      </c>
    </row>
    <row r="548">
      <c r="D548" s="60" t="s">
        <v>7253</v>
      </c>
    </row>
    <row r="549">
      <c r="D549" s="60" t="s">
        <v>7253</v>
      </c>
    </row>
    <row r="550">
      <c r="D550" s="60" t="s">
        <v>7253</v>
      </c>
    </row>
    <row r="551">
      <c r="D551" s="60" t="s">
        <v>7253</v>
      </c>
    </row>
    <row r="552">
      <c r="D552" s="60" t="s">
        <v>7253</v>
      </c>
    </row>
    <row r="553">
      <c r="D553" s="60" t="s">
        <v>7253</v>
      </c>
    </row>
    <row r="554">
      <c r="D554" s="60" t="s">
        <v>7253</v>
      </c>
    </row>
    <row r="555">
      <c r="D555" s="60" t="s">
        <v>7253</v>
      </c>
    </row>
    <row r="556">
      <c r="D556" s="60" t="s">
        <v>7253</v>
      </c>
    </row>
    <row r="557">
      <c r="D557" s="60" t="s">
        <v>7253</v>
      </c>
    </row>
    <row r="558">
      <c r="D558" s="60" t="s">
        <v>7253</v>
      </c>
    </row>
    <row r="559">
      <c r="D559" s="60" t="s">
        <v>6112</v>
      </c>
    </row>
    <row r="560">
      <c r="D560" s="60" t="s">
        <v>6112</v>
      </c>
    </row>
    <row r="561">
      <c r="D561" s="60" t="s">
        <v>6112</v>
      </c>
    </row>
    <row r="562">
      <c r="D562" s="60" t="s">
        <v>6112</v>
      </c>
    </row>
    <row r="563">
      <c r="D563" s="60" t="s">
        <v>6112</v>
      </c>
    </row>
    <row r="564">
      <c r="D564" s="60" t="s">
        <v>6112</v>
      </c>
    </row>
    <row r="565">
      <c r="D565" s="60" t="s">
        <v>6112</v>
      </c>
    </row>
    <row r="566">
      <c r="D566" s="60" t="s">
        <v>6112</v>
      </c>
    </row>
    <row r="567">
      <c r="D567" s="60" t="s">
        <v>6112</v>
      </c>
    </row>
    <row r="568">
      <c r="D568" s="60" t="s">
        <v>6112</v>
      </c>
    </row>
    <row r="569">
      <c r="D569" s="60" t="s">
        <v>6112</v>
      </c>
    </row>
    <row r="570">
      <c r="D570" s="60" t="s">
        <v>6112</v>
      </c>
    </row>
    <row r="571">
      <c r="D571" s="60" t="s">
        <v>6112</v>
      </c>
    </row>
    <row r="572">
      <c r="D572" s="60" t="s">
        <v>6112</v>
      </c>
    </row>
    <row r="573">
      <c r="D573" s="60" t="s">
        <v>6112</v>
      </c>
    </row>
    <row r="574">
      <c r="D574" s="60" t="s">
        <v>6112</v>
      </c>
    </row>
    <row r="575">
      <c r="D575" s="60" t="s">
        <v>6112</v>
      </c>
    </row>
    <row r="576">
      <c r="D576" s="60" t="s">
        <v>6112</v>
      </c>
    </row>
    <row r="577">
      <c r="D577" s="60" t="s">
        <v>6112</v>
      </c>
    </row>
    <row r="578">
      <c r="D578" s="60" t="s">
        <v>7333</v>
      </c>
    </row>
    <row r="579">
      <c r="D579" s="60" t="s">
        <v>7333</v>
      </c>
    </row>
    <row r="580">
      <c r="D580" s="60" t="s">
        <v>7333</v>
      </c>
    </row>
    <row r="581">
      <c r="D581" s="60" t="s">
        <v>7333</v>
      </c>
    </row>
    <row r="582">
      <c r="D582" s="60" t="s">
        <v>7333</v>
      </c>
    </row>
    <row r="583">
      <c r="D583" s="60" t="s">
        <v>7333</v>
      </c>
    </row>
    <row r="584">
      <c r="D584" s="60" t="s">
        <v>7333</v>
      </c>
    </row>
    <row r="585">
      <c r="D585" s="60" t="s">
        <v>7333</v>
      </c>
    </row>
    <row r="586">
      <c r="D586" s="60" t="s">
        <v>7333</v>
      </c>
    </row>
    <row r="587">
      <c r="D587" s="60" t="s">
        <v>7333</v>
      </c>
    </row>
    <row r="588">
      <c r="D588" s="60" t="s">
        <v>7333</v>
      </c>
    </row>
    <row r="589">
      <c r="D589" s="60" t="s">
        <v>7333</v>
      </c>
    </row>
    <row r="590">
      <c r="D590" s="60" t="s">
        <v>7333</v>
      </c>
    </row>
    <row r="591">
      <c r="D591" s="60" t="s">
        <v>7333</v>
      </c>
    </row>
    <row r="592">
      <c r="D592" s="60" t="s">
        <v>7333</v>
      </c>
    </row>
    <row r="593">
      <c r="D593" s="60" t="s">
        <v>7333</v>
      </c>
    </row>
    <row r="594">
      <c r="D594" s="60" t="s">
        <v>7333</v>
      </c>
    </row>
    <row r="595">
      <c r="D595" s="60" t="s">
        <v>7333</v>
      </c>
    </row>
    <row r="596">
      <c r="D596" s="60" t="s">
        <v>7371</v>
      </c>
    </row>
    <row r="597">
      <c r="D597" s="60" t="s">
        <v>7371</v>
      </c>
    </row>
    <row r="598">
      <c r="D598" s="60" t="s">
        <v>7371</v>
      </c>
    </row>
    <row r="599">
      <c r="D599" s="60" t="s">
        <v>7371</v>
      </c>
    </row>
    <row r="600">
      <c r="D600" s="60" t="s">
        <v>7371</v>
      </c>
    </row>
    <row r="601">
      <c r="D601" s="60" t="s">
        <v>7371</v>
      </c>
    </row>
    <row r="602">
      <c r="D602" s="60" t="s">
        <v>7371</v>
      </c>
    </row>
    <row r="603">
      <c r="D603" s="60" t="s">
        <v>7371</v>
      </c>
    </row>
    <row r="604">
      <c r="D604" s="60" t="s">
        <v>7371</v>
      </c>
    </row>
    <row r="605">
      <c r="D605" s="60" t="s">
        <v>7371</v>
      </c>
    </row>
    <row r="606">
      <c r="D606" s="60" t="s">
        <v>7371</v>
      </c>
    </row>
    <row r="607">
      <c r="D607" s="60" t="s">
        <v>7371</v>
      </c>
    </row>
    <row r="608">
      <c r="D608" s="60" t="s">
        <v>7371</v>
      </c>
    </row>
    <row r="609">
      <c r="D609" s="60" t="s">
        <v>7371</v>
      </c>
    </row>
    <row r="610">
      <c r="D610" s="60" t="s">
        <v>7371</v>
      </c>
    </row>
    <row r="611">
      <c r="D611" s="60" t="s">
        <v>7371</v>
      </c>
    </row>
    <row r="612">
      <c r="D612" s="60" t="s">
        <v>7371</v>
      </c>
    </row>
    <row r="613">
      <c r="D613" s="60" t="s">
        <v>7371</v>
      </c>
    </row>
    <row r="614">
      <c r="D614" s="60" t="s">
        <v>7409</v>
      </c>
    </row>
    <row r="615">
      <c r="D615" s="60" t="s">
        <v>7409</v>
      </c>
    </row>
    <row r="616">
      <c r="D616" s="60" t="s">
        <v>7409</v>
      </c>
    </row>
    <row r="617">
      <c r="D617" s="60" t="s">
        <v>7409</v>
      </c>
    </row>
    <row r="618">
      <c r="D618" s="60" t="s">
        <v>7409</v>
      </c>
    </row>
    <row r="619">
      <c r="D619" s="60" t="s">
        <v>7409</v>
      </c>
    </row>
    <row r="620">
      <c r="D620" s="60" t="s">
        <v>7409</v>
      </c>
    </row>
    <row r="621">
      <c r="D621" s="60" t="s">
        <v>7409</v>
      </c>
    </row>
    <row r="622">
      <c r="D622" s="60" t="s">
        <v>7409</v>
      </c>
    </row>
    <row r="623">
      <c r="D623" s="60" t="s">
        <v>7409</v>
      </c>
    </row>
    <row r="624">
      <c r="D624" s="60" t="s">
        <v>7409</v>
      </c>
    </row>
    <row r="625">
      <c r="D625" s="60" t="s">
        <v>7409</v>
      </c>
    </row>
    <row r="626">
      <c r="D626" s="60" t="s">
        <v>7409</v>
      </c>
    </row>
    <row r="627">
      <c r="D627" s="60" t="s">
        <v>7409</v>
      </c>
    </row>
    <row r="628">
      <c r="D628" s="60" t="s">
        <v>7409</v>
      </c>
    </row>
    <row r="629">
      <c r="D629" s="60" t="s">
        <v>7409</v>
      </c>
    </row>
    <row r="630">
      <c r="D630" s="60" t="s">
        <v>7409</v>
      </c>
    </row>
    <row r="631">
      <c r="D631" s="60" t="s">
        <v>7409</v>
      </c>
    </row>
    <row r="632">
      <c r="D632" s="60" t="s">
        <v>7446</v>
      </c>
    </row>
    <row r="633">
      <c r="D633" s="60" t="s">
        <v>7446</v>
      </c>
    </row>
    <row r="634">
      <c r="D634" s="60" t="s">
        <v>7446</v>
      </c>
    </row>
    <row r="635">
      <c r="D635" s="60" t="s">
        <v>7446</v>
      </c>
    </row>
    <row r="636">
      <c r="D636" s="60" t="s">
        <v>7446</v>
      </c>
    </row>
    <row r="637">
      <c r="D637" s="60" t="s">
        <v>7446</v>
      </c>
    </row>
    <row r="638">
      <c r="D638" s="60" t="s">
        <v>7446</v>
      </c>
    </row>
    <row r="639">
      <c r="D639" s="60" t="s">
        <v>7446</v>
      </c>
    </row>
    <row r="640">
      <c r="D640" s="60" t="s">
        <v>7446</v>
      </c>
    </row>
    <row r="641">
      <c r="D641" s="60" t="s">
        <v>7446</v>
      </c>
    </row>
    <row r="642">
      <c r="D642" s="60" t="s">
        <v>7446</v>
      </c>
    </row>
    <row r="643">
      <c r="D643" s="60" t="s">
        <v>7446</v>
      </c>
    </row>
    <row r="644">
      <c r="D644" s="60" t="s">
        <v>7446</v>
      </c>
    </row>
    <row r="645">
      <c r="D645" s="60" t="s">
        <v>7446</v>
      </c>
    </row>
    <row r="646">
      <c r="D646" s="60" t="s">
        <v>7446</v>
      </c>
    </row>
    <row r="647">
      <c r="D647" s="60" t="s">
        <v>7446</v>
      </c>
    </row>
    <row r="648">
      <c r="D648" s="60" t="s">
        <v>7446</v>
      </c>
    </row>
    <row r="649">
      <c r="D649" s="60" t="s">
        <v>7446</v>
      </c>
    </row>
    <row r="650">
      <c r="D650" s="60" t="s">
        <v>4639</v>
      </c>
    </row>
    <row r="651">
      <c r="D651" s="60" t="s">
        <v>4639</v>
      </c>
    </row>
    <row r="652">
      <c r="D652" s="60" t="s">
        <v>4639</v>
      </c>
    </row>
    <row r="653">
      <c r="D653" s="60" t="s">
        <v>4639</v>
      </c>
    </row>
    <row r="654">
      <c r="D654" s="60" t="s">
        <v>4639</v>
      </c>
    </row>
    <row r="655">
      <c r="D655" s="60" t="s">
        <v>4639</v>
      </c>
    </row>
    <row r="656">
      <c r="D656" s="60" t="s">
        <v>4639</v>
      </c>
    </row>
    <row r="657">
      <c r="D657" s="60" t="s">
        <v>4639</v>
      </c>
    </row>
    <row r="658">
      <c r="D658" s="60" t="s">
        <v>4639</v>
      </c>
    </row>
    <row r="659">
      <c r="D659" s="60" t="s">
        <v>4639</v>
      </c>
    </row>
    <row r="660">
      <c r="D660" s="60" t="s">
        <v>4639</v>
      </c>
    </row>
    <row r="661">
      <c r="D661" s="60" t="s">
        <v>4639</v>
      </c>
    </row>
    <row r="662">
      <c r="D662" s="60" t="s">
        <v>4639</v>
      </c>
    </row>
    <row r="663">
      <c r="D663" s="60" t="s">
        <v>4639</v>
      </c>
    </row>
    <row r="664">
      <c r="D664" s="60" t="s">
        <v>4639</v>
      </c>
    </row>
    <row r="665">
      <c r="D665" s="60" t="s">
        <v>4639</v>
      </c>
    </row>
    <row r="666">
      <c r="D666" s="60" t="s">
        <v>4639</v>
      </c>
    </row>
    <row r="667">
      <c r="D667" s="60" t="s">
        <v>7520</v>
      </c>
    </row>
    <row r="668">
      <c r="D668" s="60" t="s">
        <v>7520</v>
      </c>
    </row>
    <row r="669">
      <c r="D669" s="60" t="s">
        <v>7520</v>
      </c>
    </row>
    <row r="670">
      <c r="D670" s="60" t="s">
        <v>7520</v>
      </c>
    </row>
    <row r="671">
      <c r="D671" s="60" t="s">
        <v>7520</v>
      </c>
    </row>
    <row r="672">
      <c r="D672" s="60" t="s">
        <v>7520</v>
      </c>
    </row>
    <row r="673">
      <c r="D673" s="60" t="s">
        <v>7520</v>
      </c>
    </row>
    <row r="674">
      <c r="D674" s="60" t="s">
        <v>7520</v>
      </c>
    </row>
    <row r="675">
      <c r="D675" s="60" t="s">
        <v>7520</v>
      </c>
    </row>
    <row r="676">
      <c r="D676" s="60" t="s">
        <v>7520</v>
      </c>
    </row>
    <row r="677">
      <c r="D677" s="60" t="s">
        <v>7520</v>
      </c>
    </row>
    <row r="678">
      <c r="D678" s="60" t="s">
        <v>7520</v>
      </c>
    </row>
    <row r="679">
      <c r="D679" s="60" t="s">
        <v>7520</v>
      </c>
    </row>
    <row r="680">
      <c r="D680" s="60" t="s">
        <v>7520</v>
      </c>
    </row>
    <row r="681">
      <c r="D681" s="60" t="s">
        <v>7520</v>
      </c>
    </row>
    <row r="682">
      <c r="D682" s="60" t="s">
        <v>7520</v>
      </c>
    </row>
    <row r="683">
      <c r="D683" s="60" t="s">
        <v>7520</v>
      </c>
    </row>
    <row r="684">
      <c r="D684" s="60" t="s">
        <v>7554</v>
      </c>
    </row>
    <row r="685">
      <c r="D685" s="60" t="s">
        <v>7554</v>
      </c>
    </row>
    <row r="686">
      <c r="D686" s="60" t="s">
        <v>7554</v>
      </c>
    </row>
    <row r="687">
      <c r="D687" s="60" t="s">
        <v>7554</v>
      </c>
    </row>
    <row r="688">
      <c r="D688" s="60" t="s">
        <v>7554</v>
      </c>
    </row>
    <row r="689">
      <c r="D689" s="60" t="s">
        <v>7554</v>
      </c>
    </row>
    <row r="690">
      <c r="D690" s="60" t="s">
        <v>7554</v>
      </c>
    </row>
    <row r="691">
      <c r="D691" s="60" t="s">
        <v>7554</v>
      </c>
    </row>
    <row r="692">
      <c r="D692" s="60" t="s">
        <v>7554</v>
      </c>
    </row>
    <row r="693">
      <c r="D693" s="60" t="s">
        <v>7554</v>
      </c>
    </row>
    <row r="694">
      <c r="D694" s="60" t="s">
        <v>7554</v>
      </c>
    </row>
    <row r="695">
      <c r="D695" s="60" t="s">
        <v>7554</v>
      </c>
    </row>
    <row r="696">
      <c r="D696" s="60" t="s">
        <v>7554</v>
      </c>
    </row>
    <row r="697">
      <c r="D697" s="60" t="s">
        <v>7554</v>
      </c>
    </row>
    <row r="698">
      <c r="D698" s="60" t="s">
        <v>7554</v>
      </c>
    </row>
    <row r="699">
      <c r="D699" s="60" t="s">
        <v>7554</v>
      </c>
    </row>
    <row r="700">
      <c r="D700" s="60" t="s">
        <v>7554</v>
      </c>
    </row>
    <row r="701">
      <c r="D701" s="60" t="s">
        <v>7591</v>
      </c>
    </row>
    <row r="702">
      <c r="D702" s="60" t="s">
        <v>7591</v>
      </c>
    </row>
    <row r="703">
      <c r="D703" s="60" t="s">
        <v>7591</v>
      </c>
    </row>
    <row r="704">
      <c r="D704" s="60" t="s">
        <v>7591</v>
      </c>
    </row>
    <row r="705">
      <c r="D705" s="60" t="s">
        <v>7591</v>
      </c>
    </row>
    <row r="706">
      <c r="D706" s="60" t="s">
        <v>7591</v>
      </c>
    </row>
    <row r="707">
      <c r="D707" s="60" t="s">
        <v>7591</v>
      </c>
    </row>
    <row r="708">
      <c r="D708" s="60" t="s">
        <v>7591</v>
      </c>
    </row>
    <row r="709">
      <c r="D709" s="60" t="s">
        <v>7591</v>
      </c>
    </row>
    <row r="710">
      <c r="D710" s="60" t="s">
        <v>7591</v>
      </c>
    </row>
    <row r="711">
      <c r="D711" s="60" t="s">
        <v>7591</v>
      </c>
    </row>
    <row r="712">
      <c r="D712" s="60" t="s">
        <v>7591</v>
      </c>
    </row>
    <row r="713">
      <c r="D713" s="60" t="s">
        <v>7591</v>
      </c>
    </row>
    <row r="714">
      <c r="D714" s="60" t="s">
        <v>7591</v>
      </c>
    </row>
    <row r="715">
      <c r="D715" s="60" t="s">
        <v>7591</v>
      </c>
    </row>
    <row r="716">
      <c r="D716" s="60" t="s">
        <v>7591</v>
      </c>
    </row>
    <row r="717">
      <c r="D717" s="60" t="s">
        <v>7591</v>
      </c>
    </row>
    <row r="718">
      <c r="D718" s="60" t="s">
        <v>3767</v>
      </c>
    </row>
    <row r="719">
      <c r="D719" s="60" t="s">
        <v>3767</v>
      </c>
    </row>
    <row r="720">
      <c r="D720" s="60" t="s">
        <v>3767</v>
      </c>
    </row>
    <row r="721">
      <c r="D721" s="60" t="s">
        <v>3767</v>
      </c>
    </row>
    <row r="722">
      <c r="D722" s="60" t="s">
        <v>3767</v>
      </c>
    </row>
    <row r="723">
      <c r="D723" s="60" t="s">
        <v>3767</v>
      </c>
    </row>
    <row r="724">
      <c r="D724" s="60" t="s">
        <v>3767</v>
      </c>
    </row>
    <row r="725">
      <c r="D725" s="60" t="s">
        <v>3767</v>
      </c>
    </row>
    <row r="726">
      <c r="D726" s="60" t="s">
        <v>3767</v>
      </c>
    </row>
    <row r="727">
      <c r="D727" s="60" t="s">
        <v>3767</v>
      </c>
    </row>
    <row r="728">
      <c r="D728" s="60" t="s">
        <v>3767</v>
      </c>
    </row>
    <row r="729">
      <c r="D729" s="60" t="s">
        <v>3767</v>
      </c>
    </row>
    <row r="730">
      <c r="D730" s="60" t="s">
        <v>3767</v>
      </c>
    </row>
    <row r="731">
      <c r="D731" s="60" t="s">
        <v>3767</v>
      </c>
    </row>
    <row r="732">
      <c r="D732" s="60" t="s">
        <v>7657</v>
      </c>
    </row>
    <row r="733">
      <c r="D733" s="60" t="s">
        <v>7657</v>
      </c>
    </row>
    <row r="734">
      <c r="D734" s="60" t="s">
        <v>7657</v>
      </c>
    </row>
    <row r="735">
      <c r="D735" s="60" t="s">
        <v>7657</v>
      </c>
    </row>
    <row r="736">
      <c r="D736" s="60" t="s">
        <v>7657</v>
      </c>
    </row>
    <row r="737">
      <c r="D737" s="60" t="s">
        <v>7657</v>
      </c>
    </row>
    <row r="738">
      <c r="D738" s="60" t="s">
        <v>7657</v>
      </c>
    </row>
    <row r="739">
      <c r="D739" s="60" t="s">
        <v>7657</v>
      </c>
    </row>
    <row r="740">
      <c r="D740" s="60" t="s">
        <v>7657</v>
      </c>
    </row>
    <row r="741">
      <c r="D741" s="60" t="s">
        <v>7657</v>
      </c>
    </row>
    <row r="742">
      <c r="D742" s="60" t="s">
        <v>7657</v>
      </c>
    </row>
    <row r="743">
      <c r="D743" s="60" t="s">
        <v>7657</v>
      </c>
    </row>
    <row r="744">
      <c r="D744" s="60" t="s">
        <v>7657</v>
      </c>
    </row>
    <row r="745">
      <c r="D745" s="60" t="s">
        <v>7685</v>
      </c>
    </row>
    <row r="746">
      <c r="D746" s="60" t="s">
        <v>7685</v>
      </c>
    </row>
    <row r="747">
      <c r="D747" s="60" t="s">
        <v>7685</v>
      </c>
    </row>
    <row r="748">
      <c r="D748" s="60" t="s">
        <v>7685</v>
      </c>
    </row>
    <row r="749">
      <c r="D749" s="60" t="s">
        <v>7685</v>
      </c>
    </row>
    <row r="750">
      <c r="D750" s="60" t="s">
        <v>7685</v>
      </c>
    </row>
    <row r="751">
      <c r="D751" s="60" t="s">
        <v>7685</v>
      </c>
    </row>
    <row r="752">
      <c r="D752" s="60" t="s">
        <v>7685</v>
      </c>
    </row>
    <row r="753">
      <c r="D753" s="60" t="s">
        <v>7685</v>
      </c>
    </row>
    <row r="754">
      <c r="D754" s="60" t="s">
        <v>7685</v>
      </c>
    </row>
    <row r="755">
      <c r="D755" s="60" t="s">
        <v>7685</v>
      </c>
    </row>
    <row r="756">
      <c r="D756" s="60" t="s">
        <v>7685</v>
      </c>
    </row>
    <row r="757">
      <c r="D757" s="60" t="s">
        <v>7685</v>
      </c>
    </row>
    <row r="758">
      <c r="D758" s="60" t="s">
        <v>352</v>
      </c>
    </row>
    <row r="759">
      <c r="D759" s="60" t="s">
        <v>352</v>
      </c>
    </row>
    <row r="760">
      <c r="D760" s="60" t="s">
        <v>352</v>
      </c>
    </row>
    <row r="761">
      <c r="D761" s="60" t="s">
        <v>352</v>
      </c>
    </row>
    <row r="762">
      <c r="D762" s="60" t="s">
        <v>352</v>
      </c>
    </row>
    <row r="763">
      <c r="D763" s="60" t="s">
        <v>352</v>
      </c>
    </row>
    <row r="764">
      <c r="D764" s="60" t="s">
        <v>352</v>
      </c>
    </row>
    <row r="765">
      <c r="D765" s="60" t="s">
        <v>352</v>
      </c>
    </row>
    <row r="766">
      <c r="D766" s="60" t="s">
        <v>352</v>
      </c>
    </row>
    <row r="767">
      <c r="D767" s="60" t="s">
        <v>352</v>
      </c>
    </row>
    <row r="768">
      <c r="D768" s="60" t="s">
        <v>352</v>
      </c>
    </row>
    <row r="769">
      <c r="D769" s="60" t="s">
        <v>352</v>
      </c>
    </row>
    <row r="770">
      <c r="D770" s="203">
        <v>90.0</v>
      </c>
    </row>
    <row r="771">
      <c r="D771" s="203">
        <v>100.0</v>
      </c>
    </row>
    <row r="772">
      <c r="D772" s="203">
        <v>110.0</v>
      </c>
    </row>
    <row r="773">
      <c r="D773" s="203">
        <v>120.0</v>
      </c>
    </row>
    <row r="774">
      <c r="D774" s="203">
        <v>130.0</v>
      </c>
    </row>
    <row r="775">
      <c r="D775" s="203">
        <v>140.0</v>
      </c>
    </row>
    <row r="776">
      <c r="D776" s="203">
        <v>150.0</v>
      </c>
    </row>
    <row r="777">
      <c r="D777" s="203">
        <v>160.0</v>
      </c>
    </row>
    <row r="778">
      <c r="D778" s="203">
        <v>170.0</v>
      </c>
    </row>
    <row r="779">
      <c r="D779" s="203">
        <v>180.0</v>
      </c>
    </row>
    <row r="780">
      <c r="D780" s="203">
        <v>190.0</v>
      </c>
    </row>
    <row r="781">
      <c r="D781" s="203">
        <v>200.0</v>
      </c>
    </row>
    <row r="782">
      <c r="D782" s="203">
        <v>210.0</v>
      </c>
    </row>
    <row r="783">
      <c r="D783" s="86"/>
    </row>
    <row r="784">
      <c r="D784" s="86"/>
    </row>
    <row r="785">
      <c r="D785" s="86"/>
    </row>
    <row r="786">
      <c r="D786" s="86"/>
    </row>
    <row r="787">
      <c r="D787" s="86"/>
    </row>
    <row r="788">
      <c r="D788" s="86"/>
    </row>
    <row r="789">
      <c r="D789" s="86"/>
    </row>
    <row r="790">
      <c r="D790" s="86"/>
    </row>
    <row r="791">
      <c r="D791" s="86"/>
    </row>
    <row r="792">
      <c r="D792" s="86"/>
    </row>
    <row r="793">
      <c r="D793" s="86"/>
    </row>
    <row r="794">
      <c r="D794" s="86"/>
    </row>
    <row r="795">
      <c r="D795" s="86"/>
    </row>
    <row r="796">
      <c r="D796" s="86"/>
    </row>
    <row r="797">
      <c r="D797" s="86"/>
    </row>
    <row r="798">
      <c r="D798" s="86"/>
    </row>
    <row r="799">
      <c r="D799" s="86"/>
    </row>
    <row r="800">
      <c r="D800" s="86"/>
    </row>
    <row r="801">
      <c r="D801" s="86"/>
    </row>
    <row r="802">
      <c r="D802" s="86"/>
    </row>
    <row r="803">
      <c r="D803" s="86"/>
    </row>
    <row r="804">
      <c r="D804" s="86"/>
    </row>
    <row r="805">
      <c r="D805" s="86"/>
    </row>
    <row r="806">
      <c r="D806" s="86"/>
    </row>
    <row r="807">
      <c r="D807" s="86"/>
    </row>
    <row r="808">
      <c r="D808" s="86"/>
    </row>
    <row r="809">
      <c r="D809" s="86"/>
    </row>
    <row r="810">
      <c r="D810" s="86"/>
    </row>
    <row r="811">
      <c r="D811" s="86"/>
    </row>
    <row r="812">
      <c r="D812" s="86"/>
    </row>
    <row r="813">
      <c r="D813" s="86"/>
    </row>
    <row r="814">
      <c r="D814" s="86"/>
    </row>
    <row r="815">
      <c r="D815" s="86"/>
    </row>
    <row r="816">
      <c r="D816" s="86"/>
    </row>
    <row r="817">
      <c r="D817" s="86"/>
    </row>
    <row r="818">
      <c r="D818" s="86"/>
    </row>
    <row r="819">
      <c r="D819" s="86"/>
    </row>
    <row r="820">
      <c r="D820" s="86"/>
    </row>
    <row r="821">
      <c r="D821" s="86"/>
    </row>
    <row r="822">
      <c r="D822" s="86"/>
    </row>
    <row r="823">
      <c r="D823" s="86"/>
    </row>
    <row r="824">
      <c r="D824" s="86"/>
    </row>
    <row r="825">
      <c r="D825" s="86"/>
    </row>
    <row r="826">
      <c r="D826" s="86"/>
    </row>
    <row r="827">
      <c r="D827" s="86"/>
    </row>
    <row r="828">
      <c r="D828" s="86"/>
    </row>
    <row r="829">
      <c r="D829" s="86"/>
    </row>
    <row r="830">
      <c r="D830" s="86"/>
    </row>
    <row r="831">
      <c r="D831" s="86"/>
    </row>
    <row r="832">
      <c r="D832" s="86"/>
    </row>
    <row r="833">
      <c r="D833" s="86"/>
    </row>
    <row r="834">
      <c r="D834" s="86"/>
    </row>
    <row r="835">
      <c r="D835" s="86"/>
    </row>
    <row r="836">
      <c r="D836" s="86"/>
    </row>
    <row r="837">
      <c r="D837" s="86"/>
    </row>
    <row r="838">
      <c r="D838" s="86"/>
    </row>
    <row r="839">
      <c r="D839" s="86"/>
    </row>
    <row r="840">
      <c r="D840" s="86"/>
    </row>
    <row r="841">
      <c r="D841" s="86"/>
    </row>
    <row r="842">
      <c r="D842" s="86"/>
    </row>
    <row r="843">
      <c r="D843" s="86"/>
    </row>
    <row r="844">
      <c r="D844" s="86"/>
    </row>
    <row r="845">
      <c r="D845" s="86"/>
    </row>
    <row r="846">
      <c r="D846" s="86"/>
    </row>
    <row r="847">
      <c r="D847" s="86"/>
    </row>
    <row r="848">
      <c r="D848" s="86"/>
    </row>
    <row r="849">
      <c r="D849" s="86"/>
    </row>
    <row r="850">
      <c r="D850" s="86"/>
    </row>
    <row r="851">
      <c r="D851" s="86"/>
    </row>
    <row r="852">
      <c r="D852" s="86"/>
    </row>
    <row r="853">
      <c r="D853" s="86"/>
    </row>
    <row r="854">
      <c r="D854" s="86"/>
    </row>
    <row r="855">
      <c r="D855" s="86"/>
    </row>
    <row r="856">
      <c r="D856" s="86"/>
    </row>
    <row r="857">
      <c r="D857" s="86"/>
    </row>
    <row r="858">
      <c r="D858" s="86"/>
    </row>
    <row r="859">
      <c r="D859" s="86"/>
    </row>
    <row r="860">
      <c r="D860" s="86"/>
    </row>
    <row r="861">
      <c r="D861" s="86"/>
    </row>
    <row r="862">
      <c r="D862" s="86"/>
    </row>
    <row r="863">
      <c r="D863" s="86"/>
    </row>
    <row r="864">
      <c r="D864" s="86"/>
    </row>
    <row r="865">
      <c r="D865" s="86"/>
    </row>
    <row r="866">
      <c r="D866" s="86"/>
    </row>
    <row r="867">
      <c r="D867" s="86"/>
    </row>
    <row r="868">
      <c r="D868" s="86"/>
    </row>
    <row r="869">
      <c r="D869" s="86"/>
    </row>
    <row r="870">
      <c r="D870" s="86"/>
    </row>
    <row r="871">
      <c r="D871" s="86"/>
    </row>
    <row r="872">
      <c r="D872" s="86"/>
    </row>
    <row r="873">
      <c r="D873" s="86"/>
    </row>
    <row r="874">
      <c r="D874" s="86"/>
    </row>
    <row r="875">
      <c r="D875" s="86"/>
    </row>
    <row r="876">
      <c r="D876" s="86"/>
    </row>
    <row r="877">
      <c r="D877" s="86"/>
    </row>
    <row r="878">
      <c r="D878" s="86"/>
    </row>
    <row r="879">
      <c r="D879" s="86"/>
    </row>
    <row r="880">
      <c r="D880" s="86"/>
    </row>
    <row r="881">
      <c r="D881" s="86"/>
    </row>
    <row r="882">
      <c r="D882" s="86"/>
    </row>
    <row r="883">
      <c r="D883" s="86"/>
    </row>
    <row r="884">
      <c r="D884" s="86"/>
    </row>
    <row r="885">
      <c r="D885" s="86"/>
    </row>
    <row r="886">
      <c r="D886" s="86"/>
    </row>
    <row r="887">
      <c r="D887" s="86"/>
    </row>
    <row r="888">
      <c r="D888" s="86"/>
    </row>
    <row r="889">
      <c r="D889" s="86"/>
    </row>
    <row r="890">
      <c r="D890" s="86"/>
    </row>
    <row r="891">
      <c r="D891" s="86"/>
    </row>
    <row r="892">
      <c r="D892" s="86"/>
    </row>
    <row r="893">
      <c r="D893" s="86"/>
    </row>
    <row r="894">
      <c r="D894" s="86"/>
    </row>
    <row r="895">
      <c r="D895" s="86"/>
    </row>
    <row r="896">
      <c r="D896" s="86"/>
    </row>
    <row r="897">
      <c r="D897" s="86"/>
    </row>
    <row r="898">
      <c r="D898" s="86"/>
    </row>
    <row r="899">
      <c r="D899" s="86"/>
    </row>
    <row r="900">
      <c r="D900" s="86"/>
    </row>
    <row r="901">
      <c r="D901" s="86"/>
    </row>
    <row r="902">
      <c r="D902" s="86"/>
    </row>
    <row r="903">
      <c r="D903" s="86"/>
    </row>
    <row r="904">
      <c r="D904" s="86"/>
    </row>
    <row r="905">
      <c r="D905" s="86"/>
    </row>
    <row r="906">
      <c r="D906" s="86"/>
    </row>
    <row r="907">
      <c r="D907" s="86"/>
    </row>
    <row r="908">
      <c r="D908" s="86"/>
    </row>
    <row r="909">
      <c r="D909" s="86"/>
    </row>
    <row r="910">
      <c r="D910" s="86"/>
    </row>
    <row r="911">
      <c r="D911" s="86"/>
    </row>
    <row r="912">
      <c r="D912" s="86"/>
    </row>
    <row r="913">
      <c r="D913" s="86"/>
    </row>
    <row r="914">
      <c r="D914" s="86"/>
    </row>
    <row r="915">
      <c r="D915" s="86"/>
    </row>
    <row r="916">
      <c r="D916" s="86"/>
    </row>
    <row r="917">
      <c r="D917" s="86"/>
    </row>
    <row r="918">
      <c r="D918" s="86"/>
    </row>
    <row r="919">
      <c r="D919" s="86"/>
    </row>
    <row r="920">
      <c r="D920" s="86"/>
    </row>
    <row r="921">
      <c r="D921" s="86"/>
    </row>
    <row r="922">
      <c r="D922" s="86"/>
    </row>
    <row r="923">
      <c r="D923" s="86"/>
    </row>
    <row r="924">
      <c r="D924" s="86"/>
    </row>
    <row r="925">
      <c r="D925" s="86"/>
    </row>
    <row r="926">
      <c r="D926" s="86"/>
    </row>
    <row r="927">
      <c r="D927" s="86"/>
    </row>
    <row r="928">
      <c r="D928" s="86"/>
    </row>
    <row r="929">
      <c r="D929" s="86"/>
    </row>
    <row r="930">
      <c r="D930" s="86"/>
    </row>
    <row r="931">
      <c r="D931" s="86"/>
    </row>
    <row r="932">
      <c r="D932" s="86"/>
    </row>
    <row r="933">
      <c r="D933" s="86"/>
    </row>
    <row r="934">
      <c r="D934" s="86"/>
    </row>
    <row r="935">
      <c r="D935" s="86"/>
    </row>
    <row r="936">
      <c r="D936" s="86"/>
    </row>
    <row r="937">
      <c r="D937" s="86"/>
    </row>
    <row r="938">
      <c r="D938" s="86"/>
    </row>
    <row r="939">
      <c r="D939" s="86"/>
    </row>
    <row r="940">
      <c r="D940" s="86"/>
    </row>
    <row r="941">
      <c r="D941" s="86"/>
    </row>
    <row r="942">
      <c r="D942" s="86"/>
    </row>
    <row r="943">
      <c r="D943" s="86"/>
    </row>
    <row r="944">
      <c r="D944" s="86"/>
    </row>
    <row r="945">
      <c r="D945" s="86"/>
    </row>
    <row r="946">
      <c r="D946" s="86"/>
    </row>
    <row r="947">
      <c r="D947" s="86"/>
    </row>
    <row r="948">
      <c r="D948" s="86"/>
    </row>
    <row r="949">
      <c r="D949" s="86"/>
    </row>
    <row r="950">
      <c r="D950" s="86"/>
    </row>
    <row r="951">
      <c r="D951" s="86"/>
    </row>
    <row r="952">
      <c r="D952" s="86"/>
    </row>
    <row r="953">
      <c r="D953" s="86"/>
    </row>
    <row r="954">
      <c r="D954" s="86"/>
    </row>
    <row r="955">
      <c r="D955" s="86"/>
    </row>
    <row r="956">
      <c r="D956" s="86"/>
    </row>
    <row r="957">
      <c r="D957" s="86"/>
    </row>
    <row r="958">
      <c r="D958" s="86"/>
    </row>
    <row r="959">
      <c r="D959" s="86"/>
    </row>
    <row r="960">
      <c r="D960" s="86"/>
    </row>
    <row r="961">
      <c r="D961" s="86"/>
    </row>
    <row r="962">
      <c r="D962" s="86"/>
    </row>
    <row r="963">
      <c r="D963" s="86"/>
    </row>
    <row r="964">
      <c r="D964" s="86"/>
    </row>
    <row r="965">
      <c r="D965" s="86"/>
    </row>
    <row r="966">
      <c r="D966" s="86"/>
    </row>
    <row r="967">
      <c r="D967" s="86"/>
    </row>
    <row r="968">
      <c r="D968" s="86"/>
    </row>
    <row r="969">
      <c r="D969" s="8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13"/>
  </cols>
  <sheetData>
    <row r="1">
      <c r="A1" s="4" t="s">
        <v>8457</v>
      </c>
      <c r="B1" s="4" t="s">
        <v>8458</v>
      </c>
    </row>
    <row r="2">
      <c r="A2" s="4" t="s">
        <v>8459</v>
      </c>
      <c r="B2" s="4">
        <v>123.0</v>
      </c>
    </row>
  </sheetData>
  <drawing r:id="rId1"/>
</worksheet>
</file>